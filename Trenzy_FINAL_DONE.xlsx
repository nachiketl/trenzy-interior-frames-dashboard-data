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SUS\Desktop\trenzy project file\"/>
    </mc:Choice>
  </mc:AlternateContent>
  <xr:revisionPtr revIDLastSave="0" documentId="13_ncr:1_{525F8BAC-07CE-4B7F-87EA-F770C313D9CC}" xr6:coauthVersionLast="36" xr6:coauthVersionMax="36" xr10:uidLastSave="{00000000-0000-0000-0000-000000000000}"/>
  <bookViews>
    <workbookView xWindow="0" yWindow="0" windowWidth="19092" windowHeight="8916" activeTab="1" xr2:uid="{00000000-000D-0000-FFFF-FFFF00000000}"/>
  </bookViews>
  <sheets>
    <sheet name="Dashboard" sheetId="6" r:id="rId1"/>
    <sheet name="Trenzy Sales Data" sheetId="1" r:id="rId2"/>
    <sheet name="Yearly Summary" sheetId="2" r:id="rId3"/>
    <sheet name="Source by Year" sheetId="3" r:id="rId4"/>
    <sheet name="Data Notes" sheetId="4" r:id="rId5"/>
    <sheet name="pivot 1" sheetId="5" r:id="rId6"/>
    <sheet name="pivot2" sheetId="7" r:id="rId7"/>
    <sheet name="pivot 3" sheetId="9" r:id="rId8"/>
    <sheet name="pivot 4" sheetId="8" r:id="rId9"/>
    <sheet name="pivot 5" sheetId="11" r:id="rId10"/>
    <sheet name="Pivot 6" sheetId="12" r:id="rId11"/>
  </sheets>
  <definedNames>
    <definedName name="_xlnm._FilterDatabase" localSheetId="1" hidden="1">'Trenzy Sales Data'!$A$1:$V$2471</definedName>
    <definedName name="Slicer_City">#N/A</definedName>
    <definedName name="Slicer_Month">#N/A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713" i="1" l="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L2471" i="1" l="1"/>
  <c r="K2471" i="1"/>
  <c r="J2471" i="1"/>
  <c r="I2471" i="1"/>
  <c r="L2470" i="1"/>
  <c r="K2470" i="1"/>
  <c r="J2470" i="1"/>
  <c r="I2470" i="1"/>
  <c r="L2469" i="1"/>
  <c r="K2469" i="1"/>
  <c r="J2469" i="1"/>
  <c r="I2469" i="1"/>
  <c r="L2468" i="1"/>
  <c r="K2468" i="1"/>
  <c r="J2468" i="1"/>
  <c r="I2468" i="1"/>
  <c r="L2467" i="1"/>
  <c r="K2467" i="1"/>
  <c r="J2467" i="1"/>
  <c r="I2467" i="1"/>
  <c r="L2466" i="1"/>
  <c r="K2466" i="1"/>
  <c r="J2466" i="1"/>
  <c r="I2466" i="1"/>
  <c r="L2465" i="1"/>
  <c r="K2465" i="1"/>
  <c r="J2465" i="1"/>
  <c r="I2465" i="1"/>
  <c r="L2464" i="1"/>
  <c r="K2464" i="1"/>
  <c r="J2464" i="1"/>
  <c r="I2464" i="1"/>
  <c r="L2463" i="1"/>
  <c r="K2463" i="1"/>
  <c r="J2463" i="1"/>
  <c r="I2463" i="1"/>
  <c r="L2462" i="1"/>
  <c r="K2462" i="1"/>
  <c r="J2462" i="1"/>
  <c r="I2462" i="1"/>
  <c r="L2461" i="1"/>
  <c r="K2461" i="1"/>
  <c r="J2461" i="1"/>
  <c r="I2461" i="1"/>
  <c r="L2460" i="1"/>
  <c r="K2460" i="1"/>
  <c r="J2460" i="1"/>
  <c r="I2460" i="1"/>
  <c r="L2459" i="1"/>
  <c r="K2459" i="1"/>
  <c r="J2459" i="1"/>
  <c r="I2459" i="1"/>
  <c r="L2458" i="1"/>
  <c r="K2458" i="1"/>
  <c r="J2458" i="1"/>
  <c r="I2458" i="1"/>
  <c r="L2457" i="1"/>
  <c r="K2457" i="1"/>
  <c r="J2457" i="1"/>
  <c r="I2457" i="1"/>
  <c r="L2456" i="1"/>
  <c r="K2456" i="1"/>
  <c r="J2456" i="1"/>
  <c r="I2456" i="1"/>
  <c r="L2455" i="1"/>
  <c r="K2455" i="1"/>
  <c r="J2455" i="1"/>
  <c r="I2455" i="1"/>
  <c r="L2454" i="1"/>
  <c r="K2454" i="1"/>
  <c r="J2454" i="1"/>
  <c r="I2454" i="1"/>
  <c r="L2453" i="1"/>
  <c r="K2453" i="1"/>
  <c r="J2453" i="1"/>
  <c r="I2453" i="1"/>
  <c r="L2452" i="1"/>
  <c r="K2452" i="1"/>
  <c r="J2452" i="1"/>
  <c r="I2452" i="1"/>
  <c r="L2451" i="1"/>
  <c r="K2451" i="1"/>
  <c r="J2451" i="1"/>
  <c r="I2451" i="1"/>
  <c r="L2450" i="1"/>
  <c r="K2450" i="1"/>
  <c r="J2450" i="1"/>
  <c r="I2450" i="1"/>
  <c r="L2449" i="1"/>
  <c r="K2449" i="1"/>
  <c r="J2449" i="1"/>
  <c r="I2449" i="1"/>
  <c r="L2448" i="1"/>
  <c r="K2448" i="1"/>
  <c r="J2448" i="1"/>
  <c r="I2448" i="1"/>
  <c r="L2447" i="1"/>
  <c r="K2447" i="1"/>
  <c r="J2447" i="1"/>
  <c r="I2447" i="1"/>
  <c r="L2446" i="1"/>
  <c r="K2446" i="1"/>
  <c r="J2446" i="1"/>
  <c r="I2446" i="1"/>
  <c r="L2445" i="1"/>
  <c r="K2445" i="1"/>
  <c r="J2445" i="1"/>
  <c r="I2445" i="1"/>
  <c r="L2444" i="1"/>
  <c r="K2444" i="1"/>
  <c r="J2444" i="1"/>
  <c r="I2444" i="1"/>
  <c r="L2443" i="1"/>
  <c r="K2443" i="1"/>
  <c r="J2443" i="1"/>
  <c r="I2443" i="1"/>
  <c r="L2442" i="1"/>
  <c r="K2442" i="1"/>
  <c r="J2442" i="1"/>
  <c r="I2442" i="1"/>
  <c r="L2441" i="1"/>
  <c r="K2441" i="1"/>
  <c r="J2441" i="1"/>
  <c r="I2441" i="1"/>
  <c r="L2440" i="1"/>
  <c r="K2440" i="1"/>
  <c r="J2440" i="1"/>
  <c r="I2440" i="1"/>
  <c r="L2439" i="1"/>
  <c r="K2439" i="1"/>
  <c r="J2439" i="1"/>
  <c r="I2439" i="1"/>
  <c r="L2438" i="1"/>
  <c r="K2438" i="1"/>
  <c r="J2438" i="1"/>
  <c r="I2438" i="1"/>
  <c r="L2437" i="1"/>
  <c r="K2437" i="1"/>
  <c r="J2437" i="1"/>
  <c r="I2437" i="1"/>
  <c r="L2436" i="1"/>
  <c r="K2436" i="1"/>
  <c r="J2436" i="1"/>
  <c r="I2436" i="1"/>
  <c r="L2435" i="1"/>
  <c r="K2435" i="1"/>
  <c r="J2435" i="1"/>
  <c r="I2435" i="1"/>
  <c r="L2434" i="1"/>
  <c r="K2434" i="1"/>
  <c r="J2434" i="1"/>
  <c r="I2434" i="1"/>
  <c r="L2433" i="1"/>
  <c r="K2433" i="1"/>
  <c r="J2433" i="1"/>
  <c r="I2433" i="1"/>
  <c r="L2432" i="1"/>
  <c r="K2432" i="1"/>
  <c r="J2432" i="1"/>
  <c r="I2432" i="1"/>
  <c r="L2431" i="1"/>
  <c r="K2431" i="1"/>
  <c r="J2431" i="1"/>
  <c r="I2431" i="1"/>
  <c r="L2430" i="1"/>
  <c r="K2430" i="1"/>
  <c r="J2430" i="1"/>
  <c r="I2430" i="1"/>
  <c r="L2429" i="1"/>
  <c r="K2429" i="1"/>
  <c r="J2429" i="1"/>
  <c r="I2429" i="1"/>
  <c r="L2428" i="1"/>
  <c r="K2428" i="1"/>
  <c r="J2428" i="1"/>
  <c r="I2428" i="1"/>
  <c r="L2427" i="1"/>
  <c r="K2427" i="1"/>
  <c r="J2427" i="1"/>
  <c r="I2427" i="1"/>
  <c r="L2426" i="1"/>
  <c r="K2426" i="1"/>
  <c r="J2426" i="1"/>
  <c r="I2426" i="1"/>
  <c r="L2425" i="1"/>
  <c r="K2425" i="1"/>
  <c r="J2425" i="1"/>
  <c r="I2425" i="1"/>
  <c r="L2424" i="1"/>
  <c r="K2424" i="1"/>
  <c r="J2424" i="1"/>
  <c r="I2424" i="1"/>
  <c r="L2423" i="1"/>
  <c r="K2423" i="1"/>
  <c r="J2423" i="1"/>
  <c r="I2423" i="1"/>
  <c r="L2422" i="1"/>
  <c r="K2422" i="1"/>
  <c r="J2422" i="1"/>
  <c r="I2422" i="1"/>
  <c r="L2421" i="1"/>
  <c r="K2421" i="1"/>
  <c r="J2421" i="1"/>
  <c r="I2421" i="1"/>
  <c r="L2420" i="1"/>
  <c r="K2420" i="1"/>
  <c r="J2420" i="1"/>
  <c r="I2420" i="1"/>
  <c r="L2419" i="1"/>
  <c r="K2419" i="1"/>
  <c r="J2419" i="1"/>
  <c r="I2419" i="1"/>
  <c r="L2418" i="1"/>
  <c r="K2418" i="1"/>
  <c r="J2418" i="1"/>
  <c r="I2418" i="1"/>
  <c r="L2417" i="1"/>
  <c r="K2417" i="1"/>
  <c r="J2417" i="1"/>
  <c r="I2417" i="1"/>
  <c r="L2416" i="1"/>
  <c r="K2416" i="1"/>
  <c r="J2416" i="1"/>
  <c r="I2416" i="1"/>
  <c r="L2415" i="1"/>
  <c r="K2415" i="1"/>
  <c r="J2415" i="1"/>
  <c r="I2415" i="1"/>
  <c r="L2414" i="1"/>
  <c r="K2414" i="1"/>
  <c r="J2414" i="1"/>
  <c r="I2414" i="1"/>
  <c r="L2413" i="1"/>
  <c r="K2413" i="1"/>
  <c r="J2413" i="1"/>
  <c r="I2413" i="1"/>
  <c r="L2412" i="1"/>
  <c r="K2412" i="1"/>
  <c r="J2412" i="1"/>
  <c r="I2412" i="1"/>
  <c r="L2411" i="1"/>
  <c r="K2411" i="1"/>
  <c r="J2411" i="1"/>
  <c r="I2411" i="1"/>
  <c r="L2410" i="1"/>
  <c r="K2410" i="1"/>
  <c r="J2410" i="1"/>
  <c r="I2410" i="1"/>
  <c r="L2409" i="1"/>
  <c r="K2409" i="1"/>
  <c r="J2409" i="1"/>
  <c r="I2409" i="1"/>
  <c r="L2408" i="1"/>
  <c r="K2408" i="1"/>
  <c r="J2408" i="1"/>
  <c r="I2408" i="1"/>
  <c r="L2407" i="1"/>
  <c r="K2407" i="1"/>
  <c r="J2407" i="1"/>
  <c r="I2407" i="1"/>
  <c r="L2406" i="1"/>
  <c r="K2406" i="1"/>
  <c r="J2406" i="1"/>
  <c r="I2406" i="1"/>
  <c r="L2405" i="1"/>
  <c r="K2405" i="1"/>
  <c r="J2405" i="1"/>
  <c r="I2405" i="1"/>
  <c r="L2404" i="1"/>
  <c r="K2404" i="1"/>
  <c r="J2404" i="1"/>
  <c r="I2404" i="1"/>
  <c r="L2403" i="1"/>
  <c r="K2403" i="1"/>
  <c r="J2403" i="1"/>
  <c r="I2403" i="1"/>
  <c r="L2402" i="1"/>
  <c r="K2402" i="1"/>
  <c r="J2402" i="1"/>
  <c r="I2402" i="1"/>
  <c r="L2401" i="1"/>
  <c r="K2401" i="1"/>
  <c r="J2401" i="1"/>
  <c r="I2401" i="1"/>
  <c r="L2400" i="1"/>
  <c r="K2400" i="1"/>
  <c r="J2400" i="1"/>
  <c r="I2400" i="1"/>
  <c r="L2399" i="1"/>
  <c r="K2399" i="1"/>
  <c r="J2399" i="1"/>
  <c r="I2399" i="1"/>
  <c r="L2398" i="1"/>
  <c r="K2398" i="1"/>
  <c r="J2398" i="1"/>
  <c r="I2398" i="1"/>
  <c r="L2397" i="1"/>
  <c r="K2397" i="1"/>
  <c r="J2397" i="1"/>
  <c r="I2397" i="1"/>
  <c r="L2396" i="1"/>
  <c r="K2396" i="1"/>
  <c r="J2396" i="1"/>
  <c r="I2396" i="1"/>
  <c r="L2395" i="1"/>
  <c r="K2395" i="1"/>
  <c r="J2395" i="1"/>
  <c r="I2395" i="1"/>
  <c r="L2394" i="1"/>
  <c r="K2394" i="1"/>
  <c r="J2394" i="1"/>
  <c r="I2394" i="1"/>
  <c r="L2393" i="1"/>
  <c r="K2393" i="1"/>
  <c r="J2393" i="1"/>
  <c r="I2393" i="1"/>
  <c r="L2392" i="1"/>
  <c r="K2392" i="1"/>
  <c r="J2392" i="1"/>
  <c r="I2392" i="1"/>
  <c r="L2391" i="1"/>
  <c r="K2391" i="1"/>
  <c r="J2391" i="1"/>
  <c r="I2391" i="1"/>
  <c r="L2390" i="1"/>
  <c r="K2390" i="1"/>
  <c r="J2390" i="1"/>
  <c r="I2390" i="1"/>
  <c r="L2389" i="1"/>
  <c r="K2389" i="1"/>
  <c r="J2389" i="1"/>
  <c r="I2389" i="1"/>
  <c r="L2388" i="1"/>
  <c r="K2388" i="1"/>
  <c r="J2388" i="1"/>
  <c r="I2388" i="1"/>
  <c r="L2387" i="1"/>
  <c r="K2387" i="1"/>
  <c r="J2387" i="1"/>
  <c r="I2387" i="1"/>
  <c r="L2386" i="1"/>
  <c r="K2386" i="1"/>
  <c r="J2386" i="1"/>
  <c r="I2386" i="1"/>
  <c r="L2385" i="1"/>
  <c r="K2385" i="1"/>
  <c r="J2385" i="1"/>
  <c r="I2385" i="1"/>
  <c r="L2384" i="1"/>
  <c r="K2384" i="1"/>
  <c r="J2384" i="1"/>
  <c r="I2384" i="1"/>
  <c r="L2383" i="1"/>
  <c r="K2383" i="1"/>
  <c r="J2383" i="1"/>
  <c r="I2383" i="1"/>
  <c r="L2382" i="1"/>
  <c r="K2382" i="1"/>
  <c r="J2382" i="1"/>
  <c r="I2382" i="1"/>
  <c r="L2381" i="1"/>
  <c r="K2381" i="1"/>
  <c r="J2381" i="1"/>
  <c r="I2381" i="1"/>
  <c r="L2380" i="1"/>
  <c r="K2380" i="1"/>
  <c r="J2380" i="1"/>
  <c r="I2380" i="1"/>
  <c r="L2379" i="1"/>
  <c r="K2379" i="1"/>
  <c r="J2379" i="1"/>
  <c r="I2379" i="1"/>
  <c r="L2378" i="1"/>
  <c r="K2378" i="1"/>
  <c r="J2378" i="1"/>
  <c r="I2378" i="1"/>
  <c r="L2377" i="1"/>
  <c r="K2377" i="1"/>
  <c r="J2377" i="1"/>
  <c r="I2377" i="1"/>
  <c r="L2376" i="1"/>
  <c r="K2376" i="1"/>
  <c r="J2376" i="1"/>
  <c r="I2376" i="1"/>
  <c r="L2375" i="1"/>
  <c r="K2375" i="1"/>
  <c r="J2375" i="1"/>
  <c r="I2375" i="1"/>
  <c r="L2374" i="1"/>
  <c r="K2374" i="1"/>
  <c r="J2374" i="1"/>
  <c r="I2374" i="1"/>
  <c r="L2373" i="1"/>
  <c r="K2373" i="1"/>
  <c r="J2373" i="1"/>
  <c r="I2373" i="1"/>
  <c r="L2372" i="1"/>
  <c r="K2372" i="1"/>
  <c r="J2372" i="1"/>
  <c r="I2372" i="1"/>
  <c r="L2371" i="1"/>
  <c r="K2371" i="1"/>
  <c r="J2371" i="1"/>
  <c r="I2371" i="1"/>
  <c r="L2370" i="1"/>
  <c r="K2370" i="1"/>
  <c r="J2370" i="1"/>
  <c r="I2370" i="1"/>
  <c r="L2369" i="1"/>
  <c r="K2369" i="1"/>
  <c r="J2369" i="1"/>
  <c r="I2369" i="1"/>
  <c r="L2368" i="1"/>
  <c r="K2368" i="1"/>
  <c r="J2368" i="1"/>
  <c r="I2368" i="1"/>
  <c r="L2367" i="1"/>
  <c r="K2367" i="1"/>
  <c r="J2367" i="1"/>
  <c r="I2367" i="1"/>
  <c r="L2366" i="1"/>
  <c r="K2366" i="1"/>
  <c r="J2366" i="1"/>
  <c r="I2366" i="1"/>
  <c r="L2365" i="1"/>
  <c r="K2365" i="1"/>
  <c r="J2365" i="1"/>
  <c r="I2365" i="1"/>
  <c r="L2364" i="1"/>
  <c r="K2364" i="1"/>
  <c r="J2364" i="1"/>
  <c r="I2364" i="1"/>
  <c r="L2363" i="1"/>
  <c r="K2363" i="1"/>
  <c r="J2363" i="1"/>
  <c r="I2363" i="1"/>
  <c r="L2362" i="1"/>
  <c r="K2362" i="1"/>
  <c r="J2362" i="1"/>
  <c r="I2362" i="1"/>
  <c r="L2361" i="1"/>
  <c r="K2361" i="1"/>
  <c r="J2361" i="1"/>
  <c r="I2361" i="1"/>
  <c r="L2360" i="1"/>
  <c r="K2360" i="1"/>
  <c r="J2360" i="1"/>
  <c r="I2360" i="1"/>
  <c r="L2359" i="1"/>
  <c r="K2359" i="1"/>
  <c r="J2359" i="1"/>
  <c r="I2359" i="1"/>
  <c r="L2358" i="1"/>
  <c r="K2358" i="1"/>
  <c r="J2358" i="1"/>
  <c r="I2358" i="1"/>
  <c r="L2357" i="1"/>
  <c r="K2357" i="1"/>
  <c r="J2357" i="1"/>
  <c r="I2357" i="1"/>
  <c r="L2356" i="1"/>
  <c r="K2356" i="1"/>
  <c r="J2356" i="1"/>
  <c r="I2356" i="1"/>
  <c r="L2355" i="1"/>
  <c r="K2355" i="1"/>
  <c r="J2355" i="1"/>
  <c r="I2355" i="1"/>
  <c r="L2354" i="1"/>
  <c r="K2354" i="1"/>
  <c r="J2354" i="1"/>
  <c r="I2354" i="1"/>
  <c r="L2353" i="1"/>
  <c r="K2353" i="1"/>
  <c r="J2353" i="1"/>
  <c r="I2353" i="1"/>
  <c r="L2352" i="1"/>
  <c r="K2352" i="1"/>
  <c r="J2352" i="1"/>
  <c r="I2352" i="1"/>
  <c r="L2351" i="1"/>
  <c r="K2351" i="1"/>
  <c r="J2351" i="1"/>
  <c r="I2351" i="1"/>
  <c r="L2350" i="1"/>
  <c r="K2350" i="1"/>
  <c r="J2350" i="1"/>
  <c r="I2350" i="1"/>
  <c r="L2349" i="1"/>
  <c r="K2349" i="1"/>
  <c r="J2349" i="1"/>
  <c r="I2349" i="1"/>
  <c r="L2348" i="1"/>
  <c r="K2348" i="1"/>
  <c r="J2348" i="1"/>
  <c r="I2348" i="1"/>
  <c r="L2347" i="1"/>
  <c r="K2347" i="1"/>
  <c r="J2347" i="1"/>
  <c r="I2347" i="1"/>
  <c r="L2346" i="1"/>
  <c r="K2346" i="1"/>
  <c r="J2346" i="1"/>
  <c r="I2346" i="1"/>
  <c r="L2345" i="1"/>
  <c r="K2345" i="1"/>
  <c r="J2345" i="1"/>
  <c r="I2345" i="1"/>
  <c r="L2344" i="1"/>
  <c r="K2344" i="1"/>
  <c r="J2344" i="1"/>
  <c r="I2344" i="1"/>
  <c r="L2343" i="1"/>
  <c r="K2343" i="1"/>
  <c r="J2343" i="1"/>
  <c r="I2343" i="1"/>
  <c r="L2342" i="1"/>
  <c r="K2342" i="1"/>
  <c r="J2342" i="1"/>
  <c r="I2342" i="1"/>
  <c r="L2341" i="1"/>
  <c r="K2341" i="1"/>
  <c r="J2341" i="1"/>
  <c r="I2341" i="1"/>
  <c r="L2340" i="1"/>
  <c r="K2340" i="1"/>
  <c r="J2340" i="1"/>
  <c r="I2340" i="1"/>
  <c r="L2339" i="1"/>
  <c r="K2339" i="1"/>
  <c r="J2339" i="1"/>
  <c r="I2339" i="1"/>
  <c r="L2338" i="1"/>
  <c r="K2338" i="1"/>
  <c r="J2338" i="1"/>
  <c r="I2338" i="1"/>
  <c r="L2337" i="1"/>
  <c r="K2337" i="1"/>
  <c r="J2337" i="1"/>
  <c r="I2337" i="1"/>
  <c r="L2336" i="1"/>
  <c r="K2336" i="1"/>
  <c r="J2336" i="1"/>
  <c r="I2336" i="1"/>
  <c r="L2335" i="1"/>
  <c r="K2335" i="1"/>
  <c r="J2335" i="1"/>
  <c r="I2335" i="1"/>
  <c r="L2334" i="1"/>
  <c r="K2334" i="1"/>
  <c r="J2334" i="1"/>
  <c r="I2334" i="1"/>
  <c r="L2333" i="1"/>
  <c r="K2333" i="1"/>
  <c r="J2333" i="1"/>
  <c r="I2333" i="1"/>
  <c r="L2332" i="1"/>
  <c r="K2332" i="1"/>
  <c r="J2332" i="1"/>
  <c r="I2332" i="1"/>
  <c r="L2331" i="1"/>
  <c r="K2331" i="1"/>
  <c r="J2331" i="1"/>
  <c r="I2331" i="1"/>
  <c r="L2330" i="1"/>
  <c r="K2330" i="1"/>
  <c r="J2330" i="1"/>
  <c r="I2330" i="1"/>
  <c r="L2329" i="1"/>
  <c r="K2329" i="1"/>
  <c r="J2329" i="1"/>
  <c r="I2329" i="1"/>
  <c r="L2328" i="1"/>
  <c r="K2328" i="1"/>
  <c r="J2328" i="1"/>
  <c r="I2328" i="1"/>
  <c r="L2327" i="1"/>
  <c r="K2327" i="1"/>
  <c r="J2327" i="1"/>
  <c r="I2327" i="1"/>
  <c r="L2326" i="1"/>
  <c r="K2326" i="1"/>
  <c r="J2326" i="1"/>
  <c r="I2326" i="1"/>
  <c r="L2325" i="1"/>
  <c r="K2325" i="1"/>
  <c r="J2325" i="1"/>
  <c r="I2325" i="1"/>
  <c r="L2324" i="1"/>
  <c r="K2324" i="1"/>
  <c r="J2324" i="1"/>
  <c r="I2324" i="1"/>
  <c r="L2323" i="1"/>
  <c r="K2323" i="1"/>
  <c r="J2323" i="1"/>
  <c r="I2323" i="1"/>
  <c r="L2322" i="1"/>
  <c r="K2322" i="1"/>
  <c r="J2322" i="1"/>
  <c r="I2322" i="1"/>
  <c r="L2321" i="1"/>
  <c r="K2321" i="1"/>
  <c r="J2321" i="1"/>
  <c r="I2321" i="1"/>
  <c r="L2320" i="1"/>
  <c r="K2320" i="1"/>
  <c r="J2320" i="1"/>
  <c r="I2320" i="1"/>
  <c r="L2319" i="1"/>
  <c r="K2319" i="1"/>
  <c r="J2319" i="1"/>
  <c r="I2319" i="1"/>
  <c r="L2318" i="1"/>
  <c r="K2318" i="1"/>
  <c r="J2318" i="1"/>
  <c r="I2318" i="1"/>
  <c r="L2317" i="1"/>
  <c r="K2317" i="1"/>
  <c r="J2317" i="1"/>
  <c r="I2317" i="1"/>
  <c r="L2316" i="1"/>
  <c r="K2316" i="1"/>
  <c r="J2316" i="1"/>
  <c r="I2316" i="1"/>
  <c r="L2315" i="1"/>
  <c r="K2315" i="1"/>
  <c r="J2315" i="1"/>
  <c r="I2315" i="1"/>
  <c r="L2314" i="1"/>
  <c r="K2314" i="1"/>
  <c r="J2314" i="1"/>
  <c r="I2314" i="1"/>
  <c r="L2313" i="1"/>
  <c r="K2313" i="1"/>
  <c r="J2313" i="1"/>
  <c r="I2313" i="1"/>
  <c r="L2312" i="1"/>
  <c r="K2312" i="1"/>
  <c r="J2312" i="1"/>
  <c r="I2312" i="1"/>
  <c r="L2311" i="1"/>
  <c r="K2311" i="1"/>
  <c r="J2311" i="1"/>
  <c r="I2311" i="1"/>
  <c r="L2310" i="1"/>
  <c r="K2310" i="1"/>
  <c r="J2310" i="1"/>
  <c r="I2310" i="1"/>
  <c r="L2309" i="1"/>
  <c r="K2309" i="1"/>
  <c r="J2309" i="1"/>
  <c r="I2309" i="1"/>
  <c r="L2308" i="1"/>
  <c r="K2308" i="1"/>
  <c r="J2308" i="1"/>
  <c r="I2308" i="1"/>
  <c r="L2307" i="1"/>
  <c r="K2307" i="1"/>
  <c r="J2307" i="1"/>
  <c r="I2307" i="1"/>
  <c r="L2306" i="1"/>
  <c r="K2306" i="1"/>
  <c r="J2306" i="1"/>
  <c r="I2306" i="1"/>
  <c r="L2305" i="1"/>
  <c r="K2305" i="1"/>
  <c r="J2305" i="1"/>
  <c r="I2305" i="1"/>
  <c r="L2304" i="1"/>
  <c r="K2304" i="1"/>
  <c r="J2304" i="1"/>
  <c r="I2304" i="1"/>
  <c r="L2303" i="1"/>
  <c r="K2303" i="1"/>
  <c r="J2303" i="1"/>
  <c r="I2303" i="1"/>
  <c r="L2302" i="1"/>
  <c r="K2302" i="1"/>
  <c r="J2302" i="1"/>
  <c r="I2302" i="1"/>
  <c r="L2301" i="1"/>
  <c r="K2301" i="1"/>
  <c r="J2301" i="1"/>
  <c r="I2301" i="1"/>
  <c r="L2300" i="1"/>
  <c r="K2300" i="1"/>
  <c r="J2300" i="1"/>
  <c r="I2300" i="1"/>
  <c r="L2299" i="1"/>
  <c r="K2299" i="1"/>
  <c r="J2299" i="1"/>
  <c r="I2299" i="1"/>
  <c r="L2298" i="1"/>
  <c r="K2298" i="1"/>
  <c r="J2298" i="1"/>
  <c r="I2298" i="1"/>
  <c r="L2297" i="1"/>
  <c r="K2297" i="1"/>
  <c r="J2297" i="1"/>
  <c r="I2297" i="1"/>
  <c r="L2296" i="1"/>
  <c r="K2296" i="1"/>
  <c r="J2296" i="1"/>
  <c r="I2296" i="1"/>
  <c r="L2295" i="1"/>
  <c r="K2295" i="1"/>
  <c r="J2295" i="1"/>
  <c r="I2295" i="1"/>
  <c r="L2294" i="1"/>
  <c r="K2294" i="1"/>
  <c r="J2294" i="1"/>
  <c r="I2294" i="1"/>
  <c r="L2293" i="1"/>
  <c r="K2293" i="1"/>
  <c r="J2293" i="1"/>
  <c r="I2293" i="1"/>
  <c r="L2292" i="1"/>
  <c r="K2292" i="1"/>
  <c r="J2292" i="1"/>
  <c r="I2292" i="1"/>
  <c r="L2291" i="1"/>
  <c r="K2291" i="1"/>
  <c r="J2291" i="1"/>
  <c r="I2291" i="1"/>
  <c r="L2290" i="1"/>
  <c r="K2290" i="1"/>
  <c r="J2290" i="1"/>
  <c r="I2290" i="1"/>
  <c r="L2289" i="1"/>
  <c r="K2289" i="1"/>
  <c r="J2289" i="1"/>
  <c r="I2289" i="1"/>
  <c r="L2288" i="1"/>
  <c r="K2288" i="1"/>
  <c r="J2288" i="1"/>
  <c r="I2288" i="1"/>
  <c r="L2287" i="1"/>
  <c r="K2287" i="1"/>
  <c r="J2287" i="1"/>
  <c r="I2287" i="1"/>
  <c r="L2286" i="1"/>
  <c r="K2286" i="1"/>
  <c r="J2286" i="1"/>
  <c r="I2286" i="1"/>
  <c r="L2285" i="1"/>
  <c r="K2285" i="1"/>
  <c r="J2285" i="1"/>
  <c r="I2285" i="1"/>
  <c r="L2284" i="1"/>
  <c r="K2284" i="1"/>
  <c r="J2284" i="1"/>
  <c r="I2284" i="1"/>
  <c r="L2283" i="1"/>
  <c r="K2283" i="1"/>
  <c r="J2283" i="1"/>
  <c r="I2283" i="1"/>
  <c r="L2282" i="1"/>
  <c r="K2282" i="1"/>
  <c r="J2282" i="1"/>
  <c r="I2282" i="1"/>
  <c r="L2281" i="1"/>
  <c r="K2281" i="1"/>
  <c r="J2281" i="1"/>
  <c r="I2281" i="1"/>
  <c r="L2280" i="1"/>
  <c r="K2280" i="1"/>
  <c r="J2280" i="1"/>
  <c r="I2280" i="1"/>
  <c r="L2279" i="1"/>
  <c r="K2279" i="1"/>
  <c r="J2279" i="1"/>
  <c r="I2279" i="1"/>
  <c r="L2278" i="1"/>
  <c r="K2278" i="1"/>
  <c r="J2278" i="1"/>
  <c r="I2278" i="1"/>
  <c r="L2277" i="1"/>
  <c r="K2277" i="1"/>
  <c r="J2277" i="1"/>
  <c r="I2277" i="1"/>
  <c r="L2276" i="1"/>
  <c r="K2276" i="1"/>
  <c r="J2276" i="1"/>
  <c r="I2276" i="1"/>
  <c r="L2275" i="1"/>
  <c r="K2275" i="1"/>
  <c r="J2275" i="1"/>
  <c r="I2275" i="1"/>
  <c r="L2274" i="1"/>
  <c r="K2274" i="1"/>
  <c r="J2274" i="1"/>
  <c r="I2274" i="1"/>
  <c r="L2273" i="1"/>
  <c r="K2273" i="1"/>
  <c r="J2273" i="1"/>
  <c r="I2273" i="1"/>
  <c r="L2272" i="1"/>
  <c r="K2272" i="1"/>
  <c r="J2272" i="1"/>
  <c r="I2272" i="1"/>
  <c r="L2271" i="1"/>
  <c r="K2271" i="1"/>
  <c r="J2271" i="1"/>
  <c r="I2271" i="1"/>
  <c r="L2270" i="1"/>
  <c r="K2270" i="1"/>
  <c r="J2270" i="1"/>
  <c r="I2270" i="1"/>
  <c r="L2269" i="1"/>
  <c r="K2269" i="1"/>
  <c r="J2269" i="1"/>
  <c r="I2269" i="1"/>
  <c r="L2268" i="1"/>
  <c r="K2268" i="1"/>
  <c r="J2268" i="1"/>
  <c r="I2268" i="1"/>
  <c r="L2267" i="1"/>
  <c r="K2267" i="1"/>
  <c r="J2267" i="1"/>
  <c r="I2267" i="1"/>
  <c r="L2266" i="1"/>
  <c r="K2266" i="1"/>
  <c r="J2266" i="1"/>
  <c r="I2266" i="1"/>
  <c r="L2265" i="1"/>
  <c r="K2265" i="1"/>
  <c r="J2265" i="1"/>
  <c r="I2265" i="1"/>
  <c r="L2264" i="1"/>
  <c r="K2264" i="1"/>
  <c r="J2264" i="1"/>
  <c r="I2264" i="1"/>
  <c r="L2263" i="1"/>
  <c r="K2263" i="1"/>
  <c r="J2263" i="1"/>
  <c r="I2263" i="1"/>
  <c r="L2262" i="1"/>
  <c r="K2262" i="1"/>
  <c r="J2262" i="1"/>
  <c r="I2262" i="1"/>
  <c r="L2261" i="1"/>
  <c r="K2261" i="1"/>
  <c r="J2261" i="1"/>
  <c r="I2261" i="1"/>
  <c r="L2260" i="1"/>
  <c r="K2260" i="1"/>
  <c r="J2260" i="1"/>
  <c r="I2260" i="1"/>
  <c r="L2259" i="1"/>
  <c r="K2259" i="1"/>
  <c r="J2259" i="1"/>
  <c r="I2259" i="1"/>
  <c r="L2258" i="1"/>
  <c r="K2258" i="1"/>
  <c r="J2258" i="1"/>
  <c r="I2258" i="1"/>
  <c r="L2257" i="1"/>
  <c r="K2257" i="1"/>
  <c r="J2257" i="1"/>
  <c r="I2257" i="1"/>
  <c r="L2256" i="1"/>
  <c r="K2256" i="1"/>
  <c r="J2256" i="1"/>
  <c r="I2256" i="1"/>
  <c r="L2255" i="1"/>
  <c r="K2255" i="1"/>
  <c r="J2255" i="1"/>
  <c r="I2255" i="1"/>
  <c r="L2254" i="1"/>
  <c r="K2254" i="1"/>
  <c r="J2254" i="1"/>
  <c r="I2254" i="1"/>
  <c r="L2253" i="1"/>
  <c r="K2253" i="1"/>
  <c r="J2253" i="1"/>
  <c r="I2253" i="1"/>
  <c r="L2252" i="1"/>
  <c r="K2252" i="1"/>
  <c r="J2252" i="1"/>
  <c r="I2252" i="1"/>
  <c r="L2251" i="1"/>
  <c r="K2251" i="1"/>
  <c r="J2251" i="1"/>
  <c r="I2251" i="1"/>
  <c r="L2250" i="1"/>
  <c r="K2250" i="1"/>
  <c r="J2250" i="1"/>
  <c r="I2250" i="1"/>
  <c r="L2249" i="1"/>
  <c r="K2249" i="1"/>
  <c r="J2249" i="1"/>
  <c r="I2249" i="1"/>
  <c r="L2248" i="1"/>
  <c r="K2248" i="1"/>
  <c r="J2248" i="1"/>
  <c r="I2248" i="1"/>
  <c r="L2247" i="1"/>
  <c r="K2247" i="1"/>
  <c r="J2247" i="1"/>
  <c r="I2247" i="1"/>
  <c r="L2246" i="1"/>
  <c r="K2246" i="1"/>
  <c r="J2246" i="1"/>
  <c r="I2246" i="1"/>
  <c r="L2245" i="1"/>
  <c r="K2245" i="1"/>
  <c r="J2245" i="1"/>
  <c r="I2245" i="1"/>
  <c r="L2244" i="1"/>
  <c r="K2244" i="1"/>
  <c r="J2244" i="1"/>
  <c r="I2244" i="1"/>
  <c r="L2243" i="1"/>
  <c r="K2243" i="1"/>
  <c r="J2243" i="1"/>
  <c r="I2243" i="1"/>
  <c r="L2242" i="1"/>
  <c r="K2242" i="1"/>
  <c r="J2242" i="1"/>
  <c r="I2242" i="1"/>
  <c r="L2241" i="1"/>
  <c r="K2241" i="1"/>
  <c r="J2241" i="1"/>
  <c r="I2241" i="1"/>
  <c r="L2240" i="1"/>
  <c r="K2240" i="1"/>
  <c r="J2240" i="1"/>
  <c r="I2240" i="1"/>
  <c r="L2239" i="1"/>
  <c r="K2239" i="1"/>
  <c r="J2239" i="1"/>
  <c r="I2239" i="1"/>
  <c r="L2238" i="1"/>
  <c r="K2238" i="1"/>
  <c r="J2238" i="1"/>
  <c r="I2238" i="1"/>
  <c r="L2237" i="1"/>
  <c r="K2237" i="1"/>
  <c r="J2237" i="1"/>
  <c r="I2237" i="1"/>
  <c r="L2236" i="1"/>
  <c r="K2236" i="1"/>
  <c r="J2236" i="1"/>
  <c r="I2236" i="1"/>
  <c r="L2235" i="1"/>
  <c r="K2235" i="1"/>
  <c r="J2235" i="1"/>
  <c r="I2235" i="1"/>
  <c r="L2234" i="1"/>
  <c r="K2234" i="1"/>
  <c r="J2234" i="1"/>
  <c r="I2234" i="1"/>
  <c r="L2233" i="1"/>
  <c r="K2233" i="1"/>
  <c r="J2233" i="1"/>
  <c r="I2233" i="1"/>
  <c r="L2232" i="1"/>
  <c r="K2232" i="1"/>
  <c r="J2232" i="1"/>
  <c r="I2232" i="1"/>
  <c r="L2231" i="1"/>
  <c r="K2231" i="1"/>
  <c r="J2231" i="1"/>
  <c r="I2231" i="1"/>
  <c r="L2230" i="1"/>
  <c r="K2230" i="1"/>
  <c r="J2230" i="1"/>
  <c r="I2230" i="1"/>
  <c r="L2229" i="1"/>
  <c r="K2229" i="1"/>
  <c r="J2229" i="1"/>
  <c r="I2229" i="1"/>
  <c r="L2228" i="1"/>
  <c r="K2228" i="1"/>
  <c r="J2228" i="1"/>
  <c r="I2228" i="1"/>
  <c r="L2227" i="1"/>
  <c r="K2227" i="1"/>
  <c r="J2227" i="1"/>
  <c r="I2227" i="1"/>
  <c r="L2226" i="1"/>
  <c r="K2226" i="1"/>
  <c r="J2226" i="1"/>
  <c r="I2226" i="1"/>
  <c r="L2225" i="1"/>
  <c r="K2225" i="1"/>
  <c r="J2225" i="1"/>
  <c r="I2225" i="1"/>
  <c r="L2224" i="1"/>
  <c r="K2224" i="1"/>
  <c r="J2224" i="1"/>
  <c r="I2224" i="1"/>
  <c r="L2223" i="1"/>
  <c r="K2223" i="1"/>
  <c r="J2223" i="1"/>
  <c r="I2223" i="1"/>
  <c r="L2222" i="1"/>
  <c r="K2222" i="1"/>
  <c r="J2222" i="1"/>
  <c r="I2222" i="1"/>
  <c r="L2221" i="1"/>
  <c r="K2221" i="1"/>
  <c r="J2221" i="1"/>
  <c r="I2221" i="1"/>
  <c r="L2220" i="1"/>
  <c r="K2220" i="1"/>
  <c r="J2220" i="1"/>
  <c r="I2220" i="1"/>
  <c r="L2219" i="1"/>
  <c r="K2219" i="1"/>
  <c r="J2219" i="1"/>
  <c r="I2219" i="1"/>
  <c r="L2218" i="1"/>
  <c r="K2218" i="1"/>
  <c r="J2218" i="1"/>
  <c r="I2218" i="1"/>
  <c r="L2217" i="1"/>
  <c r="K2217" i="1"/>
  <c r="J2217" i="1"/>
  <c r="I2217" i="1"/>
  <c r="L2216" i="1"/>
  <c r="K2216" i="1"/>
  <c r="J2216" i="1"/>
  <c r="I2216" i="1"/>
  <c r="L2215" i="1"/>
  <c r="K2215" i="1"/>
  <c r="J2215" i="1"/>
  <c r="I2215" i="1"/>
  <c r="L2214" i="1"/>
  <c r="K2214" i="1"/>
  <c r="J2214" i="1"/>
  <c r="I2214" i="1"/>
  <c r="L2213" i="1"/>
  <c r="K2213" i="1"/>
  <c r="J2213" i="1"/>
  <c r="I2213" i="1"/>
  <c r="L2212" i="1"/>
  <c r="K2212" i="1"/>
  <c r="J2212" i="1"/>
  <c r="I2212" i="1"/>
  <c r="L2211" i="1"/>
  <c r="K2211" i="1"/>
  <c r="J2211" i="1"/>
  <c r="I2211" i="1"/>
  <c r="L2210" i="1"/>
  <c r="K2210" i="1"/>
  <c r="J2210" i="1"/>
  <c r="I2210" i="1"/>
  <c r="L2209" i="1"/>
  <c r="K2209" i="1"/>
  <c r="J2209" i="1"/>
  <c r="I2209" i="1"/>
  <c r="L2208" i="1"/>
  <c r="K2208" i="1"/>
  <c r="J2208" i="1"/>
  <c r="I2208" i="1"/>
  <c r="L2207" i="1"/>
  <c r="K2207" i="1"/>
  <c r="J2207" i="1"/>
  <c r="I2207" i="1"/>
  <c r="L2206" i="1"/>
  <c r="K2206" i="1"/>
  <c r="J2206" i="1"/>
  <c r="I2206" i="1"/>
  <c r="L2205" i="1"/>
  <c r="K2205" i="1"/>
  <c r="J2205" i="1"/>
  <c r="I2205" i="1"/>
  <c r="L2204" i="1"/>
  <c r="K2204" i="1"/>
  <c r="J2204" i="1"/>
  <c r="I2204" i="1"/>
  <c r="L2203" i="1"/>
  <c r="K2203" i="1"/>
  <c r="J2203" i="1"/>
  <c r="I2203" i="1"/>
  <c r="L2202" i="1"/>
  <c r="K2202" i="1"/>
  <c r="J2202" i="1"/>
  <c r="I2202" i="1"/>
  <c r="L2201" i="1"/>
  <c r="K2201" i="1"/>
  <c r="J2201" i="1"/>
  <c r="I2201" i="1"/>
  <c r="L2200" i="1"/>
  <c r="K2200" i="1"/>
  <c r="J2200" i="1"/>
  <c r="I2200" i="1"/>
  <c r="L2199" i="1"/>
  <c r="K2199" i="1"/>
  <c r="J2199" i="1"/>
  <c r="I2199" i="1"/>
  <c r="L2198" i="1"/>
  <c r="K2198" i="1"/>
  <c r="J2198" i="1"/>
  <c r="I2198" i="1"/>
  <c r="L2197" i="1"/>
  <c r="K2197" i="1"/>
  <c r="J2197" i="1"/>
  <c r="I2197" i="1"/>
  <c r="L2196" i="1"/>
  <c r="K2196" i="1"/>
  <c r="J2196" i="1"/>
  <c r="I2196" i="1"/>
  <c r="L2195" i="1"/>
  <c r="K2195" i="1"/>
  <c r="J2195" i="1"/>
  <c r="I2195" i="1"/>
  <c r="L2194" i="1"/>
  <c r="K2194" i="1"/>
  <c r="J2194" i="1"/>
  <c r="I2194" i="1"/>
  <c r="L2193" i="1"/>
  <c r="K2193" i="1"/>
  <c r="J2193" i="1"/>
  <c r="I2193" i="1"/>
  <c r="L2192" i="1"/>
  <c r="K2192" i="1"/>
  <c r="J2192" i="1"/>
  <c r="I2192" i="1"/>
  <c r="L2191" i="1"/>
  <c r="K2191" i="1"/>
  <c r="J2191" i="1"/>
  <c r="I2191" i="1"/>
  <c r="L2190" i="1"/>
  <c r="K2190" i="1"/>
  <c r="J2190" i="1"/>
  <c r="I2190" i="1"/>
  <c r="L2189" i="1"/>
  <c r="K2189" i="1"/>
  <c r="J2189" i="1"/>
  <c r="I2189" i="1"/>
  <c r="L2188" i="1"/>
  <c r="K2188" i="1"/>
  <c r="J2188" i="1"/>
  <c r="I2188" i="1"/>
  <c r="L2187" i="1"/>
  <c r="K2187" i="1"/>
  <c r="J2187" i="1"/>
  <c r="I2187" i="1"/>
  <c r="L2186" i="1"/>
  <c r="K2186" i="1"/>
  <c r="J2186" i="1"/>
  <c r="I2186" i="1"/>
  <c r="L2185" i="1"/>
  <c r="K2185" i="1"/>
  <c r="J2185" i="1"/>
  <c r="I2185" i="1"/>
  <c r="L2184" i="1"/>
  <c r="K2184" i="1"/>
  <c r="J2184" i="1"/>
  <c r="I2184" i="1"/>
  <c r="L2183" i="1"/>
  <c r="K2183" i="1"/>
  <c r="J2183" i="1"/>
  <c r="I2183" i="1"/>
  <c r="L2182" i="1"/>
  <c r="K2182" i="1"/>
  <c r="J2182" i="1"/>
  <c r="I2182" i="1"/>
  <c r="L2181" i="1"/>
  <c r="K2181" i="1"/>
  <c r="J2181" i="1"/>
  <c r="I2181" i="1"/>
  <c r="L2180" i="1"/>
  <c r="K2180" i="1"/>
  <c r="J2180" i="1"/>
  <c r="I2180" i="1"/>
  <c r="L2179" i="1"/>
  <c r="K2179" i="1"/>
  <c r="J2179" i="1"/>
  <c r="I2179" i="1"/>
  <c r="L2178" i="1"/>
  <c r="K2178" i="1"/>
  <c r="J2178" i="1"/>
  <c r="I2178" i="1"/>
  <c r="L2177" i="1"/>
  <c r="K2177" i="1"/>
  <c r="J2177" i="1"/>
  <c r="I2177" i="1"/>
  <c r="L2176" i="1"/>
  <c r="K2176" i="1"/>
  <c r="J2176" i="1"/>
  <c r="I2176" i="1"/>
  <c r="L2175" i="1"/>
  <c r="K2175" i="1"/>
  <c r="J2175" i="1"/>
  <c r="I2175" i="1"/>
  <c r="L2174" i="1"/>
  <c r="K2174" i="1"/>
  <c r="J2174" i="1"/>
  <c r="I2174" i="1"/>
  <c r="L2173" i="1"/>
  <c r="K2173" i="1"/>
  <c r="J2173" i="1"/>
  <c r="I2173" i="1"/>
  <c r="L2172" i="1"/>
  <c r="K2172" i="1"/>
  <c r="J2172" i="1"/>
  <c r="I2172" i="1"/>
  <c r="L2171" i="1"/>
  <c r="K2171" i="1"/>
  <c r="J2171" i="1"/>
  <c r="I2171" i="1"/>
  <c r="L2170" i="1"/>
  <c r="K2170" i="1"/>
  <c r="J2170" i="1"/>
  <c r="I2170" i="1"/>
  <c r="L2169" i="1"/>
  <c r="K2169" i="1"/>
  <c r="J2169" i="1"/>
  <c r="I2169" i="1"/>
  <c r="L2168" i="1"/>
  <c r="K2168" i="1"/>
  <c r="J2168" i="1"/>
  <c r="I2168" i="1"/>
  <c r="L2167" i="1"/>
  <c r="K2167" i="1"/>
  <c r="J2167" i="1"/>
  <c r="I2167" i="1"/>
  <c r="L2166" i="1"/>
  <c r="K2166" i="1"/>
  <c r="J2166" i="1"/>
  <c r="I2166" i="1"/>
  <c r="L2165" i="1"/>
  <c r="K2165" i="1"/>
  <c r="J2165" i="1"/>
  <c r="I2165" i="1"/>
  <c r="L2164" i="1"/>
  <c r="K2164" i="1"/>
  <c r="J2164" i="1"/>
  <c r="I2164" i="1"/>
  <c r="L2163" i="1"/>
  <c r="K2163" i="1"/>
  <c r="J2163" i="1"/>
  <c r="I2163" i="1"/>
  <c r="L2162" i="1"/>
  <c r="K2162" i="1"/>
  <c r="J2162" i="1"/>
  <c r="I2162" i="1"/>
  <c r="L2161" i="1"/>
  <c r="K2161" i="1"/>
  <c r="J2161" i="1"/>
  <c r="I2161" i="1"/>
  <c r="L2160" i="1"/>
  <c r="K2160" i="1"/>
  <c r="J2160" i="1"/>
  <c r="I2160" i="1"/>
  <c r="L2159" i="1"/>
  <c r="K2159" i="1"/>
  <c r="J2159" i="1"/>
  <c r="I2159" i="1"/>
  <c r="L2158" i="1"/>
  <c r="K2158" i="1"/>
  <c r="J2158" i="1"/>
  <c r="I2158" i="1"/>
  <c r="L2157" i="1"/>
  <c r="K2157" i="1"/>
  <c r="J2157" i="1"/>
  <c r="I2157" i="1"/>
  <c r="L2156" i="1"/>
  <c r="K2156" i="1"/>
  <c r="J2156" i="1"/>
  <c r="I2156" i="1"/>
  <c r="L2155" i="1"/>
  <c r="K2155" i="1"/>
  <c r="J2155" i="1"/>
  <c r="I2155" i="1"/>
  <c r="L2154" i="1"/>
  <c r="K2154" i="1"/>
  <c r="J2154" i="1"/>
  <c r="I2154" i="1"/>
  <c r="L2153" i="1"/>
  <c r="K2153" i="1"/>
  <c r="J2153" i="1"/>
  <c r="I2153" i="1"/>
  <c r="L2152" i="1"/>
  <c r="K2152" i="1"/>
  <c r="J2152" i="1"/>
  <c r="I2152" i="1"/>
  <c r="L2151" i="1"/>
  <c r="K2151" i="1"/>
  <c r="J2151" i="1"/>
  <c r="I2151" i="1"/>
  <c r="L2150" i="1"/>
  <c r="K2150" i="1"/>
  <c r="J2150" i="1"/>
  <c r="I2150" i="1"/>
  <c r="L2149" i="1"/>
  <c r="K2149" i="1"/>
  <c r="J2149" i="1"/>
  <c r="I2149" i="1"/>
  <c r="L2148" i="1"/>
  <c r="K2148" i="1"/>
  <c r="J2148" i="1"/>
  <c r="I2148" i="1"/>
  <c r="L2147" i="1"/>
  <c r="K2147" i="1"/>
  <c r="J2147" i="1"/>
  <c r="I2147" i="1"/>
  <c r="L2146" i="1"/>
  <c r="K2146" i="1"/>
  <c r="J2146" i="1"/>
  <c r="I2146" i="1"/>
  <c r="L2145" i="1"/>
  <c r="K2145" i="1"/>
  <c r="J2145" i="1"/>
  <c r="I2145" i="1"/>
  <c r="L2144" i="1"/>
  <c r="K2144" i="1"/>
  <c r="J2144" i="1"/>
  <c r="I2144" i="1"/>
  <c r="L2143" i="1"/>
  <c r="K2143" i="1"/>
  <c r="J2143" i="1"/>
  <c r="I2143" i="1"/>
  <c r="L2142" i="1"/>
  <c r="K2142" i="1"/>
  <c r="J2142" i="1"/>
  <c r="I2142" i="1"/>
  <c r="L2141" i="1"/>
  <c r="K2141" i="1"/>
  <c r="J2141" i="1"/>
  <c r="I2141" i="1"/>
  <c r="L2140" i="1"/>
  <c r="K2140" i="1"/>
  <c r="J2140" i="1"/>
  <c r="I2140" i="1"/>
  <c r="L2139" i="1"/>
  <c r="K2139" i="1"/>
  <c r="J2139" i="1"/>
  <c r="I2139" i="1"/>
  <c r="L2138" i="1"/>
  <c r="K2138" i="1"/>
  <c r="J2138" i="1"/>
  <c r="I2138" i="1"/>
  <c r="L2137" i="1"/>
  <c r="K2137" i="1"/>
  <c r="J2137" i="1"/>
  <c r="I2137" i="1"/>
  <c r="L2136" i="1"/>
  <c r="K2136" i="1"/>
  <c r="J2136" i="1"/>
  <c r="I2136" i="1"/>
  <c r="L2135" i="1"/>
  <c r="K2135" i="1"/>
  <c r="J2135" i="1"/>
  <c r="I2135" i="1"/>
  <c r="L2134" i="1"/>
  <c r="K2134" i="1"/>
  <c r="J2134" i="1"/>
  <c r="I2134" i="1"/>
  <c r="L2133" i="1"/>
  <c r="K2133" i="1"/>
  <c r="J2133" i="1"/>
  <c r="I2133" i="1"/>
  <c r="L2132" i="1"/>
  <c r="K2132" i="1"/>
  <c r="J2132" i="1"/>
  <c r="I2132" i="1"/>
  <c r="L2131" i="1"/>
  <c r="K2131" i="1"/>
  <c r="J2131" i="1"/>
  <c r="I2131" i="1"/>
  <c r="L2130" i="1"/>
  <c r="K2130" i="1"/>
  <c r="J2130" i="1"/>
  <c r="I2130" i="1"/>
  <c r="L2129" i="1"/>
  <c r="K2129" i="1"/>
  <c r="J2129" i="1"/>
  <c r="I2129" i="1"/>
  <c r="L2128" i="1"/>
  <c r="K2128" i="1"/>
  <c r="J2128" i="1"/>
  <c r="I2128" i="1"/>
  <c r="L2127" i="1"/>
  <c r="K2127" i="1"/>
  <c r="J2127" i="1"/>
  <c r="I2127" i="1"/>
  <c r="L2126" i="1"/>
  <c r="K2126" i="1"/>
  <c r="J2126" i="1"/>
  <c r="I2126" i="1"/>
  <c r="L2125" i="1"/>
  <c r="K2125" i="1"/>
  <c r="J2125" i="1"/>
  <c r="I2125" i="1"/>
  <c r="L2124" i="1"/>
  <c r="K2124" i="1"/>
  <c r="J2124" i="1"/>
  <c r="I2124" i="1"/>
  <c r="L2123" i="1"/>
  <c r="K2123" i="1"/>
  <c r="J2123" i="1"/>
  <c r="I2123" i="1"/>
  <c r="L2122" i="1"/>
  <c r="K2122" i="1"/>
  <c r="J2122" i="1"/>
  <c r="I2122" i="1"/>
  <c r="L2121" i="1"/>
  <c r="K2121" i="1"/>
  <c r="J2121" i="1"/>
  <c r="I2121" i="1"/>
  <c r="L2120" i="1"/>
  <c r="K2120" i="1"/>
  <c r="J2120" i="1"/>
  <c r="I2120" i="1"/>
  <c r="L2119" i="1"/>
  <c r="K2119" i="1"/>
  <c r="J2119" i="1"/>
  <c r="I2119" i="1"/>
  <c r="L2118" i="1"/>
  <c r="K2118" i="1"/>
  <c r="J2118" i="1"/>
  <c r="I2118" i="1"/>
  <c r="L2117" i="1"/>
  <c r="K2117" i="1"/>
  <c r="J2117" i="1"/>
  <c r="I2117" i="1"/>
  <c r="L2116" i="1"/>
  <c r="K2116" i="1"/>
  <c r="J2116" i="1"/>
  <c r="I2116" i="1"/>
  <c r="L2115" i="1"/>
  <c r="K2115" i="1"/>
  <c r="J2115" i="1"/>
  <c r="I2115" i="1"/>
  <c r="L2114" i="1"/>
  <c r="K2114" i="1"/>
  <c r="J2114" i="1"/>
  <c r="I2114" i="1"/>
  <c r="L2113" i="1"/>
  <c r="K2113" i="1"/>
  <c r="J2113" i="1"/>
  <c r="I2113" i="1"/>
  <c r="L2112" i="1"/>
  <c r="K2112" i="1"/>
  <c r="J2112" i="1"/>
  <c r="I2112" i="1"/>
  <c r="L2111" i="1"/>
  <c r="K2111" i="1"/>
  <c r="J2111" i="1"/>
  <c r="I2111" i="1"/>
  <c r="L2110" i="1"/>
  <c r="K2110" i="1"/>
  <c r="J2110" i="1"/>
  <c r="I2110" i="1"/>
  <c r="L2109" i="1"/>
  <c r="K2109" i="1"/>
  <c r="J2109" i="1"/>
  <c r="I2109" i="1"/>
  <c r="L2108" i="1"/>
  <c r="K2108" i="1"/>
  <c r="J2108" i="1"/>
  <c r="I2108" i="1"/>
  <c r="L2107" i="1"/>
  <c r="K2107" i="1"/>
  <c r="J2107" i="1"/>
  <c r="I2107" i="1"/>
  <c r="L2106" i="1"/>
  <c r="K2106" i="1"/>
  <c r="J2106" i="1"/>
  <c r="I2106" i="1"/>
  <c r="L2105" i="1"/>
  <c r="K2105" i="1"/>
  <c r="J2105" i="1"/>
  <c r="I2105" i="1"/>
  <c r="L2104" i="1"/>
  <c r="K2104" i="1"/>
  <c r="J2104" i="1"/>
  <c r="I2104" i="1"/>
  <c r="L2103" i="1"/>
  <c r="K2103" i="1"/>
  <c r="J2103" i="1"/>
  <c r="I2103" i="1"/>
  <c r="L2102" i="1"/>
  <c r="K2102" i="1"/>
  <c r="J2102" i="1"/>
  <c r="I2102" i="1"/>
  <c r="L2101" i="1"/>
  <c r="K2101" i="1"/>
  <c r="J2101" i="1"/>
  <c r="I2101" i="1"/>
  <c r="L2100" i="1"/>
  <c r="K2100" i="1"/>
  <c r="J2100" i="1"/>
  <c r="I2100" i="1"/>
  <c r="L2099" i="1"/>
  <c r="K2099" i="1"/>
  <c r="J2099" i="1"/>
  <c r="I2099" i="1"/>
  <c r="L2098" i="1"/>
  <c r="K2098" i="1"/>
  <c r="J2098" i="1"/>
  <c r="I2098" i="1"/>
  <c r="L2097" i="1"/>
  <c r="K2097" i="1"/>
  <c r="J2097" i="1"/>
  <c r="I2097" i="1"/>
  <c r="L2096" i="1"/>
  <c r="K2096" i="1"/>
  <c r="J2096" i="1"/>
  <c r="I2096" i="1"/>
  <c r="L2095" i="1"/>
  <c r="K2095" i="1"/>
  <c r="J2095" i="1"/>
  <c r="I2095" i="1"/>
  <c r="L2094" i="1"/>
  <c r="K2094" i="1"/>
  <c r="J2094" i="1"/>
  <c r="I2094" i="1"/>
  <c r="L2093" i="1"/>
  <c r="K2093" i="1"/>
  <c r="J2093" i="1"/>
  <c r="I2093" i="1"/>
  <c r="L2092" i="1"/>
  <c r="K2092" i="1"/>
  <c r="J2092" i="1"/>
  <c r="I2092" i="1"/>
  <c r="L2091" i="1"/>
  <c r="K2091" i="1"/>
  <c r="J2091" i="1"/>
  <c r="I2091" i="1"/>
  <c r="L2090" i="1"/>
  <c r="K2090" i="1"/>
  <c r="J2090" i="1"/>
  <c r="I2090" i="1"/>
  <c r="L2089" i="1"/>
  <c r="K2089" i="1"/>
  <c r="J2089" i="1"/>
  <c r="I2089" i="1"/>
  <c r="L2088" i="1"/>
  <c r="K2088" i="1"/>
  <c r="J2088" i="1"/>
  <c r="I2088" i="1"/>
  <c r="L2087" i="1"/>
  <c r="K2087" i="1"/>
  <c r="J2087" i="1"/>
  <c r="I2087" i="1"/>
  <c r="L2086" i="1"/>
  <c r="K2086" i="1"/>
  <c r="J2086" i="1"/>
  <c r="I2086" i="1"/>
  <c r="L2085" i="1"/>
  <c r="K2085" i="1"/>
  <c r="J2085" i="1"/>
  <c r="I2085" i="1"/>
  <c r="L2084" i="1"/>
  <c r="K2084" i="1"/>
  <c r="J2084" i="1"/>
  <c r="I2084" i="1"/>
  <c r="L2083" i="1"/>
  <c r="K2083" i="1"/>
  <c r="J2083" i="1"/>
  <c r="I2083" i="1"/>
  <c r="L2082" i="1"/>
  <c r="K2082" i="1"/>
  <c r="J2082" i="1"/>
  <c r="I2082" i="1"/>
  <c r="L2081" i="1"/>
  <c r="K2081" i="1"/>
  <c r="J2081" i="1"/>
  <c r="I2081" i="1"/>
  <c r="L2080" i="1"/>
  <c r="K2080" i="1"/>
  <c r="J2080" i="1"/>
  <c r="I2080" i="1"/>
  <c r="L2079" i="1"/>
  <c r="K2079" i="1"/>
  <c r="J2079" i="1"/>
  <c r="I2079" i="1"/>
  <c r="L2078" i="1"/>
  <c r="K2078" i="1"/>
  <c r="J2078" i="1"/>
  <c r="I2078" i="1"/>
  <c r="L2077" i="1"/>
  <c r="K2077" i="1"/>
  <c r="J2077" i="1"/>
  <c r="I2077" i="1"/>
  <c r="L2076" i="1"/>
  <c r="K2076" i="1"/>
  <c r="J2076" i="1"/>
  <c r="I2076" i="1"/>
  <c r="L2075" i="1"/>
  <c r="K2075" i="1"/>
  <c r="J2075" i="1"/>
  <c r="I2075" i="1"/>
  <c r="L2074" i="1"/>
  <c r="K2074" i="1"/>
  <c r="J2074" i="1"/>
  <c r="I2074" i="1"/>
  <c r="L2073" i="1"/>
  <c r="K2073" i="1"/>
  <c r="J2073" i="1"/>
  <c r="I2073" i="1"/>
  <c r="L2072" i="1"/>
  <c r="K2072" i="1"/>
  <c r="J2072" i="1"/>
  <c r="I2072" i="1"/>
  <c r="L2071" i="1"/>
  <c r="K2071" i="1"/>
  <c r="J2071" i="1"/>
  <c r="I2071" i="1"/>
  <c r="L2070" i="1"/>
  <c r="K2070" i="1"/>
  <c r="J2070" i="1"/>
  <c r="I2070" i="1"/>
  <c r="L2069" i="1"/>
  <c r="K2069" i="1"/>
  <c r="J2069" i="1"/>
  <c r="I2069" i="1"/>
  <c r="L2068" i="1"/>
  <c r="K2068" i="1"/>
  <c r="J2068" i="1"/>
  <c r="I2068" i="1"/>
  <c r="L2067" i="1"/>
  <c r="K2067" i="1"/>
  <c r="J2067" i="1"/>
  <c r="I2067" i="1"/>
  <c r="L2066" i="1"/>
  <c r="K2066" i="1"/>
  <c r="J2066" i="1"/>
  <c r="I2066" i="1"/>
  <c r="L2065" i="1"/>
  <c r="K2065" i="1"/>
  <c r="J2065" i="1"/>
  <c r="I2065" i="1"/>
  <c r="L2064" i="1"/>
  <c r="K2064" i="1"/>
  <c r="J2064" i="1"/>
  <c r="I2064" i="1"/>
  <c r="L2063" i="1"/>
  <c r="K2063" i="1"/>
  <c r="J2063" i="1"/>
  <c r="I2063" i="1"/>
  <c r="L2062" i="1"/>
  <c r="K2062" i="1"/>
  <c r="J2062" i="1"/>
  <c r="I2062" i="1"/>
  <c r="L2061" i="1"/>
  <c r="K2061" i="1"/>
  <c r="J2061" i="1"/>
  <c r="I2061" i="1"/>
  <c r="L2060" i="1"/>
  <c r="K2060" i="1"/>
  <c r="J2060" i="1"/>
  <c r="I2060" i="1"/>
  <c r="L2059" i="1"/>
  <c r="K2059" i="1"/>
  <c r="J2059" i="1"/>
  <c r="I2059" i="1"/>
  <c r="L2058" i="1"/>
  <c r="K2058" i="1"/>
  <c r="J2058" i="1"/>
  <c r="I2058" i="1"/>
  <c r="L2057" i="1"/>
  <c r="K2057" i="1"/>
  <c r="J2057" i="1"/>
  <c r="I2057" i="1"/>
  <c r="L2056" i="1"/>
  <c r="K2056" i="1"/>
  <c r="J2056" i="1"/>
  <c r="I2056" i="1"/>
  <c r="L2055" i="1"/>
  <c r="K2055" i="1"/>
  <c r="J2055" i="1"/>
  <c r="I2055" i="1"/>
  <c r="L2054" i="1"/>
  <c r="K2054" i="1"/>
  <c r="J2054" i="1"/>
  <c r="I2054" i="1"/>
  <c r="L2053" i="1"/>
  <c r="K2053" i="1"/>
  <c r="J2053" i="1"/>
  <c r="I2053" i="1"/>
  <c r="L2052" i="1"/>
  <c r="K2052" i="1"/>
  <c r="J2052" i="1"/>
  <c r="I2052" i="1"/>
  <c r="L2051" i="1"/>
  <c r="K2051" i="1"/>
  <c r="J2051" i="1"/>
  <c r="I2051" i="1"/>
  <c r="L2050" i="1"/>
  <c r="K2050" i="1"/>
  <c r="J2050" i="1"/>
  <c r="I2050" i="1"/>
  <c r="L2049" i="1"/>
  <c r="K2049" i="1"/>
  <c r="J2049" i="1"/>
  <c r="I2049" i="1"/>
  <c r="L2048" i="1"/>
  <c r="K2048" i="1"/>
  <c r="J2048" i="1"/>
  <c r="I2048" i="1"/>
  <c r="L2047" i="1"/>
  <c r="K2047" i="1"/>
  <c r="J2047" i="1"/>
  <c r="I2047" i="1"/>
  <c r="L2046" i="1"/>
  <c r="K2046" i="1"/>
  <c r="J2046" i="1"/>
  <c r="I2046" i="1"/>
  <c r="L2045" i="1"/>
  <c r="K2045" i="1"/>
  <c r="J2045" i="1"/>
  <c r="I2045" i="1"/>
  <c r="L2044" i="1"/>
  <c r="K2044" i="1"/>
  <c r="J2044" i="1"/>
  <c r="I2044" i="1"/>
  <c r="L2043" i="1"/>
  <c r="K2043" i="1"/>
  <c r="J2043" i="1"/>
  <c r="I2043" i="1"/>
  <c r="L2042" i="1"/>
  <c r="K2042" i="1"/>
  <c r="J2042" i="1"/>
  <c r="I2042" i="1"/>
  <c r="L2041" i="1"/>
  <c r="K2041" i="1"/>
  <c r="J2041" i="1"/>
  <c r="I2041" i="1"/>
  <c r="L2040" i="1"/>
  <c r="K2040" i="1"/>
  <c r="J2040" i="1"/>
  <c r="I2040" i="1"/>
  <c r="L2039" i="1"/>
  <c r="K2039" i="1"/>
  <c r="J2039" i="1"/>
  <c r="I2039" i="1"/>
  <c r="L2038" i="1"/>
  <c r="K2038" i="1"/>
  <c r="J2038" i="1"/>
  <c r="I2038" i="1"/>
  <c r="L2037" i="1"/>
  <c r="K2037" i="1"/>
  <c r="J2037" i="1"/>
  <c r="I2037" i="1"/>
  <c r="L2036" i="1"/>
  <c r="K2036" i="1"/>
  <c r="J2036" i="1"/>
  <c r="I2036" i="1"/>
  <c r="L2035" i="1"/>
  <c r="K2035" i="1"/>
  <c r="J2035" i="1"/>
  <c r="I2035" i="1"/>
  <c r="L2034" i="1"/>
  <c r="K2034" i="1"/>
  <c r="J2034" i="1"/>
  <c r="I2034" i="1"/>
  <c r="L2033" i="1"/>
  <c r="K2033" i="1"/>
  <c r="J2033" i="1"/>
  <c r="I2033" i="1"/>
  <c r="L2032" i="1"/>
  <c r="K2032" i="1"/>
  <c r="J2032" i="1"/>
  <c r="I2032" i="1"/>
  <c r="L2031" i="1"/>
  <c r="K2031" i="1"/>
  <c r="J2031" i="1"/>
  <c r="I2031" i="1"/>
  <c r="L2030" i="1"/>
  <c r="K2030" i="1"/>
  <c r="J2030" i="1"/>
  <c r="I2030" i="1"/>
  <c r="L2029" i="1"/>
  <c r="K2029" i="1"/>
  <c r="J2029" i="1"/>
  <c r="I2029" i="1"/>
  <c r="L2028" i="1"/>
  <c r="K2028" i="1"/>
  <c r="J2028" i="1"/>
  <c r="I2028" i="1"/>
  <c r="L2027" i="1"/>
  <c r="K2027" i="1"/>
  <c r="J2027" i="1"/>
  <c r="I2027" i="1"/>
  <c r="L2026" i="1"/>
  <c r="K2026" i="1"/>
  <c r="J2026" i="1"/>
  <c r="I2026" i="1"/>
  <c r="L2025" i="1"/>
  <c r="K2025" i="1"/>
  <c r="J2025" i="1"/>
  <c r="I2025" i="1"/>
  <c r="L2024" i="1"/>
  <c r="K2024" i="1"/>
  <c r="J2024" i="1"/>
  <c r="I2024" i="1"/>
  <c r="L2023" i="1"/>
  <c r="K2023" i="1"/>
  <c r="J2023" i="1"/>
  <c r="I2023" i="1"/>
  <c r="L2022" i="1"/>
  <c r="K2022" i="1"/>
  <c r="J2022" i="1"/>
  <c r="I2022" i="1"/>
  <c r="L2021" i="1"/>
  <c r="K2021" i="1"/>
  <c r="J2021" i="1"/>
  <c r="I2021" i="1"/>
  <c r="L2020" i="1"/>
  <c r="K2020" i="1"/>
  <c r="J2020" i="1"/>
  <c r="I2020" i="1"/>
  <c r="L2019" i="1"/>
  <c r="K2019" i="1"/>
  <c r="J2019" i="1"/>
  <c r="I2019" i="1"/>
  <c r="L2018" i="1"/>
  <c r="K2018" i="1"/>
  <c r="J2018" i="1"/>
  <c r="I2018" i="1"/>
  <c r="L2017" i="1"/>
  <c r="K2017" i="1"/>
  <c r="J2017" i="1"/>
  <c r="I2017" i="1"/>
  <c r="L2016" i="1"/>
  <c r="K2016" i="1"/>
  <c r="J2016" i="1"/>
  <c r="I2016" i="1"/>
  <c r="L2015" i="1"/>
  <c r="K2015" i="1"/>
  <c r="J2015" i="1"/>
  <c r="I2015" i="1"/>
  <c r="L2014" i="1"/>
  <c r="K2014" i="1"/>
  <c r="J2014" i="1"/>
  <c r="I2014" i="1"/>
  <c r="L2013" i="1"/>
  <c r="K2013" i="1"/>
  <c r="J2013" i="1"/>
  <c r="I2013" i="1"/>
  <c r="L2012" i="1"/>
  <c r="K2012" i="1"/>
  <c r="J2012" i="1"/>
  <c r="I2012" i="1"/>
  <c r="L2011" i="1"/>
  <c r="K2011" i="1"/>
  <c r="J2011" i="1"/>
  <c r="I2011" i="1"/>
  <c r="L2010" i="1"/>
  <c r="K2010" i="1"/>
  <c r="J2010" i="1"/>
  <c r="I2010" i="1"/>
  <c r="L2009" i="1"/>
  <c r="K2009" i="1"/>
  <c r="J2009" i="1"/>
  <c r="I2009" i="1"/>
  <c r="L2008" i="1"/>
  <c r="K2008" i="1"/>
  <c r="J2008" i="1"/>
  <c r="I2008" i="1"/>
  <c r="L2007" i="1"/>
  <c r="K2007" i="1"/>
  <c r="J2007" i="1"/>
  <c r="I2007" i="1"/>
  <c r="L2006" i="1"/>
  <c r="K2006" i="1"/>
  <c r="J2006" i="1"/>
  <c r="I2006" i="1"/>
  <c r="L2005" i="1"/>
  <c r="K2005" i="1"/>
  <c r="J2005" i="1"/>
  <c r="I2005" i="1"/>
  <c r="L2004" i="1"/>
  <c r="K2004" i="1"/>
  <c r="J2004" i="1"/>
  <c r="I2004" i="1"/>
  <c r="L2003" i="1"/>
  <c r="K2003" i="1"/>
  <c r="J2003" i="1"/>
  <c r="I2003" i="1"/>
  <c r="L2002" i="1"/>
  <c r="K2002" i="1"/>
  <c r="J2002" i="1"/>
  <c r="I2002" i="1"/>
  <c r="L2001" i="1"/>
  <c r="K2001" i="1"/>
  <c r="J2001" i="1"/>
  <c r="I2001" i="1"/>
  <c r="L2000" i="1"/>
  <c r="K2000" i="1"/>
  <c r="J2000" i="1"/>
  <c r="I2000" i="1"/>
  <c r="L1999" i="1"/>
  <c r="K1999" i="1"/>
  <c r="J1999" i="1"/>
  <c r="I1999" i="1"/>
  <c r="L1998" i="1"/>
  <c r="K1998" i="1"/>
  <c r="J1998" i="1"/>
  <c r="I1998" i="1"/>
  <c r="L1997" i="1"/>
  <c r="K1997" i="1"/>
  <c r="J1997" i="1"/>
  <c r="I1997" i="1"/>
  <c r="L1996" i="1"/>
  <c r="K1996" i="1"/>
  <c r="J1996" i="1"/>
  <c r="I1996" i="1"/>
  <c r="L1995" i="1"/>
  <c r="K1995" i="1"/>
  <c r="J1995" i="1"/>
  <c r="I1995" i="1"/>
  <c r="L1994" i="1"/>
  <c r="K1994" i="1"/>
  <c r="J1994" i="1"/>
  <c r="I1994" i="1"/>
  <c r="L1993" i="1"/>
  <c r="K1993" i="1"/>
  <c r="J1993" i="1"/>
  <c r="I1993" i="1"/>
  <c r="L1992" i="1"/>
  <c r="K1992" i="1"/>
  <c r="J1992" i="1"/>
  <c r="I1992" i="1"/>
  <c r="L1991" i="1"/>
  <c r="K1991" i="1"/>
  <c r="J1991" i="1"/>
  <c r="I1991" i="1"/>
  <c r="L1990" i="1"/>
  <c r="K1990" i="1"/>
  <c r="J1990" i="1"/>
  <c r="I1990" i="1"/>
  <c r="L1989" i="1"/>
  <c r="K1989" i="1"/>
  <c r="J1989" i="1"/>
  <c r="I1989" i="1"/>
  <c r="L1988" i="1"/>
  <c r="K1988" i="1"/>
  <c r="J1988" i="1"/>
  <c r="I1988" i="1"/>
  <c r="L1987" i="1"/>
  <c r="K1987" i="1"/>
  <c r="J1987" i="1"/>
  <c r="I1987" i="1"/>
  <c r="L1986" i="1"/>
  <c r="K1986" i="1"/>
  <c r="J1986" i="1"/>
  <c r="I1986" i="1"/>
  <c r="L1985" i="1"/>
  <c r="K1985" i="1"/>
  <c r="J1985" i="1"/>
  <c r="I1985" i="1"/>
  <c r="L1984" i="1"/>
  <c r="K1984" i="1"/>
  <c r="J1984" i="1"/>
  <c r="I1984" i="1"/>
  <c r="L1983" i="1"/>
  <c r="K1983" i="1"/>
  <c r="J1983" i="1"/>
  <c r="I1983" i="1"/>
  <c r="L1982" i="1"/>
  <c r="K1982" i="1"/>
  <c r="J1982" i="1"/>
  <c r="I1982" i="1"/>
  <c r="L1981" i="1"/>
  <c r="K1981" i="1"/>
  <c r="J1981" i="1"/>
  <c r="I1981" i="1"/>
  <c r="L1980" i="1"/>
  <c r="K1980" i="1"/>
  <c r="J1980" i="1"/>
  <c r="I1980" i="1"/>
  <c r="L1979" i="1"/>
  <c r="K1979" i="1"/>
  <c r="J1979" i="1"/>
  <c r="I1979" i="1"/>
  <c r="L1978" i="1"/>
  <c r="K1978" i="1"/>
  <c r="J1978" i="1"/>
  <c r="I1978" i="1"/>
  <c r="L1977" i="1"/>
  <c r="K1977" i="1"/>
  <c r="J1977" i="1"/>
  <c r="I1977" i="1"/>
  <c r="L1976" i="1"/>
  <c r="K1976" i="1"/>
  <c r="J1976" i="1"/>
  <c r="I1976" i="1"/>
  <c r="L1975" i="1"/>
  <c r="K1975" i="1"/>
  <c r="J1975" i="1"/>
  <c r="I1975" i="1"/>
  <c r="L1974" i="1"/>
  <c r="K1974" i="1"/>
  <c r="J1974" i="1"/>
  <c r="I1974" i="1"/>
  <c r="L1973" i="1"/>
  <c r="K1973" i="1"/>
  <c r="J1973" i="1"/>
  <c r="I1973" i="1"/>
  <c r="L1972" i="1"/>
  <c r="K1972" i="1"/>
  <c r="J1972" i="1"/>
  <c r="I1972" i="1"/>
  <c r="L1971" i="1"/>
  <c r="K1971" i="1"/>
  <c r="J1971" i="1"/>
  <c r="I1971" i="1"/>
  <c r="L1970" i="1"/>
  <c r="K1970" i="1"/>
  <c r="J1970" i="1"/>
  <c r="I1970" i="1"/>
  <c r="L1969" i="1"/>
  <c r="K1969" i="1"/>
  <c r="J1969" i="1"/>
  <c r="I1969" i="1"/>
  <c r="L1968" i="1"/>
  <c r="K1968" i="1"/>
  <c r="J1968" i="1"/>
  <c r="I1968" i="1"/>
  <c r="L1967" i="1"/>
  <c r="K1967" i="1"/>
  <c r="J1967" i="1"/>
  <c r="I1967" i="1"/>
  <c r="L1966" i="1"/>
  <c r="K1966" i="1"/>
  <c r="J1966" i="1"/>
  <c r="I1966" i="1"/>
  <c r="L1965" i="1"/>
  <c r="K1965" i="1"/>
  <c r="J1965" i="1"/>
  <c r="I1965" i="1"/>
  <c r="L1964" i="1"/>
  <c r="K1964" i="1"/>
  <c r="J1964" i="1"/>
  <c r="I1964" i="1"/>
  <c r="L1963" i="1"/>
  <c r="K1963" i="1"/>
  <c r="J1963" i="1"/>
  <c r="I1963" i="1"/>
  <c r="L1962" i="1"/>
  <c r="K1962" i="1"/>
  <c r="J1962" i="1"/>
  <c r="I1962" i="1"/>
  <c r="L1961" i="1"/>
  <c r="K1961" i="1"/>
  <c r="J1961" i="1"/>
  <c r="I1961" i="1"/>
  <c r="L1960" i="1"/>
  <c r="K1960" i="1"/>
  <c r="J1960" i="1"/>
  <c r="I1960" i="1"/>
  <c r="L1959" i="1"/>
  <c r="K1959" i="1"/>
  <c r="J1959" i="1"/>
  <c r="I1959" i="1"/>
  <c r="L1958" i="1"/>
  <c r="K1958" i="1"/>
  <c r="J1958" i="1"/>
  <c r="I1958" i="1"/>
  <c r="L1957" i="1"/>
  <c r="K1957" i="1"/>
  <c r="J1957" i="1"/>
  <c r="I1957" i="1"/>
  <c r="L1956" i="1"/>
  <c r="K1956" i="1"/>
  <c r="J1956" i="1"/>
  <c r="I1956" i="1"/>
  <c r="L1955" i="1"/>
  <c r="K1955" i="1"/>
  <c r="J1955" i="1"/>
  <c r="I1955" i="1"/>
  <c r="L1954" i="1"/>
  <c r="K1954" i="1"/>
  <c r="J1954" i="1"/>
  <c r="I1954" i="1"/>
  <c r="L1953" i="1"/>
  <c r="K1953" i="1"/>
  <c r="J1953" i="1"/>
  <c r="I1953" i="1"/>
  <c r="L1952" i="1"/>
  <c r="K1952" i="1"/>
  <c r="J1952" i="1"/>
  <c r="I1952" i="1"/>
  <c r="L1951" i="1"/>
  <c r="K1951" i="1"/>
  <c r="J1951" i="1"/>
  <c r="I1951" i="1"/>
  <c r="L1950" i="1"/>
  <c r="K1950" i="1"/>
  <c r="J1950" i="1"/>
  <c r="I1950" i="1"/>
  <c r="L1949" i="1"/>
  <c r="K1949" i="1"/>
  <c r="J1949" i="1"/>
  <c r="I1949" i="1"/>
  <c r="L1948" i="1"/>
  <c r="K1948" i="1"/>
  <c r="J1948" i="1"/>
  <c r="I1948" i="1"/>
  <c r="L1947" i="1"/>
  <c r="K1947" i="1"/>
  <c r="J1947" i="1"/>
  <c r="I1947" i="1"/>
  <c r="L1946" i="1"/>
  <c r="K1946" i="1"/>
  <c r="J1946" i="1"/>
  <c r="I1946" i="1"/>
  <c r="L1945" i="1"/>
  <c r="K1945" i="1"/>
  <c r="J1945" i="1"/>
  <c r="I1945" i="1"/>
  <c r="L1944" i="1"/>
  <c r="K1944" i="1"/>
  <c r="J1944" i="1"/>
  <c r="I1944" i="1"/>
  <c r="L1943" i="1"/>
  <c r="K1943" i="1"/>
  <c r="J1943" i="1"/>
  <c r="I1943" i="1"/>
  <c r="L1942" i="1"/>
  <c r="K1942" i="1"/>
  <c r="J1942" i="1"/>
  <c r="I1942" i="1"/>
  <c r="L1941" i="1"/>
  <c r="K1941" i="1"/>
  <c r="J1941" i="1"/>
  <c r="I1941" i="1"/>
  <c r="L1940" i="1"/>
  <c r="K1940" i="1"/>
  <c r="J1940" i="1"/>
  <c r="I1940" i="1"/>
  <c r="L1939" i="1"/>
  <c r="K1939" i="1"/>
  <c r="J1939" i="1"/>
  <c r="I1939" i="1"/>
  <c r="L1938" i="1"/>
  <c r="K1938" i="1"/>
  <c r="J1938" i="1"/>
  <c r="I1938" i="1"/>
  <c r="L1937" i="1"/>
  <c r="K1937" i="1"/>
  <c r="J1937" i="1"/>
  <c r="I1937" i="1"/>
  <c r="L1936" i="1"/>
  <c r="K1936" i="1"/>
  <c r="J1936" i="1"/>
  <c r="I1936" i="1"/>
  <c r="L1935" i="1"/>
  <c r="K1935" i="1"/>
  <c r="J1935" i="1"/>
  <c r="I1935" i="1"/>
  <c r="L1934" i="1"/>
  <c r="K1934" i="1"/>
  <c r="J1934" i="1"/>
  <c r="I1934" i="1"/>
  <c r="L1933" i="1"/>
  <c r="K1933" i="1"/>
  <c r="J1933" i="1"/>
  <c r="I1933" i="1"/>
  <c r="L1932" i="1"/>
  <c r="K1932" i="1"/>
  <c r="J1932" i="1"/>
  <c r="I1932" i="1"/>
  <c r="L1931" i="1"/>
  <c r="K1931" i="1"/>
  <c r="J1931" i="1"/>
  <c r="I1931" i="1"/>
  <c r="L1930" i="1"/>
  <c r="K1930" i="1"/>
  <c r="J1930" i="1"/>
  <c r="I1930" i="1"/>
  <c r="L1929" i="1"/>
  <c r="K1929" i="1"/>
  <c r="J1929" i="1"/>
  <c r="I1929" i="1"/>
  <c r="L1928" i="1"/>
  <c r="K1928" i="1"/>
  <c r="J1928" i="1"/>
  <c r="I1928" i="1"/>
  <c r="L1927" i="1"/>
  <c r="K1927" i="1"/>
  <c r="J1927" i="1"/>
  <c r="I1927" i="1"/>
  <c r="L1926" i="1"/>
  <c r="K1926" i="1"/>
  <c r="J1926" i="1"/>
  <c r="I1926" i="1"/>
  <c r="L1925" i="1"/>
  <c r="K1925" i="1"/>
  <c r="J1925" i="1"/>
  <c r="I1925" i="1"/>
  <c r="L1924" i="1"/>
  <c r="K1924" i="1"/>
  <c r="J1924" i="1"/>
  <c r="I1924" i="1"/>
  <c r="L1923" i="1"/>
  <c r="K1923" i="1"/>
  <c r="J1923" i="1"/>
  <c r="I1923" i="1"/>
  <c r="L1922" i="1"/>
  <c r="K1922" i="1"/>
  <c r="J1922" i="1"/>
  <c r="I1922" i="1"/>
  <c r="L1921" i="1"/>
  <c r="K1921" i="1"/>
  <c r="J1921" i="1"/>
  <c r="I1921" i="1"/>
  <c r="L1920" i="1"/>
  <c r="K1920" i="1"/>
  <c r="J1920" i="1"/>
  <c r="I1920" i="1"/>
  <c r="L1919" i="1"/>
  <c r="K1919" i="1"/>
  <c r="J1919" i="1"/>
  <c r="I1919" i="1"/>
  <c r="L1918" i="1"/>
  <c r="K1918" i="1"/>
  <c r="J1918" i="1"/>
  <c r="I1918" i="1"/>
  <c r="L1917" i="1"/>
  <c r="K1917" i="1"/>
  <c r="J1917" i="1"/>
  <c r="I1917" i="1"/>
  <c r="L1916" i="1"/>
  <c r="K1916" i="1"/>
  <c r="J1916" i="1"/>
  <c r="I1916" i="1"/>
  <c r="L1915" i="1"/>
  <c r="K1915" i="1"/>
  <c r="J1915" i="1"/>
  <c r="I1915" i="1"/>
  <c r="L1914" i="1"/>
  <c r="K1914" i="1"/>
  <c r="J1914" i="1"/>
  <c r="I1914" i="1"/>
  <c r="L1913" i="1"/>
  <c r="K1913" i="1"/>
  <c r="J1913" i="1"/>
  <c r="I1913" i="1"/>
  <c r="L1912" i="1"/>
  <c r="K1912" i="1"/>
  <c r="J1912" i="1"/>
  <c r="I1912" i="1"/>
  <c r="L1911" i="1"/>
  <c r="K1911" i="1"/>
  <c r="J1911" i="1"/>
  <c r="I1911" i="1"/>
  <c r="L1910" i="1"/>
  <c r="K1910" i="1"/>
  <c r="J1910" i="1"/>
  <c r="I1910" i="1"/>
  <c r="L1909" i="1"/>
  <c r="K1909" i="1"/>
  <c r="J1909" i="1"/>
  <c r="I1909" i="1"/>
  <c r="L1908" i="1"/>
  <c r="K1908" i="1"/>
  <c r="J1908" i="1"/>
  <c r="I1908" i="1"/>
  <c r="L1907" i="1"/>
  <c r="K1907" i="1"/>
  <c r="J1907" i="1"/>
  <c r="I1907" i="1"/>
  <c r="L1906" i="1"/>
  <c r="K1906" i="1"/>
  <c r="J1906" i="1"/>
  <c r="I1906" i="1"/>
  <c r="L1905" i="1"/>
  <c r="K1905" i="1"/>
  <c r="J1905" i="1"/>
  <c r="I1905" i="1"/>
  <c r="L1904" i="1"/>
  <c r="K1904" i="1"/>
  <c r="J1904" i="1"/>
  <c r="I1904" i="1"/>
  <c r="L1903" i="1"/>
  <c r="K1903" i="1"/>
  <c r="J1903" i="1"/>
  <c r="I1903" i="1"/>
  <c r="L1902" i="1"/>
  <c r="K1902" i="1"/>
  <c r="J1902" i="1"/>
  <c r="I1902" i="1"/>
  <c r="L1901" i="1"/>
  <c r="K1901" i="1"/>
  <c r="J1901" i="1"/>
  <c r="I1901" i="1"/>
  <c r="L1900" i="1"/>
  <c r="K1900" i="1"/>
  <c r="J1900" i="1"/>
  <c r="I1900" i="1"/>
  <c r="L1899" i="1"/>
  <c r="K1899" i="1"/>
  <c r="J1899" i="1"/>
  <c r="I1899" i="1"/>
  <c r="L1898" i="1"/>
  <c r="K1898" i="1"/>
  <c r="J1898" i="1"/>
  <c r="I1898" i="1"/>
  <c r="L1897" i="1"/>
  <c r="K1897" i="1"/>
  <c r="J1897" i="1"/>
  <c r="I1897" i="1"/>
  <c r="L1896" i="1"/>
  <c r="K1896" i="1"/>
  <c r="J1896" i="1"/>
  <c r="I1896" i="1"/>
  <c r="L1895" i="1"/>
  <c r="K1895" i="1"/>
  <c r="J1895" i="1"/>
  <c r="I1895" i="1"/>
  <c r="L1894" i="1"/>
  <c r="K1894" i="1"/>
  <c r="J1894" i="1"/>
  <c r="I1894" i="1"/>
  <c r="L1893" i="1"/>
  <c r="K1893" i="1"/>
  <c r="J1893" i="1"/>
  <c r="I1893" i="1"/>
  <c r="L1892" i="1"/>
  <c r="K1892" i="1"/>
  <c r="J1892" i="1"/>
  <c r="I1892" i="1"/>
  <c r="L1891" i="1"/>
  <c r="K1891" i="1"/>
  <c r="J1891" i="1"/>
  <c r="I1891" i="1"/>
  <c r="L1890" i="1"/>
  <c r="K1890" i="1"/>
  <c r="J1890" i="1"/>
  <c r="I1890" i="1"/>
  <c r="L1889" i="1"/>
  <c r="K1889" i="1"/>
  <c r="J1889" i="1"/>
  <c r="I1889" i="1"/>
  <c r="L1888" i="1"/>
  <c r="K1888" i="1"/>
  <c r="J1888" i="1"/>
  <c r="I1888" i="1"/>
  <c r="L1887" i="1"/>
  <c r="K1887" i="1"/>
  <c r="J1887" i="1"/>
  <c r="I1887" i="1"/>
  <c r="L1886" i="1"/>
  <c r="K1886" i="1"/>
  <c r="J1886" i="1"/>
  <c r="I1886" i="1"/>
  <c r="L1885" i="1"/>
  <c r="K1885" i="1"/>
  <c r="J1885" i="1"/>
  <c r="I1885" i="1"/>
  <c r="L1884" i="1"/>
  <c r="K1884" i="1"/>
  <c r="J1884" i="1"/>
  <c r="I1884" i="1"/>
  <c r="L1883" i="1"/>
  <c r="K1883" i="1"/>
  <c r="J1883" i="1"/>
  <c r="I1883" i="1"/>
  <c r="L1882" i="1"/>
  <c r="K1882" i="1"/>
  <c r="J1882" i="1"/>
  <c r="I1882" i="1"/>
  <c r="L1881" i="1"/>
  <c r="K1881" i="1"/>
  <c r="J1881" i="1"/>
  <c r="I1881" i="1"/>
  <c r="L1880" i="1"/>
  <c r="K1880" i="1"/>
  <c r="J1880" i="1"/>
  <c r="I1880" i="1"/>
  <c r="L1879" i="1"/>
  <c r="K1879" i="1"/>
  <c r="J1879" i="1"/>
  <c r="I1879" i="1"/>
  <c r="L1878" i="1"/>
  <c r="K1878" i="1"/>
  <c r="J1878" i="1"/>
  <c r="I1878" i="1"/>
  <c r="L1877" i="1"/>
  <c r="K1877" i="1"/>
  <c r="J1877" i="1"/>
  <c r="I1877" i="1"/>
  <c r="L1876" i="1"/>
  <c r="K1876" i="1"/>
  <c r="J1876" i="1"/>
  <c r="I1876" i="1"/>
  <c r="L1875" i="1"/>
  <c r="K1875" i="1"/>
  <c r="J1875" i="1"/>
  <c r="I1875" i="1"/>
  <c r="L1874" i="1"/>
  <c r="K1874" i="1"/>
  <c r="J1874" i="1"/>
  <c r="I1874" i="1"/>
  <c r="L1873" i="1"/>
  <c r="K1873" i="1"/>
  <c r="J1873" i="1"/>
  <c r="I1873" i="1"/>
  <c r="L1872" i="1"/>
  <c r="K1872" i="1"/>
  <c r="J1872" i="1"/>
  <c r="I1872" i="1"/>
  <c r="L1871" i="1"/>
  <c r="K1871" i="1"/>
  <c r="J1871" i="1"/>
  <c r="I1871" i="1"/>
  <c r="L1870" i="1"/>
  <c r="K1870" i="1"/>
  <c r="J1870" i="1"/>
  <c r="I1870" i="1"/>
  <c r="L1869" i="1"/>
  <c r="K1869" i="1"/>
  <c r="J1869" i="1"/>
  <c r="I1869" i="1"/>
  <c r="L1868" i="1"/>
  <c r="K1868" i="1"/>
  <c r="J1868" i="1"/>
  <c r="I1868" i="1"/>
  <c r="L1867" i="1"/>
  <c r="K1867" i="1"/>
  <c r="J1867" i="1"/>
  <c r="I1867" i="1"/>
  <c r="L1866" i="1"/>
  <c r="K1866" i="1"/>
  <c r="J1866" i="1"/>
  <c r="I1866" i="1"/>
  <c r="L1865" i="1"/>
  <c r="K1865" i="1"/>
  <c r="J1865" i="1"/>
  <c r="I1865" i="1"/>
  <c r="L1864" i="1"/>
  <c r="K1864" i="1"/>
  <c r="J1864" i="1"/>
  <c r="I1864" i="1"/>
  <c r="L1863" i="1"/>
  <c r="K1863" i="1"/>
  <c r="J1863" i="1"/>
  <c r="I1863" i="1"/>
  <c r="L1862" i="1"/>
  <c r="K1862" i="1"/>
  <c r="J1862" i="1"/>
  <c r="I1862" i="1"/>
  <c r="L1861" i="1"/>
  <c r="K1861" i="1"/>
  <c r="J1861" i="1"/>
  <c r="I1861" i="1"/>
  <c r="L1860" i="1"/>
  <c r="K1860" i="1"/>
  <c r="J1860" i="1"/>
  <c r="I1860" i="1"/>
  <c r="L1859" i="1"/>
  <c r="K1859" i="1"/>
  <c r="J1859" i="1"/>
  <c r="I1859" i="1"/>
  <c r="L1858" i="1"/>
  <c r="K1858" i="1"/>
  <c r="J1858" i="1"/>
  <c r="I1858" i="1"/>
  <c r="L1857" i="1"/>
  <c r="K1857" i="1"/>
  <c r="J1857" i="1"/>
  <c r="I1857" i="1"/>
  <c r="L1856" i="1"/>
  <c r="K1856" i="1"/>
  <c r="J1856" i="1"/>
  <c r="I1856" i="1"/>
  <c r="L1855" i="1"/>
  <c r="K1855" i="1"/>
  <c r="J1855" i="1"/>
  <c r="I1855" i="1"/>
  <c r="L1854" i="1"/>
  <c r="K1854" i="1"/>
  <c r="J1854" i="1"/>
  <c r="I1854" i="1"/>
  <c r="L1853" i="1"/>
  <c r="K1853" i="1"/>
  <c r="J1853" i="1"/>
  <c r="I1853" i="1"/>
  <c r="L1852" i="1"/>
  <c r="K1852" i="1"/>
  <c r="J1852" i="1"/>
  <c r="I1852" i="1"/>
  <c r="L1851" i="1"/>
  <c r="K1851" i="1"/>
  <c r="J1851" i="1"/>
  <c r="I1851" i="1"/>
  <c r="L1850" i="1"/>
  <c r="K1850" i="1"/>
  <c r="J1850" i="1"/>
  <c r="I1850" i="1"/>
  <c r="L1849" i="1"/>
  <c r="K1849" i="1"/>
  <c r="J1849" i="1"/>
  <c r="I1849" i="1"/>
  <c r="L1848" i="1"/>
  <c r="K1848" i="1"/>
  <c r="J1848" i="1"/>
  <c r="I1848" i="1"/>
  <c r="L1847" i="1"/>
  <c r="K1847" i="1"/>
  <c r="J1847" i="1"/>
  <c r="I1847" i="1"/>
  <c r="L1846" i="1"/>
  <c r="K1846" i="1"/>
  <c r="J1846" i="1"/>
  <c r="I1846" i="1"/>
  <c r="L1845" i="1"/>
  <c r="K1845" i="1"/>
  <c r="J1845" i="1"/>
  <c r="I1845" i="1"/>
  <c r="L1844" i="1"/>
  <c r="K1844" i="1"/>
  <c r="J1844" i="1"/>
  <c r="I1844" i="1"/>
  <c r="L1843" i="1"/>
  <c r="K1843" i="1"/>
  <c r="J1843" i="1"/>
  <c r="I1843" i="1"/>
  <c r="L1842" i="1"/>
  <c r="K1842" i="1"/>
  <c r="J1842" i="1"/>
  <c r="I1842" i="1"/>
  <c r="L1841" i="1"/>
  <c r="K1841" i="1"/>
  <c r="J1841" i="1"/>
  <c r="I1841" i="1"/>
  <c r="L1840" i="1"/>
  <c r="K1840" i="1"/>
  <c r="J1840" i="1"/>
  <c r="I1840" i="1"/>
  <c r="L1839" i="1"/>
  <c r="K1839" i="1"/>
  <c r="J1839" i="1"/>
  <c r="I1839" i="1"/>
  <c r="L1838" i="1"/>
  <c r="K1838" i="1"/>
  <c r="J1838" i="1"/>
  <c r="I1838" i="1"/>
  <c r="L1837" i="1"/>
  <c r="K1837" i="1"/>
  <c r="J1837" i="1"/>
  <c r="I1837" i="1"/>
  <c r="L1836" i="1"/>
  <c r="K1836" i="1"/>
  <c r="J1836" i="1"/>
  <c r="I1836" i="1"/>
  <c r="L1835" i="1"/>
  <c r="K1835" i="1"/>
  <c r="J1835" i="1"/>
  <c r="I1835" i="1"/>
  <c r="L1834" i="1"/>
  <c r="K1834" i="1"/>
  <c r="J1834" i="1"/>
  <c r="I1834" i="1"/>
  <c r="L1833" i="1"/>
  <c r="K1833" i="1"/>
  <c r="J1833" i="1"/>
  <c r="I1833" i="1"/>
  <c r="L1832" i="1"/>
  <c r="K1832" i="1"/>
  <c r="J1832" i="1"/>
  <c r="I1832" i="1"/>
  <c r="L1831" i="1"/>
  <c r="K1831" i="1"/>
  <c r="J1831" i="1"/>
  <c r="I1831" i="1"/>
  <c r="L1830" i="1"/>
  <c r="K1830" i="1"/>
  <c r="J1830" i="1"/>
  <c r="I1830" i="1"/>
  <c r="L1829" i="1"/>
  <c r="K1829" i="1"/>
  <c r="J1829" i="1"/>
  <c r="I1829" i="1"/>
  <c r="L1828" i="1"/>
  <c r="K1828" i="1"/>
  <c r="J1828" i="1"/>
  <c r="I1828" i="1"/>
  <c r="L1827" i="1"/>
  <c r="K1827" i="1"/>
  <c r="J1827" i="1"/>
  <c r="I1827" i="1"/>
  <c r="L1826" i="1"/>
  <c r="K1826" i="1"/>
  <c r="J1826" i="1"/>
  <c r="I1826" i="1"/>
  <c r="L1825" i="1"/>
  <c r="K1825" i="1"/>
  <c r="J1825" i="1"/>
  <c r="I1825" i="1"/>
  <c r="L1824" i="1"/>
  <c r="K1824" i="1"/>
  <c r="J1824" i="1"/>
  <c r="I1824" i="1"/>
  <c r="L1823" i="1"/>
  <c r="K1823" i="1"/>
  <c r="J1823" i="1"/>
  <c r="I1823" i="1"/>
  <c r="L1822" i="1"/>
  <c r="K1822" i="1"/>
  <c r="J1822" i="1"/>
  <c r="I1822" i="1"/>
  <c r="L1821" i="1"/>
  <c r="K1821" i="1"/>
  <c r="J1821" i="1"/>
  <c r="I1821" i="1"/>
  <c r="L1820" i="1"/>
  <c r="K1820" i="1"/>
  <c r="J1820" i="1"/>
  <c r="I1820" i="1"/>
  <c r="L1819" i="1"/>
  <c r="K1819" i="1"/>
  <c r="J1819" i="1"/>
  <c r="I1819" i="1"/>
  <c r="L1818" i="1"/>
  <c r="K1818" i="1"/>
  <c r="J1818" i="1"/>
  <c r="I1818" i="1"/>
  <c r="L1817" i="1"/>
  <c r="K1817" i="1"/>
  <c r="J1817" i="1"/>
  <c r="I1817" i="1"/>
  <c r="L1816" i="1"/>
  <c r="K1816" i="1"/>
  <c r="J1816" i="1"/>
  <c r="I1816" i="1"/>
  <c r="L1815" i="1"/>
  <c r="K1815" i="1"/>
  <c r="J1815" i="1"/>
  <c r="I1815" i="1"/>
  <c r="L1814" i="1"/>
  <c r="K1814" i="1"/>
  <c r="J1814" i="1"/>
  <c r="I1814" i="1"/>
  <c r="L1813" i="1"/>
  <c r="K1813" i="1"/>
  <c r="J1813" i="1"/>
  <c r="I1813" i="1"/>
  <c r="L1812" i="1"/>
  <c r="K1812" i="1"/>
  <c r="J1812" i="1"/>
  <c r="I1812" i="1"/>
  <c r="L1811" i="1"/>
  <c r="K1811" i="1"/>
  <c r="J1811" i="1"/>
  <c r="I1811" i="1"/>
  <c r="L1810" i="1"/>
  <c r="K1810" i="1"/>
  <c r="J1810" i="1"/>
  <c r="I1810" i="1"/>
  <c r="L1809" i="1"/>
  <c r="K1809" i="1"/>
  <c r="J1809" i="1"/>
  <c r="I1809" i="1"/>
  <c r="L1808" i="1"/>
  <c r="K1808" i="1"/>
  <c r="J1808" i="1"/>
  <c r="I1808" i="1"/>
  <c r="L1807" i="1"/>
  <c r="K1807" i="1"/>
  <c r="J1807" i="1"/>
  <c r="I1807" i="1"/>
  <c r="L1806" i="1"/>
  <c r="K1806" i="1"/>
  <c r="J1806" i="1"/>
  <c r="I1806" i="1"/>
  <c r="L1805" i="1"/>
  <c r="K1805" i="1"/>
  <c r="J1805" i="1"/>
  <c r="I1805" i="1"/>
  <c r="L1804" i="1"/>
  <c r="K1804" i="1"/>
  <c r="J1804" i="1"/>
  <c r="I1804" i="1"/>
  <c r="L1803" i="1"/>
  <c r="K1803" i="1"/>
  <c r="J1803" i="1"/>
  <c r="I1803" i="1"/>
  <c r="L1802" i="1"/>
  <c r="K1802" i="1"/>
  <c r="J1802" i="1"/>
  <c r="I1802" i="1"/>
  <c r="L1801" i="1"/>
  <c r="K1801" i="1"/>
  <c r="J1801" i="1"/>
  <c r="I1801" i="1"/>
  <c r="L1800" i="1"/>
  <c r="K1800" i="1"/>
  <c r="J1800" i="1"/>
  <c r="I1800" i="1"/>
  <c r="L1799" i="1"/>
  <c r="K1799" i="1"/>
  <c r="J1799" i="1"/>
  <c r="I1799" i="1"/>
  <c r="L1798" i="1"/>
  <c r="K1798" i="1"/>
  <c r="J1798" i="1"/>
  <c r="I1798" i="1"/>
  <c r="L1797" i="1"/>
  <c r="K1797" i="1"/>
  <c r="J1797" i="1"/>
  <c r="I1797" i="1"/>
  <c r="L1796" i="1"/>
  <c r="K1796" i="1"/>
  <c r="J1796" i="1"/>
  <c r="I1796" i="1"/>
  <c r="L1795" i="1"/>
  <c r="K1795" i="1"/>
  <c r="J1795" i="1"/>
  <c r="I1795" i="1"/>
  <c r="L1794" i="1"/>
  <c r="K1794" i="1"/>
  <c r="J1794" i="1"/>
  <c r="I1794" i="1"/>
  <c r="L1793" i="1"/>
  <c r="K1793" i="1"/>
  <c r="J1793" i="1"/>
  <c r="I1793" i="1"/>
  <c r="L1792" i="1"/>
  <c r="K1792" i="1"/>
  <c r="J1792" i="1"/>
  <c r="I1792" i="1"/>
  <c r="L1791" i="1"/>
  <c r="K1791" i="1"/>
  <c r="J1791" i="1"/>
  <c r="I1791" i="1"/>
  <c r="L1790" i="1"/>
  <c r="K1790" i="1"/>
  <c r="J1790" i="1"/>
  <c r="I1790" i="1"/>
  <c r="L1789" i="1"/>
  <c r="K1789" i="1"/>
  <c r="J1789" i="1"/>
  <c r="I1789" i="1"/>
  <c r="L1788" i="1"/>
  <c r="K1788" i="1"/>
  <c r="J1788" i="1"/>
  <c r="I1788" i="1"/>
  <c r="L1787" i="1"/>
  <c r="K1787" i="1"/>
  <c r="J1787" i="1"/>
  <c r="I1787" i="1"/>
  <c r="L1786" i="1"/>
  <c r="K1786" i="1"/>
  <c r="J1786" i="1"/>
  <c r="I1786" i="1"/>
  <c r="L1785" i="1"/>
  <c r="K1785" i="1"/>
  <c r="J1785" i="1"/>
  <c r="I1785" i="1"/>
  <c r="L1784" i="1"/>
  <c r="K1784" i="1"/>
  <c r="J1784" i="1"/>
  <c r="I1784" i="1"/>
  <c r="L1783" i="1"/>
  <c r="K1783" i="1"/>
  <c r="J1783" i="1"/>
  <c r="I1783" i="1"/>
  <c r="L1782" i="1"/>
  <c r="K1782" i="1"/>
  <c r="J1782" i="1"/>
  <c r="I1782" i="1"/>
  <c r="L1781" i="1"/>
  <c r="K1781" i="1"/>
  <c r="J1781" i="1"/>
  <c r="I1781" i="1"/>
  <c r="L1780" i="1"/>
  <c r="K1780" i="1"/>
  <c r="J1780" i="1"/>
  <c r="I1780" i="1"/>
  <c r="L1779" i="1"/>
  <c r="K1779" i="1"/>
  <c r="J1779" i="1"/>
  <c r="I1779" i="1"/>
  <c r="L1778" i="1"/>
  <c r="K1778" i="1"/>
  <c r="J1778" i="1"/>
  <c r="I1778" i="1"/>
  <c r="L1777" i="1"/>
  <c r="K1777" i="1"/>
  <c r="J1777" i="1"/>
  <c r="I1777" i="1"/>
  <c r="L1776" i="1"/>
  <c r="K1776" i="1"/>
  <c r="J1776" i="1"/>
  <c r="I1776" i="1"/>
  <c r="L1775" i="1"/>
  <c r="K1775" i="1"/>
  <c r="J1775" i="1"/>
  <c r="I1775" i="1"/>
  <c r="L1774" i="1"/>
  <c r="K1774" i="1"/>
  <c r="J1774" i="1"/>
  <c r="I1774" i="1"/>
  <c r="L1773" i="1"/>
  <c r="K1773" i="1"/>
  <c r="J1773" i="1"/>
  <c r="I1773" i="1"/>
  <c r="L1772" i="1"/>
  <c r="K1772" i="1"/>
  <c r="J1772" i="1"/>
  <c r="I1772" i="1"/>
  <c r="L1771" i="1"/>
  <c r="K1771" i="1"/>
  <c r="J1771" i="1"/>
  <c r="I1771" i="1"/>
  <c r="L1770" i="1"/>
  <c r="K1770" i="1"/>
  <c r="J1770" i="1"/>
  <c r="I1770" i="1"/>
  <c r="L1769" i="1"/>
  <c r="K1769" i="1"/>
  <c r="J1769" i="1"/>
  <c r="I1769" i="1"/>
  <c r="L1768" i="1"/>
  <c r="K1768" i="1"/>
  <c r="J1768" i="1"/>
  <c r="I1768" i="1"/>
  <c r="L1767" i="1"/>
  <c r="K1767" i="1"/>
  <c r="J1767" i="1"/>
  <c r="I1767" i="1"/>
  <c r="L1766" i="1"/>
  <c r="K1766" i="1"/>
  <c r="J1766" i="1"/>
  <c r="I1766" i="1"/>
  <c r="L1765" i="1"/>
  <c r="K1765" i="1"/>
  <c r="J1765" i="1"/>
  <c r="I1765" i="1"/>
  <c r="L1764" i="1"/>
  <c r="K1764" i="1"/>
  <c r="J1764" i="1"/>
  <c r="I1764" i="1"/>
  <c r="L1763" i="1"/>
  <c r="K1763" i="1"/>
  <c r="J1763" i="1"/>
  <c r="I1763" i="1"/>
  <c r="L1762" i="1"/>
  <c r="K1762" i="1"/>
  <c r="J1762" i="1"/>
  <c r="I1762" i="1"/>
  <c r="L1761" i="1"/>
  <c r="K1761" i="1"/>
  <c r="J1761" i="1"/>
  <c r="I1761" i="1"/>
  <c r="L1760" i="1"/>
  <c r="K1760" i="1"/>
  <c r="J1760" i="1"/>
  <c r="I1760" i="1"/>
  <c r="L1759" i="1"/>
  <c r="K1759" i="1"/>
  <c r="J1759" i="1"/>
  <c r="I1759" i="1"/>
  <c r="L1758" i="1"/>
  <c r="K1758" i="1"/>
  <c r="J1758" i="1"/>
  <c r="I1758" i="1"/>
  <c r="L1757" i="1"/>
  <c r="K1757" i="1"/>
  <c r="J1757" i="1"/>
  <c r="I1757" i="1"/>
  <c r="L1756" i="1"/>
  <c r="K1756" i="1"/>
  <c r="J1756" i="1"/>
  <c r="I1756" i="1"/>
  <c r="L1755" i="1"/>
  <c r="K1755" i="1"/>
  <c r="J1755" i="1"/>
  <c r="I1755" i="1"/>
  <c r="L1754" i="1"/>
  <c r="K1754" i="1"/>
  <c r="J1754" i="1"/>
  <c r="I1754" i="1"/>
  <c r="L1753" i="1"/>
  <c r="K1753" i="1"/>
  <c r="J1753" i="1"/>
  <c r="I1753" i="1"/>
  <c r="L1752" i="1"/>
  <c r="K1752" i="1"/>
  <c r="J1752" i="1"/>
  <c r="I1752" i="1"/>
  <c r="L1751" i="1"/>
  <c r="K1751" i="1"/>
  <c r="J1751" i="1"/>
  <c r="I1751" i="1"/>
  <c r="L1750" i="1"/>
  <c r="K1750" i="1"/>
  <c r="J1750" i="1"/>
  <c r="I1750" i="1"/>
  <c r="L1749" i="1"/>
  <c r="K1749" i="1"/>
  <c r="J1749" i="1"/>
  <c r="I1749" i="1"/>
  <c r="L1748" i="1"/>
  <c r="K1748" i="1"/>
  <c r="J1748" i="1"/>
  <c r="I1748" i="1"/>
  <c r="L1747" i="1"/>
  <c r="K1747" i="1"/>
  <c r="J1747" i="1"/>
  <c r="I1747" i="1"/>
  <c r="L1746" i="1"/>
  <c r="K1746" i="1"/>
  <c r="J1746" i="1"/>
  <c r="I1746" i="1"/>
  <c r="L1745" i="1"/>
  <c r="K1745" i="1"/>
  <c r="J1745" i="1"/>
  <c r="I1745" i="1"/>
  <c r="L1744" i="1"/>
  <c r="K1744" i="1"/>
  <c r="J1744" i="1"/>
  <c r="I1744" i="1"/>
  <c r="L1743" i="1"/>
  <c r="K1743" i="1"/>
  <c r="J1743" i="1"/>
  <c r="I1743" i="1"/>
  <c r="L1742" i="1"/>
  <c r="K1742" i="1"/>
  <c r="J1742" i="1"/>
  <c r="I1742" i="1"/>
  <c r="L1741" i="1"/>
  <c r="K1741" i="1"/>
  <c r="J1741" i="1"/>
  <c r="I1741" i="1"/>
  <c r="L1740" i="1"/>
  <c r="K1740" i="1"/>
  <c r="J1740" i="1"/>
  <c r="I1740" i="1"/>
  <c r="L1739" i="1"/>
  <c r="K1739" i="1"/>
  <c r="J1739" i="1"/>
  <c r="I1739" i="1"/>
  <c r="L1738" i="1"/>
  <c r="K1738" i="1"/>
  <c r="J1738" i="1"/>
  <c r="I1738" i="1"/>
  <c r="L1737" i="1"/>
  <c r="K1737" i="1"/>
  <c r="J1737" i="1"/>
  <c r="I1737" i="1"/>
  <c r="L1736" i="1"/>
  <c r="K1736" i="1"/>
  <c r="J1736" i="1"/>
  <c r="I1736" i="1"/>
  <c r="L1735" i="1"/>
  <c r="K1735" i="1"/>
  <c r="J1735" i="1"/>
  <c r="I1735" i="1"/>
  <c r="L1734" i="1"/>
  <c r="K1734" i="1"/>
  <c r="J1734" i="1"/>
  <c r="I1734" i="1"/>
  <c r="L1733" i="1"/>
  <c r="K1733" i="1"/>
  <c r="J1733" i="1"/>
  <c r="I1733" i="1"/>
  <c r="L1732" i="1"/>
  <c r="K1732" i="1"/>
  <c r="J1732" i="1"/>
  <c r="I1732" i="1"/>
  <c r="L1731" i="1"/>
  <c r="K1731" i="1"/>
  <c r="J1731" i="1"/>
  <c r="I1731" i="1"/>
  <c r="L1730" i="1"/>
  <c r="K1730" i="1"/>
  <c r="J1730" i="1"/>
  <c r="I1730" i="1"/>
  <c r="L1729" i="1"/>
  <c r="K1729" i="1"/>
  <c r="J1729" i="1"/>
  <c r="I1729" i="1"/>
  <c r="L1728" i="1"/>
  <c r="K1728" i="1"/>
  <c r="J1728" i="1"/>
  <c r="I1728" i="1"/>
  <c r="L1727" i="1"/>
  <c r="K1727" i="1"/>
  <c r="J1727" i="1"/>
  <c r="I1727" i="1"/>
  <c r="L1726" i="1"/>
  <c r="K1726" i="1"/>
  <c r="J1726" i="1"/>
  <c r="I1726" i="1"/>
  <c r="L1725" i="1"/>
  <c r="K1725" i="1"/>
  <c r="J1725" i="1"/>
  <c r="I1725" i="1"/>
  <c r="L1724" i="1"/>
  <c r="K1724" i="1"/>
  <c r="J1724" i="1"/>
  <c r="I1724" i="1"/>
  <c r="L1723" i="1"/>
  <c r="K1723" i="1"/>
  <c r="J1723" i="1"/>
  <c r="I1723" i="1"/>
  <c r="L1722" i="1"/>
  <c r="K1722" i="1"/>
  <c r="J1722" i="1"/>
  <c r="I1722" i="1"/>
  <c r="L1721" i="1"/>
  <c r="K1721" i="1"/>
  <c r="J1721" i="1"/>
  <c r="I1721" i="1"/>
  <c r="L1720" i="1"/>
  <c r="K1720" i="1"/>
  <c r="J1720" i="1"/>
  <c r="I1720" i="1"/>
  <c r="L1719" i="1"/>
  <c r="K1719" i="1"/>
  <c r="J1719" i="1"/>
  <c r="I1719" i="1"/>
  <c r="L1718" i="1"/>
  <c r="K1718" i="1"/>
  <c r="J1718" i="1"/>
  <c r="I1718" i="1"/>
  <c r="L1717" i="1"/>
  <c r="K1717" i="1"/>
  <c r="J1717" i="1"/>
  <c r="I1717" i="1"/>
  <c r="L1716" i="1"/>
  <c r="K1716" i="1"/>
  <c r="J1716" i="1"/>
  <c r="I1716" i="1"/>
  <c r="L1715" i="1"/>
  <c r="K1715" i="1"/>
  <c r="J1715" i="1"/>
  <c r="I1715" i="1"/>
  <c r="L1714" i="1"/>
  <c r="K1714" i="1"/>
  <c r="J1714" i="1"/>
  <c r="I1714" i="1"/>
  <c r="L1713" i="1"/>
  <c r="K1713" i="1"/>
  <c r="J1713" i="1"/>
  <c r="I1713" i="1"/>
  <c r="L1712" i="1"/>
  <c r="K1712" i="1"/>
  <c r="J1712" i="1"/>
  <c r="I1712" i="1"/>
  <c r="L1711" i="1"/>
  <c r="K1711" i="1"/>
  <c r="J1711" i="1"/>
  <c r="I1711" i="1"/>
  <c r="L1710" i="1"/>
  <c r="K1710" i="1"/>
  <c r="J1710" i="1"/>
  <c r="I1710" i="1"/>
  <c r="L1709" i="1"/>
  <c r="K1709" i="1"/>
  <c r="J1709" i="1"/>
  <c r="I1709" i="1"/>
  <c r="L1708" i="1"/>
  <c r="K1708" i="1"/>
  <c r="J1708" i="1"/>
  <c r="I1708" i="1"/>
  <c r="L1707" i="1"/>
  <c r="K1707" i="1"/>
  <c r="J1707" i="1"/>
  <c r="I1707" i="1"/>
  <c r="L1706" i="1"/>
  <c r="K1706" i="1"/>
  <c r="J1706" i="1"/>
  <c r="I1706" i="1"/>
  <c r="L1705" i="1"/>
  <c r="K1705" i="1"/>
  <c r="J1705" i="1"/>
  <c r="I1705" i="1"/>
  <c r="L1704" i="1"/>
  <c r="K1704" i="1"/>
  <c r="J1704" i="1"/>
  <c r="I1704" i="1"/>
  <c r="L1703" i="1"/>
  <c r="K1703" i="1"/>
  <c r="J1703" i="1"/>
  <c r="I1703" i="1"/>
  <c r="L1702" i="1"/>
  <c r="K1702" i="1"/>
  <c r="J1702" i="1"/>
  <c r="I1702" i="1"/>
  <c r="L1701" i="1"/>
  <c r="K1701" i="1"/>
  <c r="J1701" i="1"/>
  <c r="I1701" i="1"/>
  <c r="L1700" i="1"/>
  <c r="K1700" i="1"/>
  <c r="J1700" i="1"/>
  <c r="I1700" i="1"/>
  <c r="L1699" i="1"/>
  <c r="K1699" i="1"/>
  <c r="J1699" i="1"/>
  <c r="I1699" i="1"/>
  <c r="L1698" i="1"/>
  <c r="K1698" i="1"/>
  <c r="J1698" i="1"/>
  <c r="I1698" i="1"/>
  <c r="L1697" i="1"/>
  <c r="K1697" i="1"/>
  <c r="J1697" i="1"/>
  <c r="I1697" i="1"/>
  <c r="L1696" i="1"/>
  <c r="K1696" i="1"/>
  <c r="J1696" i="1"/>
  <c r="I1696" i="1"/>
  <c r="L1695" i="1"/>
  <c r="K1695" i="1"/>
  <c r="J1695" i="1"/>
  <c r="I1695" i="1"/>
  <c r="L1694" i="1"/>
  <c r="K1694" i="1"/>
  <c r="J1694" i="1"/>
  <c r="I1694" i="1"/>
  <c r="L1693" i="1"/>
  <c r="K1693" i="1"/>
  <c r="J1693" i="1"/>
  <c r="I1693" i="1"/>
  <c r="L1692" i="1"/>
  <c r="K1692" i="1"/>
  <c r="J1692" i="1"/>
  <c r="I1692" i="1"/>
  <c r="L1691" i="1"/>
  <c r="K1691" i="1"/>
  <c r="J1691" i="1"/>
  <c r="I1691" i="1"/>
  <c r="L1690" i="1"/>
  <c r="K1690" i="1"/>
  <c r="J1690" i="1"/>
  <c r="I1690" i="1"/>
  <c r="L1689" i="1"/>
  <c r="K1689" i="1"/>
  <c r="J1689" i="1"/>
  <c r="I1689" i="1"/>
  <c r="L1688" i="1"/>
  <c r="K1688" i="1"/>
  <c r="J1688" i="1"/>
  <c r="I1688" i="1"/>
  <c r="L1687" i="1"/>
  <c r="K1687" i="1"/>
  <c r="J1687" i="1"/>
  <c r="I1687" i="1"/>
  <c r="L1686" i="1"/>
  <c r="K1686" i="1"/>
  <c r="J1686" i="1"/>
  <c r="I1686" i="1"/>
  <c r="L1685" i="1"/>
  <c r="K1685" i="1"/>
  <c r="J1685" i="1"/>
  <c r="I1685" i="1"/>
  <c r="L1684" i="1"/>
  <c r="K1684" i="1"/>
  <c r="J1684" i="1"/>
  <c r="I1684" i="1"/>
  <c r="L1683" i="1"/>
  <c r="K1683" i="1"/>
  <c r="J1683" i="1"/>
  <c r="I1683" i="1"/>
  <c r="L1682" i="1"/>
  <c r="K1682" i="1"/>
  <c r="J1682" i="1"/>
  <c r="I1682" i="1"/>
  <c r="L1681" i="1"/>
  <c r="K1681" i="1"/>
  <c r="J1681" i="1"/>
  <c r="I1681" i="1"/>
  <c r="L1680" i="1"/>
  <c r="K1680" i="1"/>
  <c r="J1680" i="1"/>
  <c r="I1680" i="1"/>
  <c r="L1679" i="1"/>
  <c r="K1679" i="1"/>
  <c r="J1679" i="1"/>
  <c r="I1679" i="1"/>
  <c r="L1678" i="1"/>
  <c r="K1678" i="1"/>
  <c r="J1678" i="1"/>
  <c r="I1678" i="1"/>
  <c r="L1677" i="1"/>
  <c r="K1677" i="1"/>
  <c r="J1677" i="1"/>
  <c r="I1677" i="1"/>
  <c r="L1676" i="1"/>
  <c r="K1676" i="1"/>
  <c r="J1676" i="1"/>
  <c r="I1676" i="1"/>
  <c r="L1675" i="1"/>
  <c r="K1675" i="1"/>
  <c r="J1675" i="1"/>
  <c r="I1675" i="1"/>
  <c r="L1674" i="1"/>
  <c r="K1674" i="1"/>
  <c r="J1674" i="1"/>
  <c r="I1674" i="1"/>
  <c r="L1673" i="1"/>
  <c r="K1673" i="1"/>
  <c r="J1673" i="1"/>
  <c r="I1673" i="1"/>
  <c r="L1672" i="1"/>
  <c r="K1672" i="1"/>
  <c r="J1672" i="1"/>
  <c r="I1672" i="1"/>
  <c r="L1671" i="1"/>
  <c r="K1671" i="1"/>
  <c r="J1671" i="1"/>
  <c r="I1671" i="1"/>
  <c r="L1670" i="1"/>
  <c r="K1670" i="1"/>
  <c r="J1670" i="1"/>
  <c r="I1670" i="1"/>
  <c r="L1669" i="1"/>
  <c r="K1669" i="1"/>
  <c r="J1669" i="1"/>
  <c r="I1669" i="1"/>
  <c r="L1668" i="1"/>
  <c r="K1668" i="1"/>
  <c r="J1668" i="1"/>
  <c r="I1668" i="1"/>
  <c r="L1667" i="1"/>
  <c r="K1667" i="1"/>
  <c r="J1667" i="1"/>
  <c r="I1667" i="1"/>
  <c r="L1666" i="1"/>
  <c r="K1666" i="1"/>
  <c r="J1666" i="1"/>
  <c r="I1666" i="1"/>
  <c r="L1665" i="1"/>
  <c r="K1665" i="1"/>
  <c r="J1665" i="1"/>
  <c r="I1665" i="1"/>
  <c r="L1664" i="1"/>
  <c r="K1664" i="1"/>
  <c r="J1664" i="1"/>
  <c r="I1664" i="1"/>
  <c r="L1663" i="1"/>
  <c r="K1663" i="1"/>
  <c r="J1663" i="1"/>
  <c r="I1663" i="1"/>
  <c r="L1662" i="1"/>
  <c r="K1662" i="1"/>
  <c r="J1662" i="1"/>
  <c r="I1662" i="1"/>
  <c r="L1661" i="1"/>
  <c r="K1661" i="1"/>
  <c r="J1661" i="1"/>
  <c r="I1661" i="1"/>
  <c r="L1660" i="1"/>
  <c r="K1660" i="1"/>
  <c r="J1660" i="1"/>
  <c r="I1660" i="1"/>
  <c r="L1659" i="1"/>
  <c r="K1659" i="1"/>
  <c r="J1659" i="1"/>
  <c r="I1659" i="1"/>
  <c r="L1658" i="1"/>
  <c r="K1658" i="1"/>
  <c r="J1658" i="1"/>
  <c r="I1658" i="1"/>
  <c r="L1657" i="1"/>
  <c r="K1657" i="1"/>
  <c r="J1657" i="1"/>
  <c r="I1657" i="1"/>
  <c r="L1656" i="1"/>
  <c r="K1656" i="1"/>
  <c r="J1656" i="1"/>
  <c r="I1656" i="1"/>
  <c r="L1655" i="1"/>
  <c r="K1655" i="1"/>
  <c r="J1655" i="1"/>
  <c r="I1655" i="1"/>
  <c r="L1654" i="1"/>
  <c r="K1654" i="1"/>
  <c r="J1654" i="1"/>
  <c r="I1654" i="1"/>
  <c r="L1653" i="1"/>
  <c r="K1653" i="1"/>
  <c r="J1653" i="1"/>
  <c r="I1653" i="1"/>
  <c r="L1652" i="1"/>
  <c r="K1652" i="1"/>
  <c r="J1652" i="1"/>
  <c r="I1652" i="1"/>
  <c r="L1651" i="1"/>
  <c r="K1651" i="1"/>
  <c r="J1651" i="1"/>
  <c r="I1651" i="1"/>
  <c r="L1650" i="1"/>
  <c r="K1650" i="1"/>
  <c r="J1650" i="1"/>
  <c r="I1650" i="1"/>
  <c r="L1649" i="1"/>
  <c r="K1649" i="1"/>
  <c r="J1649" i="1"/>
  <c r="I1649" i="1"/>
  <c r="L1648" i="1"/>
  <c r="K1648" i="1"/>
  <c r="J1648" i="1"/>
  <c r="I1648" i="1"/>
  <c r="L1647" i="1"/>
  <c r="K1647" i="1"/>
  <c r="J1647" i="1"/>
  <c r="I1647" i="1"/>
  <c r="L1646" i="1"/>
  <c r="K1646" i="1"/>
  <c r="J1646" i="1"/>
  <c r="I1646" i="1"/>
  <c r="L1645" i="1"/>
  <c r="K1645" i="1"/>
  <c r="J1645" i="1"/>
  <c r="I1645" i="1"/>
  <c r="L1644" i="1"/>
  <c r="K1644" i="1"/>
  <c r="J1644" i="1"/>
  <c r="I1644" i="1"/>
  <c r="L1643" i="1"/>
  <c r="K1643" i="1"/>
  <c r="J1643" i="1"/>
  <c r="I1643" i="1"/>
  <c r="L1642" i="1"/>
  <c r="K1642" i="1"/>
  <c r="J1642" i="1"/>
  <c r="I1642" i="1"/>
  <c r="L1641" i="1"/>
  <c r="K1641" i="1"/>
  <c r="J1641" i="1"/>
  <c r="I1641" i="1"/>
  <c r="L1640" i="1"/>
  <c r="K1640" i="1"/>
  <c r="J1640" i="1"/>
  <c r="I1640" i="1"/>
  <c r="L1639" i="1"/>
  <c r="K1639" i="1"/>
  <c r="J1639" i="1"/>
  <c r="I1639" i="1"/>
  <c r="L1638" i="1"/>
  <c r="K1638" i="1"/>
  <c r="J1638" i="1"/>
  <c r="I1638" i="1"/>
  <c r="L1637" i="1"/>
  <c r="K1637" i="1"/>
  <c r="J1637" i="1"/>
  <c r="I1637" i="1"/>
  <c r="L1636" i="1"/>
  <c r="K1636" i="1"/>
  <c r="J1636" i="1"/>
  <c r="I1636" i="1"/>
  <c r="L1635" i="1"/>
  <c r="K1635" i="1"/>
  <c r="J1635" i="1"/>
  <c r="I1635" i="1"/>
  <c r="L1634" i="1"/>
  <c r="K1634" i="1"/>
  <c r="J1634" i="1"/>
  <c r="I1634" i="1"/>
  <c r="L1633" i="1"/>
  <c r="K1633" i="1"/>
  <c r="J1633" i="1"/>
  <c r="I1633" i="1"/>
  <c r="L1632" i="1"/>
  <c r="K1632" i="1"/>
  <c r="J1632" i="1"/>
  <c r="I1632" i="1"/>
  <c r="L1631" i="1"/>
  <c r="K1631" i="1"/>
  <c r="J1631" i="1"/>
  <c r="I1631" i="1"/>
  <c r="L1630" i="1"/>
  <c r="K1630" i="1"/>
  <c r="J1630" i="1"/>
  <c r="I1630" i="1"/>
  <c r="L1629" i="1"/>
  <c r="K1629" i="1"/>
  <c r="J1629" i="1"/>
  <c r="I1629" i="1"/>
  <c r="L1628" i="1"/>
  <c r="K1628" i="1"/>
  <c r="J1628" i="1"/>
  <c r="I1628" i="1"/>
  <c r="L1627" i="1"/>
  <c r="K1627" i="1"/>
  <c r="J1627" i="1"/>
  <c r="I1627" i="1"/>
  <c r="L1626" i="1"/>
  <c r="K1626" i="1"/>
  <c r="J1626" i="1"/>
  <c r="I1626" i="1"/>
  <c r="L1625" i="1"/>
  <c r="K1625" i="1"/>
  <c r="J1625" i="1"/>
  <c r="I1625" i="1"/>
  <c r="L1624" i="1"/>
  <c r="K1624" i="1"/>
  <c r="J1624" i="1"/>
  <c r="I1624" i="1"/>
  <c r="L1623" i="1"/>
  <c r="K1623" i="1"/>
  <c r="J1623" i="1"/>
  <c r="I1623" i="1"/>
  <c r="L1622" i="1"/>
  <c r="K1622" i="1"/>
  <c r="J1622" i="1"/>
  <c r="I1622" i="1"/>
  <c r="L1621" i="1"/>
  <c r="K1621" i="1"/>
  <c r="J1621" i="1"/>
  <c r="I1621" i="1"/>
  <c r="L1620" i="1"/>
  <c r="K1620" i="1"/>
  <c r="J1620" i="1"/>
  <c r="I1620" i="1"/>
  <c r="L1619" i="1"/>
  <c r="K1619" i="1"/>
  <c r="J1619" i="1"/>
  <c r="I1619" i="1"/>
  <c r="L1618" i="1"/>
  <c r="K1618" i="1"/>
  <c r="J1618" i="1"/>
  <c r="I1618" i="1"/>
  <c r="L1617" i="1"/>
  <c r="K1617" i="1"/>
  <c r="J1617" i="1"/>
  <c r="I1617" i="1"/>
  <c r="L1616" i="1"/>
  <c r="K1616" i="1"/>
  <c r="J1616" i="1"/>
  <c r="I1616" i="1"/>
  <c r="L1615" i="1"/>
  <c r="K1615" i="1"/>
  <c r="J1615" i="1"/>
  <c r="I1615" i="1"/>
  <c r="L1614" i="1"/>
  <c r="K1614" i="1"/>
  <c r="J1614" i="1"/>
  <c r="I1614" i="1"/>
  <c r="L1613" i="1"/>
  <c r="K1613" i="1"/>
  <c r="J1613" i="1"/>
  <c r="I1613" i="1"/>
  <c r="L1612" i="1"/>
  <c r="K1612" i="1"/>
  <c r="J1612" i="1"/>
  <c r="I1612" i="1"/>
  <c r="L1611" i="1"/>
  <c r="K1611" i="1"/>
  <c r="J1611" i="1"/>
  <c r="I1611" i="1"/>
  <c r="L1610" i="1"/>
  <c r="K1610" i="1"/>
  <c r="J1610" i="1"/>
  <c r="I1610" i="1"/>
  <c r="L1609" i="1"/>
  <c r="K1609" i="1"/>
  <c r="J1609" i="1"/>
  <c r="I1609" i="1"/>
  <c r="L1608" i="1"/>
  <c r="K1608" i="1"/>
  <c r="J1608" i="1"/>
  <c r="I1608" i="1"/>
  <c r="L1607" i="1"/>
  <c r="K1607" i="1"/>
  <c r="J1607" i="1"/>
  <c r="I1607" i="1"/>
  <c r="L1606" i="1"/>
  <c r="K1606" i="1"/>
  <c r="J1606" i="1"/>
  <c r="I1606" i="1"/>
  <c r="L1605" i="1"/>
  <c r="K1605" i="1"/>
  <c r="J1605" i="1"/>
  <c r="I1605" i="1"/>
  <c r="L1604" i="1"/>
  <c r="K1604" i="1"/>
  <c r="J1604" i="1"/>
  <c r="I1604" i="1"/>
  <c r="L1603" i="1"/>
  <c r="K1603" i="1"/>
  <c r="J1603" i="1"/>
  <c r="I1603" i="1"/>
  <c r="L1602" i="1"/>
  <c r="K1602" i="1"/>
  <c r="J1602" i="1"/>
  <c r="I1602" i="1"/>
  <c r="L1601" i="1"/>
  <c r="K1601" i="1"/>
  <c r="J1601" i="1"/>
  <c r="I1601" i="1"/>
  <c r="L1600" i="1"/>
  <c r="K1600" i="1"/>
  <c r="J1600" i="1"/>
  <c r="I1600" i="1"/>
  <c r="L1599" i="1"/>
  <c r="K1599" i="1"/>
  <c r="J1599" i="1"/>
  <c r="I1599" i="1"/>
  <c r="L1598" i="1"/>
  <c r="K1598" i="1"/>
  <c r="J1598" i="1"/>
  <c r="I1598" i="1"/>
  <c r="L1597" i="1"/>
  <c r="K1597" i="1"/>
  <c r="J1597" i="1"/>
  <c r="I1597" i="1"/>
  <c r="L1596" i="1"/>
  <c r="K1596" i="1"/>
  <c r="J1596" i="1"/>
  <c r="I1596" i="1"/>
  <c r="L1595" i="1"/>
  <c r="K1595" i="1"/>
  <c r="J1595" i="1"/>
  <c r="I1595" i="1"/>
  <c r="L1594" i="1"/>
  <c r="K1594" i="1"/>
  <c r="J1594" i="1"/>
  <c r="I1594" i="1"/>
  <c r="L1593" i="1"/>
  <c r="K1593" i="1"/>
  <c r="J1593" i="1"/>
  <c r="I1593" i="1"/>
  <c r="L1592" i="1"/>
  <c r="K1592" i="1"/>
  <c r="J1592" i="1"/>
  <c r="I1592" i="1"/>
  <c r="L1591" i="1"/>
  <c r="K1591" i="1"/>
  <c r="J1591" i="1"/>
  <c r="I1591" i="1"/>
  <c r="L1590" i="1"/>
  <c r="K1590" i="1"/>
  <c r="J1590" i="1"/>
  <c r="I1590" i="1"/>
  <c r="L1589" i="1"/>
  <c r="K1589" i="1"/>
  <c r="J1589" i="1"/>
  <c r="I1589" i="1"/>
  <c r="L1588" i="1"/>
  <c r="K1588" i="1"/>
  <c r="J1588" i="1"/>
  <c r="I1588" i="1"/>
  <c r="L1587" i="1"/>
  <c r="K1587" i="1"/>
  <c r="J1587" i="1"/>
  <c r="I1587" i="1"/>
  <c r="L1586" i="1"/>
  <c r="K1586" i="1"/>
  <c r="J1586" i="1"/>
  <c r="I1586" i="1"/>
  <c r="L1585" i="1"/>
  <c r="K1585" i="1"/>
  <c r="J1585" i="1"/>
  <c r="I1585" i="1"/>
  <c r="L1584" i="1"/>
  <c r="K1584" i="1"/>
  <c r="J1584" i="1"/>
  <c r="I1584" i="1"/>
  <c r="L1583" i="1"/>
  <c r="K1583" i="1"/>
  <c r="J1583" i="1"/>
  <c r="I1583" i="1"/>
  <c r="L1582" i="1"/>
  <c r="K1582" i="1"/>
  <c r="J1582" i="1"/>
  <c r="I1582" i="1"/>
  <c r="L1581" i="1"/>
  <c r="K1581" i="1"/>
  <c r="J1581" i="1"/>
  <c r="I1581" i="1"/>
  <c r="L1580" i="1"/>
  <c r="K1580" i="1"/>
  <c r="J1580" i="1"/>
  <c r="I1580" i="1"/>
  <c r="L1579" i="1"/>
  <c r="K1579" i="1"/>
  <c r="J1579" i="1"/>
  <c r="I1579" i="1"/>
  <c r="L1578" i="1"/>
  <c r="K1578" i="1"/>
  <c r="J1578" i="1"/>
  <c r="I1578" i="1"/>
  <c r="L1577" i="1"/>
  <c r="K1577" i="1"/>
  <c r="J1577" i="1"/>
  <c r="I1577" i="1"/>
  <c r="L1576" i="1"/>
  <c r="K1576" i="1"/>
  <c r="J1576" i="1"/>
  <c r="I1576" i="1"/>
  <c r="L1575" i="1"/>
  <c r="K1575" i="1"/>
  <c r="J1575" i="1"/>
  <c r="I1575" i="1"/>
  <c r="L1574" i="1"/>
  <c r="K1574" i="1"/>
  <c r="J1574" i="1"/>
  <c r="I1574" i="1"/>
  <c r="L1573" i="1"/>
  <c r="K1573" i="1"/>
  <c r="J1573" i="1"/>
  <c r="I1573" i="1"/>
  <c r="L1572" i="1"/>
  <c r="K1572" i="1"/>
  <c r="J1572" i="1"/>
  <c r="I1572" i="1"/>
  <c r="L1571" i="1"/>
  <c r="K1571" i="1"/>
  <c r="J1571" i="1"/>
  <c r="I1571" i="1"/>
  <c r="L1570" i="1"/>
  <c r="K1570" i="1"/>
  <c r="J1570" i="1"/>
  <c r="I1570" i="1"/>
  <c r="L1569" i="1"/>
  <c r="K1569" i="1"/>
  <c r="J1569" i="1"/>
  <c r="I1569" i="1"/>
  <c r="L1568" i="1"/>
  <c r="K1568" i="1"/>
  <c r="J1568" i="1"/>
  <c r="I1568" i="1"/>
  <c r="L1567" i="1"/>
  <c r="K1567" i="1"/>
  <c r="J1567" i="1"/>
  <c r="I1567" i="1"/>
  <c r="L1566" i="1"/>
  <c r="K1566" i="1"/>
  <c r="J1566" i="1"/>
  <c r="I1566" i="1"/>
  <c r="L1565" i="1"/>
  <c r="K1565" i="1"/>
  <c r="J1565" i="1"/>
  <c r="I1565" i="1"/>
  <c r="L1564" i="1"/>
  <c r="K1564" i="1"/>
  <c r="J1564" i="1"/>
  <c r="I1564" i="1"/>
  <c r="L1563" i="1"/>
  <c r="K1563" i="1"/>
  <c r="J1563" i="1"/>
  <c r="I1563" i="1"/>
  <c r="L1562" i="1"/>
  <c r="K1562" i="1"/>
  <c r="J1562" i="1"/>
  <c r="I1562" i="1"/>
  <c r="L1561" i="1"/>
  <c r="K1561" i="1"/>
  <c r="J1561" i="1"/>
  <c r="I1561" i="1"/>
  <c r="L1560" i="1"/>
  <c r="K1560" i="1"/>
  <c r="J1560" i="1"/>
  <c r="I1560" i="1"/>
  <c r="L1559" i="1"/>
  <c r="K1559" i="1"/>
  <c r="J1559" i="1"/>
  <c r="I1559" i="1"/>
  <c r="L1558" i="1"/>
  <c r="K1558" i="1"/>
  <c r="J1558" i="1"/>
  <c r="I1558" i="1"/>
  <c r="L1557" i="1"/>
  <c r="K1557" i="1"/>
  <c r="J1557" i="1"/>
  <c r="I1557" i="1"/>
  <c r="L1556" i="1"/>
  <c r="K1556" i="1"/>
  <c r="J1556" i="1"/>
  <c r="I1556" i="1"/>
  <c r="L1555" i="1"/>
  <c r="K1555" i="1"/>
  <c r="J1555" i="1"/>
  <c r="I1555" i="1"/>
  <c r="L1554" i="1"/>
  <c r="K1554" i="1"/>
  <c r="J1554" i="1"/>
  <c r="I1554" i="1"/>
  <c r="L1553" i="1"/>
  <c r="K1553" i="1"/>
  <c r="J1553" i="1"/>
  <c r="I1553" i="1"/>
  <c r="L1552" i="1"/>
  <c r="K1552" i="1"/>
  <c r="J1552" i="1"/>
  <c r="I1552" i="1"/>
  <c r="L1551" i="1"/>
  <c r="K1551" i="1"/>
  <c r="J1551" i="1"/>
  <c r="I1551" i="1"/>
  <c r="L1550" i="1"/>
  <c r="K1550" i="1"/>
  <c r="J1550" i="1"/>
  <c r="I1550" i="1"/>
  <c r="L1549" i="1"/>
  <c r="K1549" i="1"/>
  <c r="J1549" i="1"/>
  <c r="I1549" i="1"/>
  <c r="L1548" i="1"/>
  <c r="K1548" i="1"/>
  <c r="J1548" i="1"/>
  <c r="I1548" i="1"/>
  <c r="L1547" i="1"/>
  <c r="K1547" i="1"/>
  <c r="J1547" i="1"/>
  <c r="I1547" i="1"/>
  <c r="L1546" i="1"/>
  <c r="K1546" i="1"/>
  <c r="J1546" i="1"/>
  <c r="I1546" i="1"/>
  <c r="L1545" i="1"/>
  <c r="K1545" i="1"/>
  <c r="J1545" i="1"/>
  <c r="I1545" i="1"/>
  <c r="L1544" i="1"/>
  <c r="K1544" i="1"/>
  <c r="J1544" i="1"/>
  <c r="I1544" i="1"/>
  <c r="L1543" i="1"/>
  <c r="K1543" i="1"/>
  <c r="J1543" i="1"/>
  <c r="I1543" i="1"/>
  <c r="L1542" i="1"/>
  <c r="K1542" i="1"/>
  <c r="J1542" i="1"/>
  <c r="I1542" i="1"/>
  <c r="L1541" i="1"/>
  <c r="K1541" i="1"/>
  <c r="J1541" i="1"/>
  <c r="I1541" i="1"/>
  <c r="L1540" i="1"/>
  <c r="K1540" i="1"/>
  <c r="J1540" i="1"/>
  <c r="I1540" i="1"/>
  <c r="L1539" i="1"/>
  <c r="K1539" i="1"/>
  <c r="J1539" i="1"/>
  <c r="I1539" i="1"/>
  <c r="L1538" i="1"/>
  <c r="K1538" i="1"/>
  <c r="J1538" i="1"/>
  <c r="I1538" i="1"/>
  <c r="L1537" i="1"/>
  <c r="K1537" i="1"/>
  <c r="J1537" i="1"/>
  <c r="I1537" i="1"/>
  <c r="L1536" i="1"/>
  <c r="K1536" i="1"/>
  <c r="J1536" i="1"/>
  <c r="I1536" i="1"/>
  <c r="L1535" i="1"/>
  <c r="K1535" i="1"/>
  <c r="J1535" i="1"/>
  <c r="I1535" i="1"/>
  <c r="L1534" i="1"/>
  <c r="K1534" i="1"/>
  <c r="J1534" i="1"/>
  <c r="I1534" i="1"/>
  <c r="L1533" i="1"/>
  <c r="K1533" i="1"/>
  <c r="J1533" i="1"/>
  <c r="I1533" i="1"/>
  <c r="L1532" i="1"/>
  <c r="K1532" i="1"/>
  <c r="J1532" i="1"/>
  <c r="I1532" i="1"/>
  <c r="L1531" i="1"/>
  <c r="K1531" i="1"/>
  <c r="J1531" i="1"/>
  <c r="I1531" i="1"/>
  <c r="L1530" i="1"/>
  <c r="K1530" i="1"/>
  <c r="J1530" i="1"/>
  <c r="I1530" i="1"/>
  <c r="L1529" i="1"/>
  <c r="K1529" i="1"/>
  <c r="J1529" i="1"/>
  <c r="I1529" i="1"/>
  <c r="L1528" i="1"/>
  <c r="K1528" i="1"/>
  <c r="J1528" i="1"/>
  <c r="I1528" i="1"/>
  <c r="L1527" i="1"/>
  <c r="K1527" i="1"/>
  <c r="J1527" i="1"/>
  <c r="I1527" i="1"/>
  <c r="L1526" i="1"/>
  <c r="K1526" i="1"/>
  <c r="J1526" i="1"/>
  <c r="I1526" i="1"/>
  <c r="L1525" i="1"/>
  <c r="K1525" i="1"/>
  <c r="J1525" i="1"/>
  <c r="I1525" i="1"/>
  <c r="L1524" i="1"/>
  <c r="K1524" i="1"/>
  <c r="J1524" i="1"/>
  <c r="I1524" i="1"/>
  <c r="L1523" i="1"/>
  <c r="K1523" i="1"/>
  <c r="J1523" i="1"/>
  <c r="I1523" i="1"/>
  <c r="L1522" i="1"/>
  <c r="K1522" i="1"/>
  <c r="J1522" i="1"/>
  <c r="I1522" i="1"/>
  <c r="L1521" i="1"/>
  <c r="K1521" i="1"/>
  <c r="J1521" i="1"/>
  <c r="I1521" i="1"/>
  <c r="L1520" i="1"/>
  <c r="K1520" i="1"/>
  <c r="J1520" i="1"/>
  <c r="I1520" i="1"/>
  <c r="L1519" i="1"/>
  <c r="K1519" i="1"/>
  <c r="J1519" i="1"/>
  <c r="I1519" i="1"/>
  <c r="L1518" i="1"/>
  <c r="K1518" i="1"/>
  <c r="J1518" i="1"/>
  <c r="I1518" i="1"/>
  <c r="L1517" i="1"/>
  <c r="K1517" i="1"/>
  <c r="J1517" i="1"/>
  <c r="I1517" i="1"/>
  <c r="L1516" i="1"/>
  <c r="K1516" i="1"/>
  <c r="J1516" i="1"/>
  <c r="I1516" i="1"/>
  <c r="L1515" i="1"/>
  <c r="K1515" i="1"/>
  <c r="J1515" i="1"/>
  <c r="I1515" i="1"/>
  <c r="L1514" i="1"/>
  <c r="K1514" i="1"/>
  <c r="J1514" i="1"/>
  <c r="I1514" i="1"/>
  <c r="L1513" i="1"/>
  <c r="K1513" i="1"/>
  <c r="J1513" i="1"/>
  <c r="I1513" i="1"/>
  <c r="L1512" i="1"/>
  <c r="K1512" i="1"/>
  <c r="J1512" i="1"/>
  <c r="I1512" i="1"/>
  <c r="L1511" i="1"/>
  <c r="K1511" i="1"/>
  <c r="J1511" i="1"/>
  <c r="I1511" i="1"/>
  <c r="L1510" i="1"/>
  <c r="K1510" i="1"/>
  <c r="J1510" i="1"/>
  <c r="I1510" i="1"/>
  <c r="L1509" i="1"/>
  <c r="K1509" i="1"/>
  <c r="J1509" i="1"/>
  <c r="I1509" i="1"/>
  <c r="L1508" i="1"/>
  <c r="K1508" i="1"/>
  <c r="J1508" i="1"/>
  <c r="I1508" i="1"/>
  <c r="L1507" i="1"/>
  <c r="K1507" i="1"/>
  <c r="J1507" i="1"/>
  <c r="I1507" i="1"/>
  <c r="L1506" i="1"/>
  <c r="K1506" i="1"/>
  <c r="J1506" i="1"/>
  <c r="I1506" i="1"/>
  <c r="L1505" i="1"/>
  <c r="K1505" i="1"/>
  <c r="J1505" i="1"/>
  <c r="I1505" i="1"/>
  <c r="L1504" i="1"/>
  <c r="K1504" i="1"/>
  <c r="J1504" i="1"/>
  <c r="I1504" i="1"/>
  <c r="L1503" i="1"/>
  <c r="K1503" i="1"/>
  <c r="J1503" i="1"/>
  <c r="I1503" i="1"/>
  <c r="L1502" i="1"/>
  <c r="K1502" i="1"/>
  <c r="J1502" i="1"/>
  <c r="I1502" i="1"/>
  <c r="L1501" i="1"/>
  <c r="K1501" i="1"/>
  <c r="J1501" i="1"/>
  <c r="I1501" i="1"/>
  <c r="L1500" i="1"/>
  <c r="K1500" i="1"/>
  <c r="J1500" i="1"/>
  <c r="I1500" i="1"/>
  <c r="L1499" i="1"/>
  <c r="K1499" i="1"/>
  <c r="J1499" i="1"/>
  <c r="I1499" i="1"/>
  <c r="L1498" i="1"/>
  <c r="K1498" i="1"/>
  <c r="J1498" i="1"/>
  <c r="I1498" i="1"/>
  <c r="L1497" i="1"/>
  <c r="K1497" i="1"/>
  <c r="J1497" i="1"/>
  <c r="I1497" i="1"/>
  <c r="L1496" i="1"/>
  <c r="K1496" i="1"/>
  <c r="J1496" i="1"/>
  <c r="I1496" i="1"/>
  <c r="L1495" i="1"/>
  <c r="K1495" i="1"/>
  <c r="J1495" i="1"/>
  <c r="I1495" i="1"/>
  <c r="L1494" i="1"/>
  <c r="K1494" i="1"/>
  <c r="J1494" i="1"/>
  <c r="I1494" i="1"/>
  <c r="L1493" i="1"/>
  <c r="K1493" i="1"/>
  <c r="J1493" i="1"/>
  <c r="I1493" i="1"/>
  <c r="L1492" i="1"/>
  <c r="K1492" i="1"/>
  <c r="J1492" i="1"/>
  <c r="I1492" i="1"/>
  <c r="L1491" i="1"/>
  <c r="K1491" i="1"/>
  <c r="J1491" i="1"/>
  <c r="I1491" i="1"/>
  <c r="L1490" i="1"/>
  <c r="K1490" i="1"/>
  <c r="J1490" i="1"/>
  <c r="I1490" i="1"/>
  <c r="L1489" i="1"/>
  <c r="K1489" i="1"/>
  <c r="J1489" i="1"/>
  <c r="I1489" i="1"/>
  <c r="L1488" i="1"/>
  <c r="K1488" i="1"/>
  <c r="J1488" i="1"/>
  <c r="I1488" i="1"/>
  <c r="L1487" i="1"/>
  <c r="K1487" i="1"/>
  <c r="J1487" i="1"/>
  <c r="I1487" i="1"/>
  <c r="L1486" i="1"/>
  <c r="K1486" i="1"/>
  <c r="J1486" i="1"/>
  <c r="I1486" i="1"/>
  <c r="L1485" i="1"/>
  <c r="K1485" i="1"/>
  <c r="J1485" i="1"/>
  <c r="I1485" i="1"/>
  <c r="L1484" i="1"/>
  <c r="K1484" i="1"/>
  <c r="J1484" i="1"/>
  <c r="I1484" i="1"/>
  <c r="L1483" i="1"/>
  <c r="K1483" i="1"/>
  <c r="J1483" i="1"/>
  <c r="I1483" i="1"/>
  <c r="L1482" i="1"/>
  <c r="K1482" i="1"/>
  <c r="J1482" i="1"/>
  <c r="I1482" i="1"/>
  <c r="L1481" i="1"/>
  <c r="K1481" i="1"/>
  <c r="J1481" i="1"/>
  <c r="I1481" i="1"/>
  <c r="L1480" i="1"/>
  <c r="K1480" i="1"/>
  <c r="J1480" i="1"/>
  <c r="I1480" i="1"/>
  <c r="L1479" i="1"/>
  <c r="K1479" i="1"/>
  <c r="J1479" i="1"/>
  <c r="I1479" i="1"/>
  <c r="L1478" i="1"/>
  <c r="K1478" i="1"/>
  <c r="J1478" i="1"/>
  <c r="I1478" i="1"/>
  <c r="L1477" i="1"/>
  <c r="K1477" i="1"/>
  <c r="J1477" i="1"/>
  <c r="I1477" i="1"/>
  <c r="L1476" i="1"/>
  <c r="K1476" i="1"/>
  <c r="J1476" i="1"/>
  <c r="I1476" i="1"/>
  <c r="L1475" i="1"/>
  <c r="K1475" i="1"/>
  <c r="J1475" i="1"/>
  <c r="I1475" i="1"/>
  <c r="L1474" i="1"/>
  <c r="K1474" i="1"/>
  <c r="J1474" i="1"/>
  <c r="I1474" i="1"/>
  <c r="L1473" i="1"/>
  <c r="K1473" i="1"/>
  <c r="J1473" i="1"/>
  <c r="I1473" i="1"/>
  <c r="L1472" i="1"/>
  <c r="K1472" i="1"/>
  <c r="J1472" i="1"/>
  <c r="I1472" i="1"/>
  <c r="L1471" i="1"/>
  <c r="K1471" i="1"/>
  <c r="J1471" i="1"/>
  <c r="I1471" i="1"/>
  <c r="L1470" i="1"/>
  <c r="K1470" i="1"/>
  <c r="J1470" i="1"/>
  <c r="I1470" i="1"/>
  <c r="L1469" i="1"/>
  <c r="K1469" i="1"/>
  <c r="J1469" i="1"/>
  <c r="I1469" i="1"/>
  <c r="L1468" i="1"/>
  <c r="K1468" i="1"/>
  <c r="J1468" i="1"/>
  <c r="I1468" i="1"/>
  <c r="L1467" i="1"/>
  <c r="K1467" i="1"/>
  <c r="J1467" i="1"/>
  <c r="I1467" i="1"/>
  <c r="L1466" i="1"/>
  <c r="K1466" i="1"/>
  <c r="J1466" i="1"/>
  <c r="I1466" i="1"/>
  <c r="L1465" i="1"/>
  <c r="K1465" i="1"/>
  <c r="J1465" i="1"/>
  <c r="I1465" i="1"/>
  <c r="L1464" i="1"/>
  <c r="K1464" i="1"/>
  <c r="J1464" i="1"/>
  <c r="I1464" i="1"/>
  <c r="L1463" i="1"/>
  <c r="K1463" i="1"/>
  <c r="J1463" i="1"/>
  <c r="I1463" i="1"/>
  <c r="L1462" i="1"/>
  <c r="K1462" i="1"/>
  <c r="J1462" i="1"/>
  <c r="I1462" i="1"/>
  <c r="L1461" i="1"/>
  <c r="K1461" i="1"/>
  <c r="J1461" i="1"/>
  <c r="I1461" i="1"/>
  <c r="L1460" i="1"/>
  <c r="K1460" i="1"/>
  <c r="J1460" i="1"/>
  <c r="I1460" i="1"/>
  <c r="L1459" i="1"/>
  <c r="K1459" i="1"/>
  <c r="J1459" i="1"/>
  <c r="I1459" i="1"/>
  <c r="L1458" i="1"/>
  <c r="K1458" i="1"/>
  <c r="J1458" i="1"/>
  <c r="I1458" i="1"/>
  <c r="L1457" i="1"/>
  <c r="K1457" i="1"/>
  <c r="J1457" i="1"/>
  <c r="I1457" i="1"/>
  <c r="L1456" i="1"/>
  <c r="K1456" i="1"/>
  <c r="J1456" i="1"/>
  <c r="I1456" i="1"/>
  <c r="L1455" i="1"/>
  <c r="K1455" i="1"/>
  <c r="J1455" i="1"/>
  <c r="I1455" i="1"/>
  <c r="L1454" i="1"/>
  <c r="K1454" i="1"/>
  <c r="J1454" i="1"/>
  <c r="I1454" i="1"/>
  <c r="L1453" i="1"/>
  <c r="K1453" i="1"/>
  <c r="J1453" i="1"/>
  <c r="I1453" i="1"/>
  <c r="L1452" i="1"/>
  <c r="K1452" i="1"/>
  <c r="J1452" i="1"/>
  <c r="I1452" i="1"/>
  <c r="L1451" i="1"/>
  <c r="K1451" i="1"/>
  <c r="J1451" i="1"/>
  <c r="I1451" i="1"/>
  <c r="L1450" i="1"/>
  <c r="K1450" i="1"/>
  <c r="J1450" i="1"/>
  <c r="I1450" i="1"/>
  <c r="L1449" i="1"/>
  <c r="K1449" i="1"/>
  <c r="J1449" i="1"/>
  <c r="I1449" i="1"/>
  <c r="L1448" i="1"/>
  <c r="K1448" i="1"/>
  <c r="J1448" i="1"/>
  <c r="I1448" i="1"/>
  <c r="L1447" i="1"/>
  <c r="K1447" i="1"/>
  <c r="J1447" i="1"/>
  <c r="I1447" i="1"/>
  <c r="L1446" i="1"/>
  <c r="K1446" i="1"/>
  <c r="J1446" i="1"/>
  <c r="I1446" i="1"/>
  <c r="L1445" i="1"/>
  <c r="K1445" i="1"/>
  <c r="J1445" i="1"/>
  <c r="I1445" i="1"/>
  <c r="L1444" i="1"/>
  <c r="K1444" i="1"/>
  <c r="J1444" i="1"/>
  <c r="I1444" i="1"/>
  <c r="L1443" i="1"/>
  <c r="K1443" i="1"/>
  <c r="J1443" i="1"/>
  <c r="I1443" i="1"/>
  <c r="L1442" i="1"/>
  <c r="K1442" i="1"/>
  <c r="J1442" i="1"/>
  <c r="I1442" i="1"/>
  <c r="L1441" i="1"/>
  <c r="K1441" i="1"/>
  <c r="J1441" i="1"/>
  <c r="I1441" i="1"/>
  <c r="L1440" i="1"/>
  <c r="K1440" i="1"/>
  <c r="J1440" i="1"/>
  <c r="I1440" i="1"/>
  <c r="L1439" i="1"/>
  <c r="K1439" i="1"/>
  <c r="J1439" i="1"/>
  <c r="I1439" i="1"/>
  <c r="L1438" i="1"/>
  <c r="K1438" i="1"/>
  <c r="J1438" i="1"/>
  <c r="I1438" i="1"/>
  <c r="L1437" i="1"/>
  <c r="K1437" i="1"/>
  <c r="J1437" i="1"/>
  <c r="I1437" i="1"/>
  <c r="L1436" i="1"/>
  <c r="K1436" i="1"/>
  <c r="J1436" i="1"/>
  <c r="I1436" i="1"/>
  <c r="L1435" i="1"/>
  <c r="K1435" i="1"/>
  <c r="J1435" i="1"/>
  <c r="I1435" i="1"/>
  <c r="L1434" i="1"/>
  <c r="K1434" i="1"/>
  <c r="J1434" i="1"/>
  <c r="I1434" i="1"/>
  <c r="L1433" i="1"/>
  <c r="K1433" i="1"/>
  <c r="J1433" i="1"/>
  <c r="I1433" i="1"/>
  <c r="L1432" i="1"/>
  <c r="K1432" i="1"/>
  <c r="J1432" i="1"/>
  <c r="I1432" i="1"/>
  <c r="L1431" i="1"/>
  <c r="K1431" i="1"/>
  <c r="J1431" i="1"/>
  <c r="I1431" i="1"/>
  <c r="L1430" i="1"/>
  <c r="K1430" i="1"/>
  <c r="J1430" i="1"/>
  <c r="I1430" i="1"/>
  <c r="L1429" i="1"/>
  <c r="K1429" i="1"/>
  <c r="J1429" i="1"/>
  <c r="I1429" i="1"/>
  <c r="L1428" i="1"/>
  <c r="K1428" i="1"/>
  <c r="J1428" i="1"/>
  <c r="I1428" i="1"/>
  <c r="L1427" i="1"/>
  <c r="K1427" i="1"/>
  <c r="J1427" i="1"/>
  <c r="I1427" i="1"/>
  <c r="L1426" i="1"/>
  <c r="K1426" i="1"/>
  <c r="J1426" i="1"/>
  <c r="I1426" i="1"/>
  <c r="L1425" i="1"/>
  <c r="K1425" i="1"/>
  <c r="J1425" i="1"/>
  <c r="I1425" i="1"/>
  <c r="L1424" i="1"/>
  <c r="K1424" i="1"/>
  <c r="J1424" i="1"/>
  <c r="I1424" i="1"/>
  <c r="L1423" i="1"/>
  <c r="K1423" i="1"/>
  <c r="J1423" i="1"/>
  <c r="I1423" i="1"/>
  <c r="L1422" i="1"/>
  <c r="K1422" i="1"/>
  <c r="J1422" i="1"/>
  <c r="I1422" i="1"/>
  <c r="L1421" i="1"/>
  <c r="K1421" i="1"/>
  <c r="J1421" i="1"/>
  <c r="I1421" i="1"/>
  <c r="L1420" i="1"/>
  <c r="K1420" i="1"/>
  <c r="J1420" i="1"/>
  <c r="I1420" i="1"/>
  <c r="L1419" i="1"/>
  <c r="K1419" i="1"/>
  <c r="J1419" i="1"/>
  <c r="I1419" i="1"/>
  <c r="L1418" i="1"/>
  <c r="K1418" i="1"/>
  <c r="J1418" i="1"/>
  <c r="I1418" i="1"/>
  <c r="L1417" i="1"/>
  <c r="K1417" i="1"/>
  <c r="J1417" i="1"/>
  <c r="I1417" i="1"/>
  <c r="L1416" i="1"/>
  <c r="K1416" i="1"/>
  <c r="J1416" i="1"/>
  <c r="I1416" i="1"/>
  <c r="L1415" i="1"/>
  <c r="K1415" i="1"/>
  <c r="J1415" i="1"/>
  <c r="I1415" i="1"/>
  <c r="L1414" i="1"/>
  <c r="K1414" i="1"/>
  <c r="J1414" i="1"/>
  <c r="I1414" i="1"/>
  <c r="L1413" i="1"/>
  <c r="K1413" i="1"/>
  <c r="J1413" i="1"/>
  <c r="I1413" i="1"/>
  <c r="L1412" i="1"/>
  <c r="K1412" i="1"/>
  <c r="J1412" i="1"/>
  <c r="I1412" i="1"/>
  <c r="L1411" i="1"/>
  <c r="K1411" i="1"/>
  <c r="J1411" i="1"/>
  <c r="I1411" i="1"/>
  <c r="L1410" i="1"/>
  <c r="K1410" i="1"/>
  <c r="J1410" i="1"/>
  <c r="I1410" i="1"/>
  <c r="L1409" i="1"/>
  <c r="K1409" i="1"/>
  <c r="J1409" i="1"/>
  <c r="I1409" i="1"/>
  <c r="L1408" i="1"/>
  <c r="K1408" i="1"/>
  <c r="J1408" i="1"/>
  <c r="I1408" i="1"/>
  <c r="L1407" i="1"/>
  <c r="K1407" i="1"/>
  <c r="J1407" i="1"/>
  <c r="I1407" i="1"/>
  <c r="L1406" i="1"/>
  <c r="K1406" i="1"/>
  <c r="J1406" i="1"/>
  <c r="I1406" i="1"/>
  <c r="L1405" i="1"/>
  <c r="K1405" i="1"/>
  <c r="J1405" i="1"/>
  <c r="I1405" i="1"/>
  <c r="L1404" i="1"/>
  <c r="K1404" i="1"/>
  <c r="J1404" i="1"/>
  <c r="I1404" i="1"/>
  <c r="L1403" i="1"/>
  <c r="K1403" i="1"/>
  <c r="J1403" i="1"/>
  <c r="I1403" i="1"/>
  <c r="L1402" i="1"/>
  <c r="K1402" i="1"/>
  <c r="J1402" i="1"/>
  <c r="I1402" i="1"/>
  <c r="L1401" i="1"/>
  <c r="K1401" i="1"/>
  <c r="J1401" i="1"/>
  <c r="I1401" i="1"/>
  <c r="L1400" i="1"/>
  <c r="K1400" i="1"/>
  <c r="J1400" i="1"/>
  <c r="I1400" i="1"/>
  <c r="L1399" i="1"/>
  <c r="K1399" i="1"/>
  <c r="J1399" i="1"/>
  <c r="I1399" i="1"/>
  <c r="L1398" i="1"/>
  <c r="K1398" i="1"/>
  <c r="J1398" i="1"/>
  <c r="I1398" i="1"/>
  <c r="L1397" i="1"/>
  <c r="K1397" i="1"/>
  <c r="J1397" i="1"/>
  <c r="I1397" i="1"/>
  <c r="L1396" i="1"/>
  <c r="K1396" i="1"/>
  <c r="J1396" i="1"/>
  <c r="I1396" i="1"/>
  <c r="L1395" i="1"/>
  <c r="K1395" i="1"/>
  <c r="J1395" i="1"/>
  <c r="I1395" i="1"/>
  <c r="L1394" i="1"/>
  <c r="K1394" i="1"/>
  <c r="J1394" i="1"/>
  <c r="I1394" i="1"/>
  <c r="L1393" i="1"/>
  <c r="K1393" i="1"/>
  <c r="J1393" i="1"/>
  <c r="I1393" i="1"/>
  <c r="L1392" i="1"/>
  <c r="K1392" i="1"/>
  <c r="J1392" i="1"/>
  <c r="I1392" i="1"/>
  <c r="L1391" i="1"/>
  <c r="K1391" i="1"/>
  <c r="J1391" i="1"/>
  <c r="I1391" i="1"/>
  <c r="L1390" i="1"/>
  <c r="K1390" i="1"/>
  <c r="J1390" i="1"/>
  <c r="I1390" i="1"/>
  <c r="L1389" i="1"/>
  <c r="K1389" i="1"/>
  <c r="J1389" i="1"/>
  <c r="I1389" i="1"/>
  <c r="L1388" i="1"/>
  <c r="K1388" i="1"/>
  <c r="J1388" i="1"/>
  <c r="I1388" i="1"/>
  <c r="L1387" i="1"/>
  <c r="K1387" i="1"/>
  <c r="J1387" i="1"/>
  <c r="I1387" i="1"/>
  <c r="L1386" i="1"/>
  <c r="K1386" i="1"/>
  <c r="J1386" i="1"/>
  <c r="I1386" i="1"/>
  <c r="L1385" i="1"/>
  <c r="K1385" i="1"/>
  <c r="J1385" i="1"/>
  <c r="I1385" i="1"/>
  <c r="L1384" i="1"/>
  <c r="K1384" i="1"/>
  <c r="J1384" i="1"/>
  <c r="I1384" i="1"/>
  <c r="L1383" i="1"/>
  <c r="K1383" i="1"/>
  <c r="J1383" i="1"/>
  <c r="I1383" i="1"/>
  <c r="L1382" i="1"/>
  <c r="K1382" i="1"/>
  <c r="J1382" i="1"/>
  <c r="I1382" i="1"/>
  <c r="L1381" i="1"/>
  <c r="K1381" i="1"/>
  <c r="J1381" i="1"/>
  <c r="I1381" i="1"/>
  <c r="L1380" i="1"/>
  <c r="K1380" i="1"/>
  <c r="J1380" i="1"/>
  <c r="I1380" i="1"/>
  <c r="L1379" i="1"/>
  <c r="K1379" i="1"/>
  <c r="J1379" i="1"/>
  <c r="I1379" i="1"/>
  <c r="L1378" i="1"/>
  <c r="K1378" i="1"/>
  <c r="J1378" i="1"/>
  <c r="I1378" i="1"/>
  <c r="L1377" i="1"/>
  <c r="K1377" i="1"/>
  <c r="J1377" i="1"/>
  <c r="I1377" i="1"/>
  <c r="L1376" i="1"/>
  <c r="K1376" i="1"/>
  <c r="J1376" i="1"/>
  <c r="I1376" i="1"/>
  <c r="L1375" i="1"/>
  <c r="K1375" i="1"/>
  <c r="J1375" i="1"/>
  <c r="I1375" i="1"/>
  <c r="L1374" i="1"/>
  <c r="K1374" i="1"/>
  <c r="J1374" i="1"/>
  <c r="I1374" i="1"/>
  <c r="L1373" i="1"/>
  <c r="K1373" i="1"/>
  <c r="J1373" i="1"/>
  <c r="I1373" i="1"/>
  <c r="L1372" i="1"/>
  <c r="K1372" i="1"/>
  <c r="J1372" i="1"/>
  <c r="I1372" i="1"/>
  <c r="L1371" i="1"/>
  <c r="K1371" i="1"/>
  <c r="J1371" i="1"/>
  <c r="I1371" i="1"/>
  <c r="L1370" i="1"/>
  <c r="K1370" i="1"/>
  <c r="J1370" i="1"/>
  <c r="I1370" i="1"/>
  <c r="L1369" i="1"/>
  <c r="K1369" i="1"/>
  <c r="J1369" i="1"/>
  <c r="I1369" i="1"/>
  <c r="L1368" i="1"/>
  <c r="K1368" i="1"/>
  <c r="J1368" i="1"/>
  <c r="I1368" i="1"/>
  <c r="L1367" i="1"/>
  <c r="K1367" i="1"/>
  <c r="J1367" i="1"/>
  <c r="I1367" i="1"/>
  <c r="L1366" i="1"/>
  <c r="K1366" i="1"/>
  <c r="J1366" i="1"/>
  <c r="I1366" i="1"/>
  <c r="L1365" i="1"/>
  <c r="K1365" i="1"/>
  <c r="J1365" i="1"/>
  <c r="I1365" i="1"/>
  <c r="L1364" i="1"/>
  <c r="K1364" i="1"/>
  <c r="J1364" i="1"/>
  <c r="I1364" i="1"/>
  <c r="L1363" i="1"/>
  <c r="K1363" i="1"/>
  <c r="J1363" i="1"/>
  <c r="I1363" i="1"/>
  <c r="L1362" i="1"/>
  <c r="K1362" i="1"/>
  <c r="J1362" i="1"/>
  <c r="I1362" i="1"/>
  <c r="L1361" i="1"/>
  <c r="K1361" i="1"/>
  <c r="J1361" i="1"/>
  <c r="I1361" i="1"/>
  <c r="L1360" i="1"/>
  <c r="K1360" i="1"/>
  <c r="J1360" i="1"/>
  <c r="I1360" i="1"/>
  <c r="L1359" i="1"/>
  <c r="K1359" i="1"/>
  <c r="J1359" i="1"/>
  <c r="I1359" i="1"/>
  <c r="L1358" i="1"/>
  <c r="K1358" i="1"/>
  <c r="J1358" i="1"/>
  <c r="I1358" i="1"/>
  <c r="L1357" i="1"/>
  <c r="K1357" i="1"/>
  <c r="J1357" i="1"/>
  <c r="I1357" i="1"/>
  <c r="L1356" i="1"/>
  <c r="K1356" i="1"/>
  <c r="J1356" i="1"/>
  <c r="I1356" i="1"/>
  <c r="L1355" i="1"/>
  <c r="K1355" i="1"/>
  <c r="J1355" i="1"/>
  <c r="I1355" i="1"/>
  <c r="L1354" i="1"/>
  <c r="K1354" i="1"/>
  <c r="J1354" i="1"/>
  <c r="I1354" i="1"/>
  <c r="L1353" i="1"/>
  <c r="K1353" i="1"/>
  <c r="J1353" i="1"/>
  <c r="I1353" i="1"/>
  <c r="L1352" i="1"/>
  <c r="K1352" i="1"/>
  <c r="J1352" i="1"/>
  <c r="I1352" i="1"/>
  <c r="L1351" i="1"/>
  <c r="K1351" i="1"/>
  <c r="J1351" i="1"/>
  <c r="I1351" i="1"/>
  <c r="L1350" i="1"/>
  <c r="K1350" i="1"/>
  <c r="J1350" i="1"/>
  <c r="I1350" i="1"/>
  <c r="L1349" i="1"/>
  <c r="K1349" i="1"/>
  <c r="J1349" i="1"/>
  <c r="I1349" i="1"/>
  <c r="L1348" i="1"/>
  <c r="K1348" i="1"/>
  <c r="J1348" i="1"/>
  <c r="I1348" i="1"/>
  <c r="L1347" i="1"/>
  <c r="K1347" i="1"/>
  <c r="J1347" i="1"/>
  <c r="I1347" i="1"/>
  <c r="L1346" i="1"/>
  <c r="K1346" i="1"/>
  <c r="J1346" i="1"/>
  <c r="I1346" i="1"/>
  <c r="L1345" i="1"/>
  <c r="K1345" i="1"/>
  <c r="J1345" i="1"/>
  <c r="I1345" i="1"/>
  <c r="L1344" i="1"/>
  <c r="K1344" i="1"/>
  <c r="J1344" i="1"/>
  <c r="I1344" i="1"/>
  <c r="L1343" i="1"/>
  <c r="K1343" i="1"/>
  <c r="J1343" i="1"/>
  <c r="I1343" i="1"/>
  <c r="L1342" i="1"/>
  <c r="K1342" i="1"/>
  <c r="J1342" i="1"/>
  <c r="I1342" i="1"/>
  <c r="L1341" i="1"/>
  <c r="K1341" i="1"/>
  <c r="J1341" i="1"/>
  <c r="I1341" i="1"/>
  <c r="L1340" i="1"/>
  <c r="K1340" i="1"/>
  <c r="J1340" i="1"/>
  <c r="I1340" i="1"/>
  <c r="L1339" i="1"/>
  <c r="K1339" i="1"/>
  <c r="J1339" i="1"/>
  <c r="I1339" i="1"/>
  <c r="L1338" i="1"/>
  <c r="K1338" i="1"/>
  <c r="J1338" i="1"/>
  <c r="I1338" i="1"/>
  <c r="L1337" i="1"/>
  <c r="K1337" i="1"/>
  <c r="J1337" i="1"/>
  <c r="I1337" i="1"/>
  <c r="L1336" i="1"/>
  <c r="K1336" i="1"/>
  <c r="J1336" i="1"/>
  <c r="I1336" i="1"/>
  <c r="L1335" i="1"/>
  <c r="K1335" i="1"/>
  <c r="J1335" i="1"/>
  <c r="I1335" i="1"/>
  <c r="L1334" i="1"/>
  <c r="K1334" i="1"/>
  <c r="J1334" i="1"/>
  <c r="I1334" i="1"/>
  <c r="L1333" i="1"/>
  <c r="K1333" i="1"/>
  <c r="J1333" i="1"/>
  <c r="I1333" i="1"/>
  <c r="L1332" i="1"/>
  <c r="K1332" i="1"/>
  <c r="J1332" i="1"/>
  <c r="I1332" i="1"/>
  <c r="L1331" i="1"/>
  <c r="K1331" i="1"/>
  <c r="J1331" i="1"/>
  <c r="I1331" i="1"/>
  <c r="L1330" i="1"/>
  <c r="K1330" i="1"/>
  <c r="J1330" i="1"/>
  <c r="I1330" i="1"/>
  <c r="L1329" i="1"/>
  <c r="K1329" i="1"/>
  <c r="J1329" i="1"/>
  <c r="I1329" i="1"/>
  <c r="L1328" i="1"/>
  <c r="K1328" i="1"/>
  <c r="J1328" i="1"/>
  <c r="I1328" i="1"/>
  <c r="L1327" i="1"/>
  <c r="K1327" i="1"/>
  <c r="J1327" i="1"/>
  <c r="I1327" i="1"/>
  <c r="L1326" i="1"/>
  <c r="K1326" i="1"/>
  <c r="J1326" i="1"/>
  <c r="I1326" i="1"/>
  <c r="L1325" i="1"/>
  <c r="K1325" i="1"/>
  <c r="J1325" i="1"/>
  <c r="I1325" i="1"/>
  <c r="L1324" i="1"/>
  <c r="K1324" i="1"/>
  <c r="J1324" i="1"/>
  <c r="I1324" i="1"/>
  <c r="L1323" i="1"/>
  <c r="K1323" i="1"/>
  <c r="J1323" i="1"/>
  <c r="I1323" i="1"/>
  <c r="L1322" i="1"/>
  <c r="K1322" i="1"/>
  <c r="J1322" i="1"/>
  <c r="I1322" i="1"/>
  <c r="L1321" i="1"/>
  <c r="K1321" i="1"/>
  <c r="J1321" i="1"/>
  <c r="I1321" i="1"/>
  <c r="L1320" i="1"/>
  <c r="K1320" i="1"/>
  <c r="J1320" i="1"/>
  <c r="I1320" i="1"/>
  <c r="L1319" i="1"/>
  <c r="K1319" i="1"/>
  <c r="J1319" i="1"/>
  <c r="I1319" i="1"/>
  <c r="L1318" i="1"/>
  <c r="K1318" i="1"/>
  <c r="J1318" i="1"/>
  <c r="I1318" i="1"/>
  <c r="L1317" i="1"/>
  <c r="K1317" i="1"/>
  <c r="J1317" i="1"/>
  <c r="I1317" i="1"/>
  <c r="L1316" i="1"/>
  <c r="K1316" i="1"/>
  <c r="J1316" i="1"/>
  <c r="I1316" i="1"/>
  <c r="L1315" i="1"/>
  <c r="K1315" i="1"/>
  <c r="J1315" i="1"/>
  <c r="I1315" i="1"/>
  <c r="L1314" i="1"/>
  <c r="K1314" i="1"/>
  <c r="J1314" i="1"/>
  <c r="I1314" i="1"/>
  <c r="L1313" i="1"/>
  <c r="K1313" i="1"/>
  <c r="J1313" i="1"/>
  <c r="I1313" i="1"/>
  <c r="L1312" i="1"/>
  <c r="K1312" i="1"/>
  <c r="J1312" i="1"/>
  <c r="I1312" i="1"/>
  <c r="L1311" i="1"/>
  <c r="K1311" i="1"/>
  <c r="J1311" i="1"/>
  <c r="I1311" i="1"/>
  <c r="L1310" i="1"/>
  <c r="K1310" i="1"/>
  <c r="J1310" i="1"/>
  <c r="I1310" i="1"/>
  <c r="L1309" i="1"/>
  <c r="K1309" i="1"/>
  <c r="J1309" i="1"/>
  <c r="I1309" i="1"/>
  <c r="L1308" i="1"/>
  <c r="K1308" i="1"/>
  <c r="J1308" i="1"/>
  <c r="I1308" i="1"/>
  <c r="L1307" i="1"/>
  <c r="K1307" i="1"/>
  <c r="J1307" i="1"/>
  <c r="I1307" i="1"/>
  <c r="L1306" i="1"/>
  <c r="K1306" i="1"/>
  <c r="J1306" i="1"/>
  <c r="I1306" i="1"/>
  <c r="L1305" i="1"/>
  <c r="K1305" i="1"/>
  <c r="J1305" i="1"/>
  <c r="I1305" i="1"/>
  <c r="L1304" i="1"/>
  <c r="K1304" i="1"/>
  <c r="J1304" i="1"/>
  <c r="I1304" i="1"/>
  <c r="L1303" i="1"/>
  <c r="K1303" i="1"/>
  <c r="J1303" i="1"/>
  <c r="I1303" i="1"/>
  <c r="L1302" i="1"/>
  <c r="K1302" i="1"/>
  <c r="J1302" i="1"/>
  <c r="I1302" i="1"/>
  <c r="L1301" i="1"/>
  <c r="K1301" i="1"/>
  <c r="J1301" i="1"/>
  <c r="I1301" i="1"/>
  <c r="L1300" i="1"/>
  <c r="K1300" i="1"/>
  <c r="J1300" i="1"/>
  <c r="I1300" i="1"/>
  <c r="L1299" i="1"/>
  <c r="K1299" i="1"/>
  <c r="J1299" i="1"/>
  <c r="I1299" i="1"/>
  <c r="L1298" i="1"/>
  <c r="K1298" i="1"/>
  <c r="J1298" i="1"/>
  <c r="I1298" i="1"/>
  <c r="L1297" i="1"/>
  <c r="K1297" i="1"/>
  <c r="J1297" i="1"/>
  <c r="I1297" i="1"/>
  <c r="L1296" i="1"/>
  <c r="K1296" i="1"/>
  <c r="J1296" i="1"/>
  <c r="I1296" i="1"/>
  <c r="L1295" i="1"/>
  <c r="K1295" i="1"/>
  <c r="J1295" i="1"/>
  <c r="I1295" i="1"/>
  <c r="L1294" i="1"/>
  <c r="K1294" i="1"/>
  <c r="J1294" i="1"/>
  <c r="I1294" i="1"/>
  <c r="L1293" i="1"/>
  <c r="K1293" i="1"/>
  <c r="J1293" i="1"/>
  <c r="I1293" i="1"/>
  <c r="L1292" i="1"/>
  <c r="K1292" i="1"/>
  <c r="J1292" i="1"/>
  <c r="I1292" i="1"/>
  <c r="L1291" i="1"/>
  <c r="K1291" i="1"/>
  <c r="J1291" i="1"/>
  <c r="I1291" i="1"/>
  <c r="L1290" i="1"/>
  <c r="K1290" i="1"/>
  <c r="J1290" i="1"/>
  <c r="I1290" i="1"/>
  <c r="L1289" i="1"/>
  <c r="K1289" i="1"/>
  <c r="J1289" i="1"/>
  <c r="I1289" i="1"/>
  <c r="L1288" i="1"/>
  <c r="K1288" i="1"/>
  <c r="J1288" i="1"/>
  <c r="I1288" i="1"/>
  <c r="L1287" i="1"/>
  <c r="K1287" i="1"/>
  <c r="J1287" i="1"/>
  <c r="I1287" i="1"/>
  <c r="L1286" i="1"/>
  <c r="K1286" i="1"/>
  <c r="J1286" i="1"/>
  <c r="I1286" i="1"/>
  <c r="L1285" i="1"/>
  <c r="K1285" i="1"/>
  <c r="J1285" i="1"/>
  <c r="I1285" i="1"/>
  <c r="L1284" i="1"/>
  <c r="K1284" i="1"/>
  <c r="J1284" i="1"/>
  <c r="I1284" i="1"/>
  <c r="L1283" i="1"/>
  <c r="K1283" i="1"/>
  <c r="J1283" i="1"/>
  <c r="I1283" i="1"/>
  <c r="L1282" i="1"/>
  <c r="K1282" i="1"/>
  <c r="J1282" i="1"/>
  <c r="I1282" i="1"/>
  <c r="L1281" i="1"/>
  <c r="K1281" i="1"/>
  <c r="J1281" i="1"/>
  <c r="I1281" i="1"/>
  <c r="L1280" i="1"/>
  <c r="K1280" i="1"/>
  <c r="J1280" i="1"/>
  <c r="I1280" i="1"/>
  <c r="L1279" i="1"/>
  <c r="K1279" i="1"/>
  <c r="J1279" i="1"/>
  <c r="I1279" i="1"/>
  <c r="L1278" i="1"/>
  <c r="K1278" i="1"/>
  <c r="J1278" i="1"/>
  <c r="I1278" i="1"/>
  <c r="L1277" i="1"/>
  <c r="K1277" i="1"/>
  <c r="J1277" i="1"/>
  <c r="I1277" i="1"/>
  <c r="L1276" i="1"/>
  <c r="K1276" i="1"/>
  <c r="J1276" i="1"/>
  <c r="I1276" i="1"/>
  <c r="L1275" i="1"/>
  <c r="K1275" i="1"/>
  <c r="J1275" i="1"/>
  <c r="I1275" i="1"/>
  <c r="L1274" i="1"/>
  <c r="K1274" i="1"/>
  <c r="J1274" i="1"/>
  <c r="I1274" i="1"/>
  <c r="L1273" i="1"/>
  <c r="K1273" i="1"/>
  <c r="J1273" i="1"/>
  <c r="I1273" i="1"/>
  <c r="L1272" i="1"/>
  <c r="K1272" i="1"/>
  <c r="J1272" i="1"/>
  <c r="I1272" i="1"/>
  <c r="L1271" i="1"/>
  <c r="K1271" i="1"/>
  <c r="J1271" i="1"/>
  <c r="I1271" i="1"/>
  <c r="L1270" i="1"/>
  <c r="K1270" i="1"/>
  <c r="J1270" i="1"/>
  <c r="I1270" i="1"/>
  <c r="L1269" i="1"/>
  <c r="K1269" i="1"/>
  <c r="J1269" i="1"/>
  <c r="I1269" i="1"/>
  <c r="L1268" i="1"/>
  <c r="K1268" i="1"/>
  <c r="J1268" i="1"/>
  <c r="I1268" i="1"/>
  <c r="L1267" i="1"/>
  <c r="K1267" i="1"/>
  <c r="J1267" i="1"/>
  <c r="I1267" i="1"/>
  <c r="L1266" i="1"/>
  <c r="K1266" i="1"/>
  <c r="J1266" i="1"/>
  <c r="I1266" i="1"/>
  <c r="L1265" i="1"/>
  <c r="K1265" i="1"/>
  <c r="J1265" i="1"/>
  <c r="I1265" i="1"/>
  <c r="L1264" i="1"/>
  <c r="K1264" i="1"/>
  <c r="J1264" i="1"/>
  <c r="I1264" i="1"/>
  <c r="L1263" i="1"/>
  <c r="K1263" i="1"/>
  <c r="J1263" i="1"/>
  <c r="I1263" i="1"/>
  <c r="L1262" i="1"/>
  <c r="K1262" i="1"/>
  <c r="J1262" i="1"/>
  <c r="I1262" i="1"/>
  <c r="L1261" i="1"/>
  <c r="K1261" i="1"/>
  <c r="J1261" i="1"/>
  <c r="I1261" i="1"/>
  <c r="L1260" i="1"/>
  <c r="K1260" i="1"/>
  <c r="J1260" i="1"/>
  <c r="I1260" i="1"/>
  <c r="L1259" i="1"/>
  <c r="K1259" i="1"/>
  <c r="J1259" i="1"/>
  <c r="I1259" i="1"/>
  <c r="L1258" i="1"/>
  <c r="K1258" i="1"/>
  <c r="J1258" i="1"/>
  <c r="I1258" i="1"/>
  <c r="L1257" i="1"/>
  <c r="K1257" i="1"/>
  <c r="J1257" i="1"/>
  <c r="I1257" i="1"/>
  <c r="L1256" i="1"/>
  <c r="K1256" i="1"/>
  <c r="J1256" i="1"/>
  <c r="I1256" i="1"/>
  <c r="L1255" i="1"/>
  <c r="K1255" i="1"/>
  <c r="J1255" i="1"/>
  <c r="I1255" i="1"/>
  <c r="L1254" i="1"/>
  <c r="K1254" i="1"/>
  <c r="J1254" i="1"/>
  <c r="I1254" i="1"/>
  <c r="L1253" i="1"/>
  <c r="K1253" i="1"/>
  <c r="J1253" i="1"/>
  <c r="I1253" i="1"/>
  <c r="L1252" i="1"/>
  <c r="K1252" i="1"/>
  <c r="J1252" i="1"/>
  <c r="I1252" i="1"/>
  <c r="L1251" i="1"/>
  <c r="K1251" i="1"/>
  <c r="J1251" i="1"/>
  <c r="I1251" i="1"/>
  <c r="L1250" i="1"/>
  <c r="K1250" i="1"/>
  <c r="J1250" i="1"/>
  <c r="I1250" i="1"/>
  <c r="L1249" i="1"/>
  <c r="K1249" i="1"/>
  <c r="J1249" i="1"/>
  <c r="I1249" i="1"/>
  <c r="L1248" i="1"/>
  <c r="K1248" i="1"/>
  <c r="J1248" i="1"/>
  <c r="I1248" i="1"/>
  <c r="L1247" i="1"/>
  <c r="K1247" i="1"/>
  <c r="J1247" i="1"/>
  <c r="I1247" i="1"/>
  <c r="L1246" i="1"/>
  <c r="K1246" i="1"/>
  <c r="J1246" i="1"/>
  <c r="I1246" i="1"/>
  <c r="L1245" i="1"/>
  <c r="K1245" i="1"/>
  <c r="J1245" i="1"/>
  <c r="I1245" i="1"/>
  <c r="L1244" i="1"/>
  <c r="K1244" i="1"/>
  <c r="J1244" i="1"/>
  <c r="I1244" i="1"/>
  <c r="L1243" i="1"/>
  <c r="K1243" i="1"/>
  <c r="J1243" i="1"/>
  <c r="I1243" i="1"/>
  <c r="L1242" i="1"/>
  <c r="K1242" i="1"/>
  <c r="J1242" i="1"/>
  <c r="I1242" i="1"/>
  <c r="L1241" i="1"/>
  <c r="K1241" i="1"/>
  <c r="J1241" i="1"/>
  <c r="I1241" i="1"/>
  <c r="L1240" i="1"/>
  <c r="K1240" i="1"/>
  <c r="J1240" i="1"/>
  <c r="I1240" i="1"/>
  <c r="L1239" i="1"/>
  <c r="K1239" i="1"/>
  <c r="J1239" i="1"/>
  <c r="I1239" i="1"/>
  <c r="L1238" i="1"/>
  <c r="K1238" i="1"/>
  <c r="J1238" i="1"/>
  <c r="I1238" i="1"/>
  <c r="L1237" i="1"/>
  <c r="K1237" i="1"/>
  <c r="J1237" i="1"/>
  <c r="I1237" i="1"/>
  <c r="L1236" i="1"/>
  <c r="K1236" i="1"/>
  <c r="J1236" i="1"/>
  <c r="I1236" i="1"/>
  <c r="L1235" i="1"/>
  <c r="K1235" i="1"/>
  <c r="J1235" i="1"/>
  <c r="I1235" i="1"/>
  <c r="L1234" i="1"/>
  <c r="K1234" i="1"/>
  <c r="J1234" i="1"/>
  <c r="I1234" i="1"/>
  <c r="L1233" i="1"/>
  <c r="K1233" i="1"/>
  <c r="J1233" i="1"/>
  <c r="I1233" i="1"/>
  <c r="L1232" i="1"/>
  <c r="K1232" i="1"/>
  <c r="J1232" i="1"/>
  <c r="I1232" i="1"/>
  <c r="L1231" i="1"/>
  <c r="K1231" i="1"/>
  <c r="J1231" i="1"/>
  <c r="I1231" i="1"/>
  <c r="L1230" i="1"/>
  <c r="K1230" i="1"/>
  <c r="J1230" i="1"/>
  <c r="I1230" i="1"/>
  <c r="L1229" i="1"/>
  <c r="K1229" i="1"/>
  <c r="J1229" i="1"/>
  <c r="I1229" i="1"/>
  <c r="L1228" i="1"/>
  <c r="K1228" i="1"/>
  <c r="J1228" i="1"/>
  <c r="I1228" i="1"/>
  <c r="L1227" i="1"/>
  <c r="K1227" i="1"/>
  <c r="J1227" i="1"/>
  <c r="I1227" i="1"/>
  <c r="L1226" i="1"/>
  <c r="K1226" i="1"/>
  <c r="J1226" i="1"/>
  <c r="I1226" i="1"/>
  <c r="L1225" i="1"/>
  <c r="K1225" i="1"/>
  <c r="J1225" i="1"/>
  <c r="I1225" i="1"/>
  <c r="L1224" i="1"/>
  <c r="K1224" i="1"/>
  <c r="J1224" i="1"/>
  <c r="I1224" i="1"/>
  <c r="L1223" i="1"/>
  <c r="K1223" i="1"/>
  <c r="J1223" i="1"/>
  <c r="I1223" i="1"/>
  <c r="L1222" i="1"/>
  <c r="K1222" i="1"/>
  <c r="J1222" i="1"/>
  <c r="I1222" i="1"/>
  <c r="L1221" i="1"/>
  <c r="K1221" i="1"/>
  <c r="J1221" i="1"/>
  <c r="I1221" i="1"/>
  <c r="L1220" i="1"/>
  <c r="K1220" i="1"/>
  <c r="J1220" i="1"/>
  <c r="I1220" i="1"/>
  <c r="L1219" i="1"/>
  <c r="K1219" i="1"/>
  <c r="J1219" i="1"/>
  <c r="I1219" i="1"/>
  <c r="L1218" i="1"/>
  <c r="K1218" i="1"/>
  <c r="J1218" i="1"/>
  <c r="I1218" i="1"/>
  <c r="L1217" i="1"/>
  <c r="K1217" i="1"/>
  <c r="J1217" i="1"/>
  <c r="I1217" i="1"/>
  <c r="L1216" i="1"/>
  <c r="K1216" i="1"/>
  <c r="J1216" i="1"/>
  <c r="I1216" i="1"/>
  <c r="L1215" i="1"/>
  <c r="K1215" i="1"/>
  <c r="J1215" i="1"/>
  <c r="I1215" i="1"/>
  <c r="L1214" i="1"/>
  <c r="K1214" i="1"/>
  <c r="J1214" i="1"/>
  <c r="I1214" i="1"/>
  <c r="L1213" i="1"/>
  <c r="K1213" i="1"/>
  <c r="J1213" i="1"/>
  <c r="I1213" i="1"/>
  <c r="L1212" i="1"/>
  <c r="K1212" i="1"/>
  <c r="J1212" i="1"/>
  <c r="I1212" i="1"/>
  <c r="L1211" i="1"/>
  <c r="K1211" i="1"/>
  <c r="J1211" i="1"/>
  <c r="I1211" i="1"/>
  <c r="L1210" i="1"/>
  <c r="K1210" i="1"/>
  <c r="J1210" i="1"/>
  <c r="I1210" i="1"/>
  <c r="L1209" i="1"/>
  <c r="K1209" i="1"/>
  <c r="J1209" i="1"/>
  <c r="I1209" i="1"/>
  <c r="L1208" i="1"/>
  <c r="K1208" i="1"/>
  <c r="J1208" i="1"/>
  <c r="I1208" i="1"/>
  <c r="L1207" i="1"/>
  <c r="K1207" i="1"/>
  <c r="J1207" i="1"/>
  <c r="I1207" i="1"/>
  <c r="L1206" i="1"/>
  <c r="K1206" i="1"/>
  <c r="J1206" i="1"/>
  <c r="I1206" i="1"/>
  <c r="L1205" i="1"/>
  <c r="K1205" i="1"/>
  <c r="J1205" i="1"/>
  <c r="I1205" i="1"/>
  <c r="L1204" i="1"/>
  <c r="K1204" i="1"/>
  <c r="J1204" i="1"/>
  <c r="I1204" i="1"/>
  <c r="L1203" i="1"/>
  <c r="K1203" i="1"/>
  <c r="J1203" i="1"/>
  <c r="I1203" i="1"/>
  <c r="L1202" i="1"/>
  <c r="K1202" i="1"/>
  <c r="J1202" i="1"/>
  <c r="I1202" i="1"/>
  <c r="L1201" i="1"/>
  <c r="K1201" i="1"/>
  <c r="J1201" i="1"/>
  <c r="I1201" i="1"/>
  <c r="L1200" i="1"/>
  <c r="K1200" i="1"/>
  <c r="J1200" i="1"/>
  <c r="I1200" i="1"/>
  <c r="L1199" i="1"/>
  <c r="K1199" i="1"/>
  <c r="J1199" i="1"/>
  <c r="I1199" i="1"/>
  <c r="L1198" i="1"/>
  <c r="K1198" i="1"/>
  <c r="J1198" i="1"/>
  <c r="I1198" i="1"/>
  <c r="L1197" i="1"/>
  <c r="K1197" i="1"/>
  <c r="J1197" i="1"/>
  <c r="I1197" i="1"/>
  <c r="L1196" i="1"/>
  <c r="K1196" i="1"/>
  <c r="J1196" i="1"/>
  <c r="I1196" i="1"/>
  <c r="L1195" i="1"/>
  <c r="K1195" i="1"/>
  <c r="J1195" i="1"/>
  <c r="I1195" i="1"/>
  <c r="L1194" i="1"/>
  <c r="K1194" i="1"/>
  <c r="J1194" i="1"/>
  <c r="I1194" i="1"/>
  <c r="L1193" i="1"/>
  <c r="K1193" i="1"/>
  <c r="J1193" i="1"/>
  <c r="I1193" i="1"/>
  <c r="L1192" i="1"/>
  <c r="K1192" i="1"/>
  <c r="J1192" i="1"/>
  <c r="I1192" i="1"/>
  <c r="L1191" i="1"/>
  <c r="K1191" i="1"/>
  <c r="J1191" i="1"/>
  <c r="I1191" i="1"/>
  <c r="L1190" i="1"/>
  <c r="K1190" i="1"/>
  <c r="J1190" i="1"/>
  <c r="I1190" i="1"/>
  <c r="L1189" i="1"/>
  <c r="K1189" i="1"/>
  <c r="J1189" i="1"/>
  <c r="I1189" i="1"/>
  <c r="L1188" i="1"/>
  <c r="K1188" i="1"/>
  <c r="J1188" i="1"/>
  <c r="I1188" i="1"/>
  <c r="L1187" i="1"/>
  <c r="K1187" i="1"/>
  <c r="J1187" i="1"/>
  <c r="I1187" i="1"/>
  <c r="L1186" i="1"/>
  <c r="K1186" i="1"/>
  <c r="J1186" i="1"/>
  <c r="I1186" i="1"/>
  <c r="L1185" i="1"/>
  <c r="K1185" i="1"/>
  <c r="J1185" i="1"/>
  <c r="I1185" i="1"/>
  <c r="L1184" i="1"/>
  <c r="K1184" i="1"/>
  <c r="J1184" i="1"/>
  <c r="I1184" i="1"/>
  <c r="L1183" i="1"/>
  <c r="K1183" i="1"/>
  <c r="J1183" i="1"/>
  <c r="I1183" i="1"/>
  <c r="L1182" i="1"/>
  <c r="K1182" i="1"/>
  <c r="J1182" i="1"/>
  <c r="I1182" i="1"/>
  <c r="L1181" i="1"/>
  <c r="K1181" i="1"/>
  <c r="J1181" i="1"/>
  <c r="I1181" i="1"/>
  <c r="L1180" i="1"/>
  <c r="K1180" i="1"/>
  <c r="J1180" i="1"/>
  <c r="I1180" i="1"/>
  <c r="L1179" i="1"/>
  <c r="K1179" i="1"/>
  <c r="J1179" i="1"/>
  <c r="I1179" i="1"/>
  <c r="L1178" i="1"/>
  <c r="K1178" i="1"/>
  <c r="J1178" i="1"/>
  <c r="I1178" i="1"/>
  <c r="L1177" i="1"/>
  <c r="K1177" i="1"/>
  <c r="J1177" i="1"/>
  <c r="I1177" i="1"/>
  <c r="L1176" i="1"/>
  <c r="K1176" i="1"/>
  <c r="J1176" i="1"/>
  <c r="I1176" i="1"/>
  <c r="L1175" i="1"/>
  <c r="K1175" i="1"/>
  <c r="J1175" i="1"/>
  <c r="I1175" i="1"/>
  <c r="L1174" i="1"/>
  <c r="K1174" i="1"/>
  <c r="J1174" i="1"/>
  <c r="I1174" i="1"/>
  <c r="L1173" i="1"/>
  <c r="K1173" i="1"/>
  <c r="J1173" i="1"/>
  <c r="I1173" i="1"/>
  <c r="L1172" i="1"/>
  <c r="K1172" i="1"/>
  <c r="J1172" i="1"/>
  <c r="I1172" i="1"/>
  <c r="L1171" i="1"/>
  <c r="K1171" i="1"/>
  <c r="J1171" i="1"/>
  <c r="I1171" i="1"/>
  <c r="L1170" i="1"/>
  <c r="K1170" i="1"/>
  <c r="J1170" i="1"/>
  <c r="I1170" i="1"/>
  <c r="L1169" i="1"/>
  <c r="K1169" i="1"/>
  <c r="J1169" i="1"/>
  <c r="I1169" i="1"/>
  <c r="L1168" i="1"/>
  <c r="K1168" i="1"/>
  <c r="J1168" i="1"/>
  <c r="I1168" i="1"/>
  <c r="L1167" i="1"/>
  <c r="K1167" i="1"/>
  <c r="J1167" i="1"/>
  <c r="I1167" i="1"/>
  <c r="L1166" i="1"/>
  <c r="K1166" i="1"/>
  <c r="J1166" i="1"/>
  <c r="I1166" i="1"/>
  <c r="L1165" i="1"/>
  <c r="K1165" i="1"/>
  <c r="J1165" i="1"/>
  <c r="I1165" i="1"/>
  <c r="L1164" i="1"/>
  <c r="K1164" i="1"/>
  <c r="J1164" i="1"/>
  <c r="I1164" i="1"/>
  <c r="L1163" i="1"/>
  <c r="K1163" i="1"/>
  <c r="J1163" i="1"/>
  <c r="I1163" i="1"/>
  <c r="L1162" i="1"/>
  <c r="K1162" i="1"/>
  <c r="J1162" i="1"/>
  <c r="I1162" i="1"/>
  <c r="L1161" i="1"/>
  <c r="K1161" i="1"/>
  <c r="J1161" i="1"/>
  <c r="I1161" i="1"/>
  <c r="L1160" i="1"/>
  <c r="K1160" i="1"/>
  <c r="J1160" i="1"/>
  <c r="I1160" i="1"/>
  <c r="L1159" i="1"/>
  <c r="K1159" i="1"/>
  <c r="J1159" i="1"/>
  <c r="I1159" i="1"/>
  <c r="L1158" i="1"/>
  <c r="K1158" i="1"/>
  <c r="J1158" i="1"/>
  <c r="I1158" i="1"/>
  <c r="L1157" i="1"/>
  <c r="K1157" i="1"/>
  <c r="J1157" i="1"/>
  <c r="I1157" i="1"/>
  <c r="L1156" i="1"/>
  <c r="K1156" i="1"/>
  <c r="J1156" i="1"/>
  <c r="I1156" i="1"/>
  <c r="L1155" i="1"/>
  <c r="K1155" i="1"/>
  <c r="J1155" i="1"/>
  <c r="I1155" i="1"/>
  <c r="L1154" i="1"/>
  <c r="K1154" i="1"/>
  <c r="J1154" i="1"/>
  <c r="I1154" i="1"/>
  <c r="L1153" i="1"/>
  <c r="K1153" i="1"/>
  <c r="J1153" i="1"/>
  <c r="I1153" i="1"/>
  <c r="L1152" i="1"/>
  <c r="K1152" i="1"/>
  <c r="J1152" i="1"/>
  <c r="I1152" i="1"/>
  <c r="L1151" i="1"/>
  <c r="K1151" i="1"/>
  <c r="J1151" i="1"/>
  <c r="I1151" i="1"/>
  <c r="L1150" i="1"/>
  <c r="K1150" i="1"/>
  <c r="J1150" i="1"/>
  <c r="I1150" i="1"/>
  <c r="L1149" i="1"/>
  <c r="K1149" i="1"/>
  <c r="J1149" i="1"/>
  <c r="I1149" i="1"/>
  <c r="L1148" i="1"/>
  <c r="K1148" i="1"/>
  <c r="J1148" i="1"/>
  <c r="I1148" i="1"/>
  <c r="L1147" i="1"/>
  <c r="K1147" i="1"/>
  <c r="J1147" i="1"/>
  <c r="I1147" i="1"/>
  <c r="L1146" i="1"/>
  <c r="K1146" i="1"/>
  <c r="J1146" i="1"/>
  <c r="I1146" i="1"/>
  <c r="L1145" i="1"/>
  <c r="K1145" i="1"/>
  <c r="J1145" i="1"/>
  <c r="I1145" i="1"/>
  <c r="L1144" i="1"/>
  <c r="K1144" i="1"/>
  <c r="J1144" i="1"/>
  <c r="I1144" i="1"/>
  <c r="L1143" i="1"/>
  <c r="K1143" i="1"/>
  <c r="J1143" i="1"/>
  <c r="I1143" i="1"/>
  <c r="L1142" i="1"/>
  <c r="K1142" i="1"/>
  <c r="J1142" i="1"/>
  <c r="I1142" i="1"/>
  <c r="L1141" i="1"/>
  <c r="K1141" i="1"/>
  <c r="J1141" i="1"/>
  <c r="I1141" i="1"/>
  <c r="L1140" i="1"/>
  <c r="K1140" i="1"/>
  <c r="J1140" i="1"/>
  <c r="I1140" i="1"/>
  <c r="L1139" i="1"/>
  <c r="K1139" i="1"/>
  <c r="J1139" i="1"/>
  <c r="I1139" i="1"/>
  <c r="L1138" i="1"/>
  <c r="K1138" i="1"/>
  <c r="J1138" i="1"/>
  <c r="I1138" i="1"/>
  <c r="L1137" i="1"/>
  <c r="K1137" i="1"/>
  <c r="J1137" i="1"/>
  <c r="I1137" i="1"/>
  <c r="L1136" i="1"/>
  <c r="K1136" i="1"/>
  <c r="J1136" i="1"/>
  <c r="I1136" i="1"/>
  <c r="L1135" i="1"/>
  <c r="K1135" i="1"/>
  <c r="J1135" i="1"/>
  <c r="I1135" i="1"/>
  <c r="L1134" i="1"/>
  <c r="K1134" i="1"/>
  <c r="J1134" i="1"/>
  <c r="I1134" i="1"/>
  <c r="L1133" i="1"/>
  <c r="K1133" i="1"/>
  <c r="J1133" i="1"/>
  <c r="I1133" i="1"/>
  <c r="L1132" i="1"/>
  <c r="K1132" i="1"/>
  <c r="J1132" i="1"/>
  <c r="I1132" i="1"/>
  <c r="L1131" i="1"/>
  <c r="K1131" i="1"/>
  <c r="J1131" i="1"/>
  <c r="I1131" i="1"/>
  <c r="L1130" i="1"/>
  <c r="K1130" i="1"/>
  <c r="J1130" i="1"/>
  <c r="I1130" i="1"/>
  <c r="L1129" i="1"/>
  <c r="K1129" i="1"/>
  <c r="J1129" i="1"/>
  <c r="I1129" i="1"/>
  <c r="L1128" i="1"/>
  <c r="K1128" i="1"/>
  <c r="J1128" i="1"/>
  <c r="I1128" i="1"/>
  <c r="L1127" i="1"/>
  <c r="K1127" i="1"/>
  <c r="J1127" i="1"/>
  <c r="I1127" i="1"/>
  <c r="L1126" i="1"/>
  <c r="K1126" i="1"/>
  <c r="J1126" i="1"/>
  <c r="I1126" i="1"/>
  <c r="L1125" i="1"/>
  <c r="K1125" i="1"/>
  <c r="J1125" i="1"/>
  <c r="I1125" i="1"/>
  <c r="L1124" i="1"/>
  <c r="K1124" i="1"/>
  <c r="J1124" i="1"/>
  <c r="I1124" i="1"/>
  <c r="L1123" i="1"/>
  <c r="K1123" i="1"/>
  <c r="J1123" i="1"/>
  <c r="I1123" i="1"/>
  <c r="L1122" i="1"/>
  <c r="K1122" i="1"/>
  <c r="J1122" i="1"/>
  <c r="I1122" i="1"/>
  <c r="L1121" i="1"/>
  <c r="K1121" i="1"/>
  <c r="J1121" i="1"/>
  <c r="I1121" i="1"/>
  <c r="L1120" i="1"/>
  <c r="K1120" i="1"/>
  <c r="J1120" i="1"/>
  <c r="I1120" i="1"/>
  <c r="L1119" i="1"/>
  <c r="K1119" i="1"/>
  <c r="J1119" i="1"/>
  <c r="I1119" i="1"/>
  <c r="L1118" i="1"/>
  <c r="K1118" i="1"/>
  <c r="J1118" i="1"/>
  <c r="I1118" i="1"/>
  <c r="L1117" i="1"/>
  <c r="K1117" i="1"/>
  <c r="J1117" i="1"/>
  <c r="I1117" i="1"/>
  <c r="L1116" i="1"/>
  <c r="K1116" i="1"/>
  <c r="J1116" i="1"/>
  <c r="I1116" i="1"/>
  <c r="L1115" i="1"/>
  <c r="K1115" i="1"/>
  <c r="J1115" i="1"/>
  <c r="I1115" i="1"/>
  <c r="L1114" i="1"/>
  <c r="K1114" i="1"/>
  <c r="J1114" i="1"/>
  <c r="I1114" i="1"/>
  <c r="L1113" i="1"/>
  <c r="K1113" i="1"/>
  <c r="J1113" i="1"/>
  <c r="I1113" i="1"/>
  <c r="L1112" i="1"/>
  <c r="K1112" i="1"/>
  <c r="J1112" i="1"/>
  <c r="I1112" i="1"/>
  <c r="L1111" i="1"/>
  <c r="K1111" i="1"/>
  <c r="J1111" i="1"/>
  <c r="I1111" i="1"/>
  <c r="L1110" i="1"/>
  <c r="K1110" i="1"/>
  <c r="J1110" i="1"/>
  <c r="I1110" i="1"/>
  <c r="L1109" i="1"/>
  <c r="K1109" i="1"/>
  <c r="J1109" i="1"/>
  <c r="I1109" i="1"/>
  <c r="L1108" i="1"/>
  <c r="K1108" i="1"/>
  <c r="J1108" i="1"/>
  <c r="I1108" i="1"/>
  <c r="L1107" i="1"/>
  <c r="K1107" i="1"/>
  <c r="J1107" i="1"/>
  <c r="I1107" i="1"/>
  <c r="L1106" i="1"/>
  <c r="K1106" i="1"/>
  <c r="J1106" i="1"/>
  <c r="I1106" i="1"/>
  <c r="L1105" i="1"/>
  <c r="K1105" i="1"/>
  <c r="J1105" i="1"/>
  <c r="I1105" i="1"/>
  <c r="L1104" i="1"/>
  <c r="K1104" i="1"/>
  <c r="J1104" i="1"/>
  <c r="I1104" i="1"/>
  <c r="L1103" i="1"/>
  <c r="K1103" i="1"/>
  <c r="J1103" i="1"/>
  <c r="I1103" i="1"/>
  <c r="L1102" i="1"/>
  <c r="K1102" i="1"/>
  <c r="J1102" i="1"/>
  <c r="I1102" i="1"/>
  <c r="L1101" i="1"/>
  <c r="K1101" i="1"/>
  <c r="J1101" i="1"/>
  <c r="I1101" i="1"/>
  <c r="L1100" i="1"/>
  <c r="K1100" i="1"/>
  <c r="J1100" i="1"/>
  <c r="I1100" i="1"/>
  <c r="L1099" i="1"/>
  <c r="K1099" i="1"/>
  <c r="J1099" i="1"/>
  <c r="I1099" i="1"/>
  <c r="L1098" i="1"/>
  <c r="K1098" i="1"/>
  <c r="J1098" i="1"/>
  <c r="I1098" i="1"/>
  <c r="L1097" i="1"/>
  <c r="K1097" i="1"/>
  <c r="J1097" i="1"/>
  <c r="I1097" i="1"/>
  <c r="L1096" i="1"/>
  <c r="K1096" i="1"/>
  <c r="J1096" i="1"/>
  <c r="I1096" i="1"/>
  <c r="L1095" i="1"/>
  <c r="K1095" i="1"/>
  <c r="J1095" i="1"/>
  <c r="I1095" i="1"/>
  <c r="L1094" i="1"/>
  <c r="K1094" i="1"/>
  <c r="J1094" i="1"/>
  <c r="I1094" i="1"/>
  <c r="L1093" i="1"/>
  <c r="K1093" i="1"/>
  <c r="J1093" i="1"/>
  <c r="I1093" i="1"/>
  <c r="L1092" i="1"/>
  <c r="K1092" i="1"/>
  <c r="J1092" i="1"/>
  <c r="I1092" i="1"/>
  <c r="L1091" i="1"/>
  <c r="K1091" i="1"/>
  <c r="J1091" i="1"/>
  <c r="I1091" i="1"/>
  <c r="L1090" i="1"/>
  <c r="K1090" i="1"/>
  <c r="J1090" i="1"/>
  <c r="I1090" i="1"/>
  <c r="L1089" i="1"/>
  <c r="K1089" i="1"/>
  <c r="J1089" i="1"/>
  <c r="I1089" i="1"/>
  <c r="L1088" i="1"/>
  <c r="K1088" i="1"/>
  <c r="J1088" i="1"/>
  <c r="I1088" i="1"/>
  <c r="L1087" i="1"/>
  <c r="K1087" i="1"/>
  <c r="J1087" i="1"/>
  <c r="I1087" i="1"/>
  <c r="L1086" i="1"/>
  <c r="K1086" i="1"/>
  <c r="J1086" i="1"/>
  <c r="I1086" i="1"/>
  <c r="L1085" i="1"/>
  <c r="K1085" i="1"/>
  <c r="J1085" i="1"/>
  <c r="I1085" i="1"/>
  <c r="L1084" i="1"/>
  <c r="K1084" i="1"/>
  <c r="J1084" i="1"/>
  <c r="I1084" i="1"/>
  <c r="L1083" i="1"/>
  <c r="K1083" i="1"/>
  <c r="J1083" i="1"/>
  <c r="I1083" i="1"/>
  <c r="L1082" i="1"/>
  <c r="K1082" i="1"/>
  <c r="J1082" i="1"/>
  <c r="I1082" i="1"/>
  <c r="L1081" i="1"/>
  <c r="K1081" i="1"/>
  <c r="J1081" i="1"/>
  <c r="I1081" i="1"/>
  <c r="L1080" i="1"/>
  <c r="K1080" i="1"/>
  <c r="J1080" i="1"/>
  <c r="I1080" i="1"/>
  <c r="L1079" i="1"/>
  <c r="K1079" i="1"/>
  <c r="J1079" i="1"/>
  <c r="I1079" i="1"/>
  <c r="L1078" i="1"/>
  <c r="K1078" i="1"/>
  <c r="J1078" i="1"/>
  <c r="I1078" i="1"/>
  <c r="L1077" i="1"/>
  <c r="K1077" i="1"/>
  <c r="J1077" i="1"/>
  <c r="I1077" i="1"/>
  <c r="L1076" i="1"/>
  <c r="K1076" i="1"/>
  <c r="J1076" i="1"/>
  <c r="I1076" i="1"/>
  <c r="L1075" i="1"/>
  <c r="K1075" i="1"/>
  <c r="J1075" i="1"/>
  <c r="I1075" i="1"/>
  <c r="L1074" i="1"/>
  <c r="K1074" i="1"/>
  <c r="J1074" i="1"/>
  <c r="I1074" i="1"/>
  <c r="L1073" i="1"/>
  <c r="K1073" i="1"/>
  <c r="J1073" i="1"/>
  <c r="I1073" i="1"/>
  <c r="L1072" i="1"/>
  <c r="K1072" i="1"/>
  <c r="J1072" i="1"/>
  <c r="I1072" i="1"/>
  <c r="L1071" i="1"/>
  <c r="K1071" i="1"/>
  <c r="J1071" i="1"/>
  <c r="I1071" i="1"/>
  <c r="L1070" i="1"/>
  <c r="K1070" i="1"/>
  <c r="J1070" i="1"/>
  <c r="I1070" i="1"/>
  <c r="L1069" i="1"/>
  <c r="K1069" i="1"/>
  <c r="J1069" i="1"/>
  <c r="I1069" i="1"/>
  <c r="L1068" i="1"/>
  <c r="K1068" i="1"/>
  <c r="J1068" i="1"/>
  <c r="I1068" i="1"/>
  <c r="L1067" i="1"/>
  <c r="K1067" i="1"/>
  <c r="J1067" i="1"/>
  <c r="I1067" i="1"/>
  <c r="L1066" i="1"/>
  <c r="K1066" i="1"/>
  <c r="J1066" i="1"/>
  <c r="I1066" i="1"/>
  <c r="L1065" i="1"/>
  <c r="K1065" i="1"/>
  <c r="J1065" i="1"/>
  <c r="I1065" i="1"/>
  <c r="L1064" i="1"/>
  <c r="K1064" i="1"/>
  <c r="J1064" i="1"/>
  <c r="I1064" i="1"/>
  <c r="L1063" i="1"/>
  <c r="K1063" i="1"/>
  <c r="J1063" i="1"/>
  <c r="I1063" i="1"/>
  <c r="L1062" i="1"/>
  <c r="K1062" i="1"/>
  <c r="J1062" i="1"/>
  <c r="I1062" i="1"/>
  <c r="L1061" i="1"/>
  <c r="K1061" i="1"/>
  <c r="J1061" i="1"/>
  <c r="I1061" i="1"/>
  <c r="L1060" i="1"/>
  <c r="K1060" i="1"/>
  <c r="J1060" i="1"/>
  <c r="I1060" i="1"/>
  <c r="L1059" i="1"/>
  <c r="K1059" i="1"/>
  <c r="J1059" i="1"/>
  <c r="I1059" i="1"/>
  <c r="L1058" i="1"/>
  <c r="K1058" i="1"/>
  <c r="J1058" i="1"/>
  <c r="I1058" i="1"/>
  <c r="L1057" i="1"/>
  <c r="K1057" i="1"/>
  <c r="J1057" i="1"/>
  <c r="I1057" i="1"/>
  <c r="L1056" i="1"/>
  <c r="K1056" i="1"/>
  <c r="J1056" i="1"/>
  <c r="I1056" i="1"/>
  <c r="L1055" i="1"/>
  <c r="K1055" i="1"/>
  <c r="J1055" i="1"/>
  <c r="I1055" i="1"/>
  <c r="L1054" i="1"/>
  <c r="K1054" i="1"/>
  <c r="J1054" i="1"/>
  <c r="I1054" i="1"/>
  <c r="L1053" i="1"/>
  <c r="K1053" i="1"/>
  <c r="J1053" i="1"/>
  <c r="I1053" i="1"/>
  <c r="L1052" i="1"/>
  <c r="K1052" i="1"/>
  <c r="J1052" i="1"/>
  <c r="I1052" i="1"/>
  <c r="L1051" i="1"/>
  <c r="K1051" i="1"/>
  <c r="J1051" i="1"/>
  <c r="I1051" i="1"/>
  <c r="L1050" i="1"/>
  <c r="K1050" i="1"/>
  <c r="J1050" i="1"/>
  <c r="I1050" i="1"/>
  <c r="L1049" i="1"/>
  <c r="K1049" i="1"/>
  <c r="J1049" i="1"/>
  <c r="I1049" i="1"/>
  <c r="L1048" i="1"/>
  <c r="K1048" i="1"/>
  <c r="J1048" i="1"/>
  <c r="I1048" i="1"/>
  <c r="L1047" i="1"/>
  <c r="K1047" i="1"/>
  <c r="J1047" i="1"/>
  <c r="I1047" i="1"/>
  <c r="L1046" i="1"/>
  <c r="K1046" i="1"/>
  <c r="J1046" i="1"/>
  <c r="I1046" i="1"/>
  <c r="L1045" i="1"/>
  <c r="K1045" i="1"/>
  <c r="J1045" i="1"/>
  <c r="I1045" i="1"/>
  <c r="L1044" i="1"/>
  <c r="K1044" i="1"/>
  <c r="J1044" i="1"/>
  <c r="I1044" i="1"/>
  <c r="L1043" i="1"/>
  <c r="K1043" i="1"/>
  <c r="J1043" i="1"/>
  <c r="I1043" i="1"/>
  <c r="L1042" i="1"/>
  <c r="K1042" i="1"/>
  <c r="J1042" i="1"/>
  <c r="I1042" i="1"/>
  <c r="L1041" i="1"/>
  <c r="K1041" i="1"/>
  <c r="J1041" i="1"/>
  <c r="I1041" i="1"/>
  <c r="L1040" i="1"/>
  <c r="K1040" i="1"/>
  <c r="J1040" i="1"/>
  <c r="I1040" i="1"/>
  <c r="L1039" i="1"/>
  <c r="K1039" i="1"/>
  <c r="J1039" i="1"/>
  <c r="I1039" i="1"/>
  <c r="L1038" i="1"/>
  <c r="K1038" i="1"/>
  <c r="J1038" i="1"/>
  <c r="I1038" i="1"/>
  <c r="L1037" i="1"/>
  <c r="K1037" i="1"/>
  <c r="J1037" i="1"/>
  <c r="I1037" i="1"/>
  <c r="L1036" i="1"/>
  <c r="K1036" i="1"/>
  <c r="J1036" i="1"/>
  <c r="I1036" i="1"/>
  <c r="L1035" i="1"/>
  <c r="K1035" i="1"/>
  <c r="J1035" i="1"/>
  <c r="I1035" i="1"/>
  <c r="L1034" i="1"/>
  <c r="K1034" i="1"/>
  <c r="J1034" i="1"/>
  <c r="I1034" i="1"/>
  <c r="L1033" i="1"/>
  <c r="K1033" i="1"/>
  <c r="J1033" i="1"/>
  <c r="I1033" i="1"/>
  <c r="L1032" i="1"/>
  <c r="K1032" i="1"/>
  <c r="J1032" i="1"/>
  <c r="I1032" i="1"/>
  <c r="L1031" i="1"/>
  <c r="K1031" i="1"/>
  <c r="J1031" i="1"/>
  <c r="I1031" i="1"/>
  <c r="L1030" i="1"/>
  <c r="K1030" i="1"/>
  <c r="J1030" i="1"/>
  <c r="I1030" i="1"/>
  <c r="L1029" i="1"/>
  <c r="K1029" i="1"/>
  <c r="J1029" i="1"/>
  <c r="I1029" i="1"/>
  <c r="L1028" i="1"/>
  <c r="K1028" i="1"/>
  <c r="J1028" i="1"/>
  <c r="I1028" i="1"/>
  <c r="L1027" i="1"/>
  <c r="K1027" i="1"/>
  <c r="J1027" i="1"/>
  <c r="I1027" i="1"/>
  <c r="L1026" i="1"/>
  <c r="K1026" i="1"/>
  <c r="J1026" i="1"/>
  <c r="I1026" i="1"/>
  <c r="L1025" i="1"/>
  <c r="K1025" i="1"/>
  <c r="J1025" i="1"/>
  <c r="I1025" i="1"/>
  <c r="L1024" i="1"/>
  <c r="K1024" i="1"/>
  <c r="J1024" i="1"/>
  <c r="I1024" i="1"/>
  <c r="L1023" i="1"/>
  <c r="K1023" i="1"/>
  <c r="J1023" i="1"/>
  <c r="I1023" i="1"/>
  <c r="L1022" i="1"/>
  <c r="K1022" i="1"/>
  <c r="J1022" i="1"/>
  <c r="I1022" i="1"/>
  <c r="L1021" i="1"/>
  <c r="K1021" i="1"/>
  <c r="J1021" i="1"/>
  <c r="I1021" i="1"/>
  <c r="L1020" i="1"/>
  <c r="K1020" i="1"/>
  <c r="J1020" i="1"/>
  <c r="I1020" i="1"/>
  <c r="L1019" i="1"/>
  <c r="K1019" i="1"/>
  <c r="J1019" i="1"/>
  <c r="I1019" i="1"/>
  <c r="L1018" i="1"/>
  <c r="K1018" i="1"/>
  <c r="J1018" i="1"/>
  <c r="I1018" i="1"/>
  <c r="L1017" i="1"/>
  <c r="K1017" i="1"/>
  <c r="J1017" i="1"/>
  <c r="I1017" i="1"/>
  <c r="L1016" i="1"/>
  <c r="K1016" i="1"/>
  <c r="J1016" i="1"/>
  <c r="I1016" i="1"/>
  <c r="L1015" i="1"/>
  <c r="K1015" i="1"/>
  <c r="J1015" i="1"/>
  <c r="I1015" i="1"/>
  <c r="L1014" i="1"/>
  <c r="K1014" i="1"/>
  <c r="J1014" i="1"/>
  <c r="I1014" i="1"/>
  <c r="L1013" i="1"/>
  <c r="K1013" i="1"/>
  <c r="J1013" i="1"/>
  <c r="I1013" i="1"/>
  <c r="L1012" i="1"/>
  <c r="K1012" i="1"/>
  <c r="J1012" i="1"/>
  <c r="I1012" i="1"/>
  <c r="L1011" i="1"/>
  <c r="K1011" i="1"/>
  <c r="J1011" i="1"/>
  <c r="I1011" i="1"/>
  <c r="L1010" i="1"/>
  <c r="K1010" i="1"/>
  <c r="J1010" i="1"/>
  <c r="I1010" i="1"/>
  <c r="L1009" i="1"/>
  <c r="K1009" i="1"/>
  <c r="J1009" i="1"/>
  <c r="I1009" i="1"/>
  <c r="L1008" i="1"/>
  <c r="K1008" i="1"/>
  <c r="J1008" i="1"/>
  <c r="I1008" i="1"/>
  <c r="L1007" i="1"/>
  <c r="K1007" i="1"/>
  <c r="J1007" i="1"/>
  <c r="I1007" i="1"/>
  <c r="L1006" i="1"/>
  <c r="K1006" i="1"/>
  <c r="J1006" i="1"/>
  <c r="I1006" i="1"/>
  <c r="L1005" i="1"/>
  <c r="K1005" i="1"/>
  <c r="J1005" i="1"/>
  <c r="I1005" i="1"/>
  <c r="L1004" i="1"/>
  <c r="K1004" i="1"/>
  <c r="J1004" i="1"/>
  <c r="I1004" i="1"/>
  <c r="L1003" i="1"/>
  <c r="K1003" i="1"/>
  <c r="J1003" i="1"/>
  <c r="I1003" i="1"/>
  <c r="L1002" i="1"/>
  <c r="K1002" i="1"/>
  <c r="J1002" i="1"/>
  <c r="I1002" i="1"/>
  <c r="L1001" i="1"/>
  <c r="K1001" i="1"/>
  <c r="J1001" i="1"/>
  <c r="I1001" i="1"/>
  <c r="L1000" i="1"/>
  <c r="K1000" i="1"/>
  <c r="J1000" i="1"/>
  <c r="I1000" i="1"/>
  <c r="L999" i="1"/>
  <c r="K999" i="1"/>
  <c r="J999" i="1"/>
  <c r="I999" i="1"/>
  <c r="L998" i="1"/>
  <c r="K998" i="1"/>
  <c r="J998" i="1"/>
  <c r="I998" i="1"/>
  <c r="L997" i="1"/>
  <c r="K997" i="1"/>
  <c r="J997" i="1"/>
  <c r="I997" i="1"/>
  <c r="L996" i="1"/>
  <c r="K996" i="1"/>
  <c r="J996" i="1"/>
  <c r="I996" i="1"/>
  <c r="L995" i="1"/>
  <c r="K995" i="1"/>
  <c r="J995" i="1"/>
  <c r="I995" i="1"/>
  <c r="L994" i="1"/>
  <c r="K994" i="1"/>
  <c r="J994" i="1"/>
  <c r="I994" i="1"/>
  <c r="L993" i="1"/>
  <c r="K993" i="1"/>
  <c r="J993" i="1"/>
  <c r="I993" i="1"/>
  <c r="L992" i="1"/>
  <c r="K992" i="1"/>
  <c r="J992" i="1"/>
  <c r="I992" i="1"/>
  <c r="L991" i="1"/>
  <c r="K991" i="1"/>
  <c r="J991" i="1"/>
  <c r="I991" i="1"/>
  <c r="L990" i="1"/>
  <c r="K990" i="1"/>
  <c r="J990" i="1"/>
  <c r="I990" i="1"/>
  <c r="L989" i="1"/>
  <c r="K989" i="1"/>
  <c r="J989" i="1"/>
  <c r="I989" i="1"/>
  <c r="L988" i="1"/>
  <c r="K988" i="1"/>
  <c r="J988" i="1"/>
  <c r="I988" i="1"/>
  <c r="L987" i="1"/>
  <c r="K987" i="1"/>
  <c r="J987" i="1"/>
  <c r="I987" i="1"/>
  <c r="L986" i="1"/>
  <c r="K986" i="1"/>
  <c r="J986" i="1"/>
  <c r="I986" i="1"/>
  <c r="L985" i="1"/>
  <c r="K985" i="1"/>
  <c r="J985" i="1"/>
  <c r="I985" i="1"/>
  <c r="L984" i="1"/>
  <c r="K984" i="1"/>
  <c r="J984" i="1"/>
  <c r="I984" i="1"/>
  <c r="L983" i="1"/>
  <c r="K983" i="1"/>
  <c r="J983" i="1"/>
  <c r="I983" i="1"/>
  <c r="L982" i="1"/>
  <c r="K982" i="1"/>
  <c r="J982" i="1"/>
  <c r="I982" i="1"/>
  <c r="L981" i="1"/>
  <c r="K981" i="1"/>
  <c r="J981" i="1"/>
  <c r="I981" i="1"/>
  <c r="L980" i="1"/>
  <c r="K980" i="1"/>
  <c r="J980" i="1"/>
  <c r="I980" i="1"/>
  <c r="L979" i="1"/>
  <c r="K979" i="1"/>
  <c r="J979" i="1"/>
  <c r="I979" i="1"/>
  <c r="L978" i="1"/>
  <c r="K978" i="1"/>
  <c r="J978" i="1"/>
  <c r="I978" i="1"/>
  <c r="L977" i="1"/>
  <c r="K977" i="1"/>
  <c r="J977" i="1"/>
  <c r="I977" i="1"/>
  <c r="L976" i="1"/>
  <c r="K976" i="1"/>
  <c r="J976" i="1"/>
  <c r="I976" i="1"/>
  <c r="L975" i="1"/>
  <c r="K975" i="1"/>
  <c r="J975" i="1"/>
  <c r="I975" i="1"/>
  <c r="L974" i="1"/>
  <c r="K974" i="1"/>
  <c r="J974" i="1"/>
  <c r="I974" i="1"/>
  <c r="L973" i="1"/>
  <c r="K973" i="1"/>
  <c r="J973" i="1"/>
  <c r="I973" i="1"/>
  <c r="L972" i="1"/>
  <c r="K972" i="1"/>
  <c r="J972" i="1"/>
  <c r="I972" i="1"/>
  <c r="L971" i="1"/>
  <c r="K971" i="1"/>
  <c r="J971" i="1"/>
  <c r="I971" i="1"/>
  <c r="L970" i="1"/>
  <c r="K970" i="1"/>
  <c r="J970" i="1"/>
  <c r="I970" i="1"/>
  <c r="L969" i="1"/>
  <c r="K969" i="1"/>
  <c r="J969" i="1"/>
  <c r="I969" i="1"/>
  <c r="L968" i="1"/>
  <c r="K968" i="1"/>
  <c r="J968" i="1"/>
  <c r="I968" i="1"/>
  <c r="L967" i="1"/>
  <c r="K967" i="1"/>
  <c r="J967" i="1"/>
  <c r="I967" i="1"/>
  <c r="L966" i="1"/>
  <c r="K966" i="1"/>
  <c r="J966" i="1"/>
  <c r="I966" i="1"/>
  <c r="L965" i="1"/>
  <c r="K965" i="1"/>
  <c r="J965" i="1"/>
  <c r="I965" i="1"/>
  <c r="L964" i="1"/>
  <c r="K964" i="1"/>
  <c r="J964" i="1"/>
  <c r="I964" i="1"/>
  <c r="L963" i="1"/>
  <c r="K963" i="1"/>
  <c r="J963" i="1"/>
  <c r="I963" i="1"/>
  <c r="L962" i="1"/>
  <c r="K962" i="1"/>
  <c r="J962" i="1"/>
  <c r="I962" i="1"/>
  <c r="L961" i="1"/>
  <c r="K961" i="1"/>
  <c r="J961" i="1"/>
  <c r="I961" i="1"/>
  <c r="L960" i="1"/>
  <c r="K960" i="1"/>
  <c r="J960" i="1"/>
  <c r="I960" i="1"/>
  <c r="L959" i="1"/>
  <c r="K959" i="1"/>
  <c r="J959" i="1"/>
  <c r="I959" i="1"/>
  <c r="L958" i="1"/>
  <c r="K958" i="1"/>
  <c r="J958" i="1"/>
  <c r="I958" i="1"/>
  <c r="L957" i="1"/>
  <c r="K957" i="1"/>
  <c r="J957" i="1"/>
  <c r="I957" i="1"/>
  <c r="L956" i="1"/>
  <c r="K956" i="1"/>
  <c r="J956" i="1"/>
  <c r="I956" i="1"/>
  <c r="L955" i="1"/>
  <c r="K955" i="1"/>
  <c r="J955" i="1"/>
  <c r="I955" i="1"/>
  <c r="L954" i="1"/>
  <c r="K954" i="1"/>
  <c r="J954" i="1"/>
  <c r="I954" i="1"/>
  <c r="L953" i="1"/>
  <c r="K953" i="1"/>
  <c r="J953" i="1"/>
  <c r="I953" i="1"/>
  <c r="L952" i="1"/>
  <c r="K952" i="1"/>
  <c r="J952" i="1"/>
  <c r="I952" i="1"/>
  <c r="L951" i="1"/>
  <c r="K951" i="1"/>
  <c r="J951" i="1"/>
  <c r="I951" i="1"/>
  <c r="L950" i="1"/>
  <c r="K950" i="1"/>
  <c r="J950" i="1"/>
  <c r="I950" i="1"/>
  <c r="L949" i="1"/>
  <c r="K949" i="1"/>
  <c r="J949" i="1"/>
  <c r="I949" i="1"/>
  <c r="L948" i="1"/>
  <c r="K948" i="1"/>
  <c r="J948" i="1"/>
  <c r="I948" i="1"/>
  <c r="L947" i="1"/>
  <c r="K947" i="1"/>
  <c r="J947" i="1"/>
  <c r="I947" i="1"/>
  <c r="L946" i="1"/>
  <c r="K946" i="1"/>
  <c r="J946" i="1"/>
  <c r="I946" i="1"/>
  <c r="L945" i="1"/>
  <c r="K945" i="1"/>
  <c r="J945" i="1"/>
  <c r="I945" i="1"/>
  <c r="L944" i="1"/>
  <c r="K944" i="1"/>
  <c r="J944" i="1"/>
  <c r="I944" i="1"/>
  <c r="L943" i="1"/>
  <c r="K943" i="1"/>
  <c r="J943" i="1"/>
  <c r="I943" i="1"/>
  <c r="L942" i="1"/>
  <c r="K942" i="1"/>
  <c r="J942" i="1"/>
  <c r="I942" i="1"/>
  <c r="L941" i="1"/>
  <c r="K941" i="1"/>
  <c r="J941" i="1"/>
  <c r="I941" i="1"/>
  <c r="L940" i="1"/>
  <c r="K940" i="1"/>
  <c r="J940" i="1"/>
  <c r="I940" i="1"/>
  <c r="L939" i="1"/>
  <c r="K939" i="1"/>
  <c r="J939" i="1"/>
  <c r="I939" i="1"/>
  <c r="L938" i="1"/>
  <c r="K938" i="1"/>
  <c r="J938" i="1"/>
  <c r="I938" i="1"/>
  <c r="L937" i="1"/>
  <c r="K937" i="1"/>
  <c r="J937" i="1"/>
  <c r="I937" i="1"/>
  <c r="L936" i="1"/>
  <c r="K936" i="1"/>
  <c r="J936" i="1"/>
  <c r="I936" i="1"/>
  <c r="L935" i="1"/>
  <c r="K935" i="1"/>
  <c r="J935" i="1"/>
  <c r="I935" i="1"/>
  <c r="L934" i="1"/>
  <c r="K934" i="1"/>
  <c r="J934" i="1"/>
  <c r="I934" i="1"/>
  <c r="L933" i="1"/>
  <c r="K933" i="1"/>
  <c r="J933" i="1"/>
  <c r="I933" i="1"/>
  <c r="L932" i="1"/>
  <c r="K932" i="1"/>
  <c r="J932" i="1"/>
  <c r="I932" i="1"/>
  <c r="L931" i="1"/>
  <c r="K931" i="1"/>
  <c r="J931" i="1"/>
  <c r="I931" i="1"/>
  <c r="L930" i="1"/>
  <c r="K930" i="1"/>
  <c r="J930" i="1"/>
  <c r="I930" i="1"/>
  <c r="L929" i="1"/>
  <c r="K929" i="1"/>
  <c r="J929" i="1"/>
  <c r="I929" i="1"/>
  <c r="L928" i="1"/>
  <c r="K928" i="1"/>
  <c r="J928" i="1"/>
  <c r="I928" i="1"/>
  <c r="L927" i="1"/>
  <c r="K927" i="1"/>
  <c r="J927" i="1"/>
  <c r="I927" i="1"/>
  <c r="L926" i="1"/>
  <c r="K926" i="1"/>
  <c r="J926" i="1"/>
  <c r="I926" i="1"/>
  <c r="L925" i="1"/>
  <c r="K925" i="1"/>
  <c r="J925" i="1"/>
  <c r="I925" i="1"/>
  <c r="L924" i="1"/>
  <c r="K924" i="1"/>
  <c r="J924" i="1"/>
  <c r="I924" i="1"/>
  <c r="L923" i="1"/>
  <c r="K923" i="1"/>
  <c r="J923" i="1"/>
  <c r="I923" i="1"/>
  <c r="L922" i="1"/>
  <c r="K922" i="1"/>
  <c r="J922" i="1"/>
  <c r="I922" i="1"/>
  <c r="L921" i="1"/>
  <c r="K921" i="1"/>
  <c r="J921" i="1"/>
  <c r="I921" i="1"/>
  <c r="L920" i="1"/>
  <c r="K920" i="1"/>
  <c r="J920" i="1"/>
  <c r="I920" i="1"/>
  <c r="L919" i="1"/>
  <c r="K919" i="1"/>
  <c r="J919" i="1"/>
  <c r="I919" i="1"/>
  <c r="L918" i="1"/>
  <c r="K918" i="1"/>
  <c r="J918" i="1"/>
  <c r="I918" i="1"/>
  <c r="L917" i="1"/>
  <c r="K917" i="1"/>
  <c r="J917" i="1"/>
  <c r="I917" i="1"/>
  <c r="L916" i="1"/>
  <c r="K916" i="1"/>
  <c r="J916" i="1"/>
  <c r="I916" i="1"/>
  <c r="L915" i="1"/>
  <c r="K915" i="1"/>
  <c r="J915" i="1"/>
  <c r="I915" i="1"/>
  <c r="L914" i="1"/>
  <c r="K914" i="1"/>
  <c r="J914" i="1"/>
  <c r="I914" i="1"/>
  <c r="L913" i="1"/>
  <c r="K913" i="1"/>
  <c r="J913" i="1"/>
  <c r="I913" i="1"/>
  <c r="L912" i="1"/>
  <c r="K912" i="1"/>
  <c r="J912" i="1"/>
  <c r="I912" i="1"/>
  <c r="L911" i="1"/>
  <c r="K911" i="1"/>
  <c r="J911" i="1"/>
  <c r="I911" i="1"/>
  <c r="L910" i="1"/>
  <c r="K910" i="1"/>
  <c r="J910" i="1"/>
  <c r="I910" i="1"/>
  <c r="L909" i="1"/>
  <c r="K909" i="1"/>
  <c r="J909" i="1"/>
  <c r="I909" i="1"/>
  <c r="L908" i="1"/>
  <c r="K908" i="1"/>
  <c r="J908" i="1"/>
  <c r="I908" i="1"/>
  <c r="L907" i="1"/>
  <c r="K907" i="1"/>
  <c r="J907" i="1"/>
  <c r="I907" i="1"/>
  <c r="L906" i="1"/>
  <c r="K906" i="1"/>
  <c r="J906" i="1"/>
  <c r="I906" i="1"/>
  <c r="L905" i="1"/>
  <c r="K905" i="1"/>
  <c r="J905" i="1"/>
  <c r="I905" i="1"/>
  <c r="L904" i="1"/>
  <c r="K904" i="1"/>
  <c r="J904" i="1"/>
  <c r="I904" i="1"/>
  <c r="L903" i="1"/>
  <c r="K903" i="1"/>
  <c r="J903" i="1"/>
  <c r="I903" i="1"/>
  <c r="L902" i="1"/>
  <c r="K902" i="1"/>
  <c r="J902" i="1"/>
  <c r="I902" i="1"/>
  <c r="L901" i="1"/>
  <c r="K901" i="1"/>
  <c r="J901" i="1"/>
  <c r="I901" i="1"/>
  <c r="L900" i="1"/>
  <c r="K900" i="1"/>
  <c r="J900" i="1"/>
  <c r="I900" i="1"/>
  <c r="L899" i="1"/>
  <c r="K899" i="1"/>
  <c r="J899" i="1"/>
  <c r="I899" i="1"/>
  <c r="L898" i="1"/>
  <c r="K898" i="1"/>
  <c r="J898" i="1"/>
  <c r="I898" i="1"/>
  <c r="L897" i="1"/>
  <c r="K897" i="1"/>
  <c r="J897" i="1"/>
  <c r="I897" i="1"/>
  <c r="L896" i="1"/>
  <c r="K896" i="1"/>
  <c r="J896" i="1"/>
  <c r="I896" i="1"/>
  <c r="L895" i="1"/>
  <c r="K895" i="1"/>
  <c r="J895" i="1"/>
  <c r="I895" i="1"/>
  <c r="L894" i="1"/>
  <c r="K894" i="1"/>
  <c r="J894" i="1"/>
  <c r="I894" i="1"/>
  <c r="L893" i="1"/>
  <c r="K893" i="1"/>
  <c r="J893" i="1"/>
  <c r="I893" i="1"/>
  <c r="L892" i="1"/>
  <c r="K892" i="1"/>
  <c r="J892" i="1"/>
  <c r="I892" i="1"/>
  <c r="L891" i="1"/>
  <c r="K891" i="1"/>
  <c r="J891" i="1"/>
  <c r="I891" i="1"/>
  <c r="L890" i="1"/>
  <c r="K890" i="1"/>
  <c r="J890" i="1"/>
  <c r="I890" i="1"/>
  <c r="L889" i="1"/>
  <c r="K889" i="1"/>
  <c r="J889" i="1"/>
  <c r="I889" i="1"/>
  <c r="L888" i="1"/>
  <c r="K888" i="1"/>
  <c r="J888" i="1"/>
  <c r="I888" i="1"/>
  <c r="L887" i="1"/>
  <c r="K887" i="1"/>
  <c r="J887" i="1"/>
  <c r="I887" i="1"/>
  <c r="L886" i="1"/>
  <c r="K886" i="1"/>
  <c r="J886" i="1"/>
  <c r="I886" i="1"/>
  <c r="L885" i="1"/>
  <c r="K885" i="1"/>
  <c r="J885" i="1"/>
  <c r="I885" i="1"/>
  <c r="L884" i="1"/>
  <c r="K884" i="1"/>
  <c r="J884" i="1"/>
  <c r="I884" i="1"/>
  <c r="L883" i="1"/>
  <c r="K883" i="1"/>
  <c r="J883" i="1"/>
  <c r="I883" i="1"/>
  <c r="L882" i="1"/>
  <c r="K882" i="1"/>
  <c r="J882" i="1"/>
  <c r="I882" i="1"/>
  <c r="L881" i="1"/>
  <c r="K881" i="1"/>
  <c r="J881" i="1"/>
  <c r="I881" i="1"/>
  <c r="L880" i="1"/>
  <c r="K880" i="1"/>
  <c r="J880" i="1"/>
  <c r="I880" i="1"/>
  <c r="L879" i="1"/>
  <c r="K879" i="1"/>
  <c r="J879" i="1"/>
  <c r="I879" i="1"/>
  <c r="L878" i="1"/>
  <c r="K878" i="1"/>
  <c r="J878" i="1"/>
  <c r="I878" i="1"/>
  <c r="L877" i="1"/>
  <c r="K877" i="1"/>
  <c r="J877" i="1"/>
  <c r="I877" i="1"/>
  <c r="L876" i="1"/>
  <c r="K876" i="1"/>
  <c r="J876" i="1"/>
  <c r="I876" i="1"/>
  <c r="L875" i="1"/>
  <c r="K875" i="1"/>
  <c r="J875" i="1"/>
  <c r="I875" i="1"/>
  <c r="L874" i="1"/>
  <c r="K874" i="1"/>
  <c r="J874" i="1"/>
  <c r="I874" i="1"/>
  <c r="L873" i="1"/>
  <c r="K873" i="1"/>
  <c r="J873" i="1"/>
  <c r="I873" i="1"/>
  <c r="L872" i="1"/>
  <c r="K872" i="1"/>
  <c r="J872" i="1"/>
  <c r="I872" i="1"/>
  <c r="L871" i="1"/>
  <c r="K871" i="1"/>
  <c r="J871" i="1"/>
  <c r="I871" i="1"/>
  <c r="L870" i="1"/>
  <c r="K870" i="1"/>
  <c r="J870" i="1"/>
  <c r="I870" i="1"/>
  <c r="L869" i="1"/>
  <c r="K869" i="1"/>
  <c r="J869" i="1"/>
  <c r="I869" i="1"/>
  <c r="L868" i="1"/>
  <c r="K868" i="1"/>
  <c r="J868" i="1"/>
  <c r="I868" i="1"/>
  <c r="L867" i="1"/>
  <c r="K867" i="1"/>
  <c r="J867" i="1"/>
  <c r="I867" i="1"/>
  <c r="L866" i="1"/>
  <c r="K866" i="1"/>
  <c r="J866" i="1"/>
  <c r="I866" i="1"/>
  <c r="L865" i="1"/>
  <c r="K865" i="1"/>
  <c r="J865" i="1"/>
  <c r="I865" i="1"/>
  <c r="L864" i="1"/>
  <c r="K864" i="1"/>
  <c r="J864" i="1"/>
  <c r="I864" i="1"/>
  <c r="L863" i="1"/>
  <c r="K863" i="1"/>
  <c r="J863" i="1"/>
  <c r="I863" i="1"/>
  <c r="L862" i="1"/>
  <c r="K862" i="1"/>
  <c r="J862" i="1"/>
  <c r="I862" i="1"/>
  <c r="L861" i="1"/>
  <c r="K861" i="1"/>
  <c r="J861" i="1"/>
  <c r="I861" i="1"/>
  <c r="L860" i="1"/>
  <c r="K860" i="1"/>
  <c r="J860" i="1"/>
  <c r="I860" i="1"/>
  <c r="L859" i="1"/>
  <c r="K859" i="1"/>
  <c r="J859" i="1"/>
  <c r="I859" i="1"/>
  <c r="L858" i="1"/>
  <c r="K858" i="1"/>
  <c r="J858" i="1"/>
  <c r="I858" i="1"/>
  <c r="L857" i="1"/>
  <c r="K857" i="1"/>
  <c r="J857" i="1"/>
  <c r="I857" i="1"/>
  <c r="L856" i="1"/>
  <c r="K856" i="1"/>
  <c r="J856" i="1"/>
  <c r="I856" i="1"/>
  <c r="L855" i="1"/>
  <c r="K855" i="1"/>
  <c r="J855" i="1"/>
  <c r="I855" i="1"/>
  <c r="L854" i="1"/>
  <c r="K854" i="1"/>
  <c r="J854" i="1"/>
  <c r="I854" i="1"/>
  <c r="L853" i="1"/>
  <c r="K853" i="1"/>
  <c r="J853" i="1"/>
  <c r="I853" i="1"/>
  <c r="L852" i="1"/>
  <c r="K852" i="1"/>
  <c r="J852" i="1"/>
  <c r="I852" i="1"/>
  <c r="L851" i="1"/>
  <c r="K851" i="1"/>
  <c r="J851" i="1"/>
  <c r="I851" i="1"/>
  <c r="L850" i="1"/>
  <c r="K850" i="1"/>
  <c r="J850" i="1"/>
  <c r="I850" i="1"/>
  <c r="L849" i="1"/>
  <c r="K849" i="1"/>
  <c r="J849" i="1"/>
  <c r="I849" i="1"/>
  <c r="L848" i="1"/>
  <c r="K848" i="1"/>
  <c r="J848" i="1"/>
  <c r="I848" i="1"/>
  <c r="L847" i="1"/>
  <c r="K847" i="1"/>
  <c r="J847" i="1"/>
  <c r="I847" i="1"/>
  <c r="L846" i="1"/>
  <c r="K846" i="1"/>
  <c r="J846" i="1"/>
  <c r="I846" i="1"/>
  <c r="L845" i="1"/>
  <c r="K845" i="1"/>
  <c r="J845" i="1"/>
  <c r="I845" i="1"/>
  <c r="L844" i="1"/>
  <c r="K844" i="1"/>
  <c r="J844" i="1"/>
  <c r="I844" i="1"/>
  <c r="L843" i="1"/>
  <c r="K843" i="1"/>
  <c r="J843" i="1"/>
  <c r="I843" i="1"/>
  <c r="L842" i="1"/>
  <c r="K842" i="1"/>
  <c r="J842" i="1"/>
  <c r="I842" i="1"/>
  <c r="L841" i="1"/>
  <c r="K841" i="1"/>
  <c r="J841" i="1"/>
  <c r="I841" i="1"/>
  <c r="L840" i="1"/>
  <c r="K840" i="1"/>
  <c r="J840" i="1"/>
  <c r="I840" i="1"/>
  <c r="L839" i="1"/>
  <c r="K839" i="1"/>
  <c r="J839" i="1"/>
  <c r="I839" i="1"/>
  <c r="L838" i="1"/>
  <c r="K838" i="1"/>
  <c r="J838" i="1"/>
  <c r="I838" i="1"/>
  <c r="L837" i="1"/>
  <c r="K837" i="1"/>
  <c r="J837" i="1"/>
  <c r="I837" i="1"/>
  <c r="L836" i="1"/>
  <c r="K836" i="1"/>
  <c r="J836" i="1"/>
  <c r="I836" i="1"/>
  <c r="L835" i="1"/>
  <c r="K835" i="1"/>
  <c r="J835" i="1"/>
  <c r="I835" i="1"/>
  <c r="L834" i="1"/>
  <c r="K834" i="1"/>
  <c r="J834" i="1"/>
  <c r="I834" i="1"/>
  <c r="L833" i="1"/>
  <c r="K833" i="1"/>
  <c r="J833" i="1"/>
  <c r="I833" i="1"/>
  <c r="L832" i="1"/>
  <c r="K832" i="1"/>
  <c r="J832" i="1"/>
  <c r="I832" i="1"/>
  <c r="L831" i="1"/>
  <c r="K831" i="1"/>
  <c r="J831" i="1"/>
  <c r="I831" i="1"/>
  <c r="L830" i="1"/>
  <c r="K830" i="1"/>
  <c r="J830" i="1"/>
  <c r="I830" i="1"/>
  <c r="L829" i="1"/>
  <c r="K829" i="1"/>
  <c r="J829" i="1"/>
  <c r="I829" i="1"/>
  <c r="L828" i="1"/>
  <c r="K828" i="1"/>
  <c r="J828" i="1"/>
  <c r="I828" i="1"/>
  <c r="L827" i="1"/>
  <c r="K827" i="1"/>
  <c r="J827" i="1"/>
  <c r="I827" i="1"/>
  <c r="L826" i="1"/>
  <c r="K826" i="1"/>
  <c r="J826" i="1"/>
  <c r="I826" i="1"/>
  <c r="L825" i="1"/>
  <c r="K825" i="1"/>
  <c r="J825" i="1"/>
  <c r="I825" i="1"/>
  <c r="L824" i="1"/>
  <c r="K824" i="1"/>
  <c r="J824" i="1"/>
  <c r="I824" i="1"/>
  <c r="L823" i="1"/>
  <c r="K823" i="1"/>
  <c r="J823" i="1"/>
  <c r="I823" i="1"/>
  <c r="L822" i="1"/>
  <c r="K822" i="1"/>
  <c r="J822" i="1"/>
  <c r="I822" i="1"/>
  <c r="L821" i="1"/>
  <c r="K821" i="1"/>
  <c r="J821" i="1"/>
  <c r="I821" i="1"/>
  <c r="L820" i="1"/>
  <c r="K820" i="1"/>
  <c r="J820" i="1"/>
  <c r="I820" i="1"/>
  <c r="L819" i="1"/>
  <c r="K819" i="1"/>
  <c r="J819" i="1"/>
  <c r="I819" i="1"/>
  <c r="L818" i="1"/>
  <c r="K818" i="1"/>
  <c r="J818" i="1"/>
  <c r="I818" i="1"/>
  <c r="L817" i="1"/>
  <c r="K817" i="1"/>
  <c r="J817" i="1"/>
  <c r="I817" i="1"/>
  <c r="L816" i="1"/>
  <c r="K816" i="1"/>
  <c r="J816" i="1"/>
  <c r="I816" i="1"/>
  <c r="L815" i="1"/>
  <c r="K815" i="1"/>
  <c r="J815" i="1"/>
  <c r="I815" i="1"/>
  <c r="L814" i="1"/>
  <c r="K814" i="1"/>
  <c r="J814" i="1"/>
  <c r="I814" i="1"/>
  <c r="L813" i="1"/>
  <c r="K813" i="1"/>
  <c r="J813" i="1"/>
  <c r="I813" i="1"/>
  <c r="L812" i="1"/>
  <c r="K812" i="1"/>
  <c r="J812" i="1"/>
  <c r="I812" i="1"/>
  <c r="L811" i="1"/>
  <c r="K811" i="1"/>
  <c r="J811" i="1"/>
  <c r="I811" i="1"/>
  <c r="L810" i="1"/>
  <c r="K810" i="1"/>
  <c r="J810" i="1"/>
  <c r="I810" i="1"/>
  <c r="L809" i="1"/>
  <c r="K809" i="1"/>
  <c r="J809" i="1"/>
  <c r="I809" i="1"/>
  <c r="L808" i="1"/>
  <c r="K808" i="1"/>
  <c r="J808" i="1"/>
  <c r="I808" i="1"/>
  <c r="L807" i="1"/>
  <c r="K807" i="1"/>
  <c r="J807" i="1"/>
  <c r="I807" i="1"/>
  <c r="L806" i="1"/>
  <c r="K806" i="1"/>
  <c r="J806" i="1"/>
  <c r="I806" i="1"/>
  <c r="L805" i="1"/>
  <c r="K805" i="1"/>
  <c r="J805" i="1"/>
  <c r="I805" i="1"/>
  <c r="L804" i="1"/>
  <c r="K804" i="1"/>
  <c r="J804" i="1"/>
  <c r="I804" i="1"/>
  <c r="L803" i="1"/>
  <c r="K803" i="1"/>
  <c r="J803" i="1"/>
  <c r="I803" i="1"/>
  <c r="L802" i="1"/>
  <c r="K802" i="1"/>
  <c r="J802" i="1"/>
  <c r="I802" i="1"/>
  <c r="L801" i="1"/>
  <c r="K801" i="1"/>
  <c r="J801" i="1"/>
  <c r="I801" i="1"/>
  <c r="L800" i="1"/>
  <c r="K800" i="1"/>
  <c r="J800" i="1"/>
  <c r="I800" i="1"/>
  <c r="L799" i="1"/>
  <c r="K799" i="1"/>
  <c r="J799" i="1"/>
  <c r="I799" i="1"/>
  <c r="L798" i="1"/>
  <c r="K798" i="1"/>
  <c r="J798" i="1"/>
  <c r="I798" i="1"/>
  <c r="L797" i="1"/>
  <c r="K797" i="1"/>
  <c r="J797" i="1"/>
  <c r="I797" i="1"/>
  <c r="L796" i="1"/>
  <c r="K796" i="1"/>
  <c r="J796" i="1"/>
  <c r="I796" i="1"/>
  <c r="L795" i="1"/>
  <c r="K795" i="1"/>
  <c r="J795" i="1"/>
  <c r="I795" i="1"/>
  <c r="L794" i="1"/>
  <c r="K794" i="1"/>
  <c r="J794" i="1"/>
  <c r="I794" i="1"/>
  <c r="L793" i="1"/>
  <c r="K793" i="1"/>
  <c r="J793" i="1"/>
  <c r="I793" i="1"/>
  <c r="L792" i="1"/>
  <c r="K792" i="1"/>
  <c r="J792" i="1"/>
  <c r="I792" i="1"/>
  <c r="L791" i="1"/>
  <c r="K791" i="1"/>
  <c r="J791" i="1"/>
  <c r="I791" i="1"/>
  <c r="L790" i="1"/>
  <c r="K790" i="1"/>
  <c r="J790" i="1"/>
  <c r="I790" i="1"/>
  <c r="L789" i="1"/>
  <c r="K789" i="1"/>
  <c r="J789" i="1"/>
  <c r="I789" i="1"/>
  <c r="L788" i="1"/>
  <c r="K788" i="1"/>
  <c r="J788" i="1"/>
  <c r="I788" i="1"/>
  <c r="L787" i="1"/>
  <c r="K787" i="1"/>
  <c r="J787" i="1"/>
  <c r="I787" i="1"/>
  <c r="L786" i="1"/>
  <c r="K786" i="1"/>
  <c r="J786" i="1"/>
  <c r="I786" i="1"/>
  <c r="L785" i="1"/>
  <c r="K785" i="1"/>
  <c r="J785" i="1"/>
  <c r="I785" i="1"/>
  <c r="L784" i="1"/>
  <c r="K784" i="1"/>
  <c r="J784" i="1"/>
  <c r="I784" i="1"/>
  <c r="L783" i="1"/>
  <c r="K783" i="1"/>
  <c r="J783" i="1"/>
  <c r="I783" i="1"/>
  <c r="L782" i="1"/>
  <c r="K782" i="1"/>
  <c r="J782" i="1"/>
  <c r="I782" i="1"/>
  <c r="L781" i="1"/>
  <c r="K781" i="1"/>
  <c r="J781" i="1"/>
  <c r="I781" i="1"/>
  <c r="L780" i="1"/>
  <c r="K780" i="1"/>
  <c r="J780" i="1"/>
  <c r="I780" i="1"/>
  <c r="L779" i="1"/>
  <c r="K779" i="1"/>
  <c r="J779" i="1"/>
  <c r="I779" i="1"/>
  <c r="L778" i="1"/>
  <c r="K778" i="1"/>
  <c r="J778" i="1"/>
  <c r="I778" i="1"/>
  <c r="L777" i="1"/>
  <c r="K777" i="1"/>
  <c r="J777" i="1"/>
  <c r="I777" i="1"/>
  <c r="L776" i="1"/>
  <c r="K776" i="1"/>
  <c r="J776" i="1"/>
  <c r="I776" i="1"/>
  <c r="L775" i="1"/>
  <c r="K775" i="1"/>
  <c r="J775" i="1"/>
  <c r="I775" i="1"/>
  <c r="L774" i="1"/>
  <c r="K774" i="1"/>
  <c r="J774" i="1"/>
  <c r="I774" i="1"/>
  <c r="L773" i="1"/>
  <c r="K773" i="1"/>
  <c r="J773" i="1"/>
  <c r="I773" i="1"/>
  <c r="L772" i="1"/>
  <c r="K772" i="1"/>
  <c r="J772" i="1"/>
  <c r="I772" i="1"/>
  <c r="L771" i="1"/>
  <c r="K771" i="1"/>
  <c r="J771" i="1"/>
  <c r="I771" i="1"/>
  <c r="L770" i="1"/>
  <c r="K770" i="1"/>
  <c r="J770" i="1"/>
  <c r="I770" i="1"/>
  <c r="L769" i="1"/>
  <c r="K769" i="1"/>
  <c r="J769" i="1"/>
  <c r="I769" i="1"/>
  <c r="L768" i="1"/>
  <c r="K768" i="1"/>
  <c r="J768" i="1"/>
  <c r="I768" i="1"/>
  <c r="L767" i="1"/>
  <c r="K767" i="1"/>
  <c r="J767" i="1"/>
  <c r="I767" i="1"/>
  <c r="L766" i="1"/>
  <c r="K766" i="1"/>
  <c r="J766" i="1"/>
  <c r="I766" i="1"/>
  <c r="L765" i="1"/>
  <c r="K765" i="1"/>
  <c r="J765" i="1"/>
  <c r="I765" i="1"/>
  <c r="L764" i="1"/>
  <c r="K764" i="1"/>
  <c r="J764" i="1"/>
  <c r="I764" i="1"/>
  <c r="L763" i="1"/>
  <c r="K763" i="1"/>
  <c r="J763" i="1"/>
  <c r="I763" i="1"/>
  <c r="L762" i="1"/>
  <c r="K762" i="1"/>
  <c r="J762" i="1"/>
  <c r="I762" i="1"/>
  <c r="L761" i="1"/>
  <c r="K761" i="1"/>
  <c r="J761" i="1"/>
  <c r="I761" i="1"/>
  <c r="L760" i="1"/>
  <c r="K760" i="1"/>
  <c r="J760" i="1"/>
  <c r="I760" i="1"/>
  <c r="L759" i="1"/>
  <c r="K759" i="1"/>
  <c r="J759" i="1"/>
  <c r="I759" i="1"/>
  <c r="L758" i="1"/>
  <c r="K758" i="1"/>
  <c r="J758" i="1"/>
  <c r="I758" i="1"/>
  <c r="L757" i="1"/>
  <c r="K757" i="1"/>
  <c r="J757" i="1"/>
  <c r="I757" i="1"/>
  <c r="L756" i="1"/>
  <c r="K756" i="1"/>
  <c r="J756" i="1"/>
  <c r="I756" i="1"/>
  <c r="L755" i="1"/>
  <c r="K755" i="1"/>
  <c r="J755" i="1"/>
  <c r="I755" i="1"/>
  <c r="L754" i="1"/>
  <c r="K754" i="1"/>
  <c r="J754" i="1"/>
  <c r="I754" i="1"/>
  <c r="L753" i="1"/>
  <c r="K753" i="1"/>
  <c r="J753" i="1"/>
  <c r="I753" i="1"/>
  <c r="L752" i="1"/>
  <c r="K752" i="1"/>
  <c r="J752" i="1"/>
  <c r="I752" i="1"/>
  <c r="L751" i="1"/>
  <c r="K751" i="1"/>
  <c r="J751" i="1"/>
  <c r="I751" i="1"/>
  <c r="L750" i="1"/>
  <c r="K750" i="1"/>
  <c r="J750" i="1"/>
  <c r="I750" i="1"/>
  <c r="L749" i="1"/>
  <c r="K749" i="1"/>
  <c r="J749" i="1"/>
  <c r="I749" i="1"/>
  <c r="L748" i="1"/>
  <c r="K748" i="1"/>
  <c r="J748" i="1"/>
  <c r="I748" i="1"/>
  <c r="L747" i="1"/>
  <c r="K747" i="1"/>
  <c r="J747" i="1"/>
  <c r="I747" i="1"/>
  <c r="L746" i="1"/>
  <c r="K746" i="1"/>
  <c r="J746" i="1"/>
  <c r="I746" i="1"/>
  <c r="L745" i="1"/>
  <c r="K745" i="1"/>
  <c r="J745" i="1"/>
  <c r="I745" i="1"/>
  <c r="L744" i="1"/>
  <c r="K744" i="1"/>
  <c r="J744" i="1"/>
  <c r="I744" i="1"/>
  <c r="L743" i="1"/>
  <c r="K743" i="1"/>
  <c r="J743" i="1"/>
  <c r="I743" i="1"/>
  <c r="L742" i="1"/>
  <c r="K742" i="1"/>
  <c r="J742" i="1"/>
  <c r="I742" i="1"/>
  <c r="L741" i="1"/>
  <c r="K741" i="1"/>
  <c r="J741" i="1"/>
  <c r="I741" i="1"/>
  <c r="L740" i="1"/>
  <c r="K740" i="1"/>
  <c r="J740" i="1"/>
  <c r="I740" i="1"/>
  <c r="L739" i="1"/>
  <c r="K739" i="1"/>
  <c r="J739" i="1"/>
  <c r="I739" i="1"/>
  <c r="L738" i="1"/>
  <c r="K738" i="1"/>
  <c r="J738" i="1"/>
  <c r="I738" i="1"/>
  <c r="L737" i="1"/>
  <c r="K737" i="1"/>
  <c r="J737" i="1"/>
  <c r="I737" i="1"/>
  <c r="L736" i="1"/>
  <c r="K736" i="1"/>
  <c r="J736" i="1"/>
  <c r="I736" i="1"/>
  <c r="L735" i="1"/>
  <c r="K735" i="1"/>
  <c r="J735" i="1"/>
  <c r="I735" i="1"/>
  <c r="L734" i="1"/>
  <c r="K734" i="1"/>
  <c r="J734" i="1"/>
  <c r="I734" i="1"/>
  <c r="L733" i="1"/>
  <c r="K733" i="1"/>
  <c r="J733" i="1"/>
  <c r="I733" i="1"/>
  <c r="L732" i="1"/>
  <c r="K732" i="1"/>
  <c r="J732" i="1"/>
  <c r="I732" i="1"/>
  <c r="L731" i="1"/>
  <c r="K731" i="1"/>
  <c r="J731" i="1"/>
  <c r="I731" i="1"/>
  <c r="L730" i="1"/>
  <c r="K730" i="1"/>
  <c r="J730" i="1"/>
  <c r="I730" i="1"/>
  <c r="L729" i="1"/>
  <c r="K729" i="1"/>
  <c r="J729" i="1"/>
  <c r="I729" i="1"/>
  <c r="L728" i="1"/>
  <c r="K728" i="1"/>
  <c r="J728" i="1"/>
  <c r="I728" i="1"/>
  <c r="L727" i="1"/>
  <c r="K727" i="1"/>
  <c r="J727" i="1"/>
  <c r="I727" i="1"/>
  <c r="L726" i="1"/>
  <c r="K726" i="1"/>
  <c r="J726" i="1"/>
  <c r="I726" i="1"/>
  <c r="L725" i="1"/>
  <c r="K725" i="1"/>
  <c r="J725" i="1"/>
  <c r="I725" i="1"/>
  <c r="L724" i="1"/>
  <c r="K724" i="1"/>
  <c r="J724" i="1"/>
  <c r="I724" i="1"/>
  <c r="L723" i="1"/>
  <c r="K723" i="1"/>
  <c r="J723" i="1"/>
  <c r="I723" i="1"/>
  <c r="L722" i="1"/>
  <c r="K722" i="1"/>
  <c r="J722" i="1"/>
  <c r="I722" i="1"/>
  <c r="L721" i="1"/>
  <c r="K721" i="1"/>
  <c r="J721" i="1"/>
  <c r="I721" i="1"/>
  <c r="L720" i="1"/>
  <c r="K720" i="1"/>
  <c r="J720" i="1"/>
  <c r="I720" i="1"/>
  <c r="L719" i="1"/>
  <c r="K719" i="1"/>
  <c r="J719" i="1"/>
  <c r="I719" i="1"/>
  <c r="L718" i="1"/>
  <c r="K718" i="1"/>
  <c r="J718" i="1"/>
  <c r="I718" i="1"/>
  <c r="L717" i="1"/>
  <c r="K717" i="1"/>
  <c r="J717" i="1"/>
  <c r="I717" i="1"/>
  <c r="L716" i="1"/>
  <c r="K716" i="1"/>
  <c r="J716" i="1"/>
  <c r="I716" i="1"/>
  <c r="L715" i="1"/>
  <c r="K715" i="1"/>
  <c r="J715" i="1"/>
  <c r="I715" i="1"/>
  <c r="L714" i="1"/>
  <c r="K714" i="1"/>
  <c r="J714" i="1"/>
  <c r="I714" i="1"/>
  <c r="L713" i="1"/>
  <c r="K713" i="1"/>
  <c r="J713" i="1"/>
  <c r="I713" i="1"/>
  <c r="L712" i="1"/>
  <c r="K712" i="1"/>
  <c r="J712" i="1"/>
  <c r="I712" i="1"/>
  <c r="L711" i="1"/>
  <c r="K711" i="1"/>
  <c r="J711" i="1"/>
  <c r="I711" i="1"/>
  <c r="L710" i="1"/>
  <c r="K710" i="1"/>
  <c r="J710" i="1"/>
  <c r="I710" i="1"/>
  <c r="L709" i="1"/>
  <c r="K709" i="1"/>
  <c r="J709" i="1"/>
  <c r="I709" i="1"/>
  <c r="L708" i="1"/>
  <c r="K708" i="1"/>
  <c r="J708" i="1"/>
  <c r="I708" i="1"/>
  <c r="L707" i="1"/>
  <c r="K707" i="1"/>
  <c r="J707" i="1"/>
  <c r="I707" i="1"/>
  <c r="L706" i="1"/>
  <c r="K706" i="1"/>
  <c r="J706" i="1"/>
  <c r="I706" i="1"/>
  <c r="L705" i="1"/>
  <c r="K705" i="1"/>
  <c r="J705" i="1"/>
  <c r="I705" i="1"/>
  <c r="L704" i="1"/>
  <c r="K704" i="1"/>
  <c r="J704" i="1"/>
  <c r="I704" i="1"/>
  <c r="L703" i="1"/>
  <c r="K703" i="1"/>
  <c r="J703" i="1"/>
  <c r="I703" i="1"/>
  <c r="L702" i="1"/>
  <c r="K702" i="1"/>
  <c r="J702" i="1"/>
  <c r="I702" i="1"/>
  <c r="L701" i="1"/>
  <c r="K701" i="1"/>
  <c r="J701" i="1"/>
  <c r="I701" i="1"/>
  <c r="L700" i="1"/>
  <c r="K700" i="1"/>
  <c r="J700" i="1"/>
  <c r="I700" i="1"/>
  <c r="L699" i="1"/>
  <c r="K699" i="1"/>
  <c r="J699" i="1"/>
  <c r="I699" i="1"/>
  <c r="L698" i="1"/>
  <c r="K698" i="1"/>
  <c r="J698" i="1"/>
  <c r="I698" i="1"/>
  <c r="L697" i="1"/>
  <c r="K697" i="1"/>
  <c r="J697" i="1"/>
  <c r="I697" i="1"/>
  <c r="L696" i="1"/>
  <c r="K696" i="1"/>
  <c r="J696" i="1"/>
  <c r="I696" i="1"/>
  <c r="L695" i="1"/>
  <c r="K695" i="1"/>
  <c r="J695" i="1"/>
  <c r="I695" i="1"/>
  <c r="L694" i="1"/>
  <c r="K694" i="1"/>
  <c r="J694" i="1"/>
  <c r="I694" i="1"/>
  <c r="L693" i="1"/>
  <c r="K693" i="1"/>
  <c r="J693" i="1"/>
  <c r="I693" i="1"/>
  <c r="L692" i="1"/>
  <c r="K692" i="1"/>
  <c r="J692" i="1"/>
  <c r="I692" i="1"/>
  <c r="L691" i="1"/>
  <c r="K691" i="1"/>
  <c r="J691" i="1"/>
  <c r="I691" i="1"/>
  <c r="L690" i="1"/>
  <c r="K690" i="1"/>
  <c r="J690" i="1"/>
  <c r="I690" i="1"/>
  <c r="L689" i="1"/>
  <c r="K689" i="1"/>
  <c r="J689" i="1"/>
  <c r="I689" i="1"/>
  <c r="L688" i="1"/>
  <c r="K688" i="1"/>
  <c r="J688" i="1"/>
  <c r="I688" i="1"/>
  <c r="L687" i="1"/>
  <c r="K687" i="1"/>
  <c r="J687" i="1"/>
  <c r="I687" i="1"/>
  <c r="L686" i="1"/>
  <c r="K686" i="1"/>
  <c r="J686" i="1"/>
  <c r="I686" i="1"/>
  <c r="L685" i="1"/>
  <c r="K685" i="1"/>
  <c r="J685" i="1"/>
  <c r="I685" i="1"/>
  <c r="L684" i="1"/>
  <c r="K684" i="1"/>
  <c r="J684" i="1"/>
  <c r="I684" i="1"/>
  <c r="L683" i="1"/>
  <c r="K683" i="1"/>
  <c r="J683" i="1"/>
  <c r="I683" i="1"/>
  <c r="L682" i="1"/>
  <c r="K682" i="1"/>
  <c r="J682" i="1"/>
  <c r="I682" i="1"/>
  <c r="L681" i="1"/>
  <c r="K681" i="1"/>
  <c r="J681" i="1"/>
  <c r="I681" i="1"/>
  <c r="L680" i="1"/>
  <c r="K680" i="1"/>
  <c r="J680" i="1"/>
  <c r="I680" i="1"/>
  <c r="L679" i="1"/>
  <c r="K679" i="1"/>
  <c r="J679" i="1"/>
  <c r="I679" i="1"/>
  <c r="L678" i="1"/>
  <c r="K678" i="1"/>
  <c r="J678" i="1"/>
  <c r="I678" i="1"/>
  <c r="L677" i="1"/>
  <c r="K677" i="1"/>
  <c r="J677" i="1"/>
  <c r="I677" i="1"/>
  <c r="L676" i="1"/>
  <c r="K676" i="1"/>
  <c r="J676" i="1"/>
  <c r="I676" i="1"/>
  <c r="L675" i="1"/>
  <c r="K675" i="1"/>
  <c r="J675" i="1"/>
  <c r="I675" i="1"/>
  <c r="L674" i="1"/>
  <c r="K674" i="1"/>
  <c r="J674" i="1"/>
  <c r="I674" i="1"/>
  <c r="L673" i="1"/>
  <c r="K673" i="1"/>
  <c r="J673" i="1"/>
  <c r="I673" i="1"/>
  <c r="L672" i="1"/>
  <c r="K672" i="1"/>
  <c r="J672" i="1"/>
  <c r="I672" i="1"/>
  <c r="L671" i="1"/>
  <c r="K671" i="1"/>
  <c r="J671" i="1"/>
  <c r="I671" i="1"/>
  <c r="L670" i="1"/>
  <c r="K670" i="1"/>
  <c r="J670" i="1"/>
  <c r="I670" i="1"/>
  <c r="L669" i="1"/>
  <c r="K669" i="1"/>
  <c r="J669" i="1"/>
  <c r="I669" i="1"/>
  <c r="L668" i="1"/>
  <c r="K668" i="1"/>
  <c r="J668" i="1"/>
  <c r="I668" i="1"/>
  <c r="L667" i="1"/>
  <c r="K667" i="1"/>
  <c r="J667" i="1"/>
  <c r="I667" i="1"/>
  <c r="L666" i="1"/>
  <c r="K666" i="1"/>
  <c r="J666" i="1"/>
  <c r="I666" i="1"/>
  <c r="L665" i="1"/>
  <c r="K665" i="1"/>
  <c r="J665" i="1"/>
  <c r="I665" i="1"/>
  <c r="L664" i="1"/>
  <c r="K664" i="1"/>
  <c r="J664" i="1"/>
  <c r="I664" i="1"/>
  <c r="L663" i="1"/>
  <c r="K663" i="1"/>
  <c r="J663" i="1"/>
  <c r="I663" i="1"/>
  <c r="L662" i="1"/>
  <c r="K662" i="1"/>
  <c r="J662" i="1"/>
  <c r="I662" i="1"/>
  <c r="L661" i="1"/>
  <c r="K661" i="1"/>
  <c r="J661" i="1"/>
  <c r="I661" i="1"/>
  <c r="L660" i="1"/>
  <c r="K660" i="1"/>
  <c r="J660" i="1"/>
  <c r="I660" i="1"/>
  <c r="L659" i="1"/>
  <c r="K659" i="1"/>
  <c r="J659" i="1"/>
  <c r="I659" i="1"/>
  <c r="L658" i="1"/>
  <c r="K658" i="1"/>
  <c r="J658" i="1"/>
  <c r="I658" i="1"/>
  <c r="L657" i="1"/>
  <c r="K657" i="1"/>
  <c r="J657" i="1"/>
  <c r="I657" i="1"/>
  <c r="L656" i="1"/>
  <c r="K656" i="1"/>
  <c r="J656" i="1"/>
  <c r="I656" i="1"/>
  <c r="L655" i="1"/>
  <c r="K655" i="1"/>
  <c r="J655" i="1"/>
  <c r="I655" i="1"/>
  <c r="L654" i="1"/>
  <c r="K654" i="1"/>
  <c r="J654" i="1"/>
  <c r="I654" i="1"/>
  <c r="L653" i="1"/>
  <c r="K653" i="1"/>
  <c r="J653" i="1"/>
  <c r="I653" i="1"/>
  <c r="L652" i="1"/>
  <c r="K652" i="1"/>
  <c r="J652" i="1"/>
  <c r="I652" i="1"/>
  <c r="L651" i="1"/>
  <c r="K651" i="1"/>
  <c r="J651" i="1"/>
  <c r="I651" i="1"/>
  <c r="L650" i="1"/>
  <c r="K650" i="1"/>
  <c r="J650" i="1"/>
  <c r="I650" i="1"/>
  <c r="L649" i="1"/>
  <c r="K649" i="1"/>
  <c r="J649" i="1"/>
  <c r="I649" i="1"/>
  <c r="L648" i="1"/>
  <c r="K648" i="1"/>
  <c r="J648" i="1"/>
  <c r="I648" i="1"/>
  <c r="L647" i="1"/>
  <c r="K647" i="1"/>
  <c r="J647" i="1"/>
  <c r="I647" i="1"/>
  <c r="L646" i="1"/>
  <c r="K646" i="1"/>
  <c r="J646" i="1"/>
  <c r="I646" i="1"/>
  <c r="L645" i="1"/>
  <c r="K645" i="1"/>
  <c r="J645" i="1"/>
  <c r="I645" i="1"/>
  <c r="L644" i="1"/>
  <c r="K644" i="1"/>
  <c r="J644" i="1"/>
  <c r="I644" i="1"/>
  <c r="L643" i="1"/>
  <c r="K643" i="1"/>
  <c r="J643" i="1"/>
  <c r="I643" i="1"/>
  <c r="L642" i="1"/>
  <c r="K642" i="1"/>
  <c r="J642" i="1"/>
  <c r="I642" i="1"/>
  <c r="L641" i="1"/>
  <c r="K641" i="1"/>
  <c r="J641" i="1"/>
  <c r="I641" i="1"/>
  <c r="L640" i="1"/>
  <c r="K640" i="1"/>
  <c r="J640" i="1"/>
  <c r="I640" i="1"/>
  <c r="L639" i="1"/>
  <c r="K639" i="1"/>
  <c r="J639" i="1"/>
  <c r="I639" i="1"/>
  <c r="L638" i="1"/>
  <c r="K638" i="1"/>
  <c r="J638" i="1"/>
  <c r="I638" i="1"/>
  <c r="L637" i="1"/>
  <c r="K637" i="1"/>
  <c r="J637" i="1"/>
  <c r="I637" i="1"/>
  <c r="L636" i="1"/>
  <c r="K636" i="1"/>
  <c r="J636" i="1"/>
  <c r="I636" i="1"/>
  <c r="L635" i="1"/>
  <c r="K635" i="1"/>
  <c r="J635" i="1"/>
  <c r="I635" i="1"/>
  <c r="L634" i="1"/>
  <c r="K634" i="1"/>
  <c r="J634" i="1"/>
  <c r="I634" i="1"/>
  <c r="L633" i="1"/>
  <c r="K633" i="1"/>
  <c r="J633" i="1"/>
  <c r="I633" i="1"/>
  <c r="L632" i="1"/>
  <c r="K632" i="1"/>
  <c r="J632" i="1"/>
  <c r="I632" i="1"/>
  <c r="L631" i="1"/>
  <c r="K631" i="1"/>
  <c r="J631" i="1"/>
  <c r="I631" i="1"/>
  <c r="L630" i="1"/>
  <c r="K630" i="1"/>
  <c r="J630" i="1"/>
  <c r="I630" i="1"/>
  <c r="L629" i="1"/>
  <c r="K629" i="1"/>
  <c r="J629" i="1"/>
  <c r="I629" i="1"/>
  <c r="L628" i="1"/>
  <c r="K628" i="1"/>
  <c r="J628" i="1"/>
  <c r="I628" i="1"/>
  <c r="L627" i="1"/>
  <c r="K627" i="1"/>
  <c r="J627" i="1"/>
  <c r="I627" i="1"/>
  <c r="L626" i="1"/>
  <c r="K626" i="1"/>
  <c r="J626" i="1"/>
  <c r="I626" i="1"/>
  <c r="L625" i="1"/>
  <c r="K625" i="1"/>
  <c r="J625" i="1"/>
  <c r="I625" i="1"/>
  <c r="L624" i="1"/>
  <c r="K624" i="1"/>
  <c r="J624" i="1"/>
  <c r="I624" i="1"/>
  <c r="L623" i="1"/>
  <c r="K623" i="1"/>
  <c r="J623" i="1"/>
  <c r="I623" i="1"/>
  <c r="L622" i="1"/>
  <c r="K622" i="1"/>
  <c r="J622" i="1"/>
  <c r="I622" i="1"/>
  <c r="L621" i="1"/>
  <c r="K621" i="1"/>
  <c r="J621" i="1"/>
  <c r="I621" i="1"/>
  <c r="L620" i="1"/>
  <c r="K620" i="1"/>
  <c r="J620" i="1"/>
  <c r="I620" i="1"/>
  <c r="L619" i="1"/>
  <c r="K619" i="1"/>
  <c r="J619" i="1"/>
  <c r="I619" i="1"/>
  <c r="L618" i="1"/>
  <c r="K618" i="1"/>
  <c r="J618" i="1"/>
  <c r="I618" i="1"/>
  <c r="L617" i="1"/>
  <c r="K617" i="1"/>
  <c r="J617" i="1"/>
  <c r="I617" i="1"/>
  <c r="L616" i="1"/>
  <c r="K616" i="1"/>
  <c r="J616" i="1"/>
  <c r="I616" i="1"/>
  <c r="L615" i="1"/>
  <c r="K615" i="1"/>
  <c r="J615" i="1"/>
  <c r="I615" i="1"/>
  <c r="L614" i="1"/>
  <c r="K614" i="1"/>
  <c r="J614" i="1"/>
  <c r="I614" i="1"/>
  <c r="L613" i="1"/>
  <c r="K613" i="1"/>
  <c r="J613" i="1"/>
  <c r="I613" i="1"/>
  <c r="L612" i="1"/>
  <c r="K612" i="1"/>
  <c r="J612" i="1"/>
  <c r="I612" i="1"/>
  <c r="L611" i="1"/>
  <c r="K611" i="1"/>
  <c r="J611" i="1"/>
  <c r="I611" i="1"/>
  <c r="L610" i="1"/>
  <c r="K610" i="1"/>
  <c r="J610" i="1"/>
  <c r="I610" i="1"/>
  <c r="L609" i="1"/>
  <c r="K609" i="1"/>
  <c r="J609" i="1"/>
  <c r="I609" i="1"/>
  <c r="L608" i="1"/>
  <c r="K608" i="1"/>
  <c r="J608" i="1"/>
  <c r="I608" i="1"/>
  <c r="L607" i="1"/>
  <c r="K607" i="1"/>
  <c r="J607" i="1"/>
  <c r="I607" i="1"/>
  <c r="L606" i="1"/>
  <c r="K606" i="1"/>
  <c r="J606" i="1"/>
  <c r="I606" i="1"/>
  <c r="L605" i="1"/>
  <c r="K605" i="1"/>
  <c r="J605" i="1"/>
  <c r="I605" i="1"/>
  <c r="L604" i="1"/>
  <c r="K604" i="1"/>
  <c r="J604" i="1"/>
  <c r="I604" i="1"/>
  <c r="L603" i="1"/>
  <c r="K603" i="1"/>
  <c r="J603" i="1"/>
  <c r="I603" i="1"/>
  <c r="L602" i="1"/>
  <c r="K602" i="1"/>
  <c r="J602" i="1"/>
  <c r="I602" i="1"/>
  <c r="L601" i="1"/>
  <c r="K601" i="1"/>
  <c r="J601" i="1"/>
  <c r="I601" i="1"/>
  <c r="L600" i="1"/>
  <c r="K600" i="1"/>
  <c r="J600" i="1"/>
  <c r="I600" i="1"/>
  <c r="L599" i="1"/>
  <c r="K599" i="1"/>
  <c r="J599" i="1"/>
  <c r="I599" i="1"/>
  <c r="L598" i="1"/>
  <c r="K598" i="1"/>
  <c r="J598" i="1"/>
  <c r="I598" i="1"/>
  <c r="L597" i="1"/>
  <c r="K597" i="1"/>
  <c r="J597" i="1"/>
  <c r="I597" i="1"/>
  <c r="L596" i="1"/>
  <c r="K596" i="1"/>
  <c r="J596" i="1"/>
  <c r="I596" i="1"/>
  <c r="L595" i="1"/>
  <c r="K595" i="1"/>
  <c r="J595" i="1"/>
  <c r="I595" i="1"/>
  <c r="L594" i="1"/>
  <c r="K594" i="1"/>
  <c r="J594" i="1"/>
  <c r="I594" i="1"/>
  <c r="L593" i="1"/>
  <c r="K593" i="1"/>
  <c r="J593" i="1"/>
  <c r="I593" i="1"/>
  <c r="L592" i="1"/>
  <c r="K592" i="1"/>
  <c r="J592" i="1"/>
  <c r="I592" i="1"/>
  <c r="L591" i="1"/>
  <c r="K591" i="1"/>
  <c r="J591" i="1"/>
  <c r="I591" i="1"/>
  <c r="L590" i="1"/>
  <c r="K590" i="1"/>
  <c r="J590" i="1"/>
  <c r="I590" i="1"/>
  <c r="L589" i="1"/>
  <c r="K589" i="1"/>
  <c r="J589" i="1"/>
  <c r="I589" i="1"/>
  <c r="L588" i="1"/>
  <c r="K588" i="1"/>
  <c r="J588" i="1"/>
  <c r="I588" i="1"/>
  <c r="L587" i="1"/>
  <c r="K587" i="1"/>
  <c r="J587" i="1"/>
  <c r="I587" i="1"/>
  <c r="L586" i="1"/>
  <c r="K586" i="1"/>
  <c r="J586" i="1"/>
  <c r="I586" i="1"/>
  <c r="L585" i="1"/>
  <c r="K585" i="1"/>
  <c r="J585" i="1"/>
  <c r="I585" i="1"/>
  <c r="L584" i="1"/>
  <c r="K584" i="1"/>
  <c r="J584" i="1"/>
  <c r="I584" i="1"/>
  <c r="L583" i="1"/>
  <c r="K583" i="1"/>
  <c r="J583" i="1"/>
  <c r="I583" i="1"/>
  <c r="L582" i="1"/>
  <c r="K582" i="1"/>
  <c r="J582" i="1"/>
  <c r="I582" i="1"/>
  <c r="L581" i="1"/>
  <c r="K581" i="1"/>
  <c r="J581" i="1"/>
  <c r="I581" i="1"/>
  <c r="L580" i="1"/>
  <c r="K580" i="1"/>
  <c r="J580" i="1"/>
  <c r="I580" i="1"/>
  <c r="L579" i="1"/>
  <c r="K579" i="1"/>
  <c r="J579" i="1"/>
  <c r="I579" i="1"/>
  <c r="L578" i="1"/>
  <c r="K578" i="1"/>
  <c r="J578" i="1"/>
  <c r="I578" i="1"/>
  <c r="L577" i="1"/>
  <c r="K577" i="1"/>
  <c r="J577" i="1"/>
  <c r="I577" i="1"/>
  <c r="L576" i="1"/>
  <c r="K576" i="1"/>
  <c r="J576" i="1"/>
  <c r="I576" i="1"/>
  <c r="L575" i="1"/>
  <c r="K575" i="1"/>
  <c r="J575" i="1"/>
  <c r="I575" i="1"/>
  <c r="L574" i="1"/>
  <c r="K574" i="1"/>
  <c r="J574" i="1"/>
  <c r="I574" i="1"/>
  <c r="L573" i="1"/>
  <c r="K573" i="1"/>
  <c r="J573" i="1"/>
  <c r="I573" i="1"/>
  <c r="L572" i="1"/>
  <c r="K572" i="1"/>
  <c r="J572" i="1"/>
  <c r="I572" i="1"/>
  <c r="L571" i="1"/>
  <c r="K571" i="1"/>
  <c r="J571" i="1"/>
  <c r="I571" i="1"/>
  <c r="L570" i="1"/>
  <c r="K570" i="1"/>
  <c r="J570" i="1"/>
  <c r="I570" i="1"/>
  <c r="L569" i="1"/>
  <c r="K569" i="1"/>
  <c r="J569" i="1"/>
  <c r="I569" i="1"/>
  <c r="L568" i="1"/>
  <c r="K568" i="1"/>
  <c r="J568" i="1"/>
  <c r="I568" i="1"/>
  <c r="L567" i="1"/>
  <c r="K567" i="1"/>
  <c r="J567" i="1"/>
  <c r="I567" i="1"/>
  <c r="L566" i="1"/>
  <c r="K566" i="1"/>
  <c r="J566" i="1"/>
  <c r="I566" i="1"/>
  <c r="L565" i="1"/>
  <c r="K565" i="1"/>
  <c r="J565" i="1"/>
  <c r="I565" i="1"/>
  <c r="L564" i="1"/>
  <c r="K564" i="1"/>
  <c r="J564" i="1"/>
  <c r="I564" i="1"/>
  <c r="L563" i="1"/>
  <c r="K563" i="1"/>
  <c r="J563" i="1"/>
  <c r="I563" i="1"/>
  <c r="L562" i="1"/>
  <c r="K562" i="1"/>
  <c r="J562" i="1"/>
  <c r="I562" i="1"/>
  <c r="L561" i="1"/>
  <c r="K561" i="1"/>
  <c r="J561" i="1"/>
  <c r="I561" i="1"/>
  <c r="L560" i="1"/>
  <c r="K560" i="1"/>
  <c r="J560" i="1"/>
  <c r="I560" i="1"/>
  <c r="L559" i="1"/>
  <c r="K559" i="1"/>
  <c r="J559" i="1"/>
  <c r="I559" i="1"/>
  <c r="L558" i="1"/>
  <c r="K558" i="1"/>
  <c r="J558" i="1"/>
  <c r="I558" i="1"/>
  <c r="L557" i="1"/>
  <c r="K557" i="1"/>
  <c r="J557" i="1"/>
  <c r="I557" i="1"/>
  <c r="L556" i="1"/>
  <c r="K556" i="1"/>
  <c r="J556" i="1"/>
  <c r="I556" i="1"/>
  <c r="L555" i="1"/>
  <c r="K555" i="1"/>
  <c r="J555" i="1"/>
  <c r="I555" i="1"/>
  <c r="L554" i="1"/>
  <c r="K554" i="1"/>
  <c r="J554" i="1"/>
  <c r="I554" i="1"/>
  <c r="L553" i="1"/>
  <c r="K553" i="1"/>
  <c r="J553" i="1"/>
  <c r="I553" i="1"/>
  <c r="L552" i="1"/>
  <c r="K552" i="1"/>
  <c r="J552" i="1"/>
  <c r="I552" i="1"/>
  <c r="L551" i="1"/>
  <c r="K551" i="1"/>
  <c r="J551" i="1"/>
  <c r="I551" i="1"/>
  <c r="L550" i="1"/>
  <c r="K550" i="1"/>
  <c r="J550" i="1"/>
  <c r="I550" i="1"/>
  <c r="L549" i="1"/>
  <c r="K549" i="1"/>
  <c r="J549" i="1"/>
  <c r="I549" i="1"/>
  <c r="L548" i="1"/>
  <c r="K548" i="1"/>
  <c r="J548" i="1"/>
  <c r="I548" i="1"/>
  <c r="L547" i="1"/>
  <c r="K547" i="1"/>
  <c r="J547" i="1"/>
  <c r="I547" i="1"/>
  <c r="L546" i="1"/>
  <c r="K546" i="1"/>
  <c r="J546" i="1"/>
  <c r="I546" i="1"/>
  <c r="L545" i="1"/>
  <c r="K545" i="1"/>
  <c r="J545" i="1"/>
  <c r="I545" i="1"/>
  <c r="L544" i="1"/>
  <c r="K544" i="1"/>
  <c r="J544" i="1"/>
  <c r="I544" i="1"/>
  <c r="L543" i="1"/>
  <c r="K543" i="1"/>
  <c r="J543" i="1"/>
  <c r="I543" i="1"/>
  <c r="L542" i="1"/>
  <c r="K542" i="1"/>
  <c r="J542" i="1"/>
  <c r="I542" i="1"/>
  <c r="L541" i="1"/>
  <c r="K541" i="1"/>
  <c r="J541" i="1"/>
  <c r="I541" i="1"/>
  <c r="L540" i="1"/>
  <c r="K540" i="1"/>
  <c r="J540" i="1"/>
  <c r="I540" i="1"/>
  <c r="L539" i="1"/>
  <c r="K539" i="1"/>
  <c r="J539" i="1"/>
  <c r="I539" i="1"/>
  <c r="L538" i="1"/>
  <c r="K538" i="1"/>
  <c r="J538" i="1"/>
  <c r="I538" i="1"/>
  <c r="L537" i="1"/>
  <c r="K537" i="1"/>
  <c r="J537" i="1"/>
  <c r="I537" i="1"/>
  <c r="L536" i="1"/>
  <c r="K536" i="1"/>
  <c r="J536" i="1"/>
  <c r="I536" i="1"/>
  <c r="L535" i="1"/>
  <c r="K535" i="1"/>
  <c r="J535" i="1"/>
  <c r="I535" i="1"/>
  <c r="L534" i="1"/>
  <c r="K534" i="1"/>
  <c r="J534" i="1"/>
  <c r="I534" i="1"/>
  <c r="L533" i="1"/>
  <c r="K533" i="1"/>
  <c r="J533" i="1"/>
  <c r="I533" i="1"/>
  <c r="L532" i="1"/>
  <c r="K532" i="1"/>
  <c r="J532" i="1"/>
  <c r="I532" i="1"/>
  <c r="L531" i="1"/>
  <c r="K531" i="1"/>
  <c r="J531" i="1"/>
  <c r="I531" i="1"/>
  <c r="L530" i="1"/>
  <c r="K530" i="1"/>
  <c r="J530" i="1"/>
  <c r="I530" i="1"/>
  <c r="L529" i="1"/>
  <c r="K529" i="1"/>
  <c r="J529" i="1"/>
  <c r="I529" i="1"/>
  <c r="L528" i="1"/>
  <c r="K528" i="1"/>
  <c r="J528" i="1"/>
  <c r="I528" i="1"/>
  <c r="L527" i="1"/>
  <c r="K527" i="1"/>
  <c r="J527" i="1"/>
  <c r="I527" i="1"/>
  <c r="L526" i="1"/>
  <c r="K526" i="1"/>
  <c r="J526" i="1"/>
  <c r="I526" i="1"/>
  <c r="L525" i="1"/>
  <c r="K525" i="1"/>
  <c r="J525" i="1"/>
  <c r="I525" i="1"/>
  <c r="L524" i="1"/>
  <c r="K524" i="1"/>
  <c r="J524" i="1"/>
  <c r="I524" i="1"/>
  <c r="L523" i="1"/>
  <c r="K523" i="1"/>
  <c r="J523" i="1"/>
  <c r="I523" i="1"/>
  <c r="L522" i="1"/>
  <c r="K522" i="1"/>
  <c r="J522" i="1"/>
  <c r="I522" i="1"/>
  <c r="L521" i="1"/>
  <c r="K521" i="1"/>
  <c r="J521" i="1"/>
  <c r="I521" i="1"/>
  <c r="L520" i="1"/>
  <c r="K520" i="1"/>
  <c r="J520" i="1"/>
  <c r="I520" i="1"/>
  <c r="L519" i="1"/>
  <c r="K519" i="1"/>
  <c r="J519" i="1"/>
  <c r="I519" i="1"/>
  <c r="L518" i="1"/>
  <c r="K518" i="1"/>
  <c r="J518" i="1"/>
  <c r="I518" i="1"/>
  <c r="L517" i="1"/>
  <c r="K517" i="1"/>
  <c r="J517" i="1"/>
  <c r="I517" i="1"/>
  <c r="L516" i="1"/>
  <c r="K516" i="1"/>
  <c r="J516" i="1"/>
  <c r="I516" i="1"/>
  <c r="L515" i="1"/>
  <c r="K515" i="1"/>
  <c r="J515" i="1"/>
  <c r="I515" i="1"/>
  <c r="L514" i="1"/>
  <c r="K514" i="1"/>
  <c r="J514" i="1"/>
  <c r="I514" i="1"/>
  <c r="L513" i="1"/>
  <c r="K513" i="1"/>
  <c r="J513" i="1"/>
  <c r="I513" i="1"/>
  <c r="L512" i="1"/>
  <c r="K512" i="1"/>
  <c r="J512" i="1"/>
  <c r="I512" i="1"/>
  <c r="L511" i="1"/>
  <c r="K511" i="1"/>
  <c r="J511" i="1"/>
  <c r="I511" i="1"/>
  <c r="L510" i="1"/>
  <c r="K510" i="1"/>
  <c r="J510" i="1"/>
  <c r="I510" i="1"/>
  <c r="L509" i="1"/>
  <c r="K509" i="1"/>
  <c r="J509" i="1"/>
  <c r="I509" i="1"/>
  <c r="L508" i="1"/>
  <c r="K508" i="1"/>
  <c r="J508" i="1"/>
  <c r="I508" i="1"/>
  <c r="L507" i="1"/>
  <c r="K507" i="1"/>
  <c r="J507" i="1"/>
  <c r="I507" i="1"/>
  <c r="L506" i="1"/>
  <c r="K506" i="1"/>
  <c r="J506" i="1"/>
  <c r="I506" i="1"/>
  <c r="L505" i="1"/>
  <c r="K505" i="1"/>
  <c r="J505" i="1"/>
  <c r="I505" i="1"/>
  <c r="L504" i="1"/>
  <c r="K504" i="1"/>
  <c r="J504" i="1"/>
  <c r="I504" i="1"/>
  <c r="L503" i="1"/>
  <c r="K503" i="1"/>
  <c r="J503" i="1"/>
  <c r="I503" i="1"/>
  <c r="L502" i="1"/>
  <c r="K502" i="1"/>
  <c r="J502" i="1"/>
  <c r="I502" i="1"/>
  <c r="L501" i="1"/>
  <c r="K501" i="1"/>
  <c r="J501" i="1"/>
  <c r="I501" i="1"/>
  <c r="L500" i="1"/>
  <c r="K500" i="1"/>
  <c r="J500" i="1"/>
  <c r="I500" i="1"/>
  <c r="L499" i="1"/>
  <c r="K499" i="1"/>
  <c r="J499" i="1"/>
  <c r="I499" i="1"/>
  <c r="L498" i="1"/>
  <c r="K498" i="1"/>
  <c r="J498" i="1"/>
  <c r="I498" i="1"/>
  <c r="L497" i="1"/>
  <c r="K497" i="1"/>
  <c r="J497" i="1"/>
  <c r="I497" i="1"/>
  <c r="L496" i="1"/>
  <c r="K496" i="1"/>
  <c r="J496" i="1"/>
  <c r="I496" i="1"/>
  <c r="L495" i="1"/>
  <c r="K495" i="1"/>
  <c r="J495" i="1"/>
  <c r="I495" i="1"/>
  <c r="L494" i="1"/>
  <c r="K494" i="1"/>
  <c r="J494" i="1"/>
  <c r="I494" i="1"/>
  <c r="L493" i="1"/>
  <c r="K493" i="1"/>
  <c r="J493" i="1"/>
  <c r="I493" i="1"/>
  <c r="L492" i="1"/>
  <c r="K492" i="1"/>
  <c r="J492" i="1"/>
  <c r="I492" i="1"/>
  <c r="L491" i="1"/>
  <c r="K491" i="1"/>
  <c r="J491" i="1"/>
  <c r="I491" i="1"/>
  <c r="L490" i="1"/>
  <c r="K490" i="1"/>
  <c r="J490" i="1"/>
  <c r="I490" i="1"/>
  <c r="L489" i="1"/>
  <c r="K489" i="1"/>
  <c r="J489" i="1"/>
  <c r="I489" i="1"/>
  <c r="L488" i="1"/>
  <c r="K488" i="1"/>
  <c r="J488" i="1"/>
  <c r="I488" i="1"/>
  <c r="L487" i="1"/>
  <c r="K487" i="1"/>
  <c r="J487" i="1"/>
  <c r="I487" i="1"/>
  <c r="L486" i="1"/>
  <c r="K486" i="1"/>
  <c r="J486" i="1"/>
  <c r="I486" i="1"/>
  <c r="L485" i="1"/>
  <c r="K485" i="1"/>
  <c r="J485" i="1"/>
  <c r="I485" i="1"/>
  <c r="L484" i="1"/>
  <c r="K484" i="1"/>
  <c r="J484" i="1"/>
  <c r="I484" i="1"/>
  <c r="L483" i="1"/>
  <c r="K483" i="1"/>
  <c r="J483" i="1"/>
  <c r="I483" i="1"/>
  <c r="L482" i="1"/>
  <c r="K482" i="1"/>
  <c r="J482" i="1"/>
  <c r="I482" i="1"/>
  <c r="L481" i="1"/>
  <c r="K481" i="1"/>
  <c r="J481" i="1"/>
  <c r="I481" i="1"/>
  <c r="L480" i="1"/>
  <c r="K480" i="1"/>
  <c r="J480" i="1"/>
  <c r="I480" i="1"/>
  <c r="L479" i="1"/>
  <c r="K479" i="1"/>
  <c r="J479" i="1"/>
  <c r="I479" i="1"/>
  <c r="L478" i="1"/>
  <c r="K478" i="1"/>
  <c r="J478" i="1"/>
  <c r="I478" i="1"/>
  <c r="L477" i="1"/>
  <c r="K477" i="1"/>
  <c r="J477" i="1"/>
  <c r="I477" i="1"/>
  <c r="L476" i="1"/>
  <c r="K476" i="1"/>
  <c r="J476" i="1"/>
  <c r="I476" i="1"/>
  <c r="L475" i="1"/>
  <c r="K475" i="1"/>
  <c r="J475" i="1"/>
  <c r="I475" i="1"/>
  <c r="L474" i="1"/>
  <c r="K474" i="1"/>
  <c r="J474" i="1"/>
  <c r="I474" i="1"/>
  <c r="L473" i="1"/>
  <c r="K473" i="1"/>
  <c r="J473" i="1"/>
  <c r="I473" i="1"/>
  <c r="L472" i="1"/>
  <c r="K472" i="1"/>
  <c r="J472" i="1"/>
  <c r="I472" i="1"/>
  <c r="L471" i="1"/>
  <c r="K471" i="1"/>
  <c r="J471" i="1"/>
  <c r="I471" i="1"/>
  <c r="L470" i="1"/>
  <c r="K470" i="1"/>
  <c r="J470" i="1"/>
  <c r="I470" i="1"/>
  <c r="L469" i="1"/>
  <c r="K469" i="1"/>
  <c r="J469" i="1"/>
  <c r="I469" i="1"/>
  <c r="L468" i="1"/>
  <c r="K468" i="1"/>
  <c r="J468" i="1"/>
  <c r="I468" i="1"/>
  <c r="L467" i="1"/>
  <c r="K467" i="1"/>
  <c r="J467" i="1"/>
  <c r="I467" i="1"/>
  <c r="L466" i="1"/>
  <c r="K466" i="1"/>
  <c r="J466" i="1"/>
  <c r="I466" i="1"/>
  <c r="L465" i="1"/>
  <c r="K465" i="1"/>
  <c r="J465" i="1"/>
  <c r="I465" i="1"/>
  <c r="L464" i="1"/>
  <c r="K464" i="1"/>
  <c r="J464" i="1"/>
  <c r="I464" i="1"/>
  <c r="L463" i="1"/>
  <c r="K463" i="1"/>
  <c r="J463" i="1"/>
  <c r="I463" i="1"/>
  <c r="L462" i="1"/>
  <c r="K462" i="1"/>
  <c r="J462" i="1"/>
  <c r="I462" i="1"/>
  <c r="L461" i="1"/>
  <c r="K461" i="1"/>
  <c r="J461" i="1"/>
  <c r="I461" i="1"/>
  <c r="L460" i="1"/>
  <c r="K460" i="1"/>
  <c r="J460" i="1"/>
  <c r="I460" i="1"/>
  <c r="L459" i="1"/>
  <c r="K459" i="1"/>
  <c r="J459" i="1"/>
  <c r="I459" i="1"/>
  <c r="L458" i="1"/>
  <c r="K458" i="1"/>
  <c r="J458" i="1"/>
  <c r="I458" i="1"/>
  <c r="L457" i="1"/>
  <c r="K457" i="1"/>
  <c r="J457" i="1"/>
  <c r="I457" i="1"/>
  <c r="L456" i="1"/>
  <c r="K456" i="1"/>
  <c r="J456" i="1"/>
  <c r="I456" i="1"/>
  <c r="L455" i="1"/>
  <c r="K455" i="1"/>
  <c r="J455" i="1"/>
  <c r="I455" i="1"/>
  <c r="L454" i="1"/>
  <c r="K454" i="1"/>
  <c r="J454" i="1"/>
  <c r="I454" i="1"/>
  <c r="L453" i="1"/>
  <c r="K453" i="1"/>
  <c r="J453" i="1"/>
  <c r="I453" i="1"/>
  <c r="L452" i="1"/>
  <c r="K452" i="1"/>
  <c r="J452" i="1"/>
  <c r="I452" i="1"/>
  <c r="L451" i="1"/>
  <c r="K451" i="1"/>
  <c r="J451" i="1"/>
  <c r="I451" i="1"/>
  <c r="L450" i="1"/>
  <c r="K450" i="1"/>
  <c r="J450" i="1"/>
  <c r="I450" i="1"/>
  <c r="L449" i="1"/>
  <c r="K449" i="1"/>
  <c r="J449" i="1"/>
  <c r="I449" i="1"/>
  <c r="L448" i="1"/>
  <c r="K448" i="1"/>
  <c r="J448" i="1"/>
  <c r="I448" i="1"/>
  <c r="L447" i="1"/>
  <c r="K447" i="1"/>
  <c r="J447" i="1"/>
  <c r="I447" i="1"/>
  <c r="L446" i="1"/>
  <c r="K446" i="1"/>
  <c r="J446" i="1"/>
  <c r="I446" i="1"/>
  <c r="L445" i="1"/>
  <c r="K445" i="1"/>
  <c r="J445" i="1"/>
  <c r="I445" i="1"/>
  <c r="L444" i="1"/>
  <c r="K444" i="1"/>
  <c r="J444" i="1"/>
  <c r="I444" i="1"/>
  <c r="L443" i="1"/>
  <c r="K443" i="1"/>
  <c r="J443" i="1"/>
  <c r="I443" i="1"/>
  <c r="L442" i="1"/>
  <c r="K442" i="1"/>
  <c r="J442" i="1"/>
  <c r="I442" i="1"/>
  <c r="L441" i="1"/>
  <c r="K441" i="1"/>
  <c r="J441" i="1"/>
  <c r="I441" i="1"/>
  <c r="L440" i="1"/>
  <c r="K440" i="1"/>
  <c r="J440" i="1"/>
  <c r="I440" i="1"/>
  <c r="L439" i="1"/>
  <c r="K439" i="1"/>
  <c r="J439" i="1"/>
  <c r="I439" i="1"/>
  <c r="L438" i="1"/>
  <c r="K438" i="1"/>
  <c r="J438" i="1"/>
  <c r="I438" i="1"/>
  <c r="L437" i="1"/>
  <c r="K437" i="1"/>
  <c r="J437" i="1"/>
  <c r="I437" i="1"/>
  <c r="L436" i="1"/>
  <c r="K436" i="1"/>
  <c r="J436" i="1"/>
  <c r="I436" i="1"/>
  <c r="L435" i="1"/>
  <c r="K435" i="1"/>
  <c r="J435" i="1"/>
  <c r="I435" i="1"/>
  <c r="L434" i="1"/>
  <c r="K434" i="1"/>
  <c r="J434" i="1"/>
  <c r="I434" i="1"/>
  <c r="L433" i="1"/>
  <c r="K433" i="1"/>
  <c r="J433" i="1"/>
  <c r="I433" i="1"/>
  <c r="L432" i="1"/>
  <c r="K432" i="1"/>
  <c r="J432" i="1"/>
  <c r="I432" i="1"/>
  <c r="L431" i="1"/>
  <c r="K431" i="1"/>
  <c r="J431" i="1"/>
  <c r="I431" i="1"/>
  <c r="L430" i="1"/>
  <c r="K430" i="1"/>
  <c r="J430" i="1"/>
  <c r="I430" i="1"/>
  <c r="L429" i="1"/>
  <c r="K429" i="1"/>
  <c r="J429" i="1"/>
  <c r="I429" i="1"/>
  <c r="L428" i="1"/>
  <c r="K428" i="1"/>
  <c r="J428" i="1"/>
  <c r="I428" i="1"/>
  <c r="L427" i="1"/>
  <c r="K427" i="1"/>
  <c r="J427" i="1"/>
  <c r="I427" i="1"/>
  <c r="L426" i="1"/>
  <c r="K426" i="1"/>
  <c r="J426" i="1"/>
  <c r="I426" i="1"/>
  <c r="L425" i="1"/>
  <c r="K425" i="1"/>
  <c r="J425" i="1"/>
  <c r="I425" i="1"/>
  <c r="L424" i="1"/>
  <c r="K424" i="1"/>
  <c r="J424" i="1"/>
  <c r="I424" i="1"/>
  <c r="L423" i="1"/>
  <c r="K423" i="1"/>
  <c r="J423" i="1"/>
  <c r="I423" i="1"/>
  <c r="L422" i="1"/>
  <c r="K422" i="1"/>
  <c r="J422" i="1"/>
  <c r="I422" i="1"/>
  <c r="L421" i="1"/>
  <c r="K421" i="1"/>
  <c r="J421" i="1"/>
  <c r="I421" i="1"/>
  <c r="L420" i="1"/>
  <c r="K420" i="1"/>
  <c r="J420" i="1"/>
  <c r="I420" i="1"/>
  <c r="L419" i="1"/>
  <c r="K419" i="1"/>
  <c r="J419" i="1"/>
  <c r="I419" i="1"/>
  <c r="L418" i="1"/>
  <c r="K418" i="1"/>
  <c r="J418" i="1"/>
  <c r="I418" i="1"/>
  <c r="L417" i="1"/>
  <c r="K417" i="1"/>
  <c r="J417" i="1"/>
  <c r="I417" i="1"/>
  <c r="L416" i="1"/>
  <c r="K416" i="1"/>
  <c r="J416" i="1"/>
  <c r="I416" i="1"/>
  <c r="L415" i="1"/>
  <c r="K415" i="1"/>
  <c r="J415" i="1"/>
  <c r="I415" i="1"/>
  <c r="L414" i="1"/>
  <c r="K414" i="1"/>
  <c r="J414" i="1"/>
  <c r="I414" i="1"/>
  <c r="L413" i="1"/>
  <c r="K413" i="1"/>
  <c r="J413" i="1"/>
  <c r="I413" i="1"/>
  <c r="L412" i="1"/>
  <c r="K412" i="1"/>
  <c r="J412" i="1"/>
  <c r="I412" i="1"/>
  <c r="L411" i="1"/>
  <c r="K411" i="1"/>
  <c r="J411" i="1"/>
  <c r="I411" i="1"/>
  <c r="L410" i="1"/>
  <c r="K410" i="1"/>
  <c r="J410" i="1"/>
  <c r="I410" i="1"/>
  <c r="L409" i="1"/>
  <c r="K409" i="1"/>
  <c r="J409" i="1"/>
  <c r="I409" i="1"/>
  <c r="L408" i="1"/>
  <c r="K408" i="1"/>
  <c r="J408" i="1"/>
  <c r="I408" i="1"/>
  <c r="L407" i="1"/>
  <c r="K407" i="1"/>
  <c r="J407" i="1"/>
  <c r="I407" i="1"/>
  <c r="L406" i="1"/>
  <c r="K406" i="1"/>
  <c r="J406" i="1"/>
  <c r="I406" i="1"/>
  <c r="L405" i="1"/>
  <c r="K405" i="1"/>
  <c r="J405" i="1"/>
  <c r="I405" i="1"/>
  <c r="L404" i="1"/>
  <c r="K404" i="1"/>
  <c r="J404" i="1"/>
  <c r="I404" i="1"/>
  <c r="L403" i="1"/>
  <c r="K403" i="1"/>
  <c r="J403" i="1"/>
  <c r="I403" i="1"/>
  <c r="L402" i="1"/>
  <c r="K402" i="1"/>
  <c r="J402" i="1"/>
  <c r="I402" i="1"/>
  <c r="L401" i="1"/>
  <c r="K401" i="1"/>
  <c r="J401" i="1"/>
  <c r="I401" i="1"/>
  <c r="L400" i="1"/>
  <c r="K400" i="1"/>
  <c r="J400" i="1"/>
  <c r="I400" i="1"/>
  <c r="L399" i="1"/>
  <c r="K399" i="1"/>
  <c r="J399" i="1"/>
  <c r="I399" i="1"/>
  <c r="L398" i="1"/>
  <c r="K398" i="1"/>
  <c r="J398" i="1"/>
  <c r="I398" i="1"/>
  <c r="L397" i="1"/>
  <c r="K397" i="1"/>
  <c r="J397" i="1"/>
  <c r="I397" i="1"/>
  <c r="L396" i="1"/>
  <c r="K396" i="1"/>
  <c r="J396" i="1"/>
  <c r="I396" i="1"/>
  <c r="L395" i="1"/>
  <c r="K395" i="1"/>
  <c r="J395" i="1"/>
  <c r="I395" i="1"/>
  <c r="L394" i="1"/>
  <c r="K394" i="1"/>
  <c r="J394" i="1"/>
  <c r="I394" i="1"/>
  <c r="L393" i="1"/>
  <c r="K393" i="1"/>
  <c r="J393" i="1"/>
  <c r="I393" i="1"/>
  <c r="L392" i="1"/>
  <c r="K392" i="1"/>
  <c r="J392" i="1"/>
  <c r="I392" i="1"/>
  <c r="L391" i="1"/>
  <c r="K391" i="1"/>
  <c r="J391" i="1"/>
  <c r="I391" i="1"/>
  <c r="L390" i="1"/>
  <c r="K390" i="1"/>
  <c r="J390" i="1"/>
  <c r="I390" i="1"/>
  <c r="L389" i="1"/>
  <c r="K389" i="1"/>
  <c r="J389" i="1"/>
  <c r="I389" i="1"/>
  <c r="L388" i="1"/>
  <c r="K388" i="1"/>
  <c r="J388" i="1"/>
  <c r="I388" i="1"/>
  <c r="L387" i="1"/>
  <c r="K387" i="1"/>
  <c r="J387" i="1"/>
  <c r="I387" i="1"/>
  <c r="L386" i="1"/>
  <c r="K386" i="1"/>
  <c r="J386" i="1"/>
  <c r="I386" i="1"/>
  <c r="L385" i="1"/>
  <c r="K385" i="1"/>
  <c r="J385" i="1"/>
  <c r="I385" i="1"/>
  <c r="L384" i="1"/>
  <c r="K384" i="1"/>
  <c r="J384" i="1"/>
  <c r="I384" i="1"/>
  <c r="L383" i="1"/>
  <c r="K383" i="1"/>
  <c r="J383" i="1"/>
  <c r="I383" i="1"/>
  <c r="L382" i="1"/>
  <c r="K382" i="1"/>
  <c r="J382" i="1"/>
  <c r="I382" i="1"/>
  <c r="L381" i="1"/>
  <c r="K381" i="1"/>
  <c r="J381" i="1"/>
  <c r="I381" i="1"/>
  <c r="L380" i="1"/>
  <c r="K380" i="1"/>
  <c r="J380" i="1"/>
  <c r="I380" i="1"/>
  <c r="L379" i="1"/>
  <c r="K379" i="1"/>
  <c r="J379" i="1"/>
  <c r="I379" i="1"/>
  <c r="L378" i="1"/>
  <c r="K378" i="1"/>
  <c r="J378" i="1"/>
  <c r="I378" i="1"/>
  <c r="L377" i="1"/>
  <c r="K377" i="1"/>
  <c r="J377" i="1"/>
  <c r="I377" i="1"/>
  <c r="L376" i="1"/>
  <c r="K376" i="1"/>
  <c r="J376" i="1"/>
  <c r="I376" i="1"/>
  <c r="L375" i="1"/>
  <c r="K375" i="1"/>
  <c r="J375" i="1"/>
  <c r="I375" i="1"/>
  <c r="L374" i="1"/>
  <c r="K374" i="1"/>
  <c r="J374" i="1"/>
  <c r="I374" i="1"/>
  <c r="L373" i="1"/>
  <c r="K373" i="1"/>
  <c r="J373" i="1"/>
  <c r="I373" i="1"/>
  <c r="L372" i="1"/>
  <c r="K372" i="1"/>
  <c r="J372" i="1"/>
  <c r="I372" i="1"/>
  <c r="L371" i="1"/>
  <c r="K371" i="1"/>
  <c r="J371" i="1"/>
  <c r="I371" i="1"/>
  <c r="L370" i="1"/>
  <c r="K370" i="1"/>
  <c r="J370" i="1"/>
  <c r="I370" i="1"/>
  <c r="L369" i="1"/>
  <c r="K369" i="1"/>
  <c r="J369" i="1"/>
  <c r="I369" i="1"/>
  <c r="L368" i="1"/>
  <c r="K368" i="1"/>
  <c r="J368" i="1"/>
  <c r="I368" i="1"/>
  <c r="L367" i="1"/>
  <c r="K367" i="1"/>
  <c r="J367" i="1"/>
  <c r="I367" i="1"/>
  <c r="L366" i="1"/>
  <c r="K366" i="1"/>
  <c r="J366" i="1"/>
  <c r="I366" i="1"/>
  <c r="L365" i="1"/>
  <c r="K365" i="1"/>
  <c r="J365" i="1"/>
  <c r="I365" i="1"/>
  <c r="L364" i="1"/>
  <c r="K364" i="1"/>
  <c r="J364" i="1"/>
  <c r="I364" i="1"/>
  <c r="L363" i="1"/>
  <c r="K363" i="1"/>
  <c r="J363" i="1"/>
  <c r="I363" i="1"/>
  <c r="L362" i="1"/>
  <c r="K362" i="1"/>
  <c r="J362" i="1"/>
  <c r="I362" i="1"/>
  <c r="L361" i="1"/>
  <c r="K361" i="1"/>
  <c r="J361" i="1"/>
  <c r="I361" i="1"/>
  <c r="L360" i="1"/>
  <c r="K360" i="1"/>
  <c r="J360" i="1"/>
  <c r="I360" i="1"/>
  <c r="L359" i="1"/>
  <c r="K359" i="1"/>
  <c r="J359" i="1"/>
  <c r="I359" i="1"/>
  <c r="L358" i="1"/>
  <c r="K358" i="1"/>
  <c r="J358" i="1"/>
  <c r="I358" i="1"/>
  <c r="L357" i="1"/>
  <c r="K357" i="1"/>
  <c r="J357" i="1"/>
  <c r="I357" i="1"/>
  <c r="L356" i="1"/>
  <c r="K356" i="1"/>
  <c r="J356" i="1"/>
  <c r="I356" i="1"/>
  <c r="L355" i="1"/>
  <c r="K355" i="1"/>
  <c r="J355" i="1"/>
  <c r="I355" i="1"/>
  <c r="L354" i="1"/>
  <c r="K354" i="1"/>
  <c r="J354" i="1"/>
  <c r="I354" i="1"/>
  <c r="L353" i="1"/>
  <c r="K353" i="1"/>
  <c r="J353" i="1"/>
  <c r="I353" i="1"/>
  <c r="L352" i="1"/>
  <c r="K352" i="1"/>
  <c r="J352" i="1"/>
  <c r="I352" i="1"/>
  <c r="L351" i="1"/>
  <c r="K351" i="1"/>
  <c r="J351" i="1"/>
  <c r="I351" i="1"/>
  <c r="L350" i="1"/>
  <c r="K350" i="1"/>
  <c r="J350" i="1"/>
  <c r="I350" i="1"/>
  <c r="L349" i="1"/>
  <c r="K349" i="1"/>
  <c r="J349" i="1"/>
  <c r="I349" i="1"/>
  <c r="L348" i="1"/>
  <c r="K348" i="1"/>
  <c r="J348" i="1"/>
  <c r="I348" i="1"/>
  <c r="L347" i="1"/>
  <c r="K347" i="1"/>
  <c r="J347" i="1"/>
  <c r="I347" i="1"/>
  <c r="L346" i="1"/>
  <c r="K346" i="1"/>
  <c r="J346" i="1"/>
  <c r="I346" i="1"/>
  <c r="L345" i="1"/>
  <c r="K345" i="1"/>
  <c r="J345" i="1"/>
  <c r="I345" i="1"/>
  <c r="L344" i="1"/>
  <c r="K344" i="1"/>
  <c r="J344" i="1"/>
  <c r="I344" i="1"/>
  <c r="L343" i="1"/>
  <c r="K343" i="1"/>
  <c r="J343" i="1"/>
  <c r="I343" i="1"/>
  <c r="L342" i="1"/>
  <c r="K342" i="1"/>
  <c r="J342" i="1"/>
  <c r="I342" i="1"/>
  <c r="L341" i="1"/>
  <c r="K341" i="1"/>
  <c r="J341" i="1"/>
  <c r="I341" i="1"/>
  <c r="L340" i="1"/>
  <c r="K340" i="1"/>
  <c r="J340" i="1"/>
  <c r="I340" i="1"/>
  <c r="L339" i="1"/>
  <c r="K339" i="1"/>
  <c r="J339" i="1"/>
  <c r="I339" i="1"/>
  <c r="L338" i="1"/>
  <c r="K338" i="1"/>
  <c r="J338" i="1"/>
  <c r="I338" i="1"/>
  <c r="L337" i="1"/>
  <c r="K337" i="1"/>
  <c r="J337" i="1"/>
  <c r="I337" i="1"/>
  <c r="L336" i="1"/>
  <c r="K336" i="1"/>
  <c r="J336" i="1"/>
  <c r="I336" i="1"/>
  <c r="L335" i="1"/>
  <c r="K335" i="1"/>
  <c r="J335" i="1"/>
  <c r="I335" i="1"/>
  <c r="L334" i="1"/>
  <c r="K334" i="1"/>
  <c r="J334" i="1"/>
  <c r="I334" i="1"/>
  <c r="L333" i="1"/>
  <c r="K333" i="1"/>
  <c r="J333" i="1"/>
  <c r="I333" i="1"/>
  <c r="L332" i="1"/>
  <c r="K332" i="1"/>
  <c r="J332" i="1"/>
  <c r="I332" i="1"/>
  <c r="L331" i="1"/>
  <c r="K331" i="1"/>
  <c r="J331" i="1"/>
  <c r="I331" i="1"/>
  <c r="L330" i="1"/>
  <c r="K330" i="1"/>
  <c r="J330" i="1"/>
  <c r="I330" i="1"/>
  <c r="L329" i="1"/>
  <c r="K329" i="1"/>
  <c r="J329" i="1"/>
  <c r="I329" i="1"/>
  <c r="L328" i="1"/>
  <c r="K328" i="1"/>
  <c r="J328" i="1"/>
  <c r="I328" i="1"/>
  <c r="L327" i="1"/>
  <c r="K327" i="1"/>
  <c r="J327" i="1"/>
  <c r="I327" i="1"/>
  <c r="L326" i="1"/>
  <c r="K326" i="1"/>
  <c r="J326" i="1"/>
  <c r="I326" i="1"/>
  <c r="L325" i="1"/>
  <c r="K325" i="1"/>
  <c r="J325" i="1"/>
  <c r="I325" i="1"/>
  <c r="L324" i="1"/>
  <c r="K324" i="1"/>
  <c r="J324" i="1"/>
  <c r="I324" i="1"/>
  <c r="L323" i="1"/>
  <c r="K323" i="1"/>
  <c r="J323" i="1"/>
  <c r="I323" i="1"/>
  <c r="L322" i="1"/>
  <c r="K322" i="1"/>
  <c r="J322" i="1"/>
  <c r="I322" i="1"/>
  <c r="L321" i="1"/>
  <c r="K321" i="1"/>
  <c r="J321" i="1"/>
  <c r="I321" i="1"/>
  <c r="L320" i="1"/>
  <c r="K320" i="1"/>
  <c r="J320" i="1"/>
  <c r="I320" i="1"/>
  <c r="L319" i="1"/>
  <c r="K319" i="1"/>
  <c r="J319" i="1"/>
  <c r="I319" i="1"/>
  <c r="L318" i="1"/>
  <c r="K318" i="1"/>
  <c r="J318" i="1"/>
  <c r="I318" i="1"/>
  <c r="L317" i="1"/>
  <c r="K317" i="1"/>
  <c r="J317" i="1"/>
  <c r="I317" i="1"/>
  <c r="L316" i="1"/>
  <c r="K316" i="1"/>
  <c r="J316" i="1"/>
  <c r="I316" i="1"/>
  <c r="L315" i="1"/>
  <c r="K315" i="1"/>
  <c r="J315" i="1"/>
  <c r="I315" i="1"/>
  <c r="L314" i="1"/>
  <c r="K314" i="1"/>
  <c r="J314" i="1"/>
  <c r="I314" i="1"/>
  <c r="L313" i="1"/>
  <c r="K313" i="1"/>
  <c r="J313" i="1"/>
  <c r="I313" i="1"/>
  <c r="L312" i="1"/>
  <c r="K312" i="1"/>
  <c r="J312" i="1"/>
  <c r="I312" i="1"/>
  <c r="L311" i="1"/>
  <c r="K311" i="1"/>
  <c r="J311" i="1"/>
  <c r="I311" i="1"/>
  <c r="L310" i="1"/>
  <c r="K310" i="1"/>
  <c r="J310" i="1"/>
  <c r="I310" i="1"/>
  <c r="L309" i="1"/>
  <c r="K309" i="1"/>
  <c r="J309" i="1"/>
  <c r="I309" i="1"/>
  <c r="L308" i="1"/>
  <c r="K308" i="1"/>
  <c r="J308" i="1"/>
  <c r="I308" i="1"/>
  <c r="L307" i="1"/>
  <c r="K307" i="1"/>
  <c r="J307" i="1"/>
  <c r="I307" i="1"/>
  <c r="L306" i="1"/>
  <c r="K306" i="1"/>
  <c r="J306" i="1"/>
  <c r="I306" i="1"/>
  <c r="L305" i="1"/>
  <c r="K305" i="1"/>
  <c r="J305" i="1"/>
  <c r="I305" i="1"/>
  <c r="L304" i="1"/>
  <c r="K304" i="1"/>
  <c r="J304" i="1"/>
  <c r="I304" i="1"/>
  <c r="L303" i="1"/>
  <c r="K303" i="1"/>
  <c r="J303" i="1"/>
  <c r="I303" i="1"/>
  <c r="L302" i="1"/>
  <c r="K302" i="1"/>
  <c r="J302" i="1"/>
  <c r="I302" i="1"/>
  <c r="L301" i="1"/>
  <c r="K301" i="1"/>
  <c r="J301" i="1"/>
  <c r="I301" i="1"/>
  <c r="L300" i="1"/>
  <c r="K300" i="1"/>
  <c r="J300" i="1"/>
  <c r="I300" i="1"/>
  <c r="L299" i="1"/>
  <c r="K299" i="1"/>
  <c r="J299" i="1"/>
  <c r="I299" i="1"/>
  <c r="L298" i="1"/>
  <c r="K298" i="1"/>
  <c r="J298" i="1"/>
  <c r="I298" i="1"/>
  <c r="L297" i="1"/>
  <c r="K297" i="1"/>
  <c r="J297" i="1"/>
  <c r="I297" i="1"/>
  <c r="L296" i="1"/>
  <c r="K296" i="1"/>
  <c r="J296" i="1"/>
  <c r="I296" i="1"/>
  <c r="L295" i="1"/>
  <c r="K295" i="1"/>
  <c r="J295" i="1"/>
  <c r="I295" i="1"/>
  <c r="L294" i="1"/>
  <c r="K294" i="1"/>
  <c r="J294" i="1"/>
  <c r="I294" i="1"/>
  <c r="L293" i="1"/>
  <c r="K293" i="1"/>
  <c r="J293" i="1"/>
  <c r="I293" i="1"/>
  <c r="L292" i="1"/>
  <c r="K292" i="1"/>
  <c r="J292" i="1"/>
  <c r="I292" i="1"/>
  <c r="L291" i="1"/>
  <c r="K291" i="1"/>
  <c r="J291" i="1"/>
  <c r="I291" i="1"/>
  <c r="L290" i="1"/>
  <c r="K290" i="1"/>
  <c r="J290" i="1"/>
  <c r="I290" i="1"/>
  <c r="L289" i="1"/>
  <c r="K289" i="1"/>
  <c r="J289" i="1"/>
  <c r="I289" i="1"/>
  <c r="L288" i="1"/>
  <c r="K288" i="1"/>
  <c r="J288" i="1"/>
  <c r="I288" i="1"/>
  <c r="L287" i="1"/>
  <c r="K287" i="1"/>
  <c r="J287" i="1"/>
  <c r="I287" i="1"/>
  <c r="L286" i="1"/>
  <c r="K286" i="1"/>
  <c r="J286" i="1"/>
  <c r="I286" i="1"/>
  <c r="L285" i="1"/>
  <c r="K285" i="1"/>
  <c r="J285" i="1"/>
  <c r="I285" i="1"/>
  <c r="L284" i="1"/>
  <c r="K284" i="1"/>
  <c r="J284" i="1"/>
  <c r="I284" i="1"/>
  <c r="L283" i="1"/>
  <c r="K283" i="1"/>
  <c r="J283" i="1"/>
  <c r="I283" i="1"/>
  <c r="L282" i="1"/>
  <c r="K282" i="1"/>
  <c r="J282" i="1"/>
  <c r="I282" i="1"/>
  <c r="L281" i="1"/>
  <c r="K281" i="1"/>
  <c r="J281" i="1"/>
  <c r="I281" i="1"/>
  <c r="L280" i="1"/>
  <c r="K280" i="1"/>
  <c r="J280" i="1"/>
  <c r="I280" i="1"/>
  <c r="L279" i="1"/>
  <c r="K279" i="1"/>
  <c r="J279" i="1"/>
  <c r="I279" i="1"/>
  <c r="L278" i="1"/>
  <c r="K278" i="1"/>
  <c r="J278" i="1"/>
  <c r="I278" i="1"/>
  <c r="L277" i="1"/>
  <c r="K277" i="1"/>
  <c r="J277" i="1"/>
  <c r="I277" i="1"/>
  <c r="L276" i="1"/>
  <c r="K276" i="1"/>
  <c r="J276" i="1"/>
  <c r="I276" i="1"/>
  <c r="L275" i="1"/>
  <c r="K275" i="1"/>
  <c r="J275" i="1"/>
  <c r="I275" i="1"/>
  <c r="L274" i="1"/>
  <c r="K274" i="1"/>
  <c r="J274" i="1"/>
  <c r="I274" i="1"/>
  <c r="L273" i="1"/>
  <c r="K273" i="1"/>
  <c r="J273" i="1"/>
  <c r="I273" i="1"/>
  <c r="L272" i="1"/>
  <c r="K272" i="1"/>
  <c r="J272" i="1"/>
  <c r="I272" i="1"/>
  <c r="L271" i="1"/>
  <c r="K271" i="1"/>
  <c r="J271" i="1"/>
  <c r="I271" i="1"/>
  <c r="L270" i="1"/>
  <c r="K270" i="1"/>
  <c r="J270" i="1"/>
  <c r="I270" i="1"/>
  <c r="L269" i="1"/>
  <c r="K269" i="1"/>
  <c r="J269" i="1"/>
  <c r="I269" i="1"/>
  <c r="L268" i="1"/>
  <c r="K268" i="1"/>
  <c r="J268" i="1"/>
  <c r="I268" i="1"/>
  <c r="L267" i="1"/>
  <c r="K267" i="1"/>
  <c r="J267" i="1"/>
  <c r="I267" i="1"/>
  <c r="L266" i="1"/>
  <c r="K266" i="1"/>
  <c r="J266" i="1"/>
  <c r="I266" i="1"/>
  <c r="L265" i="1"/>
  <c r="K265" i="1"/>
  <c r="J265" i="1"/>
  <c r="I265" i="1"/>
  <c r="L264" i="1"/>
  <c r="K264" i="1"/>
  <c r="J264" i="1"/>
  <c r="I264" i="1"/>
  <c r="L263" i="1"/>
  <c r="K263" i="1"/>
  <c r="J263" i="1"/>
  <c r="I263" i="1"/>
  <c r="L262" i="1"/>
  <c r="K262" i="1"/>
  <c r="J262" i="1"/>
  <c r="I262" i="1"/>
  <c r="L261" i="1"/>
  <c r="K261" i="1"/>
  <c r="J261" i="1"/>
  <c r="I261" i="1"/>
  <c r="L260" i="1"/>
  <c r="K260" i="1"/>
  <c r="J260" i="1"/>
  <c r="I260" i="1"/>
  <c r="L259" i="1"/>
  <c r="K259" i="1"/>
  <c r="J259" i="1"/>
  <c r="I259" i="1"/>
  <c r="L258" i="1"/>
  <c r="K258" i="1"/>
  <c r="J258" i="1"/>
  <c r="I258" i="1"/>
  <c r="L257" i="1"/>
  <c r="K257" i="1"/>
  <c r="J257" i="1"/>
  <c r="I257" i="1"/>
  <c r="L256" i="1"/>
  <c r="K256" i="1"/>
  <c r="J256" i="1"/>
  <c r="I256" i="1"/>
  <c r="L255" i="1"/>
  <c r="K255" i="1"/>
  <c r="J255" i="1"/>
  <c r="I255" i="1"/>
  <c r="L254" i="1"/>
  <c r="K254" i="1"/>
  <c r="J254" i="1"/>
  <c r="I254" i="1"/>
  <c r="L253" i="1"/>
  <c r="K253" i="1"/>
  <c r="J253" i="1"/>
  <c r="I253" i="1"/>
  <c r="L252" i="1"/>
  <c r="K252" i="1"/>
  <c r="J252" i="1"/>
  <c r="I252" i="1"/>
  <c r="L251" i="1"/>
  <c r="K251" i="1"/>
  <c r="J251" i="1"/>
  <c r="I251" i="1"/>
  <c r="L250" i="1"/>
  <c r="K250" i="1"/>
  <c r="J250" i="1"/>
  <c r="I250" i="1"/>
  <c r="L249" i="1"/>
  <c r="K249" i="1"/>
  <c r="J249" i="1"/>
  <c r="I249" i="1"/>
  <c r="L248" i="1"/>
  <c r="K248" i="1"/>
  <c r="J248" i="1"/>
  <c r="I248" i="1"/>
  <c r="L247" i="1"/>
  <c r="K247" i="1"/>
  <c r="J247" i="1"/>
  <c r="I247" i="1"/>
  <c r="L246" i="1"/>
  <c r="K246" i="1"/>
  <c r="J246" i="1"/>
  <c r="I246" i="1"/>
  <c r="L245" i="1"/>
  <c r="K245" i="1"/>
  <c r="J245" i="1"/>
  <c r="I245" i="1"/>
  <c r="L244" i="1"/>
  <c r="K244" i="1"/>
  <c r="J244" i="1"/>
  <c r="I244" i="1"/>
  <c r="L243" i="1"/>
  <c r="K243" i="1"/>
  <c r="J243" i="1"/>
  <c r="I243" i="1"/>
  <c r="L242" i="1"/>
  <c r="K242" i="1"/>
  <c r="J242" i="1"/>
  <c r="I242" i="1"/>
  <c r="L241" i="1"/>
  <c r="K241" i="1"/>
  <c r="J241" i="1"/>
  <c r="I241" i="1"/>
  <c r="L240" i="1"/>
  <c r="K240" i="1"/>
  <c r="J240" i="1"/>
  <c r="I240" i="1"/>
  <c r="L239" i="1"/>
  <c r="K239" i="1"/>
  <c r="J239" i="1"/>
  <c r="I239" i="1"/>
  <c r="L238" i="1"/>
  <c r="K238" i="1"/>
  <c r="J238" i="1"/>
  <c r="I238" i="1"/>
  <c r="L237" i="1"/>
  <c r="K237" i="1"/>
  <c r="J237" i="1"/>
  <c r="I237" i="1"/>
  <c r="L236" i="1"/>
  <c r="K236" i="1"/>
  <c r="J236" i="1"/>
  <c r="I236" i="1"/>
  <c r="L235" i="1"/>
  <c r="K235" i="1"/>
  <c r="J235" i="1"/>
  <c r="I235" i="1"/>
  <c r="L234" i="1"/>
  <c r="K234" i="1"/>
  <c r="J234" i="1"/>
  <c r="I234" i="1"/>
  <c r="L233" i="1"/>
  <c r="K233" i="1"/>
  <c r="J233" i="1"/>
  <c r="I233" i="1"/>
  <c r="L232" i="1"/>
  <c r="K232" i="1"/>
  <c r="J232" i="1"/>
  <c r="I232" i="1"/>
  <c r="L231" i="1"/>
  <c r="K231" i="1"/>
  <c r="J231" i="1"/>
  <c r="I231" i="1"/>
  <c r="L230" i="1"/>
  <c r="K230" i="1"/>
  <c r="J230" i="1"/>
  <c r="I230" i="1"/>
  <c r="L229" i="1"/>
  <c r="K229" i="1"/>
  <c r="J229" i="1"/>
  <c r="I229" i="1"/>
  <c r="L228" i="1"/>
  <c r="K228" i="1"/>
  <c r="J228" i="1"/>
  <c r="I228" i="1"/>
  <c r="L227" i="1"/>
  <c r="K227" i="1"/>
  <c r="J227" i="1"/>
  <c r="I227" i="1"/>
  <c r="L226" i="1"/>
  <c r="K226" i="1"/>
  <c r="J226" i="1"/>
  <c r="I226" i="1"/>
  <c r="L225" i="1"/>
  <c r="K225" i="1"/>
  <c r="J225" i="1"/>
  <c r="I225" i="1"/>
  <c r="L224" i="1"/>
  <c r="K224" i="1"/>
  <c r="J224" i="1"/>
  <c r="I224" i="1"/>
  <c r="L223" i="1"/>
  <c r="K223" i="1"/>
  <c r="J223" i="1"/>
  <c r="I223" i="1"/>
  <c r="L222" i="1"/>
  <c r="K222" i="1"/>
  <c r="J222" i="1"/>
  <c r="I222" i="1"/>
  <c r="L221" i="1"/>
  <c r="K221" i="1"/>
  <c r="J221" i="1"/>
  <c r="I221" i="1"/>
  <c r="L220" i="1"/>
  <c r="K220" i="1"/>
  <c r="J220" i="1"/>
  <c r="I220" i="1"/>
  <c r="L219" i="1"/>
  <c r="K219" i="1"/>
  <c r="J219" i="1"/>
  <c r="I219" i="1"/>
  <c r="L218" i="1"/>
  <c r="K218" i="1"/>
  <c r="J218" i="1"/>
  <c r="I218" i="1"/>
  <c r="L217" i="1"/>
  <c r="K217" i="1"/>
  <c r="J217" i="1"/>
  <c r="I217" i="1"/>
  <c r="L216" i="1"/>
  <c r="K216" i="1"/>
  <c r="J216" i="1"/>
  <c r="I216" i="1"/>
  <c r="L215" i="1"/>
  <c r="K215" i="1"/>
  <c r="J215" i="1"/>
  <c r="I215" i="1"/>
  <c r="L214" i="1"/>
  <c r="K214" i="1"/>
  <c r="J214" i="1"/>
  <c r="I214" i="1"/>
  <c r="L213" i="1"/>
  <c r="K213" i="1"/>
  <c r="J213" i="1"/>
  <c r="I213" i="1"/>
  <c r="L212" i="1"/>
  <c r="K212" i="1"/>
  <c r="J212" i="1"/>
  <c r="I212" i="1"/>
  <c r="L211" i="1"/>
  <c r="K211" i="1"/>
  <c r="J211" i="1"/>
  <c r="I211" i="1"/>
  <c r="L210" i="1"/>
  <c r="K210" i="1"/>
  <c r="J210" i="1"/>
  <c r="I210" i="1"/>
  <c r="L209" i="1"/>
  <c r="K209" i="1"/>
  <c r="J209" i="1"/>
  <c r="I209" i="1"/>
  <c r="L208" i="1"/>
  <c r="K208" i="1"/>
  <c r="J208" i="1"/>
  <c r="I208" i="1"/>
  <c r="L207" i="1"/>
  <c r="K207" i="1"/>
  <c r="J207" i="1"/>
  <c r="I207" i="1"/>
  <c r="L206" i="1"/>
  <c r="K206" i="1"/>
  <c r="J206" i="1"/>
  <c r="I206" i="1"/>
  <c r="L205" i="1"/>
  <c r="K205" i="1"/>
  <c r="J205" i="1"/>
  <c r="I205" i="1"/>
  <c r="L204" i="1"/>
  <c r="K204" i="1"/>
  <c r="J204" i="1"/>
  <c r="I204" i="1"/>
  <c r="L203" i="1"/>
  <c r="K203" i="1"/>
  <c r="J203" i="1"/>
  <c r="I203" i="1"/>
  <c r="L202" i="1"/>
  <c r="K202" i="1"/>
  <c r="J202" i="1"/>
  <c r="I202" i="1"/>
  <c r="L201" i="1"/>
  <c r="K201" i="1"/>
  <c r="J201" i="1"/>
  <c r="I201" i="1"/>
  <c r="L200" i="1"/>
  <c r="K200" i="1"/>
  <c r="J200" i="1"/>
  <c r="I200" i="1"/>
  <c r="L199" i="1"/>
  <c r="K199" i="1"/>
  <c r="J199" i="1"/>
  <c r="I199" i="1"/>
  <c r="L198" i="1"/>
  <c r="K198" i="1"/>
  <c r="J198" i="1"/>
  <c r="I198" i="1"/>
  <c r="L197" i="1"/>
  <c r="K197" i="1"/>
  <c r="J197" i="1"/>
  <c r="I197" i="1"/>
  <c r="L196" i="1"/>
  <c r="K196" i="1"/>
  <c r="J196" i="1"/>
  <c r="I196" i="1"/>
  <c r="L195" i="1"/>
  <c r="K195" i="1"/>
  <c r="J195" i="1"/>
  <c r="I195" i="1"/>
  <c r="L194" i="1"/>
  <c r="K194" i="1"/>
  <c r="J194" i="1"/>
  <c r="I194" i="1"/>
  <c r="L193" i="1"/>
  <c r="K193" i="1"/>
  <c r="J193" i="1"/>
  <c r="I193" i="1"/>
  <c r="L192" i="1"/>
  <c r="K192" i="1"/>
  <c r="J192" i="1"/>
  <c r="I192" i="1"/>
  <c r="L191" i="1"/>
  <c r="K191" i="1"/>
  <c r="J191" i="1"/>
  <c r="I191" i="1"/>
  <c r="L190" i="1"/>
  <c r="K190" i="1"/>
  <c r="J190" i="1"/>
  <c r="I190" i="1"/>
  <c r="L189" i="1"/>
  <c r="K189" i="1"/>
  <c r="J189" i="1"/>
  <c r="I189" i="1"/>
  <c r="L188" i="1"/>
  <c r="K188" i="1"/>
  <c r="J188" i="1"/>
  <c r="I188" i="1"/>
  <c r="L187" i="1"/>
  <c r="K187" i="1"/>
  <c r="J187" i="1"/>
  <c r="I187" i="1"/>
  <c r="L186" i="1"/>
  <c r="K186" i="1"/>
  <c r="J186" i="1"/>
  <c r="I186" i="1"/>
  <c r="L185" i="1"/>
  <c r="K185" i="1"/>
  <c r="J185" i="1"/>
  <c r="I185" i="1"/>
  <c r="L184" i="1"/>
  <c r="K184" i="1"/>
  <c r="J184" i="1"/>
  <c r="I184" i="1"/>
  <c r="L183" i="1"/>
  <c r="K183" i="1"/>
  <c r="J183" i="1"/>
  <c r="I183" i="1"/>
  <c r="L182" i="1"/>
  <c r="K182" i="1"/>
  <c r="J182" i="1"/>
  <c r="I182" i="1"/>
  <c r="L181" i="1"/>
  <c r="K181" i="1"/>
  <c r="J181" i="1"/>
  <c r="I181" i="1"/>
  <c r="L180" i="1"/>
  <c r="K180" i="1"/>
  <c r="J180" i="1"/>
  <c r="I180" i="1"/>
  <c r="L179" i="1"/>
  <c r="K179" i="1"/>
  <c r="J179" i="1"/>
  <c r="I179" i="1"/>
  <c r="L178" i="1"/>
  <c r="K178" i="1"/>
  <c r="J178" i="1"/>
  <c r="I178" i="1"/>
  <c r="L177" i="1"/>
  <c r="K177" i="1"/>
  <c r="J177" i="1"/>
  <c r="I177" i="1"/>
  <c r="L176" i="1"/>
  <c r="K176" i="1"/>
  <c r="J176" i="1"/>
  <c r="I176" i="1"/>
  <c r="L175" i="1"/>
  <c r="K175" i="1"/>
  <c r="J175" i="1"/>
  <c r="I175" i="1"/>
  <c r="L174" i="1"/>
  <c r="K174" i="1"/>
  <c r="J174" i="1"/>
  <c r="I174" i="1"/>
  <c r="L173" i="1"/>
  <c r="K173" i="1"/>
  <c r="J173" i="1"/>
  <c r="I173" i="1"/>
  <c r="L172" i="1"/>
  <c r="K172" i="1"/>
  <c r="J172" i="1"/>
  <c r="I172" i="1"/>
  <c r="L171" i="1"/>
  <c r="K171" i="1"/>
  <c r="J171" i="1"/>
  <c r="I171" i="1"/>
  <c r="L170" i="1"/>
  <c r="K170" i="1"/>
  <c r="J170" i="1"/>
  <c r="I170" i="1"/>
  <c r="L169" i="1"/>
  <c r="K169" i="1"/>
  <c r="J169" i="1"/>
  <c r="I169" i="1"/>
  <c r="L168" i="1"/>
  <c r="K168" i="1"/>
  <c r="J168" i="1"/>
  <c r="I168" i="1"/>
  <c r="L167" i="1"/>
  <c r="K167" i="1"/>
  <c r="J167" i="1"/>
  <c r="I167" i="1"/>
  <c r="L166" i="1"/>
  <c r="K166" i="1"/>
  <c r="J166" i="1"/>
  <c r="I166" i="1"/>
  <c r="L165" i="1"/>
  <c r="K165" i="1"/>
  <c r="J165" i="1"/>
  <c r="I165" i="1"/>
  <c r="L164" i="1"/>
  <c r="K164" i="1"/>
  <c r="J164" i="1"/>
  <c r="I164" i="1"/>
  <c r="L163" i="1"/>
  <c r="K163" i="1"/>
  <c r="J163" i="1"/>
  <c r="I163" i="1"/>
  <c r="L162" i="1"/>
  <c r="K162" i="1"/>
  <c r="J162" i="1"/>
  <c r="I162" i="1"/>
  <c r="L161" i="1"/>
  <c r="K161" i="1"/>
  <c r="J161" i="1"/>
  <c r="I161" i="1"/>
  <c r="L160" i="1"/>
  <c r="K160" i="1"/>
  <c r="J160" i="1"/>
  <c r="I160" i="1"/>
  <c r="L159" i="1"/>
  <c r="K159" i="1"/>
  <c r="J159" i="1"/>
  <c r="I159" i="1"/>
  <c r="L158" i="1"/>
  <c r="K158" i="1"/>
  <c r="J158" i="1"/>
  <c r="I158" i="1"/>
  <c r="L157" i="1"/>
  <c r="K157" i="1"/>
  <c r="J157" i="1"/>
  <c r="I157" i="1"/>
  <c r="L156" i="1"/>
  <c r="K156" i="1"/>
  <c r="J156" i="1"/>
  <c r="I156" i="1"/>
  <c r="L155" i="1"/>
  <c r="K155" i="1"/>
  <c r="J155" i="1"/>
  <c r="I155" i="1"/>
  <c r="L154" i="1"/>
  <c r="K154" i="1"/>
  <c r="J154" i="1"/>
  <c r="I154" i="1"/>
  <c r="L153" i="1"/>
  <c r="K153" i="1"/>
  <c r="J153" i="1"/>
  <c r="I153" i="1"/>
  <c r="L152" i="1"/>
  <c r="K152" i="1"/>
  <c r="J152" i="1"/>
  <c r="I152" i="1"/>
  <c r="L151" i="1"/>
  <c r="K151" i="1"/>
  <c r="J151" i="1"/>
  <c r="I151" i="1"/>
  <c r="L150" i="1"/>
  <c r="K150" i="1"/>
  <c r="J150" i="1"/>
  <c r="I150" i="1"/>
  <c r="L149" i="1"/>
  <c r="K149" i="1"/>
  <c r="J149" i="1"/>
  <c r="I149" i="1"/>
  <c r="L148" i="1"/>
  <c r="K148" i="1"/>
  <c r="J148" i="1"/>
  <c r="I148" i="1"/>
  <c r="L147" i="1"/>
  <c r="K147" i="1"/>
  <c r="J147" i="1"/>
  <c r="I147" i="1"/>
  <c r="L146" i="1"/>
  <c r="K146" i="1"/>
  <c r="J146" i="1"/>
  <c r="I146" i="1"/>
  <c r="L145" i="1"/>
  <c r="K145" i="1"/>
  <c r="J145" i="1"/>
  <c r="I145" i="1"/>
  <c r="L144" i="1"/>
  <c r="K144" i="1"/>
  <c r="J144" i="1"/>
  <c r="I144" i="1"/>
  <c r="L143" i="1"/>
  <c r="K143" i="1"/>
  <c r="J143" i="1"/>
  <c r="I143" i="1"/>
  <c r="L142" i="1"/>
  <c r="K142" i="1"/>
  <c r="J142" i="1"/>
  <c r="I142" i="1"/>
  <c r="L141" i="1"/>
  <c r="K141" i="1"/>
  <c r="J141" i="1"/>
  <c r="I141" i="1"/>
  <c r="L140" i="1"/>
  <c r="K140" i="1"/>
  <c r="J140" i="1"/>
  <c r="I140" i="1"/>
  <c r="L139" i="1"/>
  <c r="K139" i="1"/>
  <c r="J139" i="1"/>
  <c r="I139" i="1"/>
  <c r="L138" i="1"/>
  <c r="K138" i="1"/>
  <c r="J138" i="1"/>
  <c r="I138" i="1"/>
  <c r="L137" i="1"/>
  <c r="K137" i="1"/>
  <c r="J137" i="1"/>
  <c r="I137" i="1"/>
  <c r="L136" i="1"/>
  <c r="K136" i="1"/>
  <c r="J136" i="1"/>
  <c r="I136" i="1"/>
  <c r="L135" i="1"/>
  <c r="K135" i="1"/>
  <c r="J135" i="1"/>
  <c r="I135" i="1"/>
  <c r="L134" i="1"/>
  <c r="K134" i="1"/>
  <c r="J134" i="1"/>
  <c r="I134" i="1"/>
  <c r="L133" i="1"/>
  <c r="K133" i="1"/>
  <c r="J133" i="1"/>
  <c r="I133" i="1"/>
  <c r="L132" i="1"/>
  <c r="K132" i="1"/>
  <c r="J132" i="1"/>
  <c r="I132" i="1"/>
  <c r="L131" i="1"/>
  <c r="K131" i="1"/>
  <c r="J131" i="1"/>
  <c r="I131" i="1"/>
  <c r="L130" i="1"/>
  <c r="K130" i="1"/>
  <c r="J130" i="1"/>
  <c r="I130" i="1"/>
  <c r="L129" i="1"/>
  <c r="K129" i="1"/>
  <c r="J129" i="1"/>
  <c r="I129" i="1"/>
  <c r="L128" i="1"/>
  <c r="K128" i="1"/>
  <c r="J128" i="1"/>
  <c r="I128" i="1"/>
  <c r="L127" i="1"/>
  <c r="K127" i="1"/>
  <c r="J127" i="1"/>
  <c r="I127" i="1"/>
  <c r="L126" i="1"/>
  <c r="K126" i="1"/>
  <c r="J126" i="1"/>
  <c r="I126" i="1"/>
  <c r="L125" i="1"/>
  <c r="K125" i="1"/>
  <c r="J125" i="1"/>
  <c r="I125" i="1"/>
  <c r="L124" i="1"/>
  <c r="K124" i="1"/>
  <c r="J124" i="1"/>
  <c r="I124" i="1"/>
  <c r="L123" i="1"/>
  <c r="K123" i="1"/>
  <c r="J123" i="1"/>
  <c r="I123" i="1"/>
  <c r="L122" i="1"/>
  <c r="K122" i="1"/>
  <c r="J122" i="1"/>
  <c r="I122" i="1"/>
  <c r="L121" i="1"/>
  <c r="K121" i="1"/>
  <c r="J121" i="1"/>
  <c r="I121" i="1"/>
  <c r="L120" i="1"/>
  <c r="K120" i="1"/>
  <c r="J120" i="1"/>
  <c r="I120" i="1"/>
  <c r="L119" i="1"/>
  <c r="K119" i="1"/>
  <c r="J119" i="1"/>
  <c r="I119" i="1"/>
  <c r="L118" i="1"/>
  <c r="K118" i="1"/>
  <c r="J118" i="1"/>
  <c r="I118" i="1"/>
  <c r="L117" i="1"/>
  <c r="K117" i="1"/>
  <c r="J117" i="1"/>
  <c r="I117" i="1"/>
  <c r="L116" i="1"/>
  <c r="K116" i="1"/>
  <c r="J116" i="1"/>
  <c r="I116" i="1"/>
  <c r="L115" i="1"/>
  <c r="K115" i="1"/>
  <c r="J115" i="1"/>
  <c r="I115" i="1"/>
  <c r="L114" i="1"/>
  <c r="K114" i="1"/>
  <c r="J114" i="1"/>
  <c r="I114" i="1"/>
  <c r="L113" i="1"/>
  <c r="K113" i="1"/>
  <c r="J113" i="1"/>
  <c r="I113" i="1"/>
  <c r="L112" i="1"/>
  <c r="K112" i="1"/>
  <c r="J112" i="1"/>
  <c r="I112" i="1"/>
  <c r="L111" i="1"/>
  <c r="K111" i="1"/>
  <c r="J111" i="1"/>
  <c r="I111" i="1"/>
  <c r="L110" i="1"/>
  <c r="K110" i="1"/>
  <c r="J110" i="1"/>
  <c r="I110" i="1"/>
  <c r="L109" i="1"/>
  <c r="K109" i="1"/>
  <c r="J109" i="1"/>
  <c r="I109" i="1"/>
  <c r="L108" i="1"/>
  <c r="K108" i="1"/>
  <c r="J108" i="1"/>
  <c r="I108" i="1"/>
  <c r="L107" i="1"/>
  <c r="K107" i="1"/>
  <c r="J107" i="1"/>
  <c r="I107" i="1"/>
  <c r="L106" i="1"/>
  <c r="K106" i="1"/>
  <c r="J106" i="1"/>
  <c r="I106" i="1"/>
  <c r="L105" i="1"/>
  <c r="K105" i="1"/>
  <c r="J105" i="1"/>
  <c r="I105" i="1"/>
  <c r="L104" i="1"/>
  <c r="K104" i="1"/>
  <c r="J104" i="1"/>
  <c r="I104" i="1"/>
  <c r="L103" i="1"/>
  <c r="K103" i="1"/>
  <c r="J103" i="1"/>
  <c r="I103" i="1"/>
  <c r="L102" i="1"/>
  <c r="K102" i="1"/>
  <c r="J102" i="1"/>
  <c r="I102" i="1"/>
  <c r="L101" i="1"/>
  <c r="K101" i="1"/>
  <c r="J101" i="1"/>
  <c r="I101" i="1"/>
  <c r="L100" i="1"/>
  <c r="K100" i="1"/>
  <c r="J100" i="1"/>
  <c r="I100" i="1"/>
  <c r="L99" i="1"/>
  <c r="K99" i="1"/>
  <c r="J99" i="1"/>
  <c r="I99" i="1"/>
  <c r="L98" i="1"/>
  <c r="K98" i="1"/>
  <c r="J98" i="1"/>
  <c r="I98" i="1"/>
  <c r="L97" i="1"/>
  <c r="K97" i="1"/>
  <c r="J97" i="1"/>
  <c r="I97" i="1"/>
  <c r="L96" i="1"/>
  <c r="K96" i="1"/>
  <c r="J96" i="1"/>
  <c r="I96" i="1"/>
  <c r="L95" i="1"/>
  <c r="K95" i="1"/>
  <c r="J95" i="1"/>
  <c r="I95" i="1"/>
  <c r="L94" i="1"/>
  <c r="K94" i="1"/>
  <c r="J94" i="1"/>
  <c r="I94" i="1"/>
  <c r="L93" i="1"/>
  <c r="K93" i="1"/>
  <c r="J93" i="1"/>
  <c r="I93" i="1"/>
  <c r="L92" i="1"/>
  <c r="K92" i="1"/>
  <c r="J92" i="1"/>
  <c r="I92" i="1"/>
  <c r="L91" i="1"/>
  <c r="K91" i="1"/>
  <c r="J91" i="1"/>
  <c r="I91" i="1"/>
  <c r="L90" i="1"/>
  <c r="K90" i="1"/>
  <c r="J90" i="1"/>
  <c r="I90" i="1"/>
  <c r="L89" i="1"/>
  <c r="K89" i="1"/>
  <c r="J89" i="1"/>
  <c r="I89" i="1"/>
  <c r="L88" i="1"/>
  <c r="K88" i="1"/>
  <c r="J88" i="1"/>
  <c r="I88" i="1"/>
  <c r="L87" i="1"/>
  <c r="K87" i="1"/>
  <c r="J87" i="1"/>
  <c r="I87" i="1"/>
  <c r="L86" i="1"/>
  <c r="K86" i="1"/>
  <c r="J86" i="1"/>
  <c r="I86" i="1"/>
  <c r="L85" i="1"/>
  <c r="K85" i="1"/>
  <c r="J85" i="1"/>
  <c r="I85" i="1"/>
  <c r="L84" i="1"/>
  <c r="K84" i="1"/>
  <c r="J84" i="1"/>
  <c r="I84" i="1"/>
  <c r="L83" i="1"/>
  <c r="K83" i="1"/>
  <c r="J83" i="1"/>
  <c r="I83" i="1"/>
  <c r="L82" i="1"/>
  <c r="K82" i="1"/>
  <c r="J82" i="1"/>
  <c r="I82" i="1"/>
  <c r="L81" i="1"/>
  <c r="K81" i="1"/>
  <c r="J81" i="1"/>
  <c r="I81" i="1"/>
  <c r="L80" i="1"/>
  <c r="K80" i="1"/>
  <c r="J80" i="1"/>
  <c r="I80" i="1"/>
  <c r="L79" i="1"/>
  <c r="K79" i="1"/>
  <c r="J79" i="1"/>
  <c r="I79" i="1"/>
  <c r="L78" i="1"/>
  <c r="K78" i="1"/>
  <c r="J78" i="1"/>
  <c r="I78" i="1"/>
  <c r="L77" i="1"/>
  <c r="K77" i="1"/>
  <c r="J77" i="1"/>
  <c r="I77" i="1"/>
  <c r="L76" i="1"/>
  <c r="K76" i="1"/>
  <c r="J76" i="1"/>
  <c r="I76" i="1"/>
  <c r="L75" i="1"/>
  <c r="K75" i="1"/>
  <c r="J75" i="1"/>
  <c r="I75" i="1"/>
  <c r="L74" i="1"/>
  <c r="K74" i="1"/>
  <c r="J74" i="1"/>
  <c r="I74" i="1"/>
  <c r="L73" i="1"/>
  <c r="K73" i="1"/>
  <c r="J73" i="1"/>
  <c r="I73" i="1"/>
  <c r="L72" i="1"/>
  <c r="K72" i="1"/>
  <c r="J72" i="1"/>
  <c r="I72" i="1"/>
  <c r="L71" i="1"/>
  <c r="K71" i="1"/>
  <c r="J71" i="1"/>
  <c r="I71" i="1"/>
  <c r="L70" i="1"/>
  <c r="K70" i="1"/>
  <c r="J70" i="1"/>
  <c r="I70" i="1"/>
  <c r="L69" i="1"/>
  <c r="K69" i="1"/>
  <c r="J69" i="1"/>
  <c r="I69" i="1"/>
  <c r="L68" i="1"/>
  <c r="K68" i="1"/>
  <c r="J68" i="1"/>
  <c r="I68" i="1"/>
  <c r="L67" i="1"/>
  <c r="K67" i="1"/>
  <c r="J67" i="1"/>
  <c r="I67" i="1"/>
  <c r="L66" i="1"/>
  <c r="K66" i="1"/>
  <c r="J66" i="1"/>
  <c r="I66" i="1"/>
  <c r="L65" i="1"/>
  <c r="K65" i="1"/>
  <c r="J65" i="1"/>
  <c r="I65" i="1"/>
  <c r="L64" i="1"/>
  <c r="K64" i="1"/>
  <c r="J64" i="1"/>
  <c r="I64" i="1"/>
  <c r="L63" i="1"/>
  <c r="K63" i="1"/>
  <c r="J63" i="1"/>
  <c r="I63" i="1"/>
  <c r="L62" i="1"/>
  <c r="K62" i="1"/>
  <c r="J62" i="1"/>
  <c r="I62" i="1"/>
  <c r="L61" i="1"/>
  <c r="K61" i="1"/>
  <c r="J61" i="1"/>
  <c r="I61" i="1"/>
  <c r="L60" i="1"/>
  <c r="K60" i="1"/>
  <c r="J60" i="1"/>
  <c r="I60" i="1"/>
  <c r="L59" i="1"/>
  <c r="K59" i="1"/>
  <c r="J59" i="1"/>
  <c r="I59" i="1"/>
  <c r="L58" i="1"/>
  <c r="K58" i="1"/>
  <c r="J58" i="1"/>
  <c r="I58" i="1"/>
  <c r="L57" i="1"/>
  <c r="K57" i="1"/>
  <c r="J57" i="1"/>
  <c r="I57" i="1"/>
  <c r="L56" i="1"/>
  <c r="K56" i="1"/>
  <c r="J56" i="1"/>
  <c r="I56" i="1"/>
  <c r="L55" i="1"/>
  <c r="K55" i="1"/>
  <c r="J55" i="1"/>
  <c r="I55" i="1"/>
  <c r="L54" i="1"/>
  <c r="K54" i="1"/>
  <c r="J54" i="1"/>
  <c r="I54" i="1"/>
  <c r="L53" i="1"/>
  <c r="K53" i="1"/>
  <c r="J53" i="1"/>
  <c r="I53" i="1"/>
  <c r="L52" i="1"/>
  <c r="K52" i="1"/>
  <c r="J52" i="1"/>
  <c r="I52" i="1"/>
  <c r="L51" i="1"/>
  <c r="K51" i="1"/>
  <c r="J51" i="1"/>
  <c r="I51" i="1"/>
  <c r="L50" i="1"/>
  <c r="K50" i="1"/>
  <c r="J50" i="1"/>
  <c r="I50" i="1"/>
  <c r="L49" i="1"/>
  <c r="K49" i="1"/>
  <c r="J49" i="1"/>
  <c r="I49" i="1"/>
  <c r="L48" i="1"/>
  <c r="K48" i="1"/>
  <c r="J48" i="1"/>
  <c r="I48" i="1"/>
  <c r="L47" i="1"/>
  <c r="K47" i="1"/>
  <c r="J47" i="1"/>
  <c r="I47" i="1"/>
  <c r="L46" i="1"/>
  <c r="K46" i="1"/>
  <c r="J46" i="1"/>
  <c r="I46" i="1"/>
  <c r="L45" i="1"/>
  <c r="K45" i="1"/>
  <c r="J45" i="1"/>
  <c r="I45" i="1"/>
  <c r="L44" i="1"/>
  <c r="K44" i="1"/>
  <c r="J44" i="1"/>
  <c r="I44" i="1"/>
  <c r="L43" i="1"/>
  <c r="K43" i="1"/>
  <c r="J43" i="1"/>
  <c r="I43" i="1"/>
  <c r="L42" i="1"/>
  <c r="K42" i="1"/>
  <c r="J42" i="1"/>
  <c r="I42" i="1"/>
  <c r="L41" i="1"/>
  <c r="K41" i="1"/>
  <c r="J41" i="1"/>
  <c r="I41" i="1"/>
  <c r="L40" i="1"/>
  <c r="K40" i="1"/>
  <c r="J40" i="1"/>
  <c r="I40" i="1"/>
  <c r="L39" i="1"/>
  <c r="K39" i="1"/>
  <c r="J39" i="1"/>
  <c r="I39" i="1"/>
  <c r="L38" i="1"/>
  <c r="K38" i="1"/>
  <c r="J38" i="1"/>
  <c r="I38" i="1"/>
  <c r="L37" i="1"/>
  <c r="K37" i="1"/>
  <c r="J37" i="1"/>
  <c r="I37" i="1"/>
  <c r="L36" i="1"/>
  <c r="K36" i="1"/>
  <c r="J36" i="1"/>
  <c r="I36" i="1"/>
  <c r="L35" i="1"/>
  <c r="K35" i="1"/>
  <c r="J35" i="1"/>
  <c r="I35" i="1"/>
  <c r="L34" i="1"/>
  <c r="K34" i="1"/>
  <c r="J34" i="1"/>
  <c r="I34" i="1"/>
  <c r="L33" i="1"/>
  <c r="K33" i="1"/>
  <c r="J33" i="1"/>
  <c r="I33" i="1"/>
  <c r="L32" i="1"/>
  <c r="K32" i="1"/>
  <c r="J32" i="1"/>
  <c r="I32" i="1"/>
  <c r="L31" i="1"/>
  <c r="K31" i="1"/>
  <c r="J31" i="1"/>
  <c r="I31" i="1"/>
  <c r="L30" i="1"/>
  <c r="K30" i="1"/>
  <c r="J30" i="1"/>
  <c r="I30" i="1"/>
  <c r="L29" i="1"/>
  <c r="K29" i="1"/>
  <c r="J29" i="1"/>
  <c r="I29" i="1"/>
  <c r="L28" i="1"/>
  <c r="K28" i="1"/>
  <c r="J28" i="1"/>
  <c r="I28" i="1"/>
  <c r="L27" i="1"/>
  <c r="K27" i="1"/>
  <c r="J27" i="1"/>
  <c r="I27" i="1"/>
  <c r="L26" i="1"/>
  <c r="K26" i="1"/>
  <c r="J26" i="1"/>
  <c r="I26" i="1"/>
  <c r="L25" i="1"/>
  <c r="K25" i="1"/>
  <c r="J25" i="1"/>
  <c r="I25" i="1"/>
  <c r="L24" i="1"/>
  <c r="K24" i="1"/>
  <c r="J24" i="1"/>
  <c r="I24" i="1"/>
  <c r="L23" i="1"/>
  <c r="K23" i="1"/>
  <c r="J23" i="1"/>
  <c r="I23" i="1"/>
  <c r="L22" i="1"/>
  <c r="K22" i="1"/>
  <c r="J22" i="1"/>
  <c r="I22" i="1"/>
  <c r="L21" i="1"/>
  <c r="K21" i="1"/>
  <c r="J21" i="1"/>
  <c r="I21" i="1"/>
  <c r="L20" i="1"/>
  <c r="K20" i="1"/>
  <c r="J20" i="1"/>
  <c r="I20" i="1"/>
  <c r="L19" i="1"/>
  <c r="K19" i="1"/>
  <c r="J19" i="1"/>
  <c r="I19" i="1"/>
  <c r="L18" i="1"/>
  <c r="K18" i="1"/>
  <c r="J18" i="1"/>
  <c r="I18" i="1"/>
  <c r="L17" i="1"/>
  <c r="K17" i="1"/>
  <c r="J17" i="1"/>
  <c r="I17" i="1"/>
  <c r="L16" i="1"/>
  <c r="K16" i="1"/>
  <c r="J16" i="1"/>
  <c r="I16" i="1"/>
  <c r="L15" i="1"/>
  <c r="K15" i="1"/>
  <c r="J15" i="1"/>
  <c r="I15" i="1"/>
  <c r="L14" i="1"/>
  <c r="K14" i="1"/>
  <c r="J14" i="1"/>
  <c r="I14" i="1"/>
  <c r="L13" i="1"/>
  <c r="K13" i="1"/>
  <c r="J13" i="1"/>
  <c r="I13" i="1"/>
  <c r="L12" i="1"/>
  <c r="K12" i="1"/>
  <c r="J12" i="1"/>
  <c r="I12" i="1"/>
  <c r="L11" i="1"/>
  <c r="K11" i="1"/>
  <c r="J11" i="1"/>
  <c r="I11" i="1"/>
  <c r="L10" i="1"/>
  <c r="K10" i="1"/>
  <c r="J10" i="1"/>
  <c r="I10" i="1"/>
  <c r="L9" i="1"/>
  <c r="K9" i="1"/>
  <c r="J9" i="1"/>
  <c r="I9" i="1"/>
  <c r="L8" i="1"/>
  <c r="K8" i="1"/>
  <c r="J8" i="1"/>
  <c r="I8" i="1"/>
  <c r="L7" i="1"/>
  <c r="K7" i="1"/>
  <c r="J7" i="1"/>
  <c r="I7" i="1"/>
  <c r="L6" i="1"/>
  <c r="K6" i="1"/>
  <c r="J6" i="1"/>
  <c r="I6" i="1"/>
  <c r="L5" i="1"/>
  <c r="K5" i="1"/>
  <c r="J5" i="1"/>
  <c r="I5" i="1"/>
  <c r="L4" i="1"/>
  <c r="K4" i="1"/>
  <c r="J4" i="1"/>
  <c r="I4" i="1"/>
  <c r="L3" i="1"/>
  <c r="K3" i="1"/>
  <c r="J3" i="1"/>
  <c r="I3" i="1"/>
  <c r="L2" i="1"/>
  <c r="K2" i="1"/>
  <c r="J2" i="1"/>
  <c r="I2" i="1"/>
  <c r="H1" i="6" l="1"/>
  <c r="N1" i="6"/>
  <c r="E1" i="6"/>
  <c r="K1" i="6" l="1"/>
</calcChain>
</file>

<file path=xl/sharedStrings.xml><?xml version="1.0" encoding="utf-8"?>
<sst xmlns="http://schemas.openxmlformats.org/spreadsheetml/2006/main" count="32975" uniqueCount="5821">
  <si>
    <t>Lead_ID</t>
  </si>
  <si>
    <t>Customer_Name</t>
  </si>
  <si>
    <t>Phone</t>
  </si>
  <si>
    <t>City</t>
  </si>
  <si>
    <t>Lead_Source</t>
  </si>
  <si>
    <t>Campaign_Name</t>
  </si>
  <si>
    <t>Work_Type</t>
  </si>
  <si>
    <t>Lead_Date</t>
  </si>
  <si>
    <t>Followup_Count</t>
  </si>
  <si>
    <t>Last_Contact_Date</t>
  </si>
  <si>
    <t>Lead_Status</t>
  </si>
  <si>
    <t>Estimated_Budget</t>
  </si>
  <si>
    <t>Final_Deal_Value</t>
  </si>
  <si>
    <t>Conversion_Date</t>
  </si>
  <si>
    <t>Sales_Executive</t>
  </si>
  <si>
    <t>Response_Time_Hours</t>
  </si>
  <si>
    <t>Lead_Rating</t>
  </si>
  <si>
    <t>Remarks</t>
  </si>
  <si>
    <t>LD0001</t>
  </si>
  <si>
    <t>Nilesh Gaikwad</t>
  </si>
  <si>
    <t>Pune</t>
  </si>
  <si>
    <t>Word of Mouth</t>
  </si>
  <si>
    <t>Colony Reference</t>
  </si>
  <si>
    <t>Modular Kitchen</t>
  </si>
  <si>
    <t>2022-01-11</t>
  </si>
  <si>
    <t>2022-01-14</t>
  </si>
  <si>
    <t>2022-01-29</t>
  </si>
  <si>
    <t>Lost</t>
  </si>
  <si>
    <t>Amit Talola</t>
  </si>
  <si>
    <t>Cold</t>
  </si>
  <si>
    <t>Lost to branded competitor</t>
  </si>
  <si>
    <t>LD0002</t>
  </si>
  <si>
    <t>Ritu Gaikwad</t>
  </si>
  <si>
    <t>Justdial Enquiry</t>
  </si>
  <si>
    <t>Justdial Premium Listing — Inbound</t>
  </si>
  <si>
    <t>Veneer Work</t>
  </si>
  <si>
    <t>2022-01-18</t>
  </si>
  <si>
    <t>2022-01-19</t>
  </si>
  <si>
    <t>Customer did not proceed with project</t>
  </si>
  <si>
    <t>LD0003</t>
  </si>
  <si>
    <t>Ravi Nimbalkar</t>
  </si>
  <si>
    <t>Referral</t>
  </si>
  <si>
    <t>Neighbour Referral</t>
  </si>
  <si>
    <t>2022-01-15</t>
  </si>
  <si>
    <t>2022-02-21</t>
  </si>
  <si>
    <t>In Progress</t>
  </si>
  <si>
    <t>Ankeeta Londhe</t>
  </si>
  <si>
    <t>Warm</t>
  </si>
  <si>
    <t>Under construction, possession in 3 months</t>
  </si>
  <si>
    <t>LD0004</t>
  </si>
  <si>
    <t>Divya Patil</t>
  </si>
  <si>
    <t>Sangli</t>
  </si>
  <si>
    <t>Wardrobe</t>
  </si>
  <si>
    <t>2022-01-17</t>
  </si>
  <si>
    <t>2022-01-22</t>
  </si>
  <si>
    <t>Dropped</t>
  </si>
  <si>
    <t>No call back after site visit</t>
  </si>
  <si>
    <t>LD0005</t>
  </si>
  <si>
    <t>Deepak Raut</t>
  </si>
  <si>
    <t>Mumbai</t>
  </si>
  <si>
    <t>Laminate Work</t>
  </si>
  <si>
    <t>2022-02-18</t>
  </si>
  <si>
    <t>Follow-up Pending</t>
  </si>
  <si>
    <t>Hot</t>
  </si>
  <si>
    <t>Customer comparing 1-2 vendors only</t>
  </si>
  <si>
    <t>LD0006</t>
  </si>
  <si>
    <t>Jyoti Jadhav</t>
  </si>
  <si>
    <t>MagicBricks Enquiry</t>
  </si>
  <si>
    <t>MagicBricks Property Enquiry — Inbound</t>
  </si>
  <si>
    <t>PU Finish Work</t>
  </si>
  <si>
    <t>2022-02-02</t>
  </si>
  <si>
    <t>LD0007</t>
  </si>
  <si>
    <t>Sunita Bhosale</t>
  </si>
  <si>
    <t>99acres Enquiry</t>
  </si>
  <si>
    <t>99acres New Project Enquiry — Inbound</t>
  </si>
  <si>
    <t>2022-01-20</t>
  </si>
  <si>
    <t>2022-01-31</t>
  </si>
  <si>
    <t>Follow up after Dussehra</t>
  </si>
  <si>
    <t>LD0008</t>
  </si>
  <si>
    <t>Manisha Zende</t>
  </si>
  <si>
    <t>MagicBricks Enquiry — Inbound</t>
  </si>
  <si>
    <t>2022-01-24</t>
  </si>
  <si>
    <t>2022-01-28</t>
  </si>
  <si>
    <t>Just enquiring, no serious intent</t>
  </si>
  <si>
    <t>LD0009</t>
  </si>
  <si>
    <t>Manoj Joshi</t>
  </si>
  <si>
    <t>Contractor Referral</t>
  </si>
  <si>
    <t>Designer Doors</t>
  </si>
  <si>
    <t>2022-02-04</t>
  </si>
  <si>
    <t>Site visit to be scheduled</t>
  </si>
  <si>
    <t>LD0010</t>
  </si>
  <si>
    <t>Nanda Kale</t>
  </si>
  <si>
    <t>Client Referral</t>
  </si>
  <si>
    <t>2022-02-17</t>
  </si>
  <si>
    <t>LD0011</t>
  </si>
  <si>
    <t>Sunanda Jadhav</t>
  </si>
  <si>
    <t>2022-02-22</t>
  </si>
  <si>
    <t>Converted</t>
  </si>
  <si>
    <t>2022-02-28</t>
  </si>
  <si>
    <t>Customer referred 2 more leads after delivery</t>
  </si>
  <si>
    <t>LD0012</t>
  </si>
  <si>
    <t>Vikas Naik</t>
  </si>
  <si>
    <t>Justdial Sponsored — Inbound</t>
  </si>
  <si>
    <t>2022-02-01</t>
  </si>
  <si>
    <t>2022-02-07</t>
  </si>
  <si>
    <t>No response, marked as lost after 60 days</t>
  </si>
  <si>
    <t>LD0013</t>
  </si>
  <si>
    <t>Ganesh Sonawane</t>
  </si>
  <si>
    <t>Latur</t>
  </si>
  <si>
    <t>Walk-in</t>
  </si>
  <si>
    <t>Showroom Walk-in</t>
  </si>
  <si>
    <t>2022-03-02</t>
  </si>
  <si>
    <t>2022-03-07</t>
  </si>
  <si>
    <t>Full payment cleared, delivery done</t>
  </si>
  <si>
    <t>LD0014</t>
  </si>
  <si>
    <t>Vikas Shinde</t>
  </si>
  <si>
    <t>2022-02-05</t>
  </si>
  <si>
    <t>2022-02-14</t>
  </si>
  <si>
    <t>Lost to competitor - cheaper quote</t>
  </si>
  <si>
    <t>LD0015</t>
  </si>
  <si>
    <t>Sunita Pawar</t>
  </si>
  <si>
    <t>Ahmednagar</t>
  </si>
  <si>
    <t>2022-03-12</t>
  </si>
  <si>
    <t>Budget mismatch - too low</t>
  </si>
  <si>
    <t>LD0016</t>
  </si>
  <si>
    <t>Manoj Nimbalkar</t>
  </si>
  <si>
    <t>99acres Flat Owner Enquiry — Inbound</t>
  </si>
  <si>
    <t>LD0017</t>
  </si>
  <si>
    <t>Sunita More</t>
  </si>
  <si>
    <t>2022-02-08</t>
  </si>
  <si>
    <t>99acres enquiry — masked number, no response</t>
  </si>
  <si>
    <t>LD0018</t>
  </si>
  <si>
    <t>Lata Gaikwad</t>
  </si>
  <si>
    <t>LD0019</t>
  </si>
  <si>
    <t>Kiran Mane</t>
  </si>
  <si>
    <t>2022-02-16</t>
  </si>
  <si>
    <t>2022-03-14</t>
  </si>
  <si>
    <t>Follow up after flat possession</t>
  </si>
  <si>
    <t>LD0020</t>
  </si>
  <si>
    <t>Divya Suryawanshi</t>
  </si>
  <si>
    <t>99acres portal lead — customer did not share direct contact</t>
  </si>
  <si>
    <t>LD0021</t>
  </si>
  <si>
    <t>Seema Aware</t>
  </si>
  <si>
    <t>2022-02-24</t>
  </si>
  <si>
    <t>2022-03-04</t>
  </si>
  <si>
    <t>LD0022</t>
  </si>
  <si>
    <t>Deepak Chavan</t>
  </si>
  <si>
    <t>2022-02-23</t>
  </si>
  <si>
    <t>2022-03-21</t>
  </si>
  <si>
    <t>LD0023</t>
  </si>
  <si>
    <t>Devendra Gaikwad</t>
  </si>
  <si>
    <t>Architect Referral</t>
  </si>
  <si>
    <t>2022-03-16</t>
  </si>
  <si>
    <t>Went with local vendor</t>
  </si>
  <si>
    <t>LD0024</t>
  </si>
  <si>
    <t>Mahesh Salve</t>
  </si>
  <si>
    <t>2022-03-18</t>
  </si>
  <si>
    <t>Lost - no follow up done in time</t>
  </si>
  <si>
    <t>LD0025</t>
  </si>
  <si>
    <t>Rekha Kakade</t>
  </si>
  <si>
    <t>Family Reference</t>
  </si>
  <si>
    <t>2022-02-25</t>
  </si>
  <si>
    <t>2022-03-28</t>
  </si>
  <si>
    <t>Customer got work done from relative</t>
  </si>
  <si>
    <t>LD0026</t>
  </si>
  <si>
    <t>Vikas Joshi</t>
  </si>
  <si>
    <t>2022-02-26</t>
  </si>
  <si>
    <t>LD0027</t>
  </si>
  <si>
    <t>Umesh Zende</t>
  </si>
  <si>
    <t>2022-04-02</t>
  </si>
  <si>
    <t>Deal done, site work ongoing</t>
  </si>
  <si>
    <t>LD0028</t>
  </si>
  <si>
    <t>Rohit Sonawane</t>
  </si>
  <si>
    <t>2022-03-03</t>
  </si>
  <si>
    <t>Follow up after Akshaya Tritiya</t>
  </si>
  <si>
    <t>LD0029</t>
  </si>
  <si>
    <t>Rekha Kadam</t>
  </si>
  <si>
    <t>LD0030</t>
  </si>
  <si>
    <t>Manoj Naik</t>
  </si>
  <si>
    <t>2022-03-29</t>
  </si>
  <si>
    <t>LD0031</t>
  </si>
  <si>
    <t>Deepak Patil</t>
  </si>
  <si>
    <t>2022-03-30</t>
  </si>
  <si>
    <t>Interested but waiting for loan approval</t>
  </si>
  <si>
    <t>LD0032</t>
  </si>
  <si>
    <t>Rajesh Gaikwad</t>
  </si>
  <si>
    <t>2022-03-19</t>
  </si>
  <si>
    <t>Wrong number provided</t>
  </si>
  <si>
    <t>LD0033</t>
  </si>
  <si>
    <t>Amit Jadhav</t>
  </si>
  <si>
    <t>2022-03-09</t>
  </si>
  <si>
    <t>2022-03-15</t>
  </si>
  <si>
    <t>LD0034</t>
  </si>
  <si>
    <t>Pramod Patil</t>
  </si>
  <si>
    <t>2022-04-09</t>
  </si>
  <si>
    <t>Site visit done, quotation shared</t>
  </si>
  <si>
    <t>LD0035</t>
  </si>
  <si>
    <t>Alka Pawar</t>
  </si>
  <si>
    <t>2022-03-08</t>
  </si>
  <si>
    <t>LD0036</t>
  </si>
  <si>
    <t>Meena Phule</t>
  </si>
  <si>
    <t>Justdial Free Listing — Inbound</t>
  </si>
  <si>
    <t>Customer chose readymade furniture</t>
  </si>
  <si>
    <t>LD0037</t>
  </si>
  <si>
    <t>Hemant More</t>
  </si>
  <si>
    <t>2022-04-07</t>
  </si>
  <si>
    <t>Duplicate enquiry</t>
  </si>
  <si>
    <t>LD0038</t>
  </si>
  <si>
    <t>Divya Phule</t>
  </si>
  <si>
    <t>LD0039</t>
  </si>
  <si>
    <t>Amit Kakade</t>
  </si>
  <si>
    <t>2022-04-05</t>
  </si>
  <si>
    <t>Follow up after Gudi Padwa</t>
  </si>
  <si>
    <t>LD0040</t>
  </si>
  <si>
    <t>Ritu Zende</t>
  </si>
  <si>
    <t>LD0041</t>
  </si>
  <si>
    <t>Jyoti Bansode</t>
  </si>
  <si>
    <t>Exhibition Walk-in</t>
  </si>
  <si>
    <t>2022-04-20</t>
  </si>
  <si>
    <t>LD0042</t>
  </si>
  <si>
    <t>Ganesh Zende</t>
  </si>
  <si>
    <t>Customer visited showroom twice, very interested</t>
  </si>
  <si>
    <t>LD0043</t>
  </si>
  <si>
    <t>Meena Yadav</t>
  </si>
  <si>
    <t>2022-04-04</t>
  </si>
  <si>
    <t>LD0044</t>
  </si>
  <si>
    <t>Kiran Tupe</t>
  </si>
  <si>
    <t>2022-04-18</t>
  </si>
  <si>
    <t>LD0045</t>
  </si>
  <si>
    <t>Sonal Jadhav</t>
  </si>
  <si>
    <t>Friend Reference</t>
  </si>
  <si>
    <t>2022-04-06</t>
  </si>
  <si>
    <t>LD0046</t>
  </si>
  <si>
    <t>Arun More</t>
  </si>
  <si>
    <t>2022-05-02</t>
  </si>
  <si>
    <t>LD0047</t>
  </si>
  <si>
    <t>Kiran Kale</t>
  </si>
  <si>
    <t>2022-04-19</t>
  </si>
  <si>
    <t>Project cancelled by customer</t>
  </si>
  <si>
    <t>LD0048</t>
  </si>
  <si>
    <t>Manisha Thorat</t>
  </si>
  <si>
    <t>2022-04-21</t>
  </si>
  <si>
    <t>2022-05-06</t>
  </si>
  <si>
    <t>Customer very satisfied, 5 star review given</t>
  </si>
  <si>
    <t>LD0049</t>
  </si>
  <si>
    <t>Sanjay Bhosale</t>
  </si>
  <si>
    <t>2022-04-14</t>
  </si>
  <si>
    <t>Project on hold</t>
  </si>
  <si>
    <t>LD0050</t>
  </si>
  <si>
    <t>Alka Phule</t>
  </si>
  <si>
    <t>2022-04-11</t>
  </si>
  <si>
    <t>2022-05-04</t>
  </si>
  <si>
    <t>LD0051</t>
  </si>
  <si>
    <t>Suresh Aware</t>
  </si>
  <si>
    <t>2022-04-16</t>
  </si>
  <si>
    <t>2022-05-21</t>
  </si>
  <si>
    <t>Waiting for interior budget approval from family</t>
  </si>
  <si>
    <t>LD0052</t>
  </si>
  <si>
    <t>Pravin Wagh</t>
  </si>
  <si>
    <t>2022-05-16</t>
  </si>
  <si>
    <t>Ready to proceed, discussing payment terms</t>
  </si>
  <si>
    <t>LD0053</t>
  </si>
  <si>
    <t>Vijay Deshmukh</t>
  </si>
  <si>
    <t>2022-05-05</t>
  </si>
  <si>
    <t>LD0054</t>
  </si>
  <si>
    <t>Sanjay Sawant</t>
  </si>
  <si>
    <t>2022-04-22</t>
  </si>
  <si>
    <t>2022-04-25</t>
  </si>
  <si>
    <t>2022-05-14</t>
  </si>
  <si>
    <t>LD0055</t>
  </si>
  <si>
    <t>Ravi Kulkarni</t>
  </si>
  <si>
    <t>2022-05-23</t>
  </si>
  <si>
    <t>LD0056</t>
  </si>
  <si>
    <t>Shweta Londhe</t>
  </si>
  <si>
    <t>2022-04-23</t>
  </si>
  <si>
    <t>2022-04-26</t>
  </si>
  <si>
    <t>Budget discussion pending</t>
  </si>
  <si>
    <t>LD0057</t>
  </si>
  <si>
    <t>Manoj Phule</t>
  </si>
  <si>
    <t>2022-05-09</t>
  </si>
  <si>
    <t>LD0058</t>
  </si>
  <si>
    <t>Ganesh Bansode</t>
  </si>
  <si>
    <t>LD0059</t>
  </si>
  <si>
    <t>Dinesh Bhalerao</t>
  </si>
  <si>
    <t>2022-05-13</t>
  </si>
  <si>
    <t>2022-05-31</t>
  </si>
  <si>
    <t>Token received, design finalised</t>
  </si>
  <si>
    <t>LD0060</t>
  </si>
  <si>
    <t>Dinesh Thorat</t>
  </si>
  <si>
    <t>LD0061</t>
  </si>
  <si>
    <t>Archana Patil</t>
  </si>
  <si>
    <t>LD0062</t>
  </si>
  <si>
    <t>Bharati Nimbalkar</t>
  </si>
  <si>
    <t>LD0063</t>
  </si>
  <si>
    <t>Vikas Pawar</t>
  </si>
  <si>
    <t>Customer happy with sample, deal closed</t>
  </si>
  <si>
    <t>LD0064</t>
  </si>
  <si>
    <t>Vijay Bhalerao</t>
  </si>
  <si>
    <t>2022-06-09</t>
  </si>
  <si>
    <t>LD0065</t>
  </si>
  <si>
    <t>2022-05-19</t>
  </si>
  <si>
    <t>2022-06-13</t>
  </si>
  <si>
    <t>Follow up after Diwali</t>
  </si>
  <si>
    <t>LD0066</t>
  </si>
  <si>
    <t>Manisha Jadhav</t>
  </si>
  <si>
    <t>2022-06-06</t>
  </si>
  <si>
    <t>LD0067</t>
  </si>
  <si>
    <t>Pooja Kshirsagar</t>
  </si>
  <si>
    <t>2022-05-28</t>
  </si>
  <si>
    <t>2022-06-28</t>
  </si>
  <si>
    <t>Call back after 1 month</t>
  </si>
  <si>
    <t>LD0068</t>
  </si>
  <si>
    <t>Sunil Wagh</t>
  </si>
  <si>
    <t>2022-06-02</t>
  </si>
  <si>
    <t>2022-06-03</t>
  </si>
  <si>
    <t>2022-06-10</t>
  </si>
  <si>
    <t>LD0069</t>
  </si>
  <si>
    <t>Archana Kale</t>
  </si>
  <si>
    <t>LD0070</t>
  </si>
  <si>
    <t>Sunita Gavhane</t>
  </si>
  <si>
    <t>2022-06-04</t>
  </si>
  <si>
    <t>2022-06-14</t>
  </si>
  <si>
    <t>LD0071</t>
  </si>
  <si>
    <t>Sunil Chavan</t>
  </si>
  <si>
    <t>2022-06-08</t>
  </si>
  <si>
    <t>2022-07-04</t>
  </si>
  <si>
    <t>LD0072</t>
  </si>
  <si>
    <t>Pramod Shelke</t>
  </si>
  <si>
    <t>MagicBricks enquiry — number masked, customer did not unlock</t>
  </si>
  <si>
    <t>LD0073</t>
  </si>
  <si>
    <t>Suresh Raut</t>
  </si>
  <si>
    <t>Site Visit Walk-in</t>
  </si>
  <si>
    <t>2022-06-22</t>
  </si>
  <si>
    <t>2022-06-24</t>
  </si>
  <si>
    <t>2022-07-06</t>
  </si>
  <si>
    <t>Measurement done, quote pending approval</t>
  </si>
  <si>
    <t>LD0074</t>
  </si>
  <si>
    <t>Amit Sawant</t>
  </si>
  <si>
    <t>2022-06-27</t>
  </si>
  <si>
    <t>2022-07-23</t>
  </si>
  <si>
    <t>2022-07-30</t>
  </si>
  <si>
    <t>Work order signed, production started</t>
  </si>
  <si>
    <t>LD0075</t>
  </si>
  <si>
    <t>Manisha Bhalerao</t>
  </si>
  <si>
    <t>2022-07-02</t>
  </si>
  <si>
    <t>LD0076</t>
  </si>
  <si>
    <t>2022-07-20</t>
  </si>
  <si>
    <t>LD0077</t>
  </si>
  <si>
    <t>Jyoti Chavan</t>
  </si>
  <si>
    <t>2022-08-01</t>
  </si>
  <si>
    <t>LD0078</t>
  </si>
  <si>
    <t>Vikas Gaikwad</t>
  </si>
  <si>
    <t>2022-07-07</t>
  </si>
  <si>
    <t>2022-07-16</t>
  </si>
  <si>
    <t>LD0079</t>
  </si>
  <si>
    <t>Kiran Pawar</t>
  </si>
  <si>
    <t>2022-07-25</t>
  </si>
  <si>
    <t>LD0080</t>
  </si>
  <si>
    <t>Pooja Salve</t>
  </si>
  <si>
    <t>2022-07-21</t>
  </si>
  <si>
    <t>2022-08-06</t>
  </si>
  <si>
    <t>LD0081</t>
  </si>
  <si>
    <t>Shweta Kshirsagar</t>
  </si>
  <si>
    <t>2022-07-22</t>
  </si>
  <si>
    <t>2022-07-26</t>
  </si>
  <si>
    <t>LD0082</t>
  </si>
  <si>
    <t>Divya Chavan</t>
  </si>
  <si>
    <t>2022-08-04</t>
  </si>
  <si>
    <t>LD0083</t>
  </si>
  <si>
    <t>Pramod Londhe</t>
  </si>
  <si>
    <t>2022-07-27</t>
  </si>
  <si>
    <t>2022-08-31</t>
  </si>
  <si>
    <t>LD0084</t>
  </si>
  <si>
    <t>Hemant Aware</t>
  </si>
  <si>
    <t>2022-08-19</t>
  </si>
  <si>
    <t>LD0085</t>
  </si>
  <si>
    <t>Pravin Tupe</t>
  </si>
  <si>
    <t>2022-08-17</t>
  </si>
  <si>
    <t>LD0086</t>
  </si>
  <si>
    <t>Seema Kakade</t>
  </si>
  <si>
    <t>2022-08-05</t>
  </si>
  <si>
    <t>Wants more design options before deciding</t>
  </si>
  <si>
    <t>LD0087</t>
  </si>
  <si>
    <t>Nanda Shelke</t>
  </si>
  <si>
    <t>2022-08-10</t>
  </si>
  <si>
    <t>2022-08-24</t>
  </si>
  <si>
    <t>LD0088</t>
  </si>
  <si>
    <t>Mahesh Wagh</t>
  </si>
  <si>
    <t>2022-08-27</t>
  </si>
  <si>
    <t>Not responding to calls</t>
  </si>
  <si>
    <t>LD0089</t>
  </si>
  <si>
    <t>Sunanda Joshi</t>
  </si>
  <si>
    <t>2022-08-18</t>
  </si>
  <si>
    <t>2022-08-28</t>
  </si>
  <si>
    <t>LD0090</t>
  </si>
  <si>
    <t>Ashwini Holkar</t>
  </si>
  <si>
    <t>2022-08-20</t>
  </si>
  <si>
    <t>2022-08-23</t>
  </si>
  <si>
    <t>2022-09-26</t>
  </si>
  <si>
    <t>LD0091</t>
  </si>
  <si>
    <t>Dinesh Holkar</t>
  </si>
  <si>
    <t>2022-09-29</t>
  </si>
  <si>
    <t>LD0092</t>
  </si>
  <si>
    <t>Seema Mane</t>
  </si>
  <si>
    <t>2022-09-05</t>
  </si>
  <si>
    <t>LD0093</t>
  </si>
  <si>
    <t>Smita Aware</t>
  </si>
  <si>
    <t>2022-08-30</t>
  </si>
  <si>
    <t>2022-09-06</t>
  </si>
  <si>
    <t>LD0094</t>
  </si>
  <si>
    <t>Sonal Bhosale</t>
  </si>
  <si>
    <t>2022-10-01</t>
  </si>
  <si>
    <t>LD0095</t>
  </si>
  <si>
    <t>Smita Naik</t>
  </si>
  <si>
    <t>2022-09-08</t>
  </si>
  <si>
    <t>LD0096</t>
  </si>
  <si>
    <t>Santosh Thorat</t>
  </si>
  <si>
    <t>2022-09-19</t>
  </si>
  <si>
    <t>LD0097</t>
  </si>
  <si>
    <t>Nilesh Phule</t>
  </si>
  <si>
    <t>2022-09-12</t>
  </si>
  <si>
    <t>LD0098</t>
  </si>
  <si>
    <t>Ganesh Kulkarni</t>
  </si>
  <si>
    <t>2022-09-15</t>
  </si>
  <si>
    <t>2022-10-06</t>
  </si>
  <si>
    <t>LD0099</t>
  </si>
  <si>
    <t>Pravin Yadav</t>
  </si>
  <si>
    <t>2022-10-29</t>
  </si>
  <si>
    <t>LD0100</t>
  </si>
  <si>
    <t>2022-10-10</t>
  </si>
  <si>
    <t>LD0101</t>
  </si>
  <si>
    <t>Ritu Sonawane</t>
  </si>
  <si>
    <t>2022-09-30</t>
  </si>
  <si>
    <t>LD0102</t>
  </si>
  <si>
    <t>2022-09-27</t>
  </si>
  <si>
    <t>2022-10-04</t>
  </si>
  <si>
    <t>LD0103</t>
  </si>
  <si>
    <t>Rajesh Nimbalkar</t>
  </si>
  <si>
    <t>2022-10-17</t>
  </si>
  <si>
    <t>MagicBricks portal lead — masked number, no response</t>
  </si>
  <si>
    <t>LD0104</t>
  </si>
  <si>
    <t>Ganesh Tupe</t>
  </si>
  <si>
    <t>Price too high as per customer</t>
  </si>
  <si>
    <t>LD0105</t>
  </si>
  <si>
    <t>Lata More</t>
  </si>
  <si>
    <t>2022-11-04</t>
  </si>
  <si>
    <t>LD0106</t>
  </si>
  <si>
    <t>Santosh Kakade</t>
  </si>
  <si>
    <t>2022-10-05</t>
  </si>
  <si>
    <t>2022-10-08</t>
  </si>
  <si>
    <t>2022-10-22</t>
  </si>
  <si>
    <t>LD0107</t>
  </si>
  <si>
    <t>Manisha Shinde</t>
  </si>
  <si>
    <t>2022-10-11</t>
  </si>
  <si>
    <t>Customer relocated</t>
  </si>
  <si>
    <t>LD0108</t>
  </si>
  <si>
    <t>Pooja Bhalerao</t>
  </si>
  <si>
    <t>2022-10-24</t>
  </si>
  <si>
    <t>LD0109</t>
  </si>
  <si>
    <t>Nikhil Kale</t>
  </si>
  <si>
    <t>2022-10-12</t>
  </si>
  <si>
    <t>LD0110</t>
  </si>
  <si>
    <t>Smita Mane</t>
  </si>
  <si>
    <t>2022-10-14</t>
  </si>
  <si>
    <t>2022-11-02</t>
  </si>
  <si>
    <t>Deal closed, advance received</t>
  </si>
  <si>
    <t>LD0111</t>
  </si>
  <si>
    <t>Ravi Mohite</t>
  </si>
  <si>
    <t>2022-11-16</t>
  </si>
  <si>
    <t>LD0112</t>
  </si>
  <si>
    <t>Umesh Patil</t>
  </si>
  <si>
    <t>2022-11-05</t>
  </si>
  <si>
    <t>LD0113</t>
  </si>
  <si>
    <t>Nilesh Sonawane</t>
  </si>
  <si>
    <t>2022-10-18</t>
  </si>
  <si>
    <t>2022-11-07</t>
  </si>
  <si>
    <t>LD0114</t>
  </si>
  <si>
    <t>Sonal Suryawanshi</t>
  </si>
  <si>
    <t>2022-11-21</t>
  </si>
  <si>
    <t>LD0115</t>
  </si>
  <si>
    <t>Seema Patil</t>
  </si>
  <si>
    <t>2022-11-14</t>
  </si>
  <si>
    <t>2022-12-01</t>
  </si>
  <si>
    <t>Token paid, measurement done, work started</t>
  </si>
  <si>
    <t>LD0116</t>
  </si>
  <si>
    <t>Bharati Mohite</t>
  </si>
  <si>
    <t>2022-10-31</t>
  </si>
  <si>
    <t>Customer interested, flat handover next month</t>
  </si>
  <si>
    <t>LD0117</t>
  </si>
  <si>
    <t>Nanda Joshi</t>
  </si>
  <si>
    <t>2022-11-09</t>
  </si>
  <si>
    <t>LD0118</t>
  </si>
  <si>
    <t>Sunanda Shelke</t>
  </si>
  <si>
    <t>LD0119</t>
  </si>
  <si>
    <t>Archana Shelke</t>
  </si>
  <si>
    <t>2022-10-28</t>
  </si>
  <si>
    <t>2022-11-24</t>
  </si>
  <si>
    <t>2022-12-08</t>
  </si>
  <si>
    <t>LD0120</t>
  </si>
  <si>
    <t>Smita Suryawanshi</t>
  </si>
  <si>
    <t>LD0121</t>
  </si>
  <si>
    <t>Alka Suryawanshi</t>
  </si>
  <si>
    <t>LD0122</t>
  </si>
  <si>
    <t>Suresh Bhalerao</t>
  </si>
  <si>
    <t>2022-10-27</t>
  </si>
  <si>
    <t>LD0123</t>
  </si>
  <si>
    <t>Sunanda Holkar</t>
  </si>
  <si>
    <t>2022-11-19</t>
  </si>
  <si>
    <t>LD0124</t>
  </si>
  <si>
    <t>Bharati Salve</t>
  </si>
  <si>
    <t>2022-11-01</t>
  </si>
  <si>
    <t>LD0125</t>
  </si>
  <si>
    <t>Ravi Gaikwad</t>
  </si>
  <si>
    <t>2022-12-10</t>
  </si>
  <si>
    <t>LD0126</t>
  </si>
  <si>
    <t>Manoj Mane</t>
  </si>
  <si>
    <t>LD0127</t>
  </si>
  <si>
    <t>Kiran Kulkarni</t>
  </si>
  <si>
    <t>LD0128</t>
  </si>
  <si>
    <t>Amit Kshirsagar</t>
  </si>
  <si>
    <t>LD0129</t>
  </si>
  <si>
    <t>Sanjay Shelke</t>
  </si>
  <si>
    <t>2022-11-11</t>
  </si>
  <si>
    <t>2022-11-26</t>
  </si>
  <si>
    <t>LD0130</t>
  </si>
  <si>
    <t>Umesh Thorat</t>
  </si>
  <si>
    <t>LD0131</t>
  </si>
  <si>
    <t>Varsha Nikalje</t>
  </si>
  <si>
    <t>2022-12-12</t>
  </si>
  <si>
    <t>LD0132</t>
  </si>
  <si>
    <t>Rajesh Londhe</t>
  </si>
  <si>
    <t>2022-11-17</t>
  </si>
  <si>
    <t>2022-11-25</t>
  </si>
  <si>
    <t>LD0133</t>
  </si>
  <si>
    <t>Lata Zende</t>
  </si>
  <si>
    <t>Design presentation done, waiting for confirmation</t>
  </si>
  <si>
    <t>LD0134</t>
  </si>
  <si>
    <t>Arun Jadhav</t>
  </si>
  <si>
    <t>2022-12-26</t>
  </si>
  <si>
    <t>LD0135</t>
  </si>
  <si>
    <t>Ravi Bhosale</t>
  </si>
  <si>
    <t>2022-12-19</t>
  </si>
  <si>
    <t>LD0136</t>
  </si>
  <si>
    <t>LD0137</t>
  </si>
  <si>
    <t>Deepak Holkar</t>
  </si>
  <si>
    <t>2022-12-05</t>
  </si>
  <si>
    <t>2022-12-07</t>
  </si>
  <si>
    <t>LD0138</t>
  </si>
  <si>
    <t>Nikhil Kakade</t>
  </si>
  <si>
    <t>2022-11-28</t>
  </si>
  <si>
    <t>2022-12-03</t>
  </si>
  <si>
    <t>LD0139</t>
  </si>
  <si>
    <t>Meena Sonawane</t>
  </si>
  <si>
    <t>2022-12-21</t>
  </si>
  <si>
    <t>LD0140</t>
  </si>
  <si>
    <t>Pooja Mane</t>
  </si>
  <si>
    <t>2022-12-27</t>
  </si>
  <si>
    <t>LD0141</t>
  </si>
  <si>
    <t>Nilesh Jadhav</t>
  </si>
  <si>
    <t>Final quote shared, awaiting approval</t>
  </si>
  <si>
    <t>LD0142</t>
  </si>
  <si>
    <t>Ravi Pawar</t>
  </si>
  <si>
    <t>2022-12-09</t>
  </si>
  <si>
    <t>2023-01-11</t>
  </si>
  <si>
    <t>LD0143</t>
  </si>
  <si>
    <t>Hemant Sawant</t>
  </si>
  <si>
    <t>2022-12-22</t>
  </si>
  <si>
    <t>2023-01-02</t>
  </si>
  <si>
    <t>LD0144</t>
  </si>
  <si>
    <t>Sonal Thorat</t>
  </si>
  <si>
    <t>LD0145</t>
  </si>
  <si>
    <t>Devendra Holkar</t>
  </si>
  <si>
    <t>2022-12-13</t>
  </si>
  <si>
    <t>2023-01-10</t>
  </si>
  <si>
    <t>LD0146</t>
  </si>
  <si>
    <t>Jyoti Bhosale</t>
  </si>
  <si>
    <t>2022-12-17</t>
  </si>
  <si>
    <t>2022-12-30</t>
  </si>
  <si>
    <t>LD0147</t>
  </si>
  <si>
    <t>Kavita Bhalerao</t>
  </si>
  <si>
    <t>LD0148</t>
  </si>
  <si>
    <t>Pooja Yadav</t>
  </si>
  <si>
    <t>2023-01-09</t>
  </si>
  <si>
    <t>LD0149</t>
  </si>
  <si>
    <t>Deepak Bhosale</t>
  </si>
  <si>
    <t>2022-12-28</t>
  </si>
  <si>
    <t>2023-01-17</t>
  </si>
  <si>
    <t>LD0150</t>
  </si>
  <si>
    <t>Alka Londhe</t>
  </si>
  <si>
    <t>Not interested anymore</t>
  </si>
  <si>
    <t>LD0151</t>
  </si>
  <si>
    <t>Varsha Mohite</t>
  </si>
  <si>
    <t>2022-12-29</t>
  </si>
  <si>
    <t>2023-01-28</t>
  </si>
  <si>
    <t>LD0152</t>
  </si>
  <si>
    <t>Hemant Shinde</t>
  </si>
  <si>
    <t>2023-01-03</t>
  </si>
  <si>
    <t>New flat, moving in after 2 months</t>
  </si>
  <si>
    <t>LD0153</t>
  </si>
  <si>
    <t>Sunil Phule</t>
  </si>
  <si>
    <t>2023-01-04</t>
  </si>
  <si>
    <t>LD0154</t>
  </si>
  <si>
    <t>Meena Londhe</t>
  </si>
  <si>
    <t>2023-03-06</t>
  </si>
  <si>
    <t>LD0155</t>
  </si>
  <si>
    <t>Amit Gaikwad</t>
  </si>
  <si>
    <t>2023-01-19</t>
  </si>
  <si>
    <t>LD0156</t>
  </si>
  <si>
    <t>Smita More</t>
  </si>
  <si>
    <t>2023-01-06</t>
  </si>
  <si>
    <t>2023-02-01</t>
  </si>
  <si>
    <t>LD0157</t>
  </si>
  <si>
    <t>Jyoti Gaikwad</t>
  </si>
  <si>
    <t>No response after 4 follow ups</t>
  </si>
  <si>
    <t>LD0158</t>
  </si>
  <si>
    <t>Deepak Bansode</t>
  </si>
  <si>
    <t>System Windows</t>
  </si>
  <si>
    <t>2023-02-10</t>
  </si>
  <si>
    <t>LD0159</t>
  </si>
  <si>
    <t>Lata Salve</t>
  </si>
  <si>
    <t>2023-01-24</t>
  </si>
  <si>
    <t>Very interested, finalising design</t>
  </si>
  <si>
    <t>LD0160</t>
  </si>
  <si>
    <t>Mahesh Kulkarni</t>
  </si>
  <si>
    <t>2023-01-13</t>
  </si>
  <si>
    <t>LD0161</t>
  </si>
  <si>
    <t>Suresh Wagh</t>
  </si>
  <si>
    <t>LD0162</t>
  </si>
  <si>
    <t>Smita Salve</t>
  </si>
  <si>
    <t>2023-02-04</t>
  </si>
  <si>
    <t>2023-02-25</t>
  </si>
  <si>
    <t>LD0163</t>
  </si>
  <si>
    <t>Smita Deshpande</t>
  </si>
  <si>
    <t>2023-02-14</t>
  </si>
  <si>
    <t>LD0164</t>
  </si>
  <si>
    <t>Ashwini Joshi</t>
  </si>
  <si>
    <t>LD0165</t>
  </si>
  <si>
    <t>Lata Aware</t>
  </si>
  <si>
    <t>2023-02-13</t>
  </si>
  <si>
    <t>LD0166</t>
  </si>
  <si>
    <t>Anita Nimbalkar</t>
  </si>
  <si>
    <t>Facebook Ads</t>
  </si>
  <si>
    <t>Facebook Diwali Offer</t>
  </si>
  <si>
    <t>Modular Kitchen + Wardrobe</t>
  </si>
  <si>
    <t>2023-01-14</t>
  </si>
  <si>
    <t>2023-02-07</t>
  </si>
  <si>
    <t>LD0167</t>
  </si>
  <si>
    <t>Smita Tupe</t>
  </si>
  <si>
    <t>Website</t>
  </si>
  <si>
    <t>SEO Organic</t>
  </si>
  <si>
    <t>2023-01-20</t>
  </si>
  <si>
    <t>2023-02-03</t>
  </si>
  <si>
    <t>LD0168</t>
  </si>
  <si>
    <t>2023-01-16</t>
  </si>
  <si>
    <t>LD0169</t>
  </si>
  <si>
    <t>Mahesh Sonawane</t>
  </si>
  <si>
    <t>Google Ads</t>
  </si>
  <si>
    <t>LD0170</t>
  </si>
  <si>
    <t>2023-01-18</t>
  </si>
  <si>
    <t>LD0171</t>
  </si>
  <si>
    <t>Kiran Kadam</t>
  </si>
  <si>
    <t>2023-02-09</t>
  </si>
  <si>
    <t>LD0172</t>
  </si>
  <si>
    <t>Sonal Gaikwad</t>
  </si>
  <si>
    <t>2023-02-22</t>
  </si>
  <si>
    <t>LD0173</t>
  </si>
  <si>
    <t>Hemant Nimbalkar</t>
  </si>
  <si>
    <t>2023-03-01</t>
  </si>
  <si>
    <t>Sample seen at showroom, liked veneer finish</t>
  </si>
  <si>
    <t>LD0174</t>
  </si>
  <si>
    <t>Sunita Suryawanshi</t>
  </si>
  <si>
    <t>2023-03-28</t>
  </si>
  <si>
    <t>LD0175</t>
  </si>
  <si>
    <t>Pramod Sawant</t>
  </si>
  <si>
    <t>2023-01-30</t>
  </si>
  <si>
    <t>LD0176</t>
  </si>
  <si>
    <t>Seema Salve</t>
  </si>
  <si>
    <t>2023-01-26</t>
  </si>
  <si>
    <t>Token amount discussed, decision this week</t>
  </si>
  <si>
    <t>LD0177</t>
  </si>
  <si>
    <t>Deepak Deshpande</t>
  </si>
  <si>
    <t>Facebook Kitchen Showcase</t>
  </si>
  <si>
    <t>2023-01-21</t>
  </si>
  <si>
    <t>LD0178</t>
  </si>
  <si>
    <t>LD0179</t>
  </si>
  <si>
    <t>Kiran More</t>
  </si>
  <si>
    <t>2023-01-25</t>
  </si>
  <si>
    <t>2023-02-15</t>
  </si>
  <si>
    <t>LD0180</t>
  </si>
  <si>
    <t>Divya Shelke</t>
  </si>
  <si>
    <t>2023-02-16</t>
  </si>
  <si>
    <t>LD0181</t>
  </si>
  <si>
    <t>Vikas More</t>
  </si>
  <si>
    <t>2023-02-24</t>
  </si>
  <si>
    <t>LD0182</t>
  </si>
  <si>
    <t>Pravin Sonawane</t>
  </si>
  <si>
    <t>2023-02-28</t>
  </si>
  <si>
    <t>Went with local carpenter</t>
  </si>
  <si>
    <t>LD0183</t>
  </si>
  <si>
    <t>Nikhil Patil</t>
  </si>
  <si>
    <t>2023-03-27</t>
  </si>
  <si>
    <t>LD0184</t>
  </si>
  <si>
    <t>Deepak Aware</t>
  </si>
  <si>
    <t>2023-02-17</t>
  </si>
  <si>
    <t>LD0185</t>
  </si>
  <si>
    <t>Manoj Deshmukh</t>
  </si>
  <si>
    <t>2023-03-11</t>
  </si>
  <si>
    <t>LD0186</t>
  </si>
  <si>
    <t>Smita Thorat</t>
  </si>
  <si>
    <t>2023-02-08</t>
  </si>
  <si>
    <t>LD0187</t>
  </si>
  <si>
    <t>Nikhil Bhosale</t>
  </si>
  <si>
    <t>2023-02-06</t>
  </si>
  <si>
    <t>LD0188</t>
  </si>
  <si>
    <t>2023-03-31</t>
  </si>
  <si>
    <t>LD0189</t>
  </si>
  <si>
    <t>Rohit Nikalje</t>
  </si>
  <si>
    <t>Facebook Home Decor Ads</t>
  </si>
  <si>
    <t>2023-01-31</t>
  </si>
  <si>
    <t>LD0190</t>
  </si>
  <si>
    <t>Rohit Holkar</t>
  </si>
  <si>
    <t>2023-04-10</t>
  </si>
  <si>
    <t>LD0191</t>
  </si>
  <si>
    <t>Archana Chavan</t>
  </si>
  <si>
    <t>2023-02-11</t>
  </si>
  <si>
    <t>LD0192</t>
  </si>
  <si>
    <t>Nanda Sonawane</t>
  </si>
  <si>
    <t>Facebook Gudi Padwa Offer</t>
  </si>
  <si>
    <t>2023-03-02</t>
  </si>
  <si>
    <t>LD0193</t>
  </si>
  <si>
    <t>Dinesh Wagh</t>
  </si>
  <si>
    <t>2023-04-04</t>
  </si>
  <si>
    <t>LD0194</t>
  </si>
  <si>
    <t>Shweta Kadam</t>
  </si>
  <si>
    <t>2023-04-06</t>
  </si>
  <si>
    <t>LD0195</t>
  </si>
  <si>
    <t>Rajesh Raut</t>
  </si>
  <si>
    <t>2023-03-16</t>
  </si>
  <si>
    <t>LD0196</t>
  </si>
  <si>
    <t>Smita Kshirsagar</t>
  </si>
  <si>
    <t>LD0197</t>
  </si>
  <si>
    <t>Seema Sonawane</t>
  </si>
  <si>
    <t>2023-02-23</t>
  </si>
  <si>
    <t>2023-03-13</t>
  </si>
  <si>
    <t>LD0198</t>
  </si>
  <si>
    <t>Shweta Deshpande</t>
  </si>
  <si>
    <t>LD0199</t>
  </si>
  <si>
    <t>Sunanda Deshmukh</t>
  </si>
  <si>
    <t>LD0200</t>
  </si>
  <si>
    <t>Pooja Mohite</t>
  </si>
  <si>
    <t>2023-03-20</t>
  </si>
  <si>
    <t>LD0201</t>
  </si>
  <si>
    <t>Dinesh Deshpande</t>
  </si>
  <si>
    <t>2023-03-29</t>
  </si>
  <si>
    <t>LD0202</t>
  </si>
  <si>
    <t>Jyoti Joshi</t>
  </si>
  <si>
    <t>LD0203</t>
  </si>
  <si>
    <t>Pravin Joshi</t>
  </si>
  <si>
    <t>2023-03-24</t>
  </si>
  <si>
    <t>2023-04-09</t>
  </si>
  <si>
    <t>LD0204</t>
  </si>
  <si>
    <t>Anita Londhe</t>
  </si>
  <si>
    <t>2023-02-20</t>
  </si>
  <si>
    <t>LD0205</t>
  </si>
  <si>
    <t>2023-02-21</t>
  </si>
  <si>
    <t>LD0206</t>
  </si>
  <si>
    <t>Rekha Salve</t>
  </si>
  <si>
    <t>2023-03-23</t>
  </si>
  <si>
    <t>LD0207</t>
  </si>
  <si>
    <t>Rekha Yadav</t>
  </si>
  <si>
    <t>LD0208</t>
  </si>
  <si>
    <t>Rajesh Kakade</t>
  </si>
  <si>
    <t>LD0209</t>
  </si>
  <si>
    <t>Meena Joshi</t>
  </si>
  <si>
    <t>LD0210</t>
  </si>
  <si>
    <t>2023-04-17</t>
  </si>
  <si>
    <t>LD0211</t>
  </si>
  <si>
    <t>Rohit Patil</t>
  </si>
  <si>
    <t>LD0212</t>
  </si>
  <si>
    <t>Divya More</t>
  </si>
  <si>
    <t>2023-04-24</t>
  </si>
  <si>
    <t>LD0213</t>
  </si>
  <si>
    <t>Bharati Deshmukh</t>
  </si>
  <si>
    <t>LD0214</t>
  </si>
  <si>
    <t>Lata Kulkarni</t>
  </si>
  <si>
    <t>2023-04-11</t>
  </si>
  <si>
    <t>LD0215</t>
  </si>
  <si>
    <t>Varsha Londhe</t>
  </si>
  <si>
    <t>2023-02-18</t>
  </si>
  <si>
    <t>2023-03-25</t>
  </si>
  <si>
    <t>LD0216</t>
  </si>
  <si>
    <t>Divya Kakade</t>
  </si>
  <si>
    <t>LD0217</t>
  </si>
  <si>
    <t>Pramod Raut</t>
  </si>
  <si>
    <t>LD0218</t>
  </si>
  <si>
    <t>Sachin Patil</t>
  </si>
  <si>
    <t>LD0219</t>
  </si>
  <si>
    <t>Varsha Bhalerao</t>
  </si>
  <si>
    <t>LD0220</t>
  </si>
  <si>
    <t>Deepak Salve</t>
  </si>
  <si>
    <t>2023-02-27</t>
  </si>
  <si>
    <t>2023-04-22</t>
  </si>
  <si>
    <t>LD0221</t>
  </si>
  <si>
    <t>Alka Mohite</t>
  </si>
  <si>
    <t>2023-03-22</t>
  </si>
  <si>
    <t>Budget too low for our range</t>
  </si>
  <si>
    <t>LD0222</t>
  </si>
  <si>
    <t>Rajesh Deshpande</t>
  </si>
  <si>
    <t>2023-05-02</t>
  </si>
  <si>
    <t>LD0223</t>
  </si>
  <si>
    <t>Arun Kakade</t>
  </si>
  <si>
    <t>LD0224</t>
  </si>
  <si>
    <t>Seema Mohite</t>
  </si>
  <si>
    <t>2023-03-03</t>
  </si>
  <si>
    <t>LD0225</t>
  </si>
  <si>
    <t>LD0226</t>
  </si>
  <si>
    <t>2023-03-04</t>
  </si>
  <si>
    <t>LD0227</t>
  </si>
  <si>
    <t>Dinesh Mane</t>
  </si>
  <si>
    <t>2023-04-03</t>
  </si>
  <si>
    <t>LD0228</t>
  </si>
  <si>
    <t>Pramod Pawar</t>
  </si>
  <si>
    <t>Website Chat Enquiry</t>
  </si>
  <si>
    <t>2023-05-11</t>
  </si>
  <si>
    <t>LD0229</t>
  </si>
  <si>
    <t>Alka Zende</t>
  </si>
  <si>
    <t>LD0230</t>
  </si>
  <si>
    <t>2023-04-13</t>
  </si>
  <si>
    <t>LD0231</t>
  </si>
  <si>
    <t>Arun Kale</t>
  </si>
  <si>
    <t>LD0232</t>
  </si>
  <si>
    <t>LD0233</t>
  </si>
  <si>
    <t>Umesh Bhalerao</t>
  </si>
  <si>
    <t>2023-03-07</t>
  </si>
  <si>
    <t>2023-03-17</t>
  </si>
  <si>
    <t>LD0234</t>
  </si>
  <si>
    <t>Prashant Zende</t>
  </si>
  <si>
    <t>LD0235</t>
  </si>
  <si>
    <t>Sunanda Naik</t>
  </si>
  <si>
    <t>2023-03-08</t>
  </si>
  <si>
    <t>2023-03-14</t>
  </si>
  <si>
    <t>2023-03-19</t>
  </si>
  <si>
    <t>LD0236</t>
  </si>
  <si>
    <t>Hemant Gavhane</t>
  </si>
  <si>
    <t>2023-04-14</t>
  </si>
  <si>
    <t>LD0237</t>
  </si>
  <si>
    <t>Amit Patil</t>
  </si>
  <si>
    <t>2023-04-19</t>
  </si>
  <si>
    <t>LD0238</t>
  </si>
  <si>
    <t>Bharati Chavan</t>
  </si>
  <si>
    <t>2023-04-12</t>
  </si>
  <si>
    <t>LD0239</t>
  </si>
  <si>
    <t>Vikas Gavhane</t>
  </si>
  <si>
    <t>2023-03-09</t>
  </si>
  <si>
    <t>LD0240</t>
  </si>
  <si>
    <t>Sonal Aware</t>
  </si>
  <si>
    <t>2023-05-13</t>
  </si>
  <si>
    <t>2023-05-22</t>
  </si>
  <si>
    <t>LD0241</t>
  </si>
  <si>
    <t>Hemant Holkar</t>
  </si>
  <si>
    <t>LD0242</t>
  </si>
  <si>
    <t>Hemant Bhalerao</t>
  </si>
  <si>
    <t>2023-03-15</t>
  </si>
  <si>
    <t>2023-04-01</t>
  </si>
  <si>
    <t>LD0243</t>
  </si>
  <si>
    <t>Umesh Kshirsagar</t>
  </si>
  <si>
    <t>2023-04-05</t>
  </si>
  <si>
    <t>LD0244</t>
  </si>
  <si>
    <t>2023-03-18</t>
  </si>
  <si>
    <t>2023-04-27</t>
  </si>
  <si>
    <t>LD0245</t>
  </si>
  <si>
    <t>Pravin Bhosale</t>
  </si>
  <si>
    <t>2023-04-26</t>
  </si>
  <si>
    <t>LD0246</t>
  </si>
  <si>
    <t>Ravi Yadav</t>
  </si>
  <si>
    <t>2023-04-25</t>
  </si>
  <si>
    <t>LD0247</t>
  </si>
  <si>
    <t>LD0248</t>
  </si>
  <si>
    <t>Rajesh Bhosale</t>
  </si>
  <si>
    <t>LD0249</t>
  </si>
  <si>
    <t>Kiran Phule</t>
  </si>
  <si>
    <t>LD0250</t>
  </si>
  <si>
    <t>Alka Chavan</t>
  </si>
  <si>
    <t>2023-05-08</t>
  </si>
  <si>
    <t>LD0251</t>
  </si>
  <si>
    <t>2023-03-21</t>
  </si>
  <si>
    <t>LD0252</t>
  </si>
  <si>
    <t>Manoj Gavhane</t>
  </si>
  <si>
    <t>2023-04-08</t>
  </si>
  <si>
    <t>LD0253</t>
  </si>
  <si>
    <t>Pravin Mane</t>
  </si>
  <si>
    <t>LD0254</t>
  </si>
  <si>
    <t>Prashant Bhosale</t>
  </si>
  <si>
    <t>2023-04-21</t>
  </si>
  <si>
    <t>LD0255</t>
  </si>
  <si>
    <t>Sunil Joshi</t>
  </si>
  <si>
    <t>2023-04-18</t>
  </si>
  <si>
    <t>LD0256</t>
  </si>
  <si>
    <t>Vijay Mane</t>
  </si>
  <si>
    <t>Google My Business</t>
  </si>
  <si>
    <t>LD0257</t>
  </si>
  <si>
    <t>Amit Sonawane</t>
  </si>
  <si>
    <t>LD0258</t>
  </si>
  <si>
    <t>Kavita Yadav</t>
  </si>
  <si>
    <t>LD0259</t>
  </si>
  <si>
    <t>Devendra Salve</t>
  </si>
  <si>
    <t>2023-04-20</t>
  </si>
  <si>
    <t>Final payment received, project handed over</t>
  </si>
  <si>
    <t>LD0260</t>
  </si>
  <si>
    <t>Mahesh Joshi</t>
  </si>
  <si>
    <t>LD0261</t>
  </si>
  <si>
    <t>Amit Kale</t>
  </si>
  <si>
    <t>2023-05-25</t>
  </si>
  <si>
    <t>LD0262</t>
  </si>
  <si>
    <t>Kiran Holkar</t>
  </si>
  <si>
    <t>LD0263</t>
  </si>
  <si>
    <t>Umesh Kulkarni</t>
  </si>
  <si>
    <t>2023-03-30</t>
  </si>
  <si>
    <t>2023-05-23</t>
  </si>
  <si>
    <t>2023-06-11</t>
  </si>
  <si>
    <t>LD0264</t>
  </si>
  <si>
    <t>Rekha Shinde</t>
  </si>
  <si>
    <t>2023-05-12</t>
  </si>
  <si>
    <t>LD0265</t>
  </si>
  <si>
    <t>Sanjay Deshpande</t>
  </si>
  <si>
    <t>LD0266</t>
  </si>
  <si>
    <t>Kavita More</t>
  </si>
  <si>
    <t>LD0267</t>
  </si>
  <si>
    <t>Sachin Shelke</t>
  </si>
  <si>
    <t>2023-05-29</t>
  </si>
  <si>
    <t>LD0268</t>
  </si>
  <si>
    <t>Anita Wagh</t>
  </si>
  <si>
    <t>2023-04-07</t>
  </si>
  <si>
    <t>2023-05-06</t>
  </si>
  <si>
    <t>LD0269</t>
  </si>
  <si>
    <t>Manisha Tupe</t>
  </si>
  <si>
    <t>2023-06-13</t>
  </si>
  <si>
    <t>LD0270</t>
  </si>
  <si>
    <t>Sunanda Mane</t>
  </si>
  <si>
    <t>LD0271</t>
  </si>
  <si>
    <t>Manisha More</t>
  </si>
  <si>
    <t>LD0272</t>
  </si>
  <si>
    <t>2023-04-15</t>
  </si>
  <si>
    <t>LD0273</t>
  </si>
  <si>
    <t>LD0274</t>
  </si>
  <si>
    <t>Meena Zende</t>
  </si>
  <si>
    <t>LD0275</t>
  </si>
  <si>
    <t>Sachin Naik</t>
  </si>
  <si>
    <t>2023-05-10</t>
  </si>
  <si>
    <t>LD0276</t>
  </si>
  <si>
    <t>Rohit Kale</t>
  </si>
  <si>
    <t>LD0277</t>
  </si>
  <si>
    <t>Anita Sawant</t>
  </si>
  <si>
    <t>2023-05-20</t>
  </si>
  <si>
    <t>LD0278</t>
  </si>
  <si>
    <t>LD0279</t>
  </si>
  <si>
    <t>Sanjay Gavhane</t>
  </si>
  <si>
    <t>2023-06-19</t>
  </si>
  <si>
    <t>LD0280</t>
  </si>
  <si>
    <t>Santosh Nimbalkar</t>
  </si>
  <si>
    <t>2023-05-01</t>
  </si>
  <si>
    <t>LD0281</t>
  </si>
  <si>
    <t>Shweta Bhosale</t>
  </si>
  <si>
    <t>2023-06-21</t>
  </si>
  <si>
    <t>LD0282</t>
  </si>
  <si>
    <t>Amit Kadam</t>
  </si>
  <si>
    <t>LD0283</t>
  </si>
  <si>
    <t>Nanda Thorat</t>
  </si>
  <si>
    <t>2023-06-14</t>
  </si>
  <si>
    <t>LD0284</t>
  </si>
  <si>
    <t>Arun Shelke</t>
  </si>
  <si>
    <t>2023-06-06</t>
  </si>
  <si>
    <t>LD0285</t>
  </si>
  <si>
    <t>LD0286</t>
  </si>
  <si>
    <t>Manisha Kakade</t>
  </si>
  <si>
    <t>2023-06-03</t>
  </si>
  <si>
    <t>LD0287</t>
  </si>
  <si>
    <t>Pooja Nimbalkar</t>
  </si>
  <si>
    <t>2023-06-24</t>
  </si>
  <si>
    <t>LD0288</t>
  </si>
  <si>
    <t>Archana Holkar</t>
  </si>
  <si>
    <t>2023-07-15</t>
  </si>
  <si>
    <t>LD0289</t>
  </si>
  <si>
    <t>Sunil Shelke</t>
  </si>
  <si>
    <t>LD0290</t>
  </si>
  <si>
    <t>Nanda Wagh</t>
  </si>
  <si>
    <t>2023-06-09</t>
  </si>
  <si>
    <t>LD0291</t>
  </si>
  <si>
    <t>2023-06-07</t>
  </si>
  <si>
    <t>LD0292</t>
  </si>
  <si>
    <t>Varsha Deshpande</t>
  </si>
  <si>
    <t>2023-04-29</t>
  </si>
  <si>
    <t>LD0293</t>
  </si>
  <si>
    <t>Devendra Jadhav</t>
  </si>
  <si>
    <t>LD0294</t>
  </si>
  <si>
    <t>Alka Jadhav</t>
  </si>
  <si>
    <t>LD0295</t>
  </si>
  <si>
    <t>Bharati Gavhane</t>
  </si>
  <si>
    <t>2023-06-08</t>
  </si>
  <si>
    <t>LD0296</t>
  </si>
  <si>
    <t>Madhuri Bhalerao</t>
  </si>
  <si>
    <t>2023-05-05</t>
  </si>
  <si>
    <t>2023-06-20</t>
  </si>
  <si>
    <t>LD0297</t>
  </si>
  <si>
    <t>Ashwini Gaikwad</t>
  </si>
  <si>
    <t>2023-07-07</t>
  </si>
  <si>
    <t>LD0298</t>
  </si>
  <si>
    <t>Pramod Mohite</t>
  </si>
  <si>
    <t>LD0299</t>
  </si>
  <si>
    <t>2023-06-05</t>
  </si>
  <si>
    <t>LD0300</t>
  </si>
  <si>
    <t>Ritu Nikalje</t>
  </si>
  <si>
    <t>2023-06-17</t>
  </si>
  <si>
    <t>LD0301</t>
  </si>
  <si>
    <t>Jyoti Raut</t>
  </si>
  <si>
    <t>2023-05-15</t>
  </si>
  <si>
    <t>2023-06-10</t>
  </si>
  <si>
    <t>LD0302</t>
  </si>
  <si>
    <t>Suresh Kakade</t>
  </si>
  <si>
    <t>LD0303</t>
  </si>
  <si>
    <t>Amit Wagh</t>
  </si>
  <si>
    <t>LD0304</t>
  </si>
  <si>
    <t>2023-05-18</t>
  </si>
  <si>
    <t>LD0305</t>
  </si>
  <si>
    <t>Sunil Salve</t>
  </si>
  <si>
    <t>2023-08-07</t>
  </si>
  <si>
    <t>LD0306</t>
  </si>
  <si>
    <t>Pravin Aware</t>
  </si>
  <si>
    <t>2023-06-22</t>
  </si>
  <si>
    <t>2023-07-13</t>
  </si>
  <si>
    <t>LD0307</t>
  </si>
  <si>
    <t>Prashant Chavan</t>
  </si>
  <si>
    <t>2023-05-24</t>
  </si>
  <si>
    <t>2023-07-11</t>
  </si>
  <si>
    <t>LD0308</t>
  </si>
  <si>
    <t>Varsha Yadav</t>
  </si>
  <si>
    <t>LD0309</t>
  </si>
  <si>
    <t>Nikhil Tupe</t>
  </si>
  <si>
    <t>2023-05-26</t>
  </si>
  <si>
    <t>2023-05-27</t>
  </si>
  <si>
    <t>2023-06-12</t>
  </si>
  <si>
    <t>LD0310</t>
  </si>
  <si>
    <t>Anita Aware</t>
  </si>
  <si>
    <t>LD0311</t>
  </si>
  <si>
    <t>Sunanda Salve</t>
  </si>
  <si>
    <t>LD0312</t>
  </si>
  <si>
    <t>2023-06-26</t>
  </si>
  <si>
    <t>LD0313</t>
  </si>
  <si>
    <t>Alka Mane</t>
  </si>
  <si>
    <t>2023-05-30</t>
  </si>
  <si>
    <t>2023-06-01</t>
  </si>
  <si>
    <t>2023-08-05</t>
  </si>
  <si>
    <t>LD0314</t>
  </si>
  <si>
    <t>2023-07-27</t>
  </si>
  <si>
    <t>LD0315</t>
  </si>
  <si>
    <t>Madhuri Kakade</t>
  </si>
  <si>
    <t>2023-06-02</t>
  </si>
  <si>
    <t>LD0316</t>
  </si>
  <si>
    <t>Nikhil Gaikwad</t>
  </si>
  <si>
    <t>2023-07-03</t>
  </si>
  <si>
    <t>LD0317</t>
  </si>
  <si>
    <t>Anita Gavhane</t>
  </si>
  <si>
    <t>2023-06-29</t>
  </si>
  <si>
    <t>Aniket Kolhe</t>
  </si>
  <si>
    <t>LD0318</t>
  </si>
  <si>
    <t>Dinesh Raut</t>
  </si>
  <si>
    <t>LD0319</t>
  </si>
  <si>
    <t>2023-07-19</t>
  </si>
  <si>
    <t>LD0320</t>
  </si>
  <si>
    <t>Seema Wagh</t>
  </si>
  <si>
    <t>2023-07-05</t>
  </si>
  <si>
    <t>2023-07-24</t>
  </si>
  <si>
    <t>LD0321</t>
  </si>
  <si>
    <t>Amit More</t>
  </si>
  <si>
    <t>2023-06-16</t>
  </si>
  <si>
    <t>LD0322</t>
  </si>
  <si>
    <t>Sonal Kulkarni</t>
  </si>
  <si>
    <t>LD0323</t>
  </si>
  <si>
    <t>Rohit Pawar</t>
  </si>
  <si>
    <t>LD0324</t>
  </si>
  <si>
    <t>Pravin More</t>
  </si>
  <si>
    <t>2023-06-23</t>
  </si>
  <si>
    <t>LD0325</t>
  </si>
  <si>
    <t>Nanda Nimbalkar</t>
  </si>
  <si>
    <t>2023-08-10</t>
  </si>
  <si>
    <t>LD0326</t>
  </si>
  <si>
    <t>Devendra Kakade</t>
  </si>
  <si>
    <t>2023-08-01</t>
  </si>
  <si>
    <t>2023-08-08</t>
  </si>
  <si>
    <t>LD0327</t>
  </si>
  <si>
    <t>Bharati Kale</t>
  </si>
  <si>
    <t>2023-06-27</t>
  </si>
  <si>
    <t>2023-07-12</t>
  </si>
  <si>
    <t>LD0328</t>
  </si>
  <si>
    <t>2023-07-01</t>
  </si>
  <si>
    <t>2023-09-14</t>
  </si>
  <si>
    <t>2023-09-29</t>
  </si>
  <si>
    <t>LD0329</t>
  </si>
  <si>
    <t>2023-07-28</t>
  </si>
  <si>
    <t>LD0330</t>
  </si>
  <si>
    <t>Ravi Mane</t>
  </si>
  <si>
    <t>2023-08-12</t>
  </si>
  <si>
    <t>LD0331</t>
  </si>
  <si>
    <t>Rohit Kadam</t>
  </si>
  <si>
    <t>2023-07-10</t>
  </si>
  <si>
    <t>2023-08-17</t>
  </si>
  <si>
    <t>LD0332</t>
  </si>
  <si>
    <t>Sunanda Gaikwad</t>
  </si>
  <si>
    <t>2023-09-01</t>
  </si>
  <si>
    <t>LD0333</t>
  </si>
  <si>
    <t>Mahesh Suryawanshi</t>
  </si>
  <si>
    <t>2023-07-17</t>
  </si>
  <si>
    <t>2023-08-09</t>
  </si>
  <si>
    <t>2023-08-13</t>
  </si>
  <si>
    <t>LD0334</t>
  </si>
  <si>
    <t>Sachin Phule</t>
  </si>
  <si>
    <t>2023-07-14</t>
  </si>
  <si>
    <t>LD0335</t>
  </si>
  <si>
    <t>Rekha Gaikwad</t>
  </si>
  <si>
    <t>LD0336</t>
  </si>
  <si>
    <t>2023-08-02</t>
  </si>
  <si>
    <t>LD0337</t>
  </si>
  <si>
    <t>Nilesh Shelke</t>
  </si>
  <si>
    <t>LD0338</t>
  </si>
  <si>
    <t>Deepak Londhe</t>
  </si>
  <si>
    <t>2023-07-18</t>
  </si>
  <si>
    <t>2023-09-20</t>
  </si>
  <si>
    <t>LD0339</t>
  </si>
  <si>
    <t>Sonal Nikalje</t>
  </si>
  <si>
    <t>2023-09-04</t>
  </si>
  <si>
    <t>LD0340</t>
  </si>
  <si>
    <t>2023-07-25</t>
  </si>
  <si>
    <t>2023-08-24</t>
  </si>
  <si>
    <t>LD0341</t>
  </si>
  <si>
    <t>Ritu Londhe</t>
  </si>
  <si>
    <t>2023-10-23</t>
  </si>
  <si>
    <t>LD0342</t>
  </si>
  <si>
    <t>Sunanda Gavhane</t>
  </si>
  <si>
    <t>2023-07-29</t>
  </si>
  <si>
    <t>2023-07-31</t>
  </si>
  <si>
    <t>2023-09-08</t>
  </si>
  <si>
    <t>2023-09-28</t>
  </si>
  <si>
    <t>LD0343</t>
  </si>
  <si>
    <t>LD0344</t>
  </si>
  <si>
    <t>Vikas Bansode</t>
  </si>
  <si>
    <t>LD0345</t>
  </si>
  <si>
    <t>Hemant Suryawanshi</t>
  </si>
  <si>
    <t>2023-08-28</t>
  </si>
  <si>
    <t>LD0346</t>
  </si>
  <si>
    <t>Sunil Kshirsagar</t>
  </si>
  <si>
    <t>LD0347</t>
  </si>
  <si>
    <t>Dinesh Tupe</t>
  </si>
  <si>
    <t>2023-08-22</t>
  </si>
  <si>
    <t>LD0348</t>
  </si>
  <si>
    <t>Suresh Zende</t>
  </si>
  <si>
    <t>2023-08-03</t>
  </si>
  <si>
    <t>2023-08-15</t>
  </si>
  <si>
    <t>LD0349</t>
  </si>
  <si>
    <t>Umesh Bansode</t>
  </si>
  <si>
    <t>2023-09-30</t>
  </si>
  <si>
    <t>LD0350</t>
  </si>
  <si>
    <t>Meena Gaikwad</t>
  </si>
  <si>
    <t>2023-09-12</t>
  </si>
  <si>
    <t>LD0351</t>
  </si>
  <si>
    <t>Ganesh Gavhane</t>
  </si>
  <si>
    <t>LD0352</t>
  </si>
  <si>
    <t>Pramod Bhalerao</t>
  </si>
  <si>
    <t>LD0353</t>
  </si>
  <si>
    <t>2023-08-14</t>
  </si>
  <si>
    <t>Facebook enquiry — no phone shared in form</t>
  </si>
  <si>
    <t>LD0354</t>
  </si>
  <si>
    <t>2023-08-18</t>
  </si>
  <si>
    <t>2023-09-02</t>
  </si>
  <si>
    <t>2023-09-07</t>
  </si>
  <si>
    <t>LD0355</t>
  </si>
  <si>
    <t>Bharati Londhe</t>
  </si>
  <si>
    <t>2023-08-31</t>
  </si>
  <si>
    <t>LD0356</t>
  </si>
  <si>
    <t>Vikas Kale</t>
  </si>
  <si>
    <t>2023-08-19</t>
  </si>
  <si>
    <t>2023-10-04</t>
  </si>
  <si>
    <t>LD0357</t>
  </si>
  <si>
    <t>Nanda Deshpande</t>
  </si>
  <si>
    <t>2023-08-16</t>
  </si>
  <si>
    <t>2023-09-18</t>
  </si>
  <si>
    <t>2023-10-01</t>
  </si>
  <si>
    <t>LD0358</t>
  </si>
  <si>
    <t>Kiran Raut</t>
  </si>
  <si>
    <t>LD0359</t>
  </si>
  <si>
    <t>Santosh Suryawanshi</t>
  </si>
  <si>
    <t>2023-11-01</t>
  </si>
  <si>
    <t>LD0360</t>
  </si>
  <si>
    <t>Sachin Raut</t>
  </si>
  <si>
    <t>2023-09-25</t>
  </si>
  <si>
    <t>LD0361</t>
  </si>
  <si>
    <t>Vijay Aware</t>
  </si>
  <si>
    <t>LD0362</t>
  </si>
  <si>
    <t>Dinesh Sonawane</t>
  </si>
  <si>
    <t>2023-08-21</t>
  </si>
  <si>
    <t>2023-11-21</t>
  </si>
  <si>
    <t>LD0363</t>
  </si>
  <si>
    <t>Deepak Thorat</t>
  </si>
  <si>
    <t>2023-10-09</t>
  </si>
  <si>
    <t>2023-10-27</t>
  </si>
  <si>
    <t>LD0364</t>
  </si>
  <si>
    <t>Shweta Chavan</t>
  </si>
  <si>
    <t>2023-09-26</t>
  </si>
  <si>
    <t>LD0365</t>
  </si>
  <si>
    <t>Anita Kshirsagar</t>
  </si>
  <si>
    <t>2023-08-23</t>
  </si>
  <si>
    <t>2023-09-05</t>
  </si>
  <si>
    <t>LD0366</t>
  </si>
  <si>
    <t>Deepak Shelke</t>
  </si>
  <si>
    <t>2023-10-25</t>
  </si>
  <si>
    <t>2023-10-28</t>
  </si>
  <si>
    <t>LD0367</t>
  </si>
  <si>
    <t>2023-08-25</t>
  </si>
  <si>
    <t>2023-08-30</t>
  </si>
  <si>
    <t>LD0368</t>
  </si>
  <si>
    <t>Pravin Patil</t>
  </si>
  <si>
    <t>2023-08-29</t>
  </si>
  <si>
    <t>2023-11-04</t>
  </si>
  <si>
    <t>2023-11-17</t>
  </si>
  <si>
    <t>LD0369</t>
  </si>
  <si>
    <t>LD0370</t>
  </si>
  <si>
    <t>Sachin Kulkarni</t>
  </si>
  <si>
    <t>2023-09-22</t>
  </si>
  <si>
    <t>LD0371</t>
  </si>
  <si>
    <t>Vijay More</t>
  </si>
  <si>
    <t>2023-09-21</t>
  </si>
  <si>
    <t>LD0372</t>
  </si>
  <si>
    <t>LD0373</t>
  </si>
  <si>
    <t>Kiran Nimbalkar</t>
  </si>
  <si>
    <t>2023-10-08</t>
  </si>
  <si>
    <t>LD0374</t>
  </si>
  <si>
    <t>Divya Yadav</t>
  </si>
  <si>
    <t>LD0375</t>
  </si>
  <si>
    <t>Arun Patil</t>
  </si>
  <si>
    <t>2023-10-03</t>
  </si>
  <si>
    <t>LD0376</t>
  </si>
  <si>
    <t>Ganesh Wagh</t>
  </si>
  <si>
    <t>2023-09-06</t>
  </si>
  <si>
    <t>LD0377</t>
  </si>
  <si>
    <t>Kavita Jadhav</t>
  </si>
  <si>
    <t>LD0378</t>
  </si>
  <si>
    <t>2023-10-07</t>
  </si>
  <si>
    <t>LD0379</t>
  </si>
  <si>
    <t>Anita Mane</t>
  </si>
  <si>
    <t>LD0380</t>
  </si>
  <si>
    <t>2023-10-12</t>
  </si>
  <si>
    <t>LD0381</t>
  </si>
  <si>
    <t>2023-09-11</t>
  </si>
  <si>
    <t>2023-10-06</t>
  </si>
  <si>
    <t>LD0382</t>
  </si>
  <si>
    <t>Kiran Gaikwad</t>
  </si>
  <si>
    <t>2023-10-18</t>
  </si>
  <si>
    <t>LD0383</t>
  </si>
  <si>
    <t>Archana Yadav</t>
  </si>
  <si>
    <t>2023-09-09</t>
  </si>
  <si>
    <t>2023-10-10</t>
  </si>
  <si>
    <t>LD0384</t>
  </si>
  <si>
    <t>LD0385</t>
  </si>
  <si>
    <t>Jyoti Phule</t>
  </si>
  <si>
    <t>2023-11-03</t>
  </si>
  <si>
    <t>LD0386</t>
  </si>
  <si>
    <t>2023-09-16</t>
  </si>
  <si>
    <t>2023-10-30</t>
  </si>
  <si>
    <t>LD0387</t>
  </si>
  <si>
    <t>Nilesh Tupe</t>
  </si>
  <si>
    <t>2023-09-13</t>
  </si>
  <si>
    <t>LD0388</t>
  </si>
  <si>
    <t>Madhuri Gaikwad</t>
  </si>
  <si>
    <t>LD0389</t>
  </si>
  <si>
    <t>Sonal Mohite</t>
  </si>
  <si>
    <t>LD0390</t>
  </si>
  <si>
    <t>Suresh Kale</t>
  </si>
  <si>
    <t>LD0391</t>
  </si>
  <si>
    <t>2023-10-16</t>
  </si>
  <si>
    <t>2023-11-05</t>
  </si>
  <si>
    <t>LD0392</t>
  </si>
  <si>
    <t>Sunanda Pawar</t>
  </si>
  <si>
    <t>2023-10-13</t>
  </si>
  <si>
    <t>LD0393</t>
  </si>
  <si>
    <t>Seema Sawant</t>
  </si>
  <si>
    <t>2023-09-19</t>
  </si>
  <si>
    <t>LD0394</t>
  </si>
  <si>
    <t>Nilesh Kakade</t>
  </si>
  <si>
    <t>LD0395</t>
  </si>
  <si>
    <t>LD0396</t>
  </si>
  <si>
    <t>Vikas Bhosale</t>
  </si>
  <si>
    <t>LD0397</t>
  </si>
  <si>
    <t>2023-11-18</t>
  </si>
  <si>
    <t>LD0398</t>
  </si>
  <si>
    <t>Arun Sawant</t>
  </si>
  <si>
    <t>2023-10-24</t>
  </si>
  <si>
    <t>LD0399</t>
  </si>
  <si>
    <t>Suresh Gaikwad</t>
  </si>
  <si>
    <t>2023-09-27</t>
  </si>
  <si>
    <t>2023-10-20</t>
  </si>
  <si>
    <t>LD0400</t>
  </si>
  <si>
    <t>Rohit Sawant</t>
  </si>
  <si>
    <t>2023-11-14</t>
  </si>
  <si>
    <t>LD0401</t>
  </si>
  <si>
    <t>Archana Suryawanshi</t>
  </si>
  <si>
    <t>LD0402</t>
  </si>
  <si>
    <t>2023-10-02</t>
  </si>
  <si>
    <t>LD0403</t>
  </si>
  <si>
    <t>Kavita Gaikwad</t>
  </si>
  <si>
    <t>2023-10-05</t>
  </si>
  <si>
    <t>LD0404</t>
  </si>
  <si>
    <t>Sanjay Mohite</t>
  </si>
  <si>
    <t>2023-10-31</t>
  </si>
  <si>
    <t>2023-11-06</t>
  </si>
  <si>
    <t>LD0405</t>
  </si>
  <si>
    <t>Suresh Salve</t>
  </si>
  <si>
    <t>LD0406</t>
  </si>
  <si>
    <t>Sunanda Kshirsagar</t>
  </si>
  <si>
    <t>2023-10-21</t>
  </si>
  <si>
    <t>LD0407</t>
  </si>
  <si>
    <t>Kiran Bhosale</t>
  </si>
  <si>
    <t>2023-11-27</t>
  </si>
  <si>
    <t>2023-12-03</t>
  </si>
  <si>
    <t>LD0408</t>
  </si>
  <si>
    <t>Amit Londhe</t>
  </si>
  <si>
    <t>2023-12-11</t>
  </si>
  <si>
    <t>2023-12-24</t>
  </si>
  <si>
    <t>LD0409</t>
  </si>
  <si>
    <t>Dinesh More</t>
  </si>
  <si>
    <t>LD0410</t>
  </si>
  <si>
    <t>2023-12-12</t>
  </si>
  <si>
    <t>LD0411</t>
  </si>
  <si>
    <t>Ritu Shelke</t>
  </si>
  <si>
    <t>LD0412</t>
  </si>
  <si>
    <t>Anita Naik</t>
  </si>
  <si>
    <t>LD0413</t>
  </si>
  <si>
    <t>Nilesh Chavan</t>
  </si>
  <si>
    <t>2023-11-24</t>
  </si>
  <si>
    <t>LD0414</t>
  </si>
  <si>
    <t>Meena Bhosale</t>
  </si>
  <si>
    <t>LD0415</t>
  </si>
  <si>
    <t>Smita Kulkarni</t>
  </si>
  <si>
    <t>LD0416</t>
  </si>
  <si>
    <t>Sachin Kale</t>
  </si>
  <si>
    <t>2023-10-11</t>
  </si>
  <si>
    <t>2023-12-18</t>
  </si>
  <si>
    <t>LD0417</t>
  </si>
  <si>
    <t>Seema Gaikwad</t>
  </si>
  <si>
    <t>LD0418</t>
  </si>
  <si>
    <t>Nikhil Kulkarni</t>
  </si>
  <si>
    <t>2023-12-20</t>
  </si>
  <si>
    <t>LD0419</t>
  </si>
  <si>
    <t>Ravi Phule</t>
  </si>
  <si>
    <t>2023-10-26</t>
  </si>
  <si>
    <t>LD0420</t>
  </si>
  <si>
    <t>Ganesh Nikalje</t>
  </si>
  <si>
    <t>2023-12-08</t>
  </si>
  <si>
    <t>LD0421</t>
  </si>
  <si>
    <t>Alka Thorat</t>
  </si>
  <si>
    <t>2023-10-14</t>
  </si>
  <si>
    <t>LD0422</t>
  </si>
  <si>
    <t>Hemant Tupe</t>
  </si>
  <si>
    <t>LD0423</t>
  </si>
  <si>
    <t>Mahesh Mohite</t>
  </si>
  <si>
    <t>MagicBricks form submitted, customer unreachable</t>
  </si>
  <si>
    <t>LD0424</t>
  </si>
  <si>
    <t>Kavita Kshirsagar</t>
  </si>
  <si>
    <t>LD0425</t>
  </si>
  <si>
    <t>Ashwini Kadam</t>
  </si>
  <si>
    <t>2023-12-05</t>
  </si>
  <si>
    <t>2023-12-14</t>
  </si>
  <si>
    <t>LD0426</t>
  </si>
  <si>
    <t>Jyoti Pawar</t>
  </si>
  <si>
    <t>2023-10-19</t>
  </si>
  <si>
    <t>LD0427</t>
  </si>
  <si>
    <t>2023-11-13</t>
  </si>
  <si>
    <t>2023-11-23</t>
  </si>
  <si>
    <t>LD0428</t>
  </si>
  <si>
    <t>Varsha Bhosale</t>
  </si>
  <si>
    <t>2023-11-15</t>
  </si>
  <si>
    <t>LD0429</t>
  </si>
  <si>
    <t>Alka Kadam</t>
  </si>
  <si>
    <t>LD0430</t>
  </si>
  <si>
    <t>Smita Patil</t>
  </si>
  <si>
    <t>2023-11-12</t>
  </si>
  <si>
    <t>LD0431</t>
  </si>
  <si>
    <t>Meena Bhalerao</t>
  </si>
  <si>
    <t>LD0432</t>
  </si>
  <si>
    <t>Varsha More</t>
  </si>
  <si>
    <t>LD0433</t>
  </si>
  <si>
    <t>Ashwini Aware</t>
  </si>
  <si>
    <t>LD0434</t>
  </si>
  <si>
    <t>Nanda Bhalerao</t>
  </si>
  <si>
    <t>2023-12-25</t>
  </si>
  <si>
    <t>LD0435</t>
  </si>
  <si>
    <t>Rajesh Thorat</t>
  </si>
  <si>
    <t>LD0436</t>
  </si>
  <si>
    <t>Pravin Kadam</t>
  </si>
  <si>
    <t>LD0437</t>
  </si>
  <si>
    <t>Sachin Nimbalkar</t>
  </si>
  <si>
    <t>LD0438</t>
  </si>
  <si>
    <t>Jyoti Londhe</t>
  </si>
  <si>
    <t>LD0439</t>
  </si>
  <si>
    <t>LD0440</t>
  </si>
  <si>
    <t>Ashwini More</t>
  </si>
  <si>
    <t>LD0441</t>
  </si>
  <si>
    <t>2024-01-13</t>
  </si>
  <si>
    <t>LD0442</t>
  </si>
  <si>
    <t>Nilesh Yadav</t>
  </si>
  <si>
    <t>LD0443</t>
  </si>
  <si>
    <t>Manoj Yadav</t>
  </si>
  <si>
    <t>2023-12-01</t>
  </si>
  <si>
    <t>LD0444</t>
  </si>
  <si>
    <t>LD0445</t>
  </si>
  <si>
    <t>2023-11-08</t>
  </si>
  <si>
    <t>2023-11-22</t>
  </si>
  <si>
    <t>LD0446</t>
  </si>
  <si>
    <t>Manisha Patil</t>
  </si>
  <si>
    <t>2023-12-26</t>
  </si>
  <si>
    <t>LD0447</t>
  </si>
  <si>
    <t>Jyoti Mohite</t>
  </si>
  <si>
    <t>2023-12-15</t>
  </si>
  <si>
    <t>LD0448</t>
  </si>
  <si>
    <t>2023-11-02</t>
  </si>
  <si>
    <t>LD0449</t>
  </si>
  <si>
    <t>Vikas Salve</t>
  </si>
  <si>
    <t>2024-01-15</t>
  </si>
  <si>
    <t>LD0450</t>
  </si>
  <si>
    <t>Sanjay Tupe</t>
  </si>
  <si>
    <t>LD0451</t>
  </si>
  <si>
    <t>Sachin Salve</t>
  </si>
  <si>
    <t>2024-01-20</t>
  </si>
  <si>
    <t>LD0452</t>
  </si>
  <si>
    <t>LD0453</t>
  </si>
  <si>
    <t>Deepak Gavhane</t>
  </si>
  <si>
    <t>2023-11-07</t>
  </si>
  <si>
    <t>2023-12-19</t>
  </si>
  <si>
    <t>LD0454</t>
  </si>
  <si>
    <t>Archana Zende</t>
  </si>
  <si>
    <t>2023-12-09</t>
  </si>
  <si>
    <t>LD0455</t>
  </si>
  <si>
    <t>Vikas Mane</t>
  </si>
  <si>
    <t>2024-01-16</t>
  </si>
  <si>
    <t>LD0456</t>
  </si>
  <si>
    <t>Nikhil Jadhav</t>
  </si>
  <si>
    <t>2023-12-27</t>
  </si>
  <si>
    <t>LD0457</t>
  </si>
  <si>
    <t>Rajesh Shinde</t>
  </si>
  <si>
    <t>2023-11-09</t>
  </si>
  <si>
    <t>2023-12-10</t>
  </si>
  <si>
    <t>LD0458</t>
  </si>
  <si>
    <t>Ganesh Bhosale</t>
  </si>
  <si>
    <t>LD0459</t>
  </si>
  <si>
    <t>Prashant Mane</t>
  </si>
  <si>
    <t>LD0460</t>
  </si>
  <si>
    <t>Sachin Chavan</t>
  </si>
  <si>
    <t>LD0461</t>
  </si>
  <si>
    <t>Ravi Aware</t>
  </si>
  <si>
    <t>2023-11-10</t>
  </si>
  <si>
    <t>2023-12-07</t>
  </si>
  <si>
    <t>LD0462</t>
  </si>
  <si>
    <t>Ganesh Kshirsagar</t>
  </si>
  <si>
    <t>2023-11-11</t>
  </si>
  <si>
    <t>2024-01-17</t>
  </si>
  <si>
    <t>2024-02-01</t>
  </si>
  <si>
    <t>LD0463</t>
  </si>
  <si>
    <t>Seema Deshpande</t>
  </si>
  <si>
    <t>2024-01-23</t>
  </si>
  <si>
    <t>LD0464</t>
  </si>
  <si>
    <t>Kavita Salve</t>
  </si>
  <si>
    <t>2024-01-02</t>
  </si>
  <si>
    <t>LD0465</t>
  </si>
  <si>
    <t>2023-11-20</t>
  </si>
  <si>
    <t>LD0466</t>
  </si>
  <si>
    <t>2023-12-30</t>
  </si>
  <si>
    <t>LD0467</t>
  </si>
  <si>
    <t>Suresh Deshmukh</t>
  </si>
  <si>
    <t>LD0468</t>
  </si>
  <si>
    <t>2024-01-05</t>
  </si>
  <si>
    <t>LD0469</t>
  </si>
  <si>
    <t>Divya Naik</t>
  </si>
  <si>
    <t>2024-01-06</t>
  </si>
  <si>
    <t>LD0470</t>
  </si>
  <si>
    <t>Manoj Thorat</t>
  </si>
  <si>
    <t>2024-02-07</t>
  </si>
  <si>
    <t>LD0471</t>
  </si>
  <si>
    <t>Seema Bhosale</t>
  </si>
  <si>
    <t>LD0472</t>
  </si>
  <si>
    <t>Sonal Bansode</t>
  </si>
  <si>
    <t>LD0473</t>
  </si>
  <si>
    <t>Sonal Kadam</t>
  </si>
  <si>
    <t>LD0474</t>
  </si>
  <si>
    <t>Ashwini Mane</t>
  </si>
  <si>
    <t>LD0475</t>
  </si>
  <si>
    <t>Devendra Deshpande</t>
  </si>
  <si>
    <t>LD0476</t>
  </si>
  <si>
    <t>Meena Chavan</t>
  </si>
  <si>
    <t>LD0477</t>
  </si>
  <si>
    <t>Varsha Gaikwad</t>
  </si>
  <si>
    <t>2023-11-30</t>
  </si>
  <si>
    <t>LD0478</t>
  </si>
  <si>
    <t>Nanda Zende</t>
  </si>
  <si>
    <t>2023-11-25</t>
  </si>
  <si>
    <t>2023-12-16</t>
  </si>
  <si>
    <t>LD0479</t>
  </si>
  <si>
    <t>Vikas Holkar</t>
  </si>
  <si>
    <t>LD0480</t>
  </si>
  <si>
    <t>Deepak Wagh</t>
  </si>
  <si>
    <t>2023-11-29</t>
  </si>
  <si>
    <t>2023-12-21</t>
  </si>
  <si>
    <t>LD0481</t>
  </si>
  <si>
    <t>Sonal Sonawane</t>
  </si>
  <si>
    <t>2024-01-04</t>
  </si>
  <si>
    <t>LD0482</t>
  </si>
  <si>
    <t>Hemant Pawar</t>
  </si>
  <si>
    <t>LD0483</t>
  </si>
  <si>
    <t>LD0484</t>
  </si>
  <si>
    <t>2023-12-04</t>
  </si>
  <si>
    <t>2024-01-01</t>
  </si>
  <si>
    <t>LD0485</t>
  </si>
  <si>
    <t>Dinesh Nikalje</t>
  </si>
  <si>
    <t>LD0486</t>
  </si>
  <si>
    <t>Suresh Joshi</t>
  </si>
  <si>
    <t>LD0487</t>
  </si>
  <si>
    <t>Nikhil Mane</t>
  </si>
  <si>
    <t>2023-12-23</t>
  </si>
  <si>
    <t>LD0488</t>
  </si>
  <si>
    <t>Deepak Sawant</t>
  </si>
  <si>
    <t>LD0489</t>
  </si>
  <si>
    <t>Bharati Wagh</t>
  </si>
  <si>
    <t>2023-12-06</t>
  </si>
  <si>
    <t>2023-12-22</t>
  </si>
  <si>
    <t>LD0490</t>
  </si>
  <si>
    <t>Prashant Kshirsagar</t>
  </si>
  <si>
    <t>2024-01-07</t>
  </si>
  <si>
    <t>LD0491</t>
  </si>
  <si>
    <t>Ritu Phule</t>
  </si>
  <si>
    <t>LD0492</t>
  </si>
  <si>
    <t>2024-01-29</t>
  </si>
  <si>
    <t>2024-02-04</t>
  </si>
  <si>
    <t>LD0493</t>
  </si>
  <si>
    <t>LD0494</t>
  </si>
  <si>
    <t>Manisha Gavhane</t>
  </si>
  <si>
    <t>LD0495</t>
  </si>
  <si>
    <t>Rekha Chavan</t>
  </si>
  <si>
    <t>2024-01-03</t>
  </si>
  <si>
    <t>LD0496</t>
  </si>
  <si>
    <t>Rekha Bhosale</t>
  </si>
  <si>
    <t>LD0497</t>
  </si>
  <si>
    <t>2024-02-22</t>
  </si>
  <si>
    <t>LD0498</t>
  </si>
  <si>
    <t>Manisha Holkar</t>
  </si>
  <si>
    <t>2023-12-13</t>
  </si>
  <si>
    <t>2024-01-12</t>
  </si>
  <si>
    <t>LD0499</t>
  </si>
  <si>
    <t>Nilesh Mane</t>
  </si>
  <si>
    <t>2024-01-19</t>
  </si>
  <si>
    <t>LD0500</t>
  </si>
  <si>
    <t>Umesh Chavan</t>
  </si>
  <si>
    <t>LD0501</t>
  </si>
  <si>
    <t>Dinesh Patil</t>
  </si>
  <si>
    <t>LD0502</t>
  </si>
  <si>
    <t>Amit Naik</t>
  </si>
  <si>
    <t>2024-02-12</t>
  </si>
  <si>
    <t>LD0503</t>
  </si>
  <si>
    <t>Manoj Londhe</t>
  </si>
  <si>
    <t>2024-01-08</t>
  </si>
  <si>
    <t>2024-01-10</t>
  </si>
  <si>
    <t>LD0504</t>
  </si>
  <si>
    <t>LD0505</t>
  </si>
  <si>
    <t>Alka Deshmukh</t>
  </si>
  <si>
    <t>LD0506</t>
  </si>
  <si>
    <t>Vijay Gaikwad</t>
  </si>
  <si>
    <t>2024-02-03</t>
  </si>
  <si>
    <t>2024-02-16</t>
  </si>
  <si>
    <t>LD0507</t>
  </si>
  <si>
    <t>2024-02-05</t>
  </si>
  <si>
    <t>LD0508</t>
  </si>
  <si>
    <t>Kavita Zende</t>
  </si>
  <si>
    <t>LD0509</t>
  </si>
  <si>
    <t>Pooja Naik</t>
  </si>
  <si>
    <t>2024-02-17</t>
  </si>
  <si>
    <t>LD0510</t>
  </si>
  <si>
    <t>Pooja Deshpande</t>
  </si>
  <si>
    <t>2024-01-09</t>
  </si>
  <si>
    <t>LD0511</t>
  </si>
  <si>
    <t>LD0512</t>
  </si>
  <si>
    <t>Sunanda Kadam</t>
  </si>
  <si>
    <t>LD0513</t>
  </si>
  <si>
    <t>2024-01-31</t>
  </si>
  <si>
    <t>LD0514</t>
  </si>
  <si>
    <t>Seema Kulkarni</t>
  </si>
  <si>
    <t>LD0515</t>
  </si>
  <si>
    <t>Devendra Phule</t>
  </si>
  <si>
    <t>2023-12-29</t>
  </si>
  <si>
    <t>LD0516</t>
  </si>
  <si>
    <t>2024-03-04</t>
  </si>
  <si>
    <t>2024-03-18</t>
  </si>
  <si>
    <t>LD0517</t>
  </si>
  <si>
    <t>Varsha Raut</t>
  </si>
  <si>
    <t>Modular Kitchen + Laminate Work</t>
  </si>
  <si>
    <t>LD0518</t>
  </si>
  <si>
    <t>Sunil Kadam</t>
  </si>
  <si>
    <t>2024-02-08</t>
  </si>
  <si>
    <t>2024-02-25</t>
  </si>
  <si>
    <t>LD0519</t>
  </si>
  <si>
    <t>Madhuri Naik</t>
  </si>
  <si>
    <t>2024-02-14</t>
  </si>
  <si>
    <t>LD0520</t>
  </si>
  <si>
    <t>Sachin Nikalje</t>
  </si>
  <si>
    <t>Designer Doors + Veneer Work</t>
  </si>
  <si>
    <t>2024-01-11</t>
  </si>
  <si>
    <t>2024-01-24</t>
  </si>
  <si>
    <t>LD0521</t>
  </si>
  <si>
    <t>Sunita Kshirsagar</t>
  </si>
  <si>
    <t>2024-02-06</t>
  </si>
  <si>
    <t>LD0522</t>
  </si>
  <si>
    <t>Ravi Bhalerao</t>
  </si>
  <si>
    <t>LD0523</t>
  </si>
  <si>
    <t>Ganesh Kakade</t>
  </si>
  <si>
    <t>LD0524</t>
  </si>
  <si>
    <t>Ashwini Suryawanshi</t>
  </si>
  <si>
    <t>Wardrobe + PU Finish</t>
  </si>
  <si>
    <t>LD0525</t>
  </si>
  <si>
    <t>System Windows + Laminate Work</t>
  </si>
  <si>
    <t>2024-03-03</t>
  </si>
  <si>
    <t>LD0526</t>
  </si>
  <si>
    <t>Ritu Nimbalkar</t>
  </si>
  <si>
    <t>2024-02-20</t>
  </si>
  <si>
    <t>LD0527</t>
  </si>
  <si>
    <t>Dinesh Gaikwad</t>
  </si>
  <si>
    <t>LD0528</t>
  </si>
  <si>
    <t>Prashant Kadam</t>
  </si>
  <si>
    <t>Instagram</t>
  </si>
  <si>
    <t>Instagram Wardrobe Showcase</t>
  </si>
  <si>
    <t>2024-01-18</t>
  </si>
  <si>
    <t>2024-01-25</t>
  </si>
  <si>
    <t>LD0529</t>
  </si>
  <si>
    <t>Ritu Deshmukh</t>
  </si>
  <si>
    <t>2024-02-19</t>
  </si>
  <si>
    <t>LD0530</t>
  </si>
  <si>
    <t>LD0531</t>
  </si>
  <si>
    <t>2024-03-11</t>
  </si>
  <si>
    <t>LD0532</t>
  </si>
  <si>
    <t>Manisha Bansode</t>
  </si>
  <si>
    <t>LD0533</t>
  </si>
  <si>
    <t>LD0534</t>
  </si>
  <si>
    <t>Rajesh Gavhane</t>
  </si>
  <si>
    <t>2024-03-16</t>
  </si>
  <si>
    <t>LD0535</t>
  </si>
  <si>
    <t>Sonal Bhalerao</t>
  </si>
  <si>
    <t>2024-03-01</t>
  </si>
  <si>
    <t>LD0536</t>
  </si>
  <si>
    <t>Deepak Tupe</t>
  </si>
  <si>
    <t>LD0537</t>
  </si>
  <si>
    <t>LD0538</t>
  </si>
  <si>
    <t>Pravin Kshirsagar</t>
  </si>
  <si>
    <t>2024-01-22</t>
  </si>
  <si>
    <t>LD0539</t>
  </si>
  <si>
    <t>Pooja Gaikwad</t>
  </si>
  <si>
    <t>Instagram Gudi Padwa Special</t>
  </si>
  <si>
    <t>LD0540</t>
  </si>
  <si>
    <t>99acres form submitted, no direct phone available</t>
  </si>
  <si>
    <t>LD0541</t>
  </si>
  <si>
    <t>Vijay Thorat</t>
  </si>
  <si>
    <t>LD0542</t>
  </si>
  <si>
    <t>LD0543</t>
  </si>
  <si>
    <t>2024-02-10</t>
  </si>
  <si>
    <t>LD0544</t>
  </si>
  <si>
    <t>Varsha Pawar</t>
  </si>
  <si>
    <t>LD0545</t>
  </si>
  <si>
    <t>Sunanda Raut</t>
  </si>
  <si>
    <t>2024-02-29</t>
  </si>
  <si>
    <t>LD0546</t>
  </si>
  <si>
    <t>Manoj Bhosale</t>
  </si>
  <si>
    <t>2024-02-02</t>
  </si>
  <si>
    <t>LD0547</t>
  </si>
  <si>
    <t>Sachin Sonawane</t>
  </si>
  <si>
    <t>Modular Kitchen + System Windows + Designer Doors</t>
  </si>
  <si>
    <t>LD0548</t>
  </si>
  <si>
    <t>Santosh Salve</t>
  </si>
  <si>
    <t>LD0549</t>
  </si>
  <si>
    <t>Arun Bhalerao</t>
  </si>
  <si>
    <t>Instagram Diwali Campaign</t>
  </si>
  <si>
    <t>2024-02-13</t>
  </si>
  <si>
    <t>LD0550</t>
  </si>
  <si>
    <t>Customer messaged on Instagram, did not share contact</t>
  </si>
  <si>
    <t>LD0551</t>
  </si>
  <si>
    <t>LD0552</t>
  </si>
  <si>
    <t>Nanda Mohite</t>
  </si>
  <si>
    <t>LD0553</t>
  </si>
  <si>
    <t>Nikhil Naik</t>
  </si>
  <si>
    <t>2024-02-21</t>
  </si>
  <si>
    <t>LD0554</t>
  </si>
  <si>
    <t>Rohit Mohite</t>
  </si>
  <si>
    <t>Instagram Before-After Posts</t>
  </si>
  <si>
    <t>LD0555</t>
  </si>
  <si>
    <t>Pravin Londhe</t>
  </si>
  <si>
    <t>DM received on Instagram, no phone shared</t>
  </si>
  <si>
    <t>LD0556</t>
  </si>
  <si>
    <t>Kavita Kadam</t>
  </si>
  <si>
    <t>LD0557</t>
  </si>
  <si>
    <t>Manoj Bansode</t>
  </si>
  <si>
    <t>2024-04-06</t>
  </si>
  <si>
    <t>LD0558</t>
  </si>
  <si>
    <t>2024-02-26</t>
  </si>
  <si>
    <t>LD0559</t>
  </si>
  <si>
    <t>LD0560</t>
  </si>
  <si>
    <t>Sachin Mane</t>
  </si>
  <si>
    <t>LD0561</t>
  </si>
  <si>
    <t>Mahesh Bhosale</t>
  </si>
  <si>
    <t>2024-01-26</t>
  </si>
  <si>
    <t>LD0562</t>
  </si>
  <si>
    <t>Vijay Holkar</t>
  </si>
  <si>
    <t>LD0563</t>
  </si>
  <si>
    <t>Nanda Chavan</t>
  </si>
  <si>
    <t>LD0564</t>
  </si>
  <si>
    <t>Pramod Kale</t>
  </si>
  <si>
    <t>Instagram Kitchen Reels</t>
  </si>
  <si>
    <t>LD0565</t>
  </si>
  <si>
    <t>Nilesh Bhosale</t>
  </si>
  <si>
    <t>2024-04-05</t>
  </si>
  <si>
    <t>2024-04-11</t>
  </si>
  <si>
    <t>LD0566</t>
  </si>
  <si>
    <t>Ritu Salve</t>
  </si>
  <si>
    <t>LD0567</t>
  </si>
  <si>
    <t>Pooja Thorat</t>
  </si>
  <si>
    <t>LD0568</t>
  </si>
  <si>
    <t>Varsha Wagh</t>
  </si>
  <si>
    <t>LD0569</t>
  </si>
  <si>
    <t>Rajesh Yadav</t>
  </si>
  <si>
    <t>LD0570</t>
  </si>
  <si>
    <t>2024-01-27</t>
  </si>
  <si>
    <t>2024-02-24</t>
  </si>
  <si>
    <t>LD0571</t>
  </si>
  <si>
    <t>Sonal Holkar</t>
  </si>
  <si>
    <t>Full Interior (Kitchen + Wardrobe + Doors + Windows)</t>
  </si>
  <si>
    <t>LD0572</t>
  </si>
  <si>
    <t>Devendra Bansode</t>
  </si>
  <si>
    <t>LD0573</t>
  </si>
  <si>
    <t>Alka More</t>
  </si>
  <si>
    <t>2024-02-09</t>
  </si>
  <si>
    <t>LD0574</t>
  </si>
  <si>
    <t>Kiran Deshpande</t>
  </si>
  <si>
    <t>LD0575</t>
  </si>
  <si>
    <t>Sunita Bansode</t>
  </si>
  <si>
    <t>2024-03-09</t>
  </si>
  <si>
    <t>LD0576</t>
  </si>
  <si>
    <t>2024-01-30</t>
  </si>
  <si>
    <t>2024-03-21</t>
  </si>
  <si>
    <t>LD0577</t>
  </si>
  <si>
    <t>Kavita Kale</t>
  </si>
  <si>
    <t>LD0578</t>
  </si>
  <si>
    <t>Ritu Raut</t>
  </si>
  <si>
    <t>2024-03-13</t>
  </si>
  <si>
    <t>LD0579</t>
  </si>
  <si>
    <t>Pramod Deshmukh</t>
  </si>
  <si>
    <t>LD0580</t>
  </si>
  <si>
    <t>Umesh Yadav</t>
  </si>
  <si>
    <t>LD0581</t>
  </si>
  <si>
    <t>2024-04-15</t>
  </si>
  <si>
    <t>LD0582</t>
  </si>
  <si>
    <t>Devendra Gavhane</t>
  </si>
  <si>
    <t>LD0583</t>
  </si>
  <si>
    <t>2024-03-05</t>
  </si>
  <si>
    <t>2024-03-26</t>
  </si>
  <si>
    <t>LD0584</t>
  </si>
  <si>
    <t>Umesh Jadhav</t>
  </si>
  <si>
    <t>LD0585</t>
  </si>
  <si>
    <t>LD0586</t>
  </si>
  <si>
    <t>Divya Sawant</t>
  </si>
  <si>
    <t>2024-03-29</t>
  </si>
  <si>
    <t>LD0587</t>
  </si>
  <si>
    <t>Prashant Raut</t>
  </si>
  <si>
    <t>LD0588</t>
  </si>
  <si>
    <t>Nanda Kadam</t>
  </si>
  <si>
    <t>2024-02-23</t>
  </si>
  <si>
    <t>Instagram story enquiry, no contact details given</t>
  </si>
  <si>
    <t>LD0589</t>
  </si>
  <si>
    <t>Divya Gaikwad</t>
  </si>
  <si>
    <t>2024-04-01</t>
  </si>
  <si>
    <t>2024-04-16</t>
  </si>
  <si>
    <t>LD0590</t>
  </si>
  <si>
    <t>Lata Jadhav</t>
  </si>
  <si>
    <t>LD0591</t>
  </si>
  <si>
    <t>Ashwini Phule</t>
  </si>
  <si>
    <t>LD0592</t>
  </si>
  <si>
    <t>Bharati Suryawanshi</t>
  </si>
  <si>
    <t>LD0593</t>
  </si>
  <si>
    <t>Rajesh Nikalje</t>
  </si>
  <si>
    <t>LD0594</t>
  </si>
  <si>
    <t>Pramod Phule</t>
  </si>
  <si>
    <t>LD0595</t>
  </si>
  <si>
    <t>Santosh Jadhav</t>
  </si>
  <si>
    <t>2024-04-03</t>
  </si>
  <si>
    <t>LD0596</t>
  </si>
  <si>
    <t>Shweta Phule</t>
  </si>
  <si>
    <t>2024-03-30</t>
  </si>
  <si>
    <t>2024-04-10</t>
  </si>
  <si>
    <t>LD0597</t>
  </si>
  <si>
    <t>Madhuri Kadam</t>
  </si>
  <si>
    <t>LD0598</t>
  </si>
  <si>
    <t>Manoj Deshpande</t>
  </si>
  <si>
    <t>LD0599</t>
  </si>
  <si>
    <t>Manoj Chavan</t>
  </si>
  <si>
    <t>2024-03-06</t>
  </si>
  <si>
    <t>Sneha Abak</t>
  </si>
  <si>
    <t>LD0600</t>
  </si>
  <si>
    <t>Madhuri Thorat</t>
  </si>
  <si>
    <t>2024-02-28</t>
  </si>
  <si>
    <t>LD0601</t>
  </si>
  <si>
    <t>2024-03-23</t>
  </si>
  <si>
    <t>LD0602</t>
  </si>
  <si>
    <t>Ashwini Nimbalkar</t>
  </si>
  <si>
    <t>LD0603</t>
  </si>
  <si>
    <t>LD0604</t>
  </si>
  <si>
    <t>Mahesh Pawar</t>
  </si>
  <si>
    <t>LD0605</t>
  </si>
  <si>
    <t>LD0606</t>
  </si>
  <si>
    <t>LD0607</t>
  </si>
  <si>
    <t>Sunita Kakade</t>
  </si>
  <si>
    <t>LD0608</t>
  </si>
  <si>
    <t>Meena Patil</t>
  </si>
  <si>
    <t>LD0609</t>
  </si>
  <si>
    <t>Nikhil Bansode</t>
  </si>
  <si>
    <t>LD0610</t>
  </si>
  <si>
    <t>Ganesh Bhalerao</t>
  </si>
  <si>
    <t>LD0611</t>
  </si>
  <si>
    <t>LD0612</t>
  </si>
  <si>
    <t>2024-04-04</t>
  </si>
  <si>
    <t>LD0613</t>
  </si>
  <si>
    <t>Kavita Shelke</t>
  </si>
  <si>
    <t>2024-03-10</t>
  </si>
  <si>
    <t>LD0614</t>
  </si>
  <si>
    <t>Rohit Bhalerao</t>
  </si>
  <si>
    <t>LD0615</t>
  </si>
  <si>
    <t>Pravin Shinde</t>
  </si>
  <si>
    <t>LD0616</t>
  </si>
  <si>
    <t>Nanda Gaikwad</t>
  </si>
  <si>
    <t>2024-03-14</t>
  </si>
  <si>
    <t>LD0617</t>
  </si>
  <si>
    <t>LD0618</t>
  </si>
  <si>
    <t>Kiran Gavhane</t>
  </si>
  <si>
    <t>2024-03-27</t>
  </si>
  <si>
    <t>LD0619</t>
  </si>
  <si>
    <t>2024-04-17</t>
  </si>
  <si>
    <t>LD0620</t>
  </si>
  <si>
    <t>LD0621</t>
  </si>
  <si>
    <t>LD0622</t>
  </si>
  <si>
    <t>Nikhil Gavhane</t>
  </si>
  <si>
    <t>Instagram Story Ads</t>
  </si>
  <si>
    <t>LD0623</t>
  </si>
  <si>
    <t>LD0624</t>
  </si>
  <si>
    <t>Kavita Mohite</t>
  </si>
  <si>
    <t>2024-04-29</t>
  </si>
  <si>
    <t>LD0625</t>
  </si>
  <si>
    <t>Anita Patil</t>
  </si>
  <si>
    <t>LD0626</t>
  </si>
  <si>
    <t>LD0627</t>
  </si>
  <si>
    <t>LD0628</t>
  </si>
  <si>
    <t>Ganesh Aware</t>
  </si>
  <si>
    <t>LD0629</t>
  </si>
  <si>
    <t>2024-02-27</t>
  </si>
  <si>
    <t>2024-03-17</t>
  </si>
  <si>
    <t>LD0630</t>
  </si>
  <si>
    <t>Divya Kulkarni</t>
  </si>
  <si>
    <t>LD0631</t>
  </si>
  <si>
    <t>LD0632</t>
  </si>
  <si>
    <t>LD0633</t>
  </si>
  <si>
    <t>2024-04-08</t>
  </si>
  <si>
    <t>LD0634</t>
  </si>
  <si>
    <t>Rajesh Bhalerao</t>
  </si>
  <si>
    <t>LD0635</t>
  </si>
  <si>
    <t>Santosh Mane</t>
  </si>
  <si>
    <t>LD0636</t>
  </si>
  <si>
    <t>Hemant Wagh</t>
  </si>
  <si>
    <t>LD0637</t>
  </si>
  <si>
    <t>2024-04-19</t>
  </si>
  <si>
    <t>LD0638</t>
  </si>
  <si>
    <t>Rajesh Sonawane</t>
  </si>
  <si>
    <t>2024-03-15</t>
  </si>
  <si>
    <t>LD0639</t>
  </si>
  <si>
    <t>Vijay Kadam</t>
  </si>
  <si>
    <t>2024-03-20</t>
  </si>
  <si>
    <t>LD0640</t>
  </si>
  <si>
    <t>Hemant Sonawane</t>
  </si>
  <si>
    <t>LD0641</t>
  </si>
  <si>
    <t>LD0642</t>
  </si>
  <si>
    <t>Hemant Shelke</t>
  </si>
  <si>
    <t>LD0643</t>
  </si>
  <si>
    <t>Kiran Bhalerao</t>
  </si>
  <si>
    <t>2024-03-25</t>
  </si>
  <si>
    <t>2024-04-14</t>
  </si>
  <si>
    <t>LD0644</t>
  </si>
  <si>
    <t>LD0645</t>
  </si>
  <si>
    <t>LD0646</t>
  </si>
  <si>
    <t>Sunil Deshmukh</t>
  </si>
  <si>
    <t>LD0647</t>
  </si>
  <si>
    <t>2024-05-03</t>
  </si>
  <si>
    <t>LD0648</t>
  </si>
  <si>
    <t>LD0649</t>
  </si>
  <si>
    <t>Kiran Zende</t>
  </si>
  <si>
    <t>LD0650</t>
  </si>
  <si>
    <t>Alka Raut</t>
  </si>
  <si>
    <t>LD0651</t>
  </si>
  <si>
    <t>Suresh Shinde</t>
  </si>
  <si>
    <t>2024-05-07</t>
  </si>
  <si>
    <t>LD0652</t>
  </si>
  <si>
    <t>Rohit Thorat</t>
  </si>
  <si>
    <t>2024-03-28</t>
  </si>
  <si>
    <t>LD0653</t>
  </si>
  <si>
    <t>LD0654</t>
  </si>
  <si>
    <t>LD0655</t>
  </si>
  <si>
    <t>Ashwini Tupe</t>
  </si>
  <si>
    <t>2024-03-02</t>
  </si>
  <si>
    <t>LD0656</t>
  </si>
  <si>
    <t>Ganesh Kadam</t>
  </si>
  <si>
    <t>2024-03-12</t>
  </si>
  <si>
    <t>2024-03-24</t>
  </si>
  <si>
    <t>LD0657</t>
  </si>
  <si>
    <t>LD0658</t>
  </si>
  <si>
    <t>Nanda Pawar</t>
  </si>
  <si>
    <t>LD0659</t>
  </si>
  <si>
    <t>Seema Shinde</t>
  </si>
  <si>
    <t>LD0660</t>
  </si>
  <si>
    <t>2024-04-07</t>
  </si>
  <si>
    <t>LD0661</t>
  </si>
  <si>
    <t>LD0662</t>
  </si>
  <si>
    <t>Bharati Thorat</t>
  </si>
  <si>
    <t>LD0663</t>
  </si>
  <si>
    <t>Shweta Aware</t>
  </si>
  <si>
    <t>2024-04-25</t>
  </si>
  <si>
    <t>LD0664</t>
  </si>
  <si>
    <t>LD0665</t>
  </si>
  <si>
    <t>LD0666</t>
  </si>
  <si>
    <t>Rekha Sawant</t>
  </si>
  <si>
    <t>LD0667</t>
  </si>
  <si>
    <t>LD0668</t>
  </si>
  <si>
    <t>LD0669</t>
  </si>
  <si>
    <t>Arun Joshi</t>
  </si>
  <si>
    <t>LD0670</t>
  </si>
  <si>
    <t>LD0671</t>
  </si>
  <si>
    <t>Seema Tupe</t>
  </si>
  <si>
    <t>LD0672</t>
  </si>
  <si>
    <t>LD0673</t>
  </si>
  <si>
    <t>Vijay Shinde</t>
  </si>
  <si>
    <t>LD0674</t>
  </si>
  <si>
    <t>LD0675</t>
  </si>
  <si>
    <t>Rohit More</t>
  </si>
  <si>
    <t>2024-04-02</t>
  </si>
  <si>
    <t>LD0676</t>
  </si>
  <si>
    <t>Varsha Sonawane</t>
  </si>
  <si>
    <t>2024-04-13</t>
  </si>
  <si>
    <t>LD0677</t>
  </si>
  <si>
    <t>2024-05-16</t>
  </si>
  <si>
    <t>LD0678</t>
  </si>
  <si>
    <t>LD0679</t>
  </si>
  <si>
    <t>Archana Tupe</t>
  </si>
  <si>
    <t>2024-03-08</t>
  </si>
  <si>
    <t>LD0680</t>
  </si>
  <si>
    <t>LD0681</t>
  </si>
  <si>
    <t>Deepak Deshmukh</t>
  </si>
  <si>
    <t>LD0682</t>
  </si>
  <si>
    <t>Manisha Deshpande</t>
  </si>
  <si>
    <t>2024-04-24</t>
  </si>
  <si>
    <t>LD0683</t>
  </si>
  <si>
    <t>LD0684</t>
  </si>
  <si>
    <t>LD0685</t>
  </si>
  <si>
    <t>Anita Bhosale</t>
  </si>
  <si>
    <t>LD0686</t>
  </si>
  <si>
    <t>2024-03-07</t>
  </si>
  <si>
    <t>LD0687</t>
  </si>
  <si>
    <t>Devendra Nikalje</t>
  </si>
  <si>
    <t>LD0688</t>
  </si>
  <si>
    <t>Sachin Tupe</t>
  </si>
  <si>
    <t>LD0689</t>
  </si>
  <si>
    <t>Shweta Holkar</t>
  </si>
  <si>
    <t>LD0690</t>
  </si>
  <si>
    <t>Shweta Nimbalkar</t>
  </si>
  <si>
    <t>LD0691</t>
  </si>
  <si>
    <t>LD0692</t>
  </si>
  <si>
    <t>Anita Shelke</t>
  </si>
  <si>
    <t>LD0693</t>
  </si>
  <si>
    <t>Ashwini Kakade</t>
  </si>
  <si>
    <t>LD0694</t>
  </si>
  <si>
    <t>LD0695</t>
  </si>
  <si>
    <t>Pooja Deshmukh</t>
  </si>
  <si>
    <t>LD0696</t>
  </si>
  <si>
    <t>Sunanda Phule</t>
  </si>
  <si>
    <t>2024-05-11</t>
  </si>
  <si>
    <t>2024-05-14</t>
  </si>
  <si>
    <t>LD0697</t>
  </si>
  <si>
    <t>Sonal Londhe</t>
  </si>
  <si>
    <t>2024-05-10</t>
  </si>
  <si>
    <t>LD0698</t>
  </si>
  <si>
    <t>Arun Holkar</t>
  </si>
  <si>
    <t>LD0699</t>
  </si>
  <si>
    <t>LD0700</t>
  </si>
  <si>
    <t>Varsha Holkar</t>
  </si>
  <si>
    <t>2024-04-09</t>
  </si>
  <si>
    <t>LD0701</t>
  </si>
  <si>
    <t>Manoj Gaikwad</t>
  </si>
  <si>
    <t>LD0702</t>
  </si>
  <si>
    <t>Kiran Deshmukh</t>
  </si>
  <si>
    <t>LD0703</t>
  </si>
  <si>
    <t>Kavita Thorat</t>
  </si>
  <si>
    <t>LD0704</t>
  </si>
  <si>
    <t>2024-04-20</t>
  </si>
  <si>
    <t>LD0705</t>
  </si>
  <si>
    <t>Rajesh Zende</t>
  </si>
  <si>
    <t>LD0706</t>
  </si>
  <si>
    <t>Suresh Suryawanshi</t>
  </si>
  <si>
    <t>LD0707</t>
  </si>
  <si>
    <t>Mahesh Gaikwad</t>
  </si>
  <si>
    <t>LD0708</t>
  </si>
  <si>
    <t>Devendra Shelke</t>
  </si>
  <si>
    <t>2024-05-06</t>
  </si>
  <si>
    <t>LD0709</t>
  </si>
  <si>
    <t>Kiran Yadav</t>
  </si>
  <si>
    <t>LD0710</t>
  </si>
  <si>
    <t>Hemant Joshi</t>
  </si>
  <si>
    <t>2024-04-18</t>
  </si>
  <si>
    <t>LD0711</t>
  </si>
  <si>
    <t>Sanjay Nikalje</t>
  </si>
  <si>
    <t>2024-03-22</t>
  </si>
  <si>
    <t>LD0712</t>
  </si>
  <si>
    <t>Sunanda Nimbalkar</t>
  </si>
  <si>
    <t>LD0713</t>
  </si>
  <si>
    <t>LD0714</t>
  </si>
  <si>
    <t>Sunil Suryawanshi</t>
  </si>
  <si>
    <t>2024-05-02</t>
  </si>
  <si>
    <t>LD0715</t>
  </si>
  <si>
    <t>Varsha Naik</t>
  </si>
  <si>
    <t>LD0716</t>
  </si>
  <si>
    <t>Ashwini Shelke</t>
  </si>
  <si>
    <t>LD0717</t>
  </si>
  <si>
    <t>Meena Holkar</t>
  </si>
  <si>
    <t>LD0718</t>
  </si>
  <si>
    <t>2024-04-12</t>
  </si>
  <si>
    <t>LD0719</t>
  </si>
  <si>
    <t>2024-03-19</t>
  </si>
  <si>
    <t>LD0720</t>
  </si>
  <si>
    <t>Sunita Kadam</t>
  </si>
  <si>
    <t>2024-05-04</t>
  </si>
  <si>
    <t>LD0721</t>
  </si>
  <si>
    <t>Divya Gavhane</t>
  </si>
  <si>
    <t>LD0722</t>
  </si>
  <si>
    <t>Hemant Zende</t>
  </si>
  <si>
    <t>LD0723</t>
  </si>
  <si>
    <t>LD0724</t>
  </si>
  <si>
    <t>Sachin Zende</t>
  </si>
  <si>
    <t>2024-04-23</t>
  </si>
  <si>
    <t>2024-05-12</t>
  </si>
  <si>
    <t>LD0725</t>
  </si>
  <si>
    <t>Prashant Patil</t>
  </si>
  <si>
    <t>Website form — phone field skipped by customer</t>
  </si>
  <si>
    <t>LD0726</t>
  </si>
  <si>
    <t>LD0727</t>
  </si>
  <si>
    <t>Vijay Naik</t>
  </si>
  <si>
    <t>LD0728</t>
  </si>
  <si>
    <t>Mahesh Thorat</t>
  </si>
  <si>
    <t>LD0729</t>
  </si>
  <si>
    <t>LD0730</t>
  </si>
  <si>
    <t>Prashant Kulkarni</t>
  </si>
  <si>
    <t>LD0731</t>
  </si>
  <si>
    <t>Varsha Kshirsagar</t>
  </si>
  <si>
    <t>LD0732</t>
  </si>
  <si>
    <t>Rajesh Kale</t>
  </si>
  <si>
    <t>LD0733</t>
  </si>
  <si>
    <t>Dinesh Pawar</t>
  </si>
  <si>
    <t>LD0734</t>
  </si>
  <si>
    <t>Hemant Yadav</t>
  </si>
  <si>
    <t>LD0735</t>
  </si>
  <si>
    <t>Sanjay Raut</t>
  </si>
  <si>
    <t>2024-04-26</t>
  </si>
  <si>
    <t>LD0736</t>
  </si>
  <si>
    <t>Ritu Bhalerao</t>
  </si>
  <si>
    <t>2024-05-13</t>
  </si>
  <si>
    <t>LD0737</t>
  </si>
  <si>
    <t>Sunita Wagh</t>
  </si>
  <si>
    <t>LD0738</t>
  </si>
  <si>
    <t>Ashwini Kulkarni</t>
  </si>
  <si>
    <t>2024-04-22</t>
  </si>
  <si>
    <t>LD0739</t>
  </si>
  <si>
    <t>Lata Kadam</t>
  </si>
  <si>
    <t>2024-05-25</t>
  </si>
  <si>
    <t>LD0740</t>
  </si>
  <si>
    <t>Nikhil Shinde</t>
  </si>
  <si>
    <t>2024-05-21</t>
  </si>
  <si>
    <t>LD0741</t>
  </si>
  <si>
    <t>Sachin Holkar</t>
  </si>
  <si>
    <t>2024-05-01</t>
  </si>
  <si>
    <t>LD0742</t>
  </si>
  <si>
    <t>Madhuri Londhe</t>
  </si>
  <si>
    <t>LD0743</t>
  </si>
  <si>
    <t>LD0744</t>
  </si>
  <si>
    <t>Hemant Mohite</t>
  </si>
  <si>
    <t>LD0745</t>
  </si>
  <si>
    <t>Mahesh Raut</t>
  </si>
  <si>
    <t>LD0746</t>
  </si>
  <si>
    <t>Hemant Gaikwad</t>
  </si>
  <si>
    <t>LD0747</t>
  </si>
  <si>
    <t>Rekha Naik</t>
  </si>
  <si>
    <t>LD0748</t>
  </si>
  <si>
    <t>Deepak Nikalje</t>
  </si>
  <si>
    <t>LD0749</t>
  </si>
  <si>
    <t>2024-04-27</t>
  </si>
  <si>
    <t>LD0750</t>
  </si>
  <si>
    <t>Jyoti Gavhane</t>
  </si>
  <si>
    <t>LD0751</t>
  </si>
  <si>
    <t>Sunita Raut</t>
  </si>
  <si>
    <t>LD0752</t>
  </si>
  <si>
    <t>2024-05-27</t>
  </si>
  <si>
    <t>LD0753</t>
  </si>
  <si>
    <t>LD0754</t>
  </si>
  <si>
    <t>Jyoti Sonawane</t>
  </si>
  <si>
    <t>LD0755</t>
  </si>
  <si>
    <t>Ganesh Nimbalkar</t>
  </si>
  <si>
    <t>2024-06-03</t>
  </si>
  <si>
    <t>LD0756</t>
  </si>
  <si>
    <t>Meena Deshmukh</t>
  </si>
  <si>
    <t>LD0757</t>
  </si>
  <si>
    <t>Divya Shinde</t>
  </si>
  <si>
    <t>2024-05-28</t>
  </si>
  <si>
    <t>LD0758</t>
  </si>
  <si>
    <t>Pooja Bansode</t>
  </si>
  <si>
    <t>LD0759</t>
  </si>
  <si>
    <t>Ashwini Wagh</t>
  </si>
  <si>
    <t>LD0760</t>
  </si>
  <si>
    <t>Sunanda Londhe</t>
  </si>
  <si>
    <t>LD0761</t>
  </si>
  <si>
    <t>Rekha Deshmukh</t>
  </si>
  <si>
    <t>2024-06-20</t>
  </si>
  <si>
    <t>LD0762</t>
  </si>
  <si>
    <t>2024-06-05</t>
  </si>
  <si>
    <t>LD0763</t>
  </si>
  <si>
    <t>Varsha Nimbalkar</t>
  </si>
  <si>
    <t>LD0764</t>
  </si>
  <si>
    <t>Mahesh Deshmukh</t>
  </si>
  <si>
    <t>LD0765</t>
  </si>
  <si>
    <t>Sunil Raut</t>
  </si>
  <si>
    <t>LD0766</t>
  </si>
  <si>
    <t>Hemant Phule</t>
  </si>
  <si>
    <t>LD0767</t>
  </si>
  <si>
    <t>Sunita Shinde</t>
  </si>
  <si>
    <t>LD0768</t>
  </si>
  <si>
    <t>Ritu Kale</t>
  </si>
  <si>
    <t>2024-06-01</t>
  </si>
  <si>
    <t>LD0769</t>
  </si>
  <si>
    <t>Sanjay Kale</t>
  </si>
  <si>
    <t>2024-06-10</t>
  </si>
  <si>
    <t>Website contact form submitted, no phone given</t>
  </si>
  <si>
    <t>LD0770</t>
  </si>
  <si>
    <t>Dinesh Phule</t>
  </si>
  <si>
    <t>2024-05-15</t>
  </si>
  <si>
    <t>LD0771</t>
  </si>
  <si>
    <t>Pravin Deshpande</t>
  </si>
  <si>
    <t>LD0772</t>
  </si>
  <si>
    <t>Umesh Gaikwad</t>
  </si>
  <si>
    <t>LD0773</t>
  </si>
  <si>
    <t>Amit Holkar</t>
  </si>
  <si>
    <t>LD0774</t>
  </si>
  <si>
    <t>2024-06-15</t>
  </si>
  <si>
    <t>LD0775</t>
  </si>
  <si>
    <t>Prashant Nimbalkar</t>
  </si>
  <si>
    <t>LD0776</t>
  </si>
  <si>
    <t>Divya Deshmukh</t>
  </si>
  <si>
    <t>LD0777</t>
  </si>
  <si>
    <t>Pramod Nimbalkar</t>
  </si>
  <si>
    <t>2024-05-09</t>
  </si>
  <si>
    <t>LD0778</t>
  </si>
  <si>
    <t>LD0779</t>
  </si>
  <si>
    <t>LD0780</t>
  </si>
  <si>
    <t>Varsha Tupe</t>
  </si>
  <si>
    <t>LD0781</t>
  </si>
  <si>
    <t>LD0782</t>
  </si>
  <si>
    <t>Rekha Kulkarni</t>
  </si>
  <si>
    <t>LD0783</t>
  </si>
  <si>
    <t>LD0784</t>
  </si>
  <si>
    <t>Divya Nimbalkar</t>
  </si>
  <si>
    <t>LD0785</t>
  </si>
  <si>
    <t>Hemant Kale</t>
  </si>
  <si>
    <t>2024-06-25</t>
  </si>
  <si>
    <t>LD0786</t>
  </si>
  <si>
    <t>LD0787</t>
  </si>
  <si>
    <t>2024-06-14</t>
  </si>
  <si>
    <t>LD0788</t>
  </si>
  <si>
    <t>Pravin Holkar</t>
  </si>
  <si>
    <t>2024-07-15</t>
  </si>
  <si>
    <t>LD0789</t>
  </si>
  <si>
    <t>Bharati Joshi</t>
  </si>
  <si>
    <t>2024-05-23</t>
  </si>
  <si>
    <t>LD0790</t>
  </si>
  <si>
    <t>Devendra Deshmukh</t>
  </si>
  <si>
    <t>2024-05-18</t>
  </si>
  <si>
    <t>LD0791</t>
  </si>
  <si>
    <t>Prashant More</t>
  </si>
  <si>
    <t>LD0792</t>
  </si>
  <si>
    <t>2024-06-17</t>
  </si>
  <si>
    <t>LD0793</t>
  </si>
  <si>
    <t>Sonal Mane</t>
  </si>
  <si>
    <t>LD0794</t>
  </si>
  <si>
    <t>2024-04-30</t>
  </si>
  <si>
    <t>LD0795</t>
  </si>
  <si>
    <t>Divya Zende</t>
  </si>
  <si>
    <t>LD0796</t>
  </si>
  <si>
    <t>Jyoti Wagh</t>
  </si>
  <si>
    <t>2024-05-22</t>
  </si>
  <si>
    <t>LD0797</t>
  </si>
  <si>
    <t>2024-05-20</t>
  </si>
  <si>
    <t>LD0798</t>
  </si>
  <si>
    <t>LD0799</t>
  </si>
  <si>
    <t>Anita Mohite</t>
  </si>
  <si>
    <t>LD0800</t>
  </si>
  <si>
    <t>Bharati Patil</t>
  </si>
  <si>
    <t>LD0801</t>
  </si>
  <si>
    <t>Kiran Joshi</t>
  </si>
  <si>
    <t>2024-07-01</t>
  </si>
  <si>
    <t>2024-07-19</t>
  </si>
  <si>
    <t>LD0802</t>
  </si>
  <si>
    <t>2024-05-19</t>
  </si>
  <si>
    <t>LD0803</t>
  </si>
  <si>
    <t>Prashant Tupe</t>
  </si>
  <si>
    <t>LD0804</t>
  </si>
  <si>
    <t>Sunil Bansode</t>
  </si>
  <si>
    <t>LD0805</t>
  </si>
  <si>
    <t>2024-06-19</t>
  </si>
  <si>
    <t>2024-06-26</t>
  </si>
  <si>
    <t>LD0806</t>
  </si>
  <si>
    <t>Varsha Chavan</t>
  </si>
  <si>
    <t>LD0807</t>
  </si>
  <si>
    <t>Ravi Deshmukh</t>
  </si>
  <si>
    <t>LD0808</t>
  </si>
  <si>
    <t>Ganesh More</t>
  </si>
  <si>
    <t>LD0809</t>
  </si>
  <si>
    <t>Ravi Deshpande</t>
  </si>
  <si>
    <t>LD0810</t>
  </si>
  <si>
    <t>2024-06-11</t>
  </si>
  <si>
    <t>LD0811</t>
  </si>
  <si>
    <t>2024-06-21</t>
  </si>
  <si>
    <t>2024-07-07</t>
  </si>
  <si>
    <t>LD0812</t>
  </si>
  <si>
    <t>Ravi Joshi</t>
  </si>
  <si>
    <t>LD0813</t>
  </si>
  <si>
    <t>2024-05-17</t>
  </si>
  <si>
    <t>LD0814</t>
  </si>
  <si>
    <t>Prashant Sonawane</t>
  </si>
  <si>
    <t>LD0815</t>
  </si>
  <si>
    <t>Mahesh Patil</t>
  </si>
  <si>
    <t>LD0816</t>
  </si>
  <si>
    <t>Rajesh Joshi</t>
  </si>
  <si>
    <t>2024-06-24</t>
  </si>
  <si>
    <t>2024-07-12</t>
  </si>
  <si>
    <t>LD0817</t>
  </si>
  <si>
    <t>2024-06-30</t>
  </si>
  <si>
    <t>LD0818</t>
  </si>
  <si>
    <t>Kavita Bansode</t>
  </si>
  <si>
    <t>2024-06-08</t>
  </si>
  <si>
    <t>LD0819</t>
  </si>
  <si>
    <t>Arun Bhosale</t>
  </si>
  <si>
    <t>2024-05-29</t>
  </si>
  <si>
    <t>LD0820</t>
  </si>
  <si>
    <t>LD0821</t>
  </si>
  <si>
    <t>Dinesh Londhe</t>
  </si>
  <si>
    <t>LD0822</t>
  </si>
  <si>
    <t>2024-06-22</t>
  </si>
  <si>
    <t>LD0823</t>
  </si>
  <si>
    <t>Devendra Bhalerao</t>
  </si>
  <si>
    <t>LD0824</t>
  </si>
  <si>
    <t>Vijay Deshpande</t>
  </si>
  <si>
    <t>LD0825</t>
  </si>
  <si>
    <t>Santosh Chavan</t>
  </si>
  <si>
    <t>LD0826</t>
  </si>
  <si>
    <t>Amit Shelke</t>
  </si>
  <si>
    <t>LD0827</t>
  </si>
  <si>
    <t>Devendra More</t>
  </si>
  <si>
    <t>2024-05-08</t>
  </si>
  <si>
    <t>LD0828</t>
  </si>
  <si>
    <t>Sanjay Bansode</t>
  </si>
  <si>
    <t>LD0829</t>
  </si>
  <si>
    <t>Nikhil Deshmukh</t>
  </si>
  <si>
    <t>LD0830</t>
  </si>
  <si>
    <t>Rajesh Pawar</t>
  </si>
  <si>
    <t>LD0831</t>
  </si>
  <si>
    <t>2024-05-31</t>
  </si>
  <si>
    <t>LD0832</t>
  </si>
  <si>
    <t>Pooja Tupe</t>
  </si>
  <si>
    <t>Facebook form filled, number not provided</t>
  </si>
  <si>
    <t>LD0833</t>
  </si>
  <si>
    <t>Ritu Kulkarni</t>
  </si>
  <si>
    <t>LD0834</t>
  </si>
  <si>
    <t>Sanjay Mane</t>
  </si>
  <si>
    <t>LD0835</t>
  </si>
  <si>
    <t>Mahesh Tupe</t>
  </si>
  <si>
    <t>LD0836</t>
  </si>
  <si>
    <t>Kiran Nikalje</t>
  </si>
  <si>
    <t>2024-06-12</t>
  </si>
  <si>
    <t>LD0837</t>
  </si>
  <si>
    <t>Anita Tupe</t>
  </si>
  <si>
    <t>2024-07-11</t>
  </si>
  <si>
    <t>LD0838</t>
  </si>
  <si>
    <t>Devendra Yadav</t>
  </si>
  <si>
    <t>LD0839</t>
  </si>
  <si>
    <t>Sonal Chavan</t>
  </si>
  <si>
    <t>LD0840</t>
  </si>
  <si>
    <t>LD0841</t>
  </si>
  <si>
    <t>Shweta Sonawane</t>
  </si>
  <si>
    <t>LD0842</t>
  </si>
  <si>
    <t>Alka Salve</t>
  </si>
  <si>
    <t>2024-06-07</t>
  </si>
  <si>
    <t>LD0843</t>
  </si>
  <si>
    <t>Rohit Aware</t>
  </si>
  <si>
    <t>LD0844</t>
  </si>
  <si>
    <t>Rohit Kulkarni</t>
  </si>
  <si>
    <t>LD0845</t>
  </si>
  <si>
    <t>Pramod Kakade</t>
  </si>
  <si>
    <t>LD0846</t>
  </si>
  <si>
    <t>LD0847</t>
  </si>
  <si>
    <t>2024-07-17</t>
  </si>
  <si>
    <t>LD0848</t>
  </si>
  <si>
    <t>2024-05-24</t>
  </si>
  <si>
    <t>2024-07-22</t>
  </si>
  <si>
    <t>2024-07-26</t>
  </si>
  <si>
    <t>LD0849</t>
  </si>
  <si>
    <t>Manisha Mane</t>
  </si>
  <si>
    <t>LD0850</t>
  </si>
  <si>
    <t>Madhuri Phule</t>
  </si>
  <si>
    <t>LD0851</t>
  </si>
  <si>
    <t>LD0852</t>
  </si>
  <si>
    <t>Devendra Aware</t>
  </si>
  <si>
    <t>2024-06-29</t>
  </si>
  <si>
    <t>LD0853</t>
  </si>
  <si>
    <t>2024-07-28</t>
  </si>
  <si>
    <t>LD0854</t>
  </si>
  <si>
    <t>Smita Kakade</t>
  </si>
  <si>
    <t>LD0855</t>
  </si>
  <si>
    <t>LD0856</t>
  </si>
  <si>
    <t>LD0857</t>
  </si>
  <si>
    <t>Dinesh Gavhane</t>
  </si>
  <si>
    <t>2024-07-20</t>
  </si>
  <si>
    <t>LD0858</t>
  </si>
  <si>
    <t>Nikhil Kshirsagar</t>
  </si>
  <si>
    <t>LD0859</t>
  </si>
  <si>
    <t>Shweta Thorat</t>
  </si>
  <si>
    <t>LD0860</t>
  </si>
  <si>
    <t>Arun Bansode</t>
  </si>
  <si>
    <t>2024-05-30</t>
  </si>
  <si>
    <t>LD0861</t>
  </si>
  <si>
    <t>Nikhil Kadam</t>
  </si>
  <si>
    <t>2024-06-04</t>
  </si>
  <si>
    <t>LD0862</t>
  </si>
  <si>
    <t>LD0863</t>
  </si>
  <si>
    <t>Sachin Gavhane</t>
  </si>
  <si>
    <t>2024-07-08</t>
  </si>
  <si>
    <t>LD0864</t>
  </si>
  <si>
    <t>2024-06-13</t>
  </si>
  <si>
    <t>LD0865</t>
  </si>
  <si>
    <t>LD0866</t>
  </si>
  <si>
    <t>Anita Joshi</t>
  </si>
  <si>
    <t>2024-07-03</t>
  </si>
  <si>
    <t>LD0867</t>
  </si>
  <si>
    <t>Pramod Aware</t>
  </si>
  <si>
    <t>2024-08-14</t>
  </si>
  <si>
    <t>2024-08-27</t>
  </si>
  <si>
    <t>LD0868</t>
  </si>
  <si>
    <t>Manisha Gaikwad</t>
  </si>
  <si>
    <t>2024-06-06</t>
  </si>
  <si>
    <t>LD0869</t>
  </si>
  <si>
    <t>Smita Pawar</t>
  </si>
  <si>
    <t>LD0870</t>
  </si>
  <si>
    <t>Amit Zende</t>
  </si>
  <si>
    <t>LD0871</t>
  </si>
  <si>
    <t>Arun Sonawane</t>
  </si>
  <si>
    <t>LD0872</t>
  </si>
  <si>
    <t>Alka Gaikwad</t>
  </si>
  <si>
    <t>2024-08-06</t>
  </si>
  <si>
    <t>LD0873</t>
  </si>
  <si>
    <t>Sunil Nikalje</t>
  </si>
  <si>
    <t>LD0874</t>
  </si>
  <si>
    <t>2024-08-20</t>
  </si>
  <si>
    <t>2024-09-06</t>
  </si>
  <si>
    <t>LD0875</t>
  </si>
  <si>
    <t>Shweta Mohite</t>
  </si>
  <si>
    <t>LD0876</t>
  </si>
  <si>
    <t>Hemant Kakade</t>
  </si>
  <si>
    <t>2024-07-16</t>
  </si>
  <si>
    <t>LD0877</t>
  </si>
  <si>
    <t>Seema More</t>
  </si>
  <si>
    <t>2024-08-02</t>
  </si>
  <si>
    <t>2024-08-07</t>
  </si>
  <si>
    <t>LD0878</t>
  </si>
  <si>
    <t>Bharati Sonawane</t>
  </si>
  <si>
    <t>2024-06-18</t>
  </si>
  <si>
    <t>LD0879</t>
  </si>
  <si>
    <t>2024-07-13</t>
  </si>
  <si>
    <t>LD0880</t>
  </si>
  <si>
    <t>Rohit Gavhane</t>
  </si>
  <si>
    <t>2024-09-02</t>
  </si>
  <si>
    <t>LD0881</t>
  </si>
  <si>
    <t>Pooja Bhosale</t>
  </si>
  <si>
    <t>LD0882</t>
  </si>
  <si>
    <t>2024-07-10</t>
  </si>
  <si>
    <t>LD0883</t>
  </si>
  <si>
    <t>LD0884</t>
  </si>
  <si>
    <t>2024-08-08</t>
  </si>
  <si>
    <t>2024-08-23</t>
  </si>
  <si>
    <t>LD0885</t>
  </si>
  <si>
    <t>2024-08-21</t>
  </si>
  <si>
    <t>LD0886</t>
  </si>
  <si>
    <t>Madhuri Raut</t>
  </si>
  <si>
    <t>2024-07-18</t>
  </si>
  <si>
    <t>LD0887</t>
  </si>
  <si>
    <t>Ganesh Deshmukh</t>
  </si>
  <si>
    <t>2024-07-24</t>
  </si>
  <si>
    <t>2024-08-12</t>
  </si>
  <si>
    <t>LD0888</t>
  </si>
  <si>
    <t>Divya Pawar</t>
  </si>
  <si>
    <t>2024-08-19</t>
  </si>
  <si>
    <t>2024-09-07</t>
  </si>
  <si>
    <t>LD0889</t>
  </si>
  <si>
    <t>2024-07-09</t>
  </si>
  <si>
    <t>LD0890</t>
  </si>
  <si>
    <t>Sachin Deshpande</t>
  </si>
  <si>
    <t>2024-07-29</t>
  </si>
  <si>
    <t>LD0891</t>
  </si>
  <si>
    <t>Prashant Suryawanshi</t>
  </si>
  <si>
    <t>2024-08-01</t>
  </si>
  <si>
    <t>LD0892</t>
  </si>
  <si>
    <t>2024-07-06</t>
  </si>
  <si>
    <t>LD0893</t>
  </si>
  <si>
    <t>Manisha Sonawane</t>
  </si>
  <si>
    <t>LD0894</t>
  </si>
  <si>
    <t>Archana Deshmukh</t>
  </si>
  <si>
    <t>LD0895</t>
  </si>
  <si>
    <t>Pravin Suryawanshi</t>
  </si>
  <si>
    <t>LD0896</t>
  </si>
  <si>
    <t>Shweta More</t>
  </si>
  <si>
    <t>2024-07-02</t>
  </si>
  <si>
    <t>2024-07-05</t>
  </si>
  <si>
    <t>LD0897</t>
  </si>
  <si>
    <t>2024-08-05</t>
  </si>
  <si>
    <t>LD0898</t>
  </si>
  <si>
    <t>Nilesh Kshirsagar</t>
  </si>
  <si>
    <t>LD0899</t>
  </si>
  <si>
    <t>Suresh Yadav</t>
  </si>
  <si>
    <t>2024-08-24</t>
  </si>
  <si>
    <t>LD0900</t>
  </si>
  <si>
    <t>2024-08-09</t>
  </si>
  <si>
    <t>2024-08-29</t>
  </si>
  <si>
    <t>LD0901</t>
  </si>
  <si>
    <t>2024-07-04</t>
  </si>
  <si>
    <t>2024-07-30</t>
  </si>
  <si>
    <t>LD0902</t>
  </si>
  <si>
    <t>2024-09-08</t>
  </si>
  <si>
    <t>LD0903</t>
  </si>
  <si>
    <t>2024-07-31</t>
  </si>
  <si>
    <t>LD0904</t>
  </si>
  <si>
    <t>Shweta Joshi</t>
  </si>
  <si>
    <t>2024-07-25</t>
  </si>
  <si>
    <t>LD0905</t>
  </si>
  <si>
    <t>Manoj Mohite</t>
  </si>
  <si>
    <t>LD0906</t>
  </si>
  <si>
    <t>LD0907</t>
  </si>
  <si>
    <t>LD0908</t>
  </si>
  <si>
    <t>Pooja Patil</t>
  </si>
  <si>
    <t>LD0909</t>
  </si>
  <si>
    <t>Pramod Gaikwad</t>
  </si>
  <si>
    <t>2024-08-25</t>
  </si>
  <si>
    <t>LD0910</t>
  </si>
  <si>
    <t>Kavita Nimbalkar</t>
  </si>
  <si>
    <t>2024-08-22</t>
  </si>
  <si>
    <t>LD0911</t>
  </si>
  <si>
    <t>LD0912</t>
  </si>
  <si>
    <t>Sunil Pawar</t>
  </si>
  <si>
    <t>2024-08-13</t>
  </si>
  <si>
    <t>LD0913</t>
  </si>
  <si>
    <t>Rekha Zende</t>
  </si>
  <si>
    <t>LD0914</t>
  </si>
  <si>
    <t>Pravin Naik</t>
  </si>
  <si>
    <t>2024-09-17</t>
  </si>
  <si>
    <t>2024-09-21</t>
  </si>
  <si>
    <t>LD0915</t>
  </si>
  <si>
    <t>LD0916</t>
  </si>
  <si>
    <t>Amit Shinde</t>
  </si>
  <si>
    <t>LD0917</t>
  </si>
  <si>
    <t>Vijay Phule</t>
  </si>
  <si>
    <t>LD0918</t>
  </si>
  <si>
    <t>Manisha Yadav</t>
  </si>
  <si>
    <t>2024-08-26</t>
  </si>
  <si>
    <t>LD0919</t>
  </si>
  <si>
    <t>2024-09-10</t>
  </si>
  <si>
    <t>LD0920</t>
  </si>
  <si>
    <t>Lata Patil</t>
  </si>
  <si>
    <t>LD0921</t>
  </si>
  <si>
    <t>Madhuri Deshpande</t>
  </si>
  <si>
    <t>LD0922</t>
  </si>
  <si>
    <t>2024-08-17</t>
  </si>
  <si>
    <t>LD0923</t>
  </si>
  <si>
    <t>Rajesh Naik</t>
  </si>
  <si>
    <t>LD0924</t>
  </si>
  <si>
    <t>2024-07-23</t>
  </si>
  <si>
    <t>2024-07-27</t>
  </si>
  <si>
    <t>2024-09-11</t>
  </si>
  <si>
    <t>LD0925</t>
  </si>
  <si>
    <t>Vijay Yadav</t>
  </si>
  <si>
    <t>2024-08-10</t>
  </si>
  <si>
    <t>LD0926</t>
  </si>
  <si>
    <t>Anita Deshpande</t>
  </si>
  <si>
    <t>LD0927</t>
  </si>
  <si>
    <t>Sunil Londhe</t>
  </si>
  <si>
    <t>LD0928</t>
  </si>
  <si>
    <t>Suresh More</t>
  </si>
  <si>
    <t>LD0929</t>
  </si>
  <si>
    <t>LD0930</t>
  </si>
  <si>
    <t>LD0931</t>
  </si>
  <si>
    <t>Lata Mohite</t>
  </si>
  <si>
    <t>LD0932</t>
  </si>
  <si>
    <t>Bharati Bhosale</t>
  </si>
  <si>
    <t>2024-08-28</t>
  </si>
  <si>
    <t>LD0933</t>
  </si>
  <si>
    <t>Manisha Shelke</t>
  </si>
  <si>
    <t>2024-08-15</t>
  </si>
  <si>
    <t>LD0934</t>
  </si>
  <si>
    <t>Seema Phule</t>
  </si>
  <si>
    <t>LD0935</t>
  </si>
  <si>
    <t>Shweta Pawar</t>
  </si>
  <si>
    <t>LD0936</t>
  </si>
  <si>
    <t>Ravi Jadhav</t>
  </si>
  <si>
    <t>LD0937</t>
  </si>
  <si>
    <t>2024-09-09</t>
  </si>
  <si>
    <t>2024-09-25</t>
  </si>
  <si>
    <t>LD0938</t>
  </si>
  <si>
    <t>Pravin Kale</t>
  </si>
  <si>
    <t>LD0939</t>
  </si>
  <si>
    <t>2024-10-02</t>
  </si>
  <si>
    <t>LD0940</t>
  </si>
  <si>
    <t>Nikhil Salve</t>
  </si>
  <si>
    <t>2024-08-03</t>
  </si>
  <si>
    <t>2024-08-16</t>
  </si>
  <si>
    <t>LD0941</t>
  </si>
  <si>
    <t>2024-09-24</t>
  </si>
  <si>
    <t>LD0942</t>
  </si>
  <si>
    <t>Smita Wagh</t>
  </si>
  <si>
    <t>2024-10-14</t>
  </si>
  <si>
    <t>LD0943</t>
  </si>
  <si>
    <t>2024-08-31</t>
  </si>
  <si>
    <t>LD0944</t>
  </si>
  <si>
    <t>LD0945</t>
  </si>
  <si>
    <t>Rekha Londhe</t>
  </si>
  <si>
    <t>LD0946</t>
  </si>
  <si>
    <t>Varsha Kulkarni</t>
  </si>
  <si>
    <t>2024-09-30</t>
  </si>
  <si>
    <t>LD0947</t>
  </si>
  <si>
    <t>Archana Gavhane</t>
  </si>
  <si>
    <t>LD0948</t>
  </si>
  <si>
    <t>Pravin Kakade</t>
  </si>
  <si>
    <t>2024-09-04</t>
  </si>
  <si>
    <t>LD0949</t>
  </si>
  <si>
    <t>Smita Raut</t>
  </si>
  <si>
    <t>LD0950</t>
  </si>
  <si>
    <t>Kiran Shelke</t>
  </si>
  <si>
    <t>LD0951</t>
  </si>
  <si>
    <t>Varsha Sawant</t>
  </si>
  <si>
    <t>2024-10-12</t>
  </si>
  <si>
    <t>LD0952</t>
  </si>
  <si>
    <t>Amit Deshpande</t>
  </si>
  <si>
    <t>2024-09-03</t>
  </si>
  <si>
    <t>LD0953</t>
  </si>
  <si>
    <t>LD0954</t>
  </si>
  <si>
    <t>LD0955</t>
  </si>
  <si>
    <t>Madhuri Nikalje</t>
  </si>
  <si>
    <t>LD0956</t>
  </si>
  <si>
    <t>Ravi Patil</t>
  </si>
  <si>
    <t>LD0957</t>
  </si>
  <si>
    <t>LD0958</t>
  </si>
  <si>
    <t>2024-09-28</t>
  </si>
  <si>
    <t>LD0959</t>
  </si>
  <si>
    <t>2024-10-03</t>
  </si>
  <si>
    <t>LD0960</t>
  </si>
  <si>
    <t>Archana Bhalerao</t>
  </si>
  <si>
    <t>LD0961</t>
  </si>
  <si>
    <t>Varsha Gavhane</t>
  </si>
  <si>
    <t>2024-09-19</t>
  </si>
  <si>
    <t>LD0962</t>
  </si>
  <si>
    <t>Suresh Naik</t>
  </si>
  <si>
    <t>LD0963</t>
  </si>
  <si>
    <t>Sunita Shelke</t>
  </si>
  <si>
    <t>LD0964</t>
  </si>
  <si>
    <t>Alka Kakade</t>
  </si>
  <si>
    <t>2024-09-27</t>
  </si>
  <si>
    <t>LD0965</t>
  </si>
  <si>
    <t>Nikhil Raut</t>
  </si>
  <si>
    <t>2024-10-17</t>
  </si>
  <si>
    <t>2024-11-05</t>
  </si>
  <si>
    <t>LD0966</t>
  </si>
  <si>
    <t>Deepak Naik</t>
  </si>
  <si>
    <t>Facebook lead — customer did not pick up on callback</t>
  </si>
  <si>
    <t>LD0967</t>
  </si>
  <si>
    <t>LD0968</t>
  </si>
  <si>
    <t>Alka Bhalerao</t>
  </si>
  <si>
    <t>LD0969</t>
  </si>
  <si>
    <t>Nanda Nikalje</t>
  </si>
  <si>
    <t>2024-10-28</t>
  </si>
  <si>
    <t>LD0970</t>
  </si>
  <si>
    <t>Manoj Kadam</t>
  </si>
  <si>
    <t>LD0971</t>
  </si>
  <si>
    <t>LD0972</t>
  </si>
  <si>
    <t>Manisha Joshi</t>
  </si>
  <si>
    <t>2024-10-10</t>
  </si>
  <si>
    <t>LD0973</t>
  </si>
  <si>
    <t>Sanjay Salve</t>
  </si>
  <si>
    <t>2024-09-15</t>
  </si>
  <si>
    <t>LD0974</t>
  </si>
  <si>
    <t>LD0975</t>
  </si>
  <si>
    <t>LD0976</t>
  </si>
  <si>
    <t>Shweta Gaikwad</t>
  </si>
  <si>
    <t>LD0977</t>
  </si>
  <si>
    <t>Bharati Aware</t>
  </si>
  <si>
    <t>LD0978</t>
  </si>
  <si>
    <t>Smita Mohite</t>
  </si>
  <si>
    <t>LD0979</t>
  </si>
  <si>
    <t>Vijay Tupe</t>
  </si>
  <si>
    <t>2024-09-16</t>
  </si>
  <si>
    <t>LD0980</t>
  </si>
  <si>
    <t>2024-09-20</t>
  </si>
  <si>
    <t>LD0981</t>
  </si>
  <si>
    <t>LD0982</t>
  </si>
  <si>
    <t>Manoj Raut</t>
  </si>
  <si>
    <t>2024-09-13</t>
  </si>
  <si>
    <t>LD0983</t>
  </si>
  <si>
    <t>Alka Bhosale</t>
  </si>
  <si>
    <t>2024-09-29</t>
  </si>
  <si>
    <t>LD0984</t>
  </si>
  <si>
    <t>Nikhil Chavan</t>
  </si>
  <si>
    <t>LD0985</t>
  </si>
  <si>
    <t>2024-09-26</t>
  </si>
  <si>
    <t>LD0986</t>
  </si>
  <si>
    <t>2024-11-02</t>
  </si>
  <si>
    <t>2024-11-19</t>
  </si>
  <si>
    <t>LD0987</t>
  </si>
  <si>
    <t>Sachin Bansode</t>
  </si>
  <si>
    <t>LD0988</t>
  </si>
  <si>
    <t>LD0989</t>
  </si>
  <si>
    <t>2024-08-30</t>
  </si>
  <si>
    <t>LD0990</t>
  </si>
  <si>
    <t>Devendra Thorat</t>
  </si>
  <si>
    <t>2024-11-15</t>
  </si>
  <si>
    <t>LD0991</t>
  </si>
  <si>
    <t>Madhuri Bhosale</t>
  </si>
  <si>
    <t>LD0992</t>
  </si>
  <si>
    <t>Alka Sonawane</t>
  </si>
  <si>
    <t>LD0993</t>
  </si>
  <si>
    <t>Pooja Aware</t>
  </si>
  <si>
    <t>LD0994</t>
  </si>
  <si>
    <t>2024-10-05</t>
  </si>
  <si>
    <t>LD0995</t>
  </si>
  <si>
    <t>Deepak More</t>
  </si>
  <si>
    <t>LD0996</t>
  </si>
  <si>
    <t>2024-09-18</t>
  </si>
  <si>
    <t>LD0997</t>
  </si>
  <si>
    <t>2024-09-05</t>
  </si>
  <si>
    <t>2024-11-09</t>
  </si>
  <si>
    <t>LD0998</t>
  </si>
  <si>
    <t>Deepak Kulkarni</t>
  </si>
  <si>
    <t>LD0999</t>
  </si>
  <si>
    <t>Sunanda Kulkarni</t>
  </si>
  <si>
    <t>2024-10-11</t>
  </si>
  <si>
    <t>LD1000</t>
  </si>
  <si>
    <t>LD1001</t>
  </si>
  <si>
    <t>2024-10-24</t>
  </si>
  <si>
    <t>LD1002</t>
  </si>
  <si>
    <t>LD1003</t>
  </si>
  <si>
    <t>Archana Nimbalkar</t>
  </si>
  <si>
    <t>2024-09-14</t>
  </si>
  <si>
    <t>LD1004</t>
  </si>
  <si>
    <t>Meena Mohite</t>
  </si>
  <si>
    <t>LD1005</t>
  </si>
  <si>
    <t>2024-09-12</t>
  </si>
  <si>
    <t>LD1006</t>
  </si>
  <si>
    <t>Lata Shelke</t>
  </si>
  <si>
    <t>LD1007</t>
  </si>
  <si>
    <t>Santosh Sonawane</t>
  </si>
  <si>
    <t>2024-10-09</t>
  </si>
  <si>
    <t>2024-10-30</t>
  </si>
  <si>
    <t>LD1008</t>
  </si>
  <si>
    <t>Manisha Naik</t>
  </si>
  <si>
    <t>2024-10-07</t>
  </si>
  <si>
    <t>LD1009</t>
  </si>
  <si>
    <t>Sachin Pawar</t>
  </si>
  <si>
    <t>LD1010</t>
  </si>
  <si>
    <t>LD1011</t>
  </si>
  <si>
    <t>LD1012</t>
  </si>
  <si>
    <t>LD1013</t>
  </si>
  <si>
    <t>Nilesh Thorat</t>
  </si>
  <si>
    <t>2024-09-23</t>
  </si>
  <si>
    <t>LD1014</t>
  </si>
  <si>
    <t>2024-10-04</t>
  </si>
  <si>
    <t>LD1015</t>
  </si>
  <si>
    <t>Sunanda Wagh</t>
  </si>
  <si>
    <t>LD1016</t>
  </si>
  <si>
    <t>Rekha Nimbalkar</t>
  </si>
  <si>
    <t>2024-10-23</t>
  </si>
  <si>
    <t>LD1017</t>
  </si>
  <si>
    <t>Madhuri Jadhav</t>
  </si>
  <si>
    <t>LD1018</t>
  </si>
  <si>
    <t>2024-10-29</t>
  </si>
  <si>
    <t>LD1019</t>
  </si>
  <si>
    <t>2024-10-15</t>
  </si>
  <si>
    <t>LD1020</t>
  </si>
  <si>
    <t>Ganesh Salve</t>
  </si>
  <si>
    <t>2024-11-22</t>
  </si>
  <si>
    <t>LD1021</t>
  </si>
  <si>
    <t>LD1022</t>
  </si>
  <si>
    <t>2024-11-23</t>
  </si>
  <si>
    <t>2024-12-01</t>
  </si>
  <si>
    <t>LD1023</t>
  </si>
  <si>
    <t>Anita More</t>
  </si>
  <si>
    <t>2024-10-18</t>
  </si>
  <si>
    <t>LD1024</t>
  </si>
  <si>
    <t>Manoj Kakade</t>
  </si>
  <si>
    <t>LD1025</t>
  </si>
  <si>
    <t>Manisha Pawar</t>
  </si>
  <si>
    <t>LD1026</t>
  </si>
  <si>
    <t>LD1027</t>
  </si>
  <si>
    <t>2024-11-26</t>
  </si>
  <si>
    <t>LD1028</t>
  </si>
  <si>
    <t>Nilesh Kulkarni</t>
  </si>
  <si>
    <t>LD1029</t>
  </si>
  <si>
    <t>2024-11-04</t>
  </si>
  <si>
    <t>2024-11-08</t>
  </si>
  <si>
    <t>LD1030</t>
  </si>
  <si>
    <t>Arun Wagh</t>
  </si>
  <si>
    <t>2024-11-07</t>
  </si>
  <si>
    <t>LD1031</t>
  </si>
  <si>
    <t>Meena Gavhane</t>
  </si>
  <si>
    <t>LD1032</t>
  </si>
  <si>
    <t>Umesh Joshi</t>
  </si>
  <si>
    <t>2024-10-21</t>
  </si>
  <si>
    <t>LD1033</t>
  </si>
  <si>
    <t>Meena Aware</t>
  </si>
  <si>
    <t>2024-11-21</t>
  </si>
  <si>
    <t>LD1034</t>
  </si>
  <si>
    <t>Nikhil Bhalerao</t>
  </si>
  <si>
    <t>LD1035</t>
  </si>
  <si>
    <t>Umesh Tupe</t>
  </si>
  <si>
    <t>2024-10-25</t>
  </si>
  <si>
    <t>2024-11-12</t>
  </si>
  <si>
    <t>LD1036</t>
  </si>
  <si>
    <t>Rohit Raut</t>
  </si>
  <si>
    <t>LD1037</t>
  </si>
  <si>
    <t>LD1038</t>
  </si>
  <si>
    <t>Sachin Joshi</t>
  </si>
  <si>
    <t>LD1039</t>
  </si>
  <si>
    <t>Sunil Jadhav</t>
  </si>
  <si>
    <t>2024-10-08</t>
  </si>
  <si>
    <t>LD1040</t>
  </si>
  <si>
    <t>LD1041</t>
  </si>
  <si>
    <t>LD1042</t>
  </si>
  <si>
    <t>Rekha Mane</t>
  </si>
  <si>
    <t>2024-10-26</t>
  </si>
  <si>
    <t>LD1043</t>
  </si>
  <si>
    <t>2024-10-16</t>
  </si>
  <si>
    <t>LD1044</t>
  </si>
  <si>
    <t>Sonal Nimbalkar</t>
  </si>
  <si>
    <t>2024-12-08</t>
  </si>
  <si>
    <t>LD1045</t>
  </si>
  <si>
    <t>LD1046</t>
  </si>
  <si>
    <t>Kavita Gavhane</t>
  </si>
  <si>
    <t>2024-10-01</t>
  </si>
  <si>
    <t>LD1047</t>
  </si>
  <si>
    <t>LD1048</t>
  </si>
  <si>
    <t>LD1049</t>
  </si>
  <si>
    <t>LD1050</t>
  </si>
  <si>
    <t>Deepak Mohite</t>
  </si>
  <si>
    <t>LD1051</t>
  </si>
  <si>
    <t>Devendra Bhosale</t>
  </si>
  <si>
    <t>2024-10-20</t>
  </si>
  <si>
    <t>LD1052</t>
  </si>
  <si>
    <t>2024-11-30</t>
  </si>
  <si>
    <t>LD1053</t>
  </si>
  <si>
    <t>LD1054</t>
  </si>
  <si>
    <t>Amit Bansode</t>
  </si>
  <si>
    <t>2024-10-22</t>
  </si>
  <si>
    <t>LD1055</t>
  </si>
  <si>
    <t>Nanda Phule</t>
  </si>
  <si>
    <t>2024-12-16</t>
  </si>
  <si>
    <t>LD1056</t>
  </si>
  <si>
    <t>Ritu Tupe</t>
  </si>
  <si>
    <t>LD1057</t>
  </si>
  <si>
    <t>Pooja Pawar</t>
  </si>
  <si>
    <t>2024-10-19</t>
  </si>
  <si>
    <t>2024-11-06</t>
  </si>
  <si>
    <t>LD1058</t>
  </si>
  <si>
    <t>Alka Joshi</t>
  </si>
  <si>
    <t>LD1059</t>
  </si>
  <si>
    <t>2024-11-17</t>
  </si>
  <si>
    <t>LD1060</t>
  </si>
  <si>
    <t>LD1061</t>
  </si>
  <si>
    <t>LD1062</t>
  </si>
  <si>
    <t>Anita Raut</t>
  </si>
  <si>
    <t>LD1063</t>
  </si>
  <si>
    <t>LD1064</t>
  </si>
  <si>
    <t>Sanjay Shinde</t>
  </si>
  <si>
    <t>LD1065</t>
  </si>
  <si>
    <t>LD1066</t>
  </si>
  <si>
    <t>Rohit Londhe</t>
  </si>
  <si>
    <t>2024-10-31</t>
  </si>
  <si>
    <t>LD1067</t>
  </si>
  <si>
    <t>LD1068</t>
  </si>
  <si>
    <t>2024-12-02</t>
  </si>
  <si>
    <t>LD1069</t>
  </si>
  <si>
    <t>Meena More</t>
  </si>
  <si>
    <t>LD1070</t>
  </si>
  <si>
    <t>LD1071</t>
  </si>
  <si>
    <t>LD1072</t>
  </si>
  <si>
    <t>Suresh Deshpande</t>
  </si>
  <si>
    <t>LD1073</t>
  </si>
  <si>
    <t>LD1074</t>
  </si>
  <si>
    <t>Shweta Wagh</t>
  </si>
  <si>
    <t>2024-11-27</t>
  </si>
  <si>
    <t>LD1075</t>
  </si>
  <si>
    <t>Smita Zende</t>
  </si>
  <si>
    <t>2024-12-13</t>
  </si>
  <si>
    <t>LD1076</t>
  </si>
  <si>
    <t>LD1077</t>
  </si>
  <si>
    <t>Seema Naik</t>
  </si>
  <si>
    <t>LD1078</t>
  </si>
  <si>
    <t>LD1079</t>
  </si>
  <si>
    <t>Nanda Gavhane</t>
  </si>
  <si>
    <t>LD1080</t>
  </si>
  <si>
    <t>LD1081</t>
  </si>
  <si>
    <t>LD1082</t>
  </si>
  <si>
    <t>2024-12-11</t>
  </si>
  <si>
    <t>LD1083</t>
  </si>
  <si>
    <t>Sunil Kakade</t>
  </si>
  <si>
    <t>LD1084</t>
  </si>
  <si>
    <t>Rekha Joshi</t>
  </si>
  <si>
    <t>2025-01-02</t>
  </si>
  <si>
    <t>LD1085</t>
  </si>
  <si>
    <t>LD1086</t>
  </si>
  <si>
    <t>2024-11-18</t>
  </si>
  <si>
    <t>LD1087</t>
  </si>
  <si>
    <t>Sanjay Kulkarni</t>
  </si>
  <si>
    <t>LD1088</t>
  </si>
  <si>
    <t>LD1089</t>
  </si>
  <si>
    <t>LD1090</t>
  </si>
  <si>
    <t>Hemant Nikalje</t>
  </si>
  <si>
    <t>2024-11-11</t>
  </si>
  <si>
    <t>Replied to Instagram reel, no further response</t>
  </si>
  <si>
    <t>LD1091</t>
  </si>
  <si>
    <t>LD1092</t>
  </si>
  <si>
    <t>LD1093</t>
  </si>
  <si>
    <t>Jyoti Shelke</t>
  </si>
  <si>
    <t>2024-12-17</t>
  </si>
  <si>
    <t>LD1094</t>
  </si>
  <si>
    <t>Mahesh More</t>
  </si>
  <si>
    <t>2024-11-29</t>
  </si>
  <si>
    <t>LD1095</t>
  </si>
  <si>
    <t>LD1096</t>
  </si>
  <si>
    <t>LD1097</t>
  </si>
  <si>
    <t>Vikas Nikalje</t>
  </si>
  <si>
    <t>2024-12-10</t>
  </si>
  <si>
    <t>2024-12-26</t>
  </si>
  <si>
    <t>LD1098</t>
  </si>
  <si>
    <t>2024-12-09</t>
  </si>
  <si>
    <t>2024-12-25</t>
  </si>
  <si>
    <t>LD1099</t>
  </si>
  <si>
    <t>Seema Kshirsagar</t>
  </si>
  <si>
    <t>LD1100</t>
  </si>
  <si>
    <t>Kiran Kakade</t>
  </si>
  <si>
    <t>2024-11-14</t>
  </si>
  <si>
    <t>LD1101</t>
  </si>
  <si>
    <t>2024-11-20</t>
  </si>
  <si>
    <t>LD1102</t>
  </si>
  <si>
    <t>LD1103</t>
  </si>
  <si>
    <t>LD1104</t>
  </si>
  <si>
    <t>LD1105</t>
  </si>
  <si>
    <t>Dinesh Yadav</t>
  </si>
  <si>
    <t>LD1106</t>
  </si>
  <si>
    <t>Rohit Mane</t>
  </si>
  <si>
    <t>LD1107</t>
  </si>
  <si>
    <t>Suresh Kadam</t>
  </si>
  <si>
    <t>LD1108</t>
  </si>
  <si>
    <t>LD1109</t>
  </si>
  <si>
    <t>Amit Salve</t>
  </si>
  <si>
    <t>LD1110</t>
  </si>
  <si>
    <t>Seema Thorat</t>
  </si>
  <si>
    <t>LD1111</t>
  </si>
  <si>
    <t>Bharati Bhalerao</t>
  </si>
  <si>
    <t>LD1112</t>
  </si>
  <si>
    <t>LD1113</t>
  </si>
  <si>
    <t>LD1114</t>
  </si>
  <si>
    <t>Smita Shinde</t>
  </si>
  <si>
    <t>LD1115</t>
  </si>
  <si>
    <t>Sachin Jadhav</t>
  </si>
  <si>
    <t>2024-11-16</t>
  </si>
  <si>
    <t>2024-12-06</t>
  </si>
  <si>
    <t>LD1116</t>
  </si>
  <si>
    <t>LD1117</t>
  </si>
  <si>
    <t>LD1118</t>
  </si>
  <si>
    <t>Pooja Zende</t>
  </si>
  <si>
    <t>LD1119</t>
  </si>
  <si>
    <t>Dinesh Kulkarni</t>
  </si>
  <si>
    <t>LD1120</t>
  </si>
  <si>
    <t>Nilesh Suryawanshi</t>
  </si>
  <si>
    <t>LD1121</t>
  </si>
  <si>
    <t>Ashwini Deshmukh</t>
  </si>
  <si>
    <t>LD1122</t>
  </si>
  <si>
    <t>Nilesh Pawar</t>
  </si>
  <si>
    <t>LD1123</t>
  </si>
  <si>
    <t>LD1124</t>
  </si>
  <si>
    <t>LD1125</t>
  </si>
  <si>
    <t>Shweta Bansode</t>
  </si>
  <si>
    <t>LD1126</t>
  </si>
  <si>
    <t>Rajesh Suryawanshi</t>
  </si>
  <si>
    <t>LD1127</t>
  </si>
  <si>
    <t>Dinesh Sawant</t>
  </si>
  <si>
    <t>LD1128</t>
  </si>
  <si>
    <t>Vikas Kshirsagar</t>
  </si>
  <si>
    <t>2024-11-28</t>
  </si>
  <si>
    <t>LD1129</t>
  </si>
  <si>
    <t>Kiran Salve</t>
  </si>
  <si>
    <t>2024-12-21</t>
  </si>
  <si>
    <t>LD1130</t>
  </si>
  <si>
    <t>Suresh Bansode</t>
  </si>
  <si>
    <t>LD1131</t>
  </si>
  <si>
    <t>Rajesh Holkar</t>
  </si>
  <si>
    <t>2024-11-01</t>
  </si>
  <si>
    <t>LD1132</t>
  </si>
  <si>
    <t>Smita Shelke</t>
  </si>
  <si>
    <t>LD1133</t>
  </si>
  <si>
    <t>LD1134</t>
  </si>
  <si>
    <t>Sunita Naik</t>
  </si>
  <si>
    <t>2024-12-31</t>
  </si>
  <si>
    <t>LD1135</t>
  </si>
  <si>
    <t>Manoj Pawar</t>
  </si>
  <si>
    <t>LD1136</t>
  </si>
  <si>
    <t>Rajesh Deshmukh</t>
  </si>
  <si>
    <t>LD1137</t>
  </si>
  <si>
    <t>LD1138</t>
  </si>
  <si>
    <t>Amit Mane</t>
  </si>
  <si>
    <t>LD1139-DUP</t>
  </si>
  <si>
    <t>LD1140</t>
  </si>
  <si>
    <t>Deepak Joshi</t>
  </si>
  <si>
    <t>LD1141</t>
  </si>
  <si>
    <t>2024-12-19</t>
  </si>
  <si>
    <t>LD1142</t>
  </si>
  <si>
    <t>Meena Salve</t>
  </si>
  <si>
    <t>2024-12-23</t>
  </si>
  <si>
    <t>LD1143</t>
  </si>
  <si>
    <t>Archana Raut</t>
  </si>
  <si>
    <t>LD1144</t>
  </si>
  <si>
    <t>LD1145</t>
  </si>
  <si>
    <t>Santosh More</t>
  </si>
  <si>
    <t>2024-12-18</t>
  </si>
  <si>
    <t>LD1146</t>
  </si>
  <si>
    <t>LD1147</t>
  </si>
  <si>
    <t>2024-12-12</t>
  </si>
  <si>
    <t>LD1148</t>
  </si>
  <si>
    <t>Ganesh Patil</t>
  </si>
  <si>
    <t>LD1149</t>
  </si>
  <si>
    <t>Smita Chavan</t>
  </si>
  <si>
    <t>LD1150</t>
  </si>
  <si>
    <t>LD1151</t>
  </si>
  <si>
    <t>2024-12-05</t>
  </si>
  <si>
    <t>LD1152</t>
  </si>
  <si>
    <t>Anita Kulkarni</t>
  </si>
  <si>
    <t>LD1153</t>
  </si>
  <si>
    <t>2025-01-15</t>
  </si>
  <si>
    <t>LD1154</t>
  </si>
  <si>
    <t>LD1155</t>
  </si>
  <si>
    <t>2025-01-03</t>
  </si>
  <si>
    <t>LD1156</t>
  </si>
  <si>
    <t>Ganesh Holkar</t>
  </si>
  <si>
    <t>LD1157</t>
  </si>
  <si>
    <t>Dinesh Zende</t>
  </si>
  <si>
    <t>LD1158</t>
  </si>
  <si>
    <t>LD1159</t>
  </si>
  <si>
    <t>LD1160</t>
  </si>
  <si>
    <t>Sunanda Tupe</t>
  </si>
  <si>
    <t>LD1161</t>
  </si>
  <si>
    <t>LD1162</t>
  </si>
  <si>
    <t>Pooja Jadhav</t>
  </si>
  <si>
    <t>LD1163</t>
  </si>
  <si>
    <t>LD1164</t>
  </si>
  <si>
    <t>LD1165</t>
  </si>
  <si>
    <t>Varsha Shinde</t>
  </si>
  <si>
    <t>LD1166</t>
  </si>
  <si>
    <t>Archana Aware</t>
  </si>
  <si>
    <t>2024-12-24</t>
  </si>
  <si>
    <t>LD1167</t>
  </si>
  <si>
    <t>LD1168</t>
  </si>
  <si>
    <t>Bharati Pawar</t>
  </si>
  <si>
    <t>LD1169</t>
  </si>
  <si>
    <t>LD1170</t>
  </si>
  <si>
    <t>Kavita Joshi</t>
  </si>
  <si>
    <t>2024-12-03</t>
  </si>
  <si>
    <t>LD1171</t>
  </si>
  <si>
    <t>Santosh Gavhane</t>
  </si>
  <si>
    <t>LD1172</t>
  </si>
  <si>
    <t>LD1173</t>
  </si>
  <si>
    <t>LD1174</t>
  </si>
  <si>
    <t>Vikas Shelke</t>
  </si>
  <si>
    <t>2024-12-04</t>
  </si>
  <si>
    <t>LD1175</t>
  </si>
  <si>
    <t>LD1176</t>
  </si>
  <si>
    <t>Kiran Bansode</t>
  </si>
  <si>
    <t>2024-12-30</t>
  </si>
  <si>
    <t>LD1177</t>
  </si>
  <si>
    <t>Sonal Pawar</t>
  </si>
  <si>
    <t>LD1178</t>
  </si>
  <si>
    <t>Devendra Patil</t>
  </si>
  <si>
    <t>LD1179</t>
  </si>
  <si>
    <t>2024-12-20</t>
  </si>
  <si>
    <t>LD1180</t>
  </si>
  <si>
    <t>Ritu Bansode</t>
  </si>
  <si>
    <t>2024-11-13</t>
  </si>
  <si>
    <t>LD1181</t>
  </si>
  <si>
    <t>Sachin Shinde</t>
  </si>
  <si>
    <t>2025-01-08</t>
  </si>
  <si>
    <t>LD1182</t>
  </si>
  <si>
    <t>2024-12-28</t>
  </si>
  <si>
    <t>LD1183</t>
  </si>
  <si>
    <t>LD1184</t>
  </si>
  <si>
    <t>LD1185</t>
  </si>
  <si>
    <t>LD1186</t>
  </si>
  <si>
    <t>Divya Joshi</t>
  </si>
  <si>
    <t>LD1187</t>
  </si>
  <si>
    <t>Pooja Sonawane</t>
  </si>
  <si>
    <t>LD1188</t>
  </si>
  <si>
    <t>Santosh Shinde</t>
  </si>
  <si>
    <t>LD1189</t>
  </si>
  <si>
    <t>2025-01-22</t>
  </si>
  <si>
    <t>2025-02-11</t>
  </si>
  <si>
    <t>LD1190</t>
  </si>
  <si>
    <t>LD1191</t>
  </si>
  <si>
    <t>LD1192</t>
  </si>
  <si>
    <t>LD1193</t>
  </si>
  <si>
    <t>LD1194</t>
  </si>
  <si>
    <t>Alka Wagh</t>
  </si>
  <si>
    <t>LD1195</t>
  </si>
  <si>
    <t>LD1196</t>
  </si>
  <si>
    <t>Hemant Thorat</t>
  </si>
  <si>
    <t>2024-12-14</t>
  </si>
  <si>
    <t>LD1197</t>
  </si>
  <si>
    <t>Sachin Deshmukh</t>
  </si>
  <si>
    <t>LD1198</t>
  </si>
  <si>
    <t>Lata Sawant</t>
  </si>
  <si>
    <t>LD1199</t>
  </si>
  <si>
    <t>LD1200</t>
  </si>
  <si>
    <t>Suresh Bhosale</t>
  </si>
  <si>
    <t>LD1201</t>
  </si>
  <si>
    <t>LD1202</t>
  </si>
  <si>
    <t>LD1203</t>
  </si>
  <si>
    <t>2025-01-14</t>
  </si>
  <si>
    <t>LD1204</t>
  </si>
  <si>
    <t>LD1205</t>
  </si>
  <si>
    <t>Prashant Londhe</t>
  </si>
  <si>
    <t>2025-01-17</t>
  </si>
  <si>
    <t>LD1206</t>
  </si>
  <si>
    <t>LD1207</t>
  </si>
  <si>
    <t>Lata Bansode</t>
  </si>
  <si>
    <t>LD1208</t>
  </si>
  <si>
    <t>Varsha Deshmukh</t>
  </si>
  <si>
    <t>LD1209</t>
  </si>
  <si>
    <t>LD1210</t>
  </si>
  <si>
    <t>Meena Kakade</t>
  </si>
  <si>
    <t>LD1211</t>
  </si>
  <si>
    <t>Lata Kakade</t>
  </si>
  <si>
    <t>2024-11-25</t>
  </si>
  <si>
    <t>LD1212</t>
  </si>
  <si>
    <t>Vikas Londhe</t>
  </si>
  <si>
    <t>LD1213</t>
  </si>
  <si>
    <t>Ravi Nikalje</t>
  </si>
  <si>
    <t>2025-02-06</t>
  </si>
  <si>
    <t>LD1214</t>
  </si>
  <si>
    <t>Sanjay Zende</t>
  </si>
  <si>
    <t>LD1215</t>
  </si>
  <si>
    <t>LD1216</t>
  </si>
  <si>
    <t>Rohit Kakade</t>
  </si>
  <si>
    <t>LD1217</t>
  </si>
  <si>
    <t>Hemant Londhe</t>
  </si>
  <si>
    <t>LD1218</t>
  </si>
  <si>
    <t>2025-01-13</t>
  </si>
  <si>
    <t>2025-02-03</t>
  </si>
  <si>
    <t>LD1219</t>
  </si>
  <si>
    <t>LD1220</t>
  </si>
  <si>
    <t>LD1221</t>
  </si>
  <si>
    <t>Rohit Chavan</t>
  </si>
  <si>
    <t>LD1222</t>
  </si>
  <si>
    <t>Smita Deshmukh</t>
  </si>
  <si>
    <t>LD1223</t>
  </si>
  <si>
    <t>Seema Jadhav</t>
  </si>
  <si>
    <t>2025-01-01</t>
  </si>
  <si>
    <t>LD1224</t>
  </si>
  <si>
    <t>Devendra Shinde</t>
  </si>
  <si>
    <t>2025-01-18</t>
  </si>
  <si>
    <t>LD1225</t>
  </si>
  <si>
    <t>Mahesh Nimbalkar</t>
  </si>
  <si>
    <t>LD1226</t>
  </si>
  <si>
    <t>LD1227</t>
  </si>
  <si>
    <t>Santosh Zende</t>
  </si>
  <si>
    <t>LD1228</t>
  </si>
  <si>
    <t>2025-02-05</t>
  </si>
  <si>
    <t>2025-02-23</t>
  </si>
  <si>
    <t>LD1229</t>
  </si>
  <si>
    <t>2024-12-07</t>
  </si>
  <si>
    <t>LD1230</t>
  </si>
  <si>
    <t>LD1231</t>
  </si>
  <si>
    <t>2025-01-20</t>
  </si>
  <si>
    <t>LD1232</t>
  </si>
  <si>
    <t>Nilesh Bhalerao</t>
  </si>
  <si>
    <t>LD1233</t>
  </si>
  <si>
    <t>2025-01-24</t>
  </si>
  <si>
    <t>LD1234</t>
  </si>
  <si>
    <t>Seema Zende</t>
  </si>
  <si>
    <t>2025-02-01</t>
  </si>
  <si>
    <t>2025-02-09</t>
  </si>
  <si>
    <t>LD1235</t>
  </si>
  <si>
    <t>LD1236</t>
  </si>
  <si>
    <t>Archana Phule</t>
  </si>
  <si>
    <t>2025-01-06</t>
  </si>
  <si>
    <t>LD1237</t>
  </si>
  <si>
    <t>LD1238</t>
  </si>
  <si>
    <t>LD1239</t>
  </si>
  <si>
    <t>LD1240</t>
  </si>
  <si>
    <t>LD1241</t>
  </si>
  <si>
    <t>LD1242</t>
  </si>
  <si>
    <t>Sunil Holkar</t>
  </si>
  <si>
    <t>2025-01-21</t>
  </si>
  <si>
    <t>LD1243</t>
  </si>
  <si>
    <t>LD1244</t>
  </si>
  <si>
    <t>LD1245</t>
  </si>
  <si>
    <t>Vijay Suryawanshi</t>
  </si>
  <si>
    <t>LD1246</t>
  </si>
  <si>
    <t>Meena Shinde</t>
  </si>
  <si>
    <t>2025-01-29</t>
  </si>
  <si>
    <t>LD1247</t>
  </si>
  <si>
    <t>Umesh Deshmukh</t>
  </si>
  <si>
    <t>LD1248</t>
  </si>
  <si>
    <t>LD1249</t>
  </si>
  <si>
    <t>LD1250</t>
  </si>
  <si>
    <t>Rajesh Patil</t>
  </si>
  <si>
    <t>LD1251</t>
  </si>
  <si>
    <t>Bharati Kulkarni</t>
  </si>
  <si>
    <t>LD1252</t>
  </si>
  <si>
    <t>LD1253</t>
  </si>
  <si>
    <t>2025-02-17</t>
  </si>
  <si>
    <t>LD1254</t>
  </si>
  <si>
    <t>Sunanda Yadav</t>
  </si>
  <si>
    <t>LD1255</t>
  </si>
  <si>
    <t>Mahesh Sawant</t>
  </si>
  <si>
    <t>LD1256-DUP</t>
  </si>
  <si>
    <t>LD1257</t>
  </si>
  <si>
    <t>LD1258</t>
  </si>
  <si>
    <t>LD1259</t>
  </si>
  <si>
    <t>Manisha Sawant</t>
  </si>
  <si>
    <t>LD1260</t>
  </si>
  <si>
    <t>Pravin Shelke</t>
  </si>
  <si>
    <t>2025-01-07</t>
  </si>
  <si>
    <t>LD1261</t>
  </si>
  <si>
    <t>Arun Zende</t>
  </si>
  <si>
    <t>2025-01-30</t>
  </si>
  <si>
    <t>LD1262</t>
  </si>
  <si>
    <t>LD1263</t>
  </si>
  <si>
    <t>Vikas Jadhav</t>
  </si>
  <si>
    <t>LD1264</t>
  </si>
  <si>
    <t>Pramod Mane</t>
  </si>
  <si>
    <t>LD1265</t>
  </si>
  <si>
    <t>2025-02-16</t>
  </si>
  <si>
    <t>LD1266</t>
  </si>
  <si>
    <t>LD1267</t>
  </si>
  <si>
    <t>Santosh Phule</t>
  </si>
  <si>
    <t>LD1268</t>
  </si>
  <si>
    <t>LD1269</t>
  </si>
  <si>
    <t>LD1270</t>
  </si>
  <si>
    <t>Bharati Kakade</t>
  </si>
  <si>
    <t>LD1271</t>
  </si>
  <si>
    <t>Sonal Deshpande</t>
  </si>
  <si>
    <t>2025-02-26</t>
  </si>
  <si>
    <t>2025-03-02</t>
  </si>
  <si>
    <t>LD1272</t>
  </si>
  <si>
    <t>Kavita Phule</t>
  </si>
  <si>
    <t>2025-01-19</t>
  </si>
  <si>
    <t>LD1273</t>
  </si>
  <si>
    <t>2025-01-11</t>
  </si>
  <si>
    <t>LD1274</t>
  </si>
  <si>
    <t>Seema Pawar</t>
  </si>
  <si>
    <t>LD1275</t>
  </si>
  <si>
    <t>LD1276</t>
  </si>
  <si>
    <t>2024-12-27</t>
  </si>
  <si>
    <t>2025-01-04</t>
  </si>
  <si>
    <t>LD1277</t>
  </si>
  <si>
    <t>Mahesh Bhalerao</t>
  </si>
  <si>
    <t>2025-01-23</t>
  </si>
  <si>
    <t>2025-01-31</t>
  </si>
  <si>
    <t>LD1278</t>
  </si>
  <si>
    <t>Sonal Kshirsagar</t>
  </si>
  <si>
    <t>LD1279</t>
  </si>
  <si>
    <t>2025-01-25</t>
  </si>
  <si>
    <t>LD1280</t>
  </si>
  <si>
    <t>Santosh Holkar</t>
  </si>
  <si>
    <t>LD1281</t>
  </si>
  <si>
    <t>Rajesh Jadhav</t>
  </si>
  <si>
    <t>2025-01-16</t>
  </si>
  <si>
    <t>LD1282</t>
  </si>
  <si>
    <t>Deepak Shinde</t>
  </si>
  <si>
    <t>LD1283</t>
  </si>
  <si>
    <t>Deepak Kadam</t>
  </si>
  <si>
    <t>LD1284</t>
  </si>
  <si>
    <t>Prashant Yadav</t>
  </si>
  <si>
    <t>LD1285</t>
  </si>
  <si>
    <t>LD1286</t>
  </si>
  <si>
    <t>2025-02-10</t>
  </si>
  <si>
    <t>2025-03-03</t>
  </si>
  <si>
    <t>LD1287</t>
  </si>
  <si>
    <t>Nanda Bansode</t>
  </si>
  <si>
    <t>LD1288</t>
  </si>
  <si>
    <t>LD1289</t>
  </si>
  <si>
    <t>LD1290</t>
  </si>
  <si>
    <t>LD1291</t>
  </si>
  <si>
    <t>LD1292</t>
  </si>
  <si>
    <t>LD1293</t>
  </si>
  <si>
    <t>LD1294</t>
  </si>
  <si>
    <t>Sunita Patil</t>
  </si>
  <si>
    <t>LD1295</t>
  </si>
  <si>
    <t>2025-01-27</t>
  </si>
  <si>
    <t>2025-02-07</t>
  </si>
  <si>
    <t>LD1296</t>
  </si>
  <si>
    <t>2025-03-01</t>
  </si>
  <si>
    <t>2025-03-19</t>
  </si>
  <si>
    <t>LD1297</t>
  </si>
  <si>
    <t>Sachin Aware</t>
  </si>
  <si>
    <t>LD1298</t>
  </si>
  <si>
    <t>LD1299</t>
  </si>
  <si>
    <t>Kavita Kulkarni</t>
  </si>
  <si>
    <t>LD1300</t>
  </si>
  <si>
    <t>Nikhil Mohite</t>
  </si>
  <si>
    <t>LD1301</t>
  </si>
  <si>
    <t>LD1302</t>
  </si>
  <si>
    <t>Rajesh Phule</t>
  </si>
  <si>
    <t>LD1303</t>
  </si>
  <si>
    <t>LD1304</t>
  </si>
  <si>
    <t>Jyoti Naik</t>
  </si>
  <si>
    <t>LD1305</t>
  </si>
  <si>
    <t>LD1306</t>
  </si>
  <si>
    <t>2025-03-13</t>
  </si>
  <si>
    <t>LD1307</t>
  </si>
  <si>
    <t>LD1308</t>
  </si>
  <si>
    <t>LD1309</t>
  </si>
  <si>
    <t>LD1310</t>
  </si>
  <si>
    <t>2025-02-18</t>
  </si>
  <si>
    <t>LD1311</t>
  </si>
  <si>
    <t>LD1312</t>
  </si>
  <si>
    <t>LD1313</t>
  </si>
  <si>
    <t>Manisha Salve</t>
  </si>
  <si>
    <t>LD1314</t>
  </si>
  <si>
    <t>LD1315</t>
  </si>
  <si>
    <t>2025-03-17</t>
  </si>
  <si>
    <t>2025-03-26</t>
  </si>
  <si>
    <t>LD1316</t>
  </si>
  <si>
    <t>Varsha Thorat</t>
  </si>
  <si>
    <t>2025-03-24</t>
  </si>
  <si>
    <t>2025-03-27</t>
  </si>
  <si>
    <t>LD1317</t>
  </si>
  <si>
    <t>2025-01-10</t>
  </si>
  <si>
    <t>LD1318</t>
  </si>
  <si>
    <t>2025-01-09</t>
  </si>
  <si>
    <t>LD1319</t>
  </si>
  <si>
    <t>Madhuri Patil</t>
  </si>
  <si>
    <t>LD1320</t>
  </si>
  <si>
    <t>Divya Holkar</t>
  </si>
  <si>
    <t>2025-02-19</t>
  </si>
  <si>
    <t>2025-03-08</t>
  </si>
  <si>
    <t>LD1321</t>
  </si>
  <si>
    <t>Sunanda Sawant</t>
  </si>
  <si>
    <t>LD1322</t>
  </si>
  <si>
    <t>Pravin Gaikwad</t>
  </si>
  <si>
    <t>LD1323</t>
  </si>
  <si>
    <t>LD1324</t>
  </si>
  <si>
    <t>2025-02-08</t>
  </si>
  <si>
    <t>LD1325</t>
  </si>
  <si>
    <t>LD1326</t>
  </si>
  <si>
    <t>Rekha Kale</t>
  </si>
  <si>
    <t>LD1327</t>
  </si>
  <si>
    <t>Alka Kulkarni</t>
  </si>
  <si>
    <t>LD1328</t>
  </si>
  <si>
    <t>LD1329</t>
  </si>
  <si>
    <t>Mahesh Bansode</t>
  </si>
  <si>
    <t>LD1330</t>
  </si>
  <si>
    <t>LD1331</t>
  </si>
  <si>
    <t>2025-03-10</t>
  </si>
  <si>
    <t>2025-03-31</t>
  </si>
  <si>
    <t>LD1332</t>
  </si>
  <si>
    <t>LD1333</t>
  </si>
  <si>
    <t>2025-01-28</t>
  </si>
  <si>
    <t>LD1334</t>
  </si>
  <si>
    <t>Sunita Sonawane</t>
  </si>
  <si>
    <t>LD1335</t>
  </si>
  <si>
    <t>LD1336</t>
  </si>
  <si>
    <t>Prashant Gaikwad</t>
  </si>
  <si>
    <t>LD1337</t>
  </si>
  <si>
    <t>Amit Suryawanshi</t>
  </si>
  <si>
    <t>Full Interior (All Works)</t>
  </si>
  <si>
    <t>2025-03-11</t>
  </si>
  <si>
    <t>LD1338</t>
  </si>
  <si>
    <t>LD1339</t>
  </si>
  <si>
    <t>LD1340</t>
  </si>
  <si>
    <t>LD1341</t>
  </si>
  <si>
    <t>2025-02-24</t>
  </si>
  <si>
    <t>LD1342</t>
  </si>
  <si>
    <t>Prashant Thorat</t>
  </si>
  <si>
    <t>LD1343</t>
  </si>
  <si>
    <t>LD1344</t>
  </si>
  <si>
    <t>2025-02-14</t>
  </si>
  <si>
    <t>LD1345</t>
  </si>
  <si>
    <t>LD1346</t>
  </si>
  <si>
    <t>LD1347</t>
  </si>
  <si>
    <t>Sonal Salve</t>
  </si>
  <si>
    <t>LD1348</t>
  </si>
  <si>
    <t>Manisha Londhe</t>
  </si>
  <si>
    <t>LD1349</t>
  </si>
  <si>
    <t>Lata Sonawane</t>
  </si>
  <si>
    <t>LD1350</t>
  </si>
  <si>
    <t>Sanjay Suryawanshi</t>
  </si>
  <si>
    <t>LD1351</t>
  </si>
  <si>
    <t>Pravin Gavhane</t>
  </si>
  <si>
    <t>LD1352</t>
  </si>
  <si>
    <t>Nilesh Deshpande</t>
  </si>
  <si>
    <t>LD1353</t>
  </si>
  <si>
    <t>Rajesh Shelke</t>
  </si>
  <si>
    <t>2025-02-25</t>
  </si>
  <si>
    <t>LD1354</t>
  </si>
  <si>
    <t>LD1355</t>
  </si>
  <si>
    <t>2025-02-22</t>
  </si>
  <si>
    <t>LD1356</t>
  </si>
  <si>
    <t>Sunil More</t>
  </si>
  <si>
    <t>LD1357</t>
  </si>
  <si>
    <t>Bharati Deshpande</t>
  </si>
  <si>
    <t>2025-02-13</t>
  </si>
  <si>
    <t>LD1358</t>
  </si>
  <si>
    <t>LD1359</t>
  </si>
  <si>
    <t>LD1360</t>
  </si>
  <si>
    <t>Divya Wagh</t>
  </si>
  <si>
    <t>LD1361</t>
  </si>
  <si>
    <t>2025-02-12</t>
  </si>
  <si>
    <t>LD1362</t>
  </si>
  <si>
    <t>Divya Kshirsagar</t>
  </si>
  <si>
    <t>LD1363</t>
  </si>
  <si>
    <t>Vikas Raut</t>
  </si>
  <si>
    <t>LD1364</t>
  </si>
  <si>
    <t>Alka Nikalje</t>
  </si>
  <si>
    <t>LD1365</t>
  </si>
  <si>
    <t>LD1366</t>
  </si>
  <si>
    <t>Lata Mane</t>
  </si>
  <si>
    <t>LD1367</t>
  </si>
  <si>
    <t>Pooja Kale</t>
  </si>
  <si>
    <t>2025-03-23</t>
  </si>
  <si>
    <t>LD1368</t>
  </si>
  <si>
    <t>LD1369</t>
  </si>
  <si>
    <t>Umesh Pawar</t>
  </si>
  <si>
    <t>LD1370</t>
  </si>
  <si>
    <t>Jyoti Deshpande</t>
  </si>
  <si>
    <t>2025-02-20</t>
  </si>
  <si>
    <t>2025-03-07</t>
  </si>
  <si>
    <t>LD1371</t>
  </si>
  <si>
    <t>Suresh Tupe</t>
  </si>
  <si>
    <t>LD1372</t>
  </si>
  <si>
    <t>2025-03-05</t>
  </si>
  <si>
    <t>LD1373</t>
  </si>
  <si>
    <t>LD1374</t>
  </si>
  <si>
    <t>2025-04-01</t>
  </si>
  <si>
    <t>LD1375</t>
  </si>
  <si>
    <t>Umesh Gavhane</t>
  </si>
  <si>
    <t>LD1376</t>
  </si>
  <si>
    <t>2025-04-09</t>
  </si>
  <si>
    <t>2025-04-21</t>
  </si>
  <si>
    <t>LD1377</t>
  </si>
  <si>
    <t>Sonal Yadav</t>
  </si>
  <si>
    <t>LD1378</t>
  </si>
  <si>
    <t>Sonal Gavhane</t>
  </si>
  <si>
    <t>LD1379</t>
  </si>
  <si>
    <t>2025-04-05</t>
  </si>
  <si>
    <t>LD1380</t>
  </si>
  <si>
    <t>LD1381</t>
  </si>
  <si>
    <t>Dinesh Salve</t>
  </si>
  <si>
    <t>2025-02-15</t>
  </si>
  <si>
    <t>LD1382</t>
  </si>
  <si>
    <t>Archana Sawant</t>
  </si>
  <si>
    <t>2025-03-12</t>
  </si>
  <si>
    <t>LD1383</t>
  </si>
  <si>
    <t>Bharati Gaikwad</t>
  </si>
  <si>
    <t>LD1384</t>
  </si>
  <si>
    <t>LD1385</t>
  </si>
  <si>
    <t>Jyoti Zende</t>
  </si>
  <si>
    <t>LD1386</t>
  </si>
  <si>
    <t>Vikas Zende</t>
  </si>
  <si>
    <t>LD1387</t>
  </si>
  <si>
    <t>LD1388</t>
  </si>
  <si>
    <t>Meena Wagh</t>
  </si>
  <si>
    <t>2025-02-04</t>
  </si>
  <si>
    <t>LD1389</t>
  </si>
  <si>
    <t>LD1390</t>
  </si>
  <si>
    <t>LD1391</t>
  </si>
  <si>
    <t>Dinesh Suryawanshi</t>
  </si>
  <si>
    <t>2025-03-22</t>
  </si>
  <si>
    <t>LD1392</t>
  </si>
  <si>
    <t>LD1393</t>
  </si>
  <si>
    <t>Suresh Pawar</t>
  </si>
  <si>
    <t>2025-04-08</t>
  </si>
  <si>
    <t>LD1394</t>
  </si>
  <si>
    <t>Santosh Joshi</t>
  </si>
  <si>
    <t>2025-03-15</t>
  </si>
  <si>
    <t>LD1395</t>
  </si>
  <si>
    <t>Sunil Aware</t>
  </si>
  <si>
    <t>LD1396</t>
  </si>
  <si>
    <t>Santosh Shelke</t>
  </si>
  <si>
    <t>LD1397</t>
  </si>
  <si>
    <t>LD1398</t>
  </si>
  <si>
    <t>LD1399</t>
  </si>
  <si>
    <t>2025-03-14</t>
  </si>
  <si>
    <t>2025-04-03</t>
  </si>
  <si>
    <t>LD1400</t>
  </si>
  <si>
    <t>2025-03-18</t>
  </si>
  <si>
    <t>LD1401</t>
  </si>
  <si>
    <t>Ritu Patil</t>
  </si>
  <si>
    <t>2025-04-02</t>
  </si>
  <si>
    <t>LD1402</t>
  </si>
  <si>
    <t>LD1403</t>
  </si>
  <si>
    <t>Ashwini Nikalje</t>
  </si>
  <si>
    <t>2025-02-21</t>
  </si>
  <si>
    <t>LD1404</t>
  </si>
  <si>
    <t>LD1405</t>
  </si>
  <si>
    <t>Kiran Patil</t>
  </si>
  <si>
    <t>LD1406</t>
  </si>
  <si>
    <t>Ritu Thorat</t>
  </si>
  <si>
    <t>2025-04-26</t>
  </si>
  <si>
    <t>LD1407</t>
  </si>
  <si>
    <t>Sunita Jadhav</t>
  </si>
  <si>
    <t>LD1408</t>
  </si>
  <si>
    <t>LD1409</t>
  </si>
  <si>
    <t>Prashant Salve</t>
  </si>
  <si>
    <t>2025-03-04</t>
  </si>
  <si>
    <t>LD1410</t>
  </si>
  <si>
    <t>Anita Thorat</t>
  </si>
  <si>
    <t>2025-02-27</t>
  </si>
  <si>
    <t>LD1411</t>
  </si>
  <si>
    <t>Pravin Chavan</t>
  </si>
  <si>
    <t>LD1412</t>
  </si>
  <si>
    <t>Santosh Wagh</t>
  </si>
  <si>
    <t>LD1413</t>
  </si>
  <si>
    <t>2025-02-28</t>
  </si>
  <si>
    <t>LD1414</t>
  </si>
  <si>
    <t>LD1415</t>
  </si>
  <si>
    <t>Santosh Kshirsagar</t>
  </si>
  <si>
    <t>2025-04-15</t>
  </si>
  <si>
    <t>LD1416</t>
  </si>
  <si>
    <t>Manisha Kale</t>
  </si>
  <si>
    <t>LD1417</t>
  </si>
  <si>
    <t>Ashwini Deshpande</t>
  </si>
  <si>
    <t>LD1418</t>
  </si>
  <si>
    <t>LD1419</t>
  </si>
  <si>
    <t>LD1420</t>
  </si>
  <si>
    <t>2025-03-21</t>
  </si>
  <si>
    <t>LD1421</t>
  </si>
  <si>
    <t>Sunita Nimbalkar</t>
  </si>
  <si>
    <t>2025-04-28</t>
  </si>
  <si>
    <t>2025-05-06</t>
  </si>
  <si>
    <t>LD1422</t>
  </si>
  <si>
    <t>Santosh Bansode</t>
  </si>
  <si>
    <t>LD1423</t>
  </si>
  <si>
    <t>Ashwini Kshirsagar</t>
  </si>
  <si>
    <t>LD1424</t>
  </si>
  <si>
    <t>LD1425</t>
  </si>
  <si>
    <t>LD1426</t>
  </si>
  <si>
    <t>LD1427</t>
  </si>
  <si>
    <t>2025-03-20</t>
  </si>
  <si>
    <t>LD1428</t>
  </si>
  <si>
    <t>2025-03-28</t>
  </si>
  <si>
    <t>LD1429</t>
  </si>
  <si>
    <t>Sunita Yadav</t>
  </si>
  <si>
    <t>LD1430</t>
  </si>
  <si>
    <t>Umesh Kale</t>
  </si>
  <si>
    <t>2025-04-14</t>
  </si>
  <si>
    <t>LD1431</t>
  </si>
  <si>
    <t>LD1432</t>
  </si>
  <si>
    <t>Santosh Londhe</t>
  </si>
  <si>
    <t>LD1433</t>
  </si>
  <si>
    <t>Santosh Tupe</t>
  </si>
  <si>
    <t>LD1434</t>
  </si>
  <si>
    <t>Amit Nikalje</t>
  </si>
  <si>
    <t>LD1435</t>
  </si>
  <si>
    <t>Devendra Mane</t>
  </si>
  <si>
    <t>LD1436</t>
  </si>
  <si>
    <t>Devendra Raut</t>
  </si>
  <si>
    <t>2025-04-12</t>
  </si>
  <si>
    <t>LD1437</t>
  </si>
  <si>
    <t>LD1438</t>
  </si>
  <si>
    <t>Ashwini Bhalerao</t>
  </si>
  <si>
    <t>LD1439</t>
  </si>
  <si>
    <t>Sanjay Bhalerao</t>
  </si>
  <si>
    <t>LD1440</t>
  </si>
  <si>
    <t>LD1441</t>
  </si>
  <si>
    <t>Mahesh Kshirsagar</t>
  </si>
  <si>
    <t>LD1442</t>
  </si>
  <si>
    <t>Sonal Phule</t>
  </si>
  <si>
    <t>2025-05-03</t>
  </si>
  <si>
    <t>LD1443</t>
  </si>
  <si>
    <t>Rohit Shelke</t>
  </si>
  <si>
    <t>LD1444</t>
  </si>
  <si>
    <t>Pravin Mohite</t>
  </si>
  <si>
    <t>LD1445</t>
  </si>
  <si>
    <t>Suresh Sonawane</t>
  </si>
  <si>
    <t>2025-03-25</t>
  </si>
  <si>
    <t>Google Ads lead — customer filled form without phone</t>
  </si>
  <si>
    <t>LD1446</t>
  </si>
  <si>
    <t>Anita Phule</t>
  </si>
  <si>
    <t>2025-04-16</t>
  </si>
  <si>
    <t>LD1447</t>
  </si>
  <si>
    <t>LD1448</t>
  </si>
  <si>
    <t>Suresh Mohite</t>
  </si>
  <si>
    <t>LD1449</t>
  </si>
  <si>
    <t>2025-04-22</t>
  </si>
  <si>
    <t>LD1450</t>
  </si>
  <si>
    <t>LD1451</t>
  </si>
  <si>
    <t>LD1452</t>
  </si>
  <si>
    <t>LD1453</t>
  </si>
  <si>
    <t>Suresh Thorat</t>
  </si>
  <si>
    <t>LD1454</t>
  </si>
  <si>
    <t>Kavita Holkar</t>
  </si>
  <si>
    <t>LD1455</t>
  </si>
  <si>
    <t>2025-04-06</t>
  </si>
  <si>
    <t>LD1456</t>
  </si>
  <si>
    <t>2025-03-06</t>
  </si>
  <si>
    <t>LD1457</t>
  </si>
  <si>
    <t>LD1458</t>
  </si>
  <si>
    <t>Archana Kulkarni</t>
  </si>
  <si>
    <t>LD1459</t>
  </si>
  <si>
    <t>LD1460</t>
  </si>
  <si>
    <t>Bharati Mane</t>
  </si>
  <si>
    <t>LD1461</t>
  </si>
  <si>
    <t>Pramod Wagh</t>
  </si>
  <si>
    <t>LD1462</t>
  </si>
  <si>
    <t>2025-03-29</t>
  </si>
  <si>
    <t>LD1463</t>
  </si>
  <si>
    <t>2025-04-13</t>
  </si>
  <si>
    <t>LD1464</t>
  </si>
  <si>
    <t>Dinesh Jadhav</t>
  </si>
  <si>
    <t>LD1465</t>
  </si>
  <si>
    <t>LD1466</t>
  </si>
  <si>
    <t>LD1467</t>
  </si>
  <si>
    <t>Pooja Kulkarni</t>
  </si>
  <si>
    <t>LD1468</t>
  </si>
  <si>
    <t>Umesh Mane</t>
  </si>
  <si>
    <t>LD1469</t>
  </si>
  <si>
    <t>2025-03-16</t>
  </si>
  <si>
    <t>LD1470</t>
  </si>
  <si>
    <t>LD1471</t>
  </si>
  <si>
    <t>2025-04-11</t>
  </si>
  <si>
    <t>LD1472</t>
  </si>
  <si>
    <t>Dinesh Joshi</t>
  </si>
  <si>
    <t>LD1473</t>
  </si>
  <si>
    <t>LD1474</t>
  </si>
  <si>
    <t>LD1475</t>
  </si>
  <si>
    <t>Anita Jadhav</t>
  </si>
  <si>
    <t>LD1476</t>
  </si>
  <si>
    <t>Seema Londhe</t>
  </si>
  <si>
    <t>LD1477</t>
  </si>
  <si>
    <t>Pravin Deshmukh</t>
  </si>
  <si>
    <t>2025-05-12</t>
  </si>
  <si>
    <t>2025-05-30</t>
  </si>
  <si>
    <t>LD1478</t>
  </si>
  <si>
    <t>Jyoti Kshirsagar</t>
  </si>
  <si>
    <t>LD1479</t>
  </si>
  <si>
    <t>Sunanda Suryawanshi</t>
  </si>
  <si>
    <t>LD1480</t>
  </si>
  <si>
    <t>2025-05-09</t>
  </si>
  <si>
    <t>2025-05-15</t>
  </si>
  <si>
    <t>LD1481</t>
  </si>
  <si>
    <t>Nilesh Patil</t>
  </si>
  <si>
    <t>LD1482</t>
  </si>
  <si>
    <t>LD1483</t>
  </si>
  <si>
    <t>Archana Bansode</t>
  </si>
  <si>
    <t>LD1484</t>
  </si>
  <si>
    <t>2025-04-07</t>
  </si>
  <si>
    <t>2025-04-18</t>
  </si>
  <si>
    <t>LD1485</t>
  </si>
  <si>
    <t>Manoj Sawant</t>
  </si>
  <si>
    <t>LD1486</t>
  </si>
  <si>
    <t>Varsha Aware</t>
  </si>
  <si>
    <t>LD1487</t>
  </si>
  <si>
    <t>LD1488</t>
  </si>
  <si>
    <t>2025-04-25</t>
  </si>
  <si>
    <t>2025-04-30</t>
  </si>
  <si>
    <t>LD1489</t>
  </si>
  <si>
    <t>Pramod Kshirsagar</t>
  </si>
  <si>
    <t>LD1490</t>
  </si>
  <si>
    <t>LD1491</t>
  </si>
  <si>
    <t>Sunil Thorat</t>
  </si>
  <si>
    <t>LD1492</t>
  </si>
  <si>
    <t>Nilesh Shinde</t>
  </si>
  <si>
    <t>LD1493</t>
  </si>
  <si>
    <t>Hemant Patil</t>
  </si>
  <si>
    <t>2025-05-07</t>
  </si>
  <si>
    <t>LD1494</t>
  </si>
  <si>
    <t>Ashwini Londhe</t>
  </si>
  <si>
    <t>LD1495</t>
  </si>
  <si>
    <t>Lata Londhe</t>
  </si>
  <si>
    <t>LD1496</t>
  </si>
  <si>
    <t>LD1497</t>
  </si>
  <si>
    <t>LD1498</t>
  </si>
  <si>
    <t>LD1499</t>
  </si>
  <si>
    <t>LD1500</t>
  </si>
  <si>
    <t>Umesh Shinde</t>
  </si>
  <si>
    <t>2025-05-26</t>
  </si>
  <si>
    <t>LD1501</t>
  </si>
  <si>
    <t>LD1502</t>
  </si>
  <si>
    <t>2025-04-24</t>
  </si>
  <si>
    <t>LD1503</t>
  </si>
  <si>
    <t>Bharati Kadam</t>
  </si>
  <si>
    <t>LD1504</t>
  </si>
  <si>
    <t>Sonal Zende</t>
  </si>
  <si>
    <t>LD1505-DUP</t>
  </si>
  <si>
    <t>LD1506</t>
  </si>
  <si>
    <t>Sanjay More</t>
  </si>
  <si>
    <t>LD1507</t>
  </si>
  <si>
    <t>LD1508</t>
  </si>
  <si>
    <t>Sanjay Londhe</t>
  </si>
  <si>
    <t>2025-04-04</t>
  </si>
  <si>
    <t>LD1509</t>
  </si>
  <si>
    <t>LD1510</t>
  </si>
  <si>
    <t>LD1511</t>
  </si>
  <si>
    <t>LD1512</t>
  </si>
  <si>
    <t>Alka Shelke</t>
  </si>
  <si>
    <t>LD1513</t>
  </si>
  <si>
    <t>Nilesh Holkar</t>
  </si>
  <si>
    <t>LD1514</t>
  </si>
  <si>
    <t>Amit Tupe</t>
  </si>
  <si>
    <t>LD1515</t>
  </si>
  <si>
    <t>LD1516</t>
  </si>
  <si>
    <t>Hemant Bansode</t>
  </si>
  <si>
    <t>2025-06-02</t>
  </si>
  <si>
    <t>LD1517</t>
  </si>
  <si>
    <t>LD1518</t>
  </si>
  <si>
    <t>Deepak Mane</t>
  </si>
  <si>
    <t>2025-05-18</t>
  </si>
  <si>
    <t>LD1519</t>
  </si>
  <si>
    <t>Archana Londhe</t>
  </si>
  <si>
    <t>2025-04-19</t>
  </si>
  <si>
    <t>LD1520</t>
  </si>
  <si>
    <t>2025-04-17</t>
  </si>
  <si>
    <t>LD1521</t>
  </si>
  <si>
    <t>Ashwini Mohite</t>
  </si>
  <si>
    <t>LD1522</t>
  </si>
  <si>
    <t>Sunil Sonawane</t>
  </si>
  <si>
    <t>LD1523</t>
  </si>
  <si>
    <t>Divya Kadam</t>
  </si>
  <si>
    <t>LD1524</t>
  </si>
  <si>
    <t>Arun Suryawanshi</t>
  </si>
  <si>
    <t>LD1525</t>
  </si>
  <si>
    <t>LD1526</t>
  </si>
  <si>
    <t>Pravin Thorat</t>
  </si>
  <si>
    <t>LD1527</t>
  </si>
  <si>
    <t>LD1528</t>
  </si>
  <si>
    <t>LD1529</t>
  </si>
  <si>
    <t>LD1530</t>
  </si>
  <si>
    <t>Meena Bansode</t>
  </si>
  <si>
    <t>LD1531</t>
  </si>
  <si>
    <t>2025-05-01</t>
  </si>
  <si>
    <t>LD1532</t>
  </si>
  <si>
    <t>Jyoti Patil</t>
  </si>
  <si>
    <t>LD1533</t>
  </si>
  <si>
    <t>Nilesh Londhe</t>
  </si>
  <si>
    <t>2025-05-22</t>
  </si>
  <si>
    <t>LD1534</t>
  </si>
  <si>
    <t>LD1535</t>
  </si>
  <si>
    <t>Manisha Deshmukh</t>
  </si>
  <si>
    <t>LD1536</t>
  </si>
  <si>
    <t>2025-05-16</t>
  </si>
  <si>
    <t>2025-05-27</t>
  </si>
  <si>
    <t>LD1537</t>
  </si>
  <si>
    <t>Ganesh Shelke</t>
  </si>
  <si>
    <t>LD1538</t>
  </si>
  <si>
    <t>LD1539</t>
  </si>
  <si>
    <t>Shweta Shinde</t>
  </si>
  <si>
    <t>LD1540</t>
  </si>
  <si>
    <t>Santosh Raut</t>
  </si>
  <si>
    <t>LD1541</t>
  </si>
  <si>
    <t>Sonal Kakade</t>
  </si>
  <si>
    <t>LD1542</t>
  </si>
  <si>
    <t>LD1543</t>
  </si>
  <si>
    <t>LD1544</t>
  </si>
  <si>
    <t>LD1545</t>
  </si>
  <si>
    <t>Archana Sonawane</t>
  </si>
  <si>
    <t>LD1546</t>
  </si>
  <si>
    <t>2025-04-23</t>
  </si>
  <si>
    <t>LD1547</t>
  </si>
  <si>
    <t>LD1548</t>
  </si>
  <si>
    <t>LD1549</t>
  </si>
  <si>
    <t>Ravi Suryawanshi</t>
  </si>
  <si>
    <t>2025-05-17</t>
  </si>
  <si>
    <t>2025-06-05</t>
  </si>
  <si>
    <t>LD1550</t>
  </si>
  <si>
    <t>Sachin Londhe</t>
  </si>
  <si>
    <t>LD1551</t>
  </si>
  <si>
    <t>Rohit Wagh</t>
  </si>
  <si>
    <t>LD1552</t>
  </si>
  <si>
    <t>LD1553</t>
  </si>
  <si>
    <t>Manisha Phule</t>
  </si>
  <si>
    <t>LD1554</t>
  </si>
  <si>
    <t>Devendra Sawant</t>
  </si>
  <si>
    <t>2025-06-04</t>
  </si>
  <si>
    <t>LD1555</t>
  </si>
  <si>
    <t>2025-05-05</t>
  </si>
  <si>
    <t>LD1556</t>
  </si>
  <si>
    <t>Dinesh Nimbalkar</t>
  </si>
  <si>
    <t>LD1557</t>
  </si>
  <si>
    <t>Sunita Mane</t>
  </si>
  <si>
    <t>LD1558</t>
  </si>
  <si>
    <t>LD1559</t>
  </si>
  <si>
    <t>LD1560</t>
  </si>
  <si>
    <t>2025-05-20</t>
  </si>
  <si>
    <t>LD1561</t>
  </si>
  <si>
    <t>Vijay Raut</t>
  </si>
  <si>
    <t>2025-05-02</t>
  </si>
  <si>
    <t>LD1562</t>
  </si>
  <si>
    <t>Santosh Kale</t>
  </si>
  <si>
    <t>LD1563</t>
  </si>
  <si>
    <t>2025-05-08</t>
  </si>
  <si>
    <t>LD1564</t>
  </si>
  <si>
    <t>2025-05-29</t>
  </si>
  <si>
    <t>LD1565</t>
  </si>
  <si>
    <t>Shweta Shelke</t>
  </si>
  <si>
    <t>LD1566</t>
  </si>
  <si>
    <t>Manisha Suryawanshi</t>
  </si>
  <si>
    <t>LD1567</t>
  </si>
  <si>
    <t>Pravin Phule</t>
  </si>
  <si>
    <t>2025-06-07</t>
  </si>
  <si>
    <t>LD1568</t>
  </si>
  <si>
    <t>Mahesh Londhe</t>
  </si>
  <si>
    <t>LD1569</t>
  </si>
  <si>
    <t>LD1570</t>
  </si>
  <si>
    <t>LD1571</t>
  </si>
  <si>
    <t>Kiran Kshirsagar</t>
  </si>
  <si>
    <t>LD1572</t>
  </si>
  <si>
    <t>LD1573</t>
  </si>
  <si>
    <t>LD1574</t>
  </si>
  <si>
    <t>Manoj Zende</t>
  </si>
  <si>
    <t>LD1575</t>
  </si>
  <si>
    <t>LD1576</t>
  </si>
  <si>
    <t>Anita Nikalje</t>
  </si>
  <si>
    <t>LD1577</t>
  </si>
  <si>
    <t>2025-06-03</t>
  </si>
  <si>
    <t>LD1578</t>
  </si>
  <si>
    <t>LD1579</t>
  </si>
  <si>
    <t>LD1580</t>
  </si>
  <si>
    <t>Sanjay Pawar</t>
  </si>
  <si>
    <t>2025-06-20</t>
  </si>
  <si>
    <t>2025-07-08</t>
  </si>
  <si>
    <t>LD1581</t>
  </si>
  <si>
    <t>Rohit Jadhav</t>
  </si>
  <si>
    <t>LD1582</t>
  </si>
  <si>
    <t>Rekha More</t>
  </si>
  <si>
    <t>2025-05-28</t>
  </si>
  <si>
    <t>LD1583</t>
  </si>
  <si>
    <t>2025-05-14</t>
  </si>
  <si>
    <t>LD1584</t>
  </si>
  <si>
    <t>LD1585</t>
  </si>
  <si>
    <t>2025-04-10</t>
  </si>
  <si>
    <t>LD1586</t>
  </si>
  <si>
    <t>2025-06-12</t>
  </si>
  <si>
    <t>2025-06-23</t>
  </si>
  <si>
    <t>LD1587</t>
  </si>
  <si>
    <t>2025-06-15</t>
  </si>
  <si>
    <t>LD1588</t>
  </si>
  <si>
    <t>LD1589</t>
  </si>
  <si>
    <t>Hemant Jadhav</t>
  </si>
  <si>
    <t>2025-05-19</t>
  </si>
  <si>
    <t>LD1590</t>
  </si>
  <si>
    <t>LD1591</t>
  </si>
  <si>
    <t>Devendra Naik</t>
  </si>
  <si>
    <t>2025-05-24</t>
  </si>
  <si>
    <t>LD1592</t>
  </si>
  <si>
    <t>LD1593</t>
  </si>
  <si>
    <t>LD1594</t>
  </si>
  <si>
    <t>LD1595</t>
  </si>
  <si>
    <t>LD1596</t>
  </si>
  <si>
    <t>LD1597</t>
  </si>
  <si>
    <t>Jyoti Suryawanshi</t>
  </si>
  <si>
    <t>LD1598</t>
  </si>
  <si>
    <t>Divya Tupe</t>
  </si>
  <si>
    <t>LD1599</t>
  </si>
  <si>
    <t>LD1600</t>
  </si>
  <si>
    <t>Umesh Londhe</t>
  </si>
  <si>
    <t>2025-04-29</t>
  </si>
  <si>
    <t>LD1601</t>
  </si>
  <si>
    <t>LD1602</t>
  </si>
  <si>
    <t>Ravi More</t>
  </si>
  <si>
    <t>LD1603</t>
  </si>
  <si>
    <t>LD1604</t>
  </si>
  <si>
    <t>LD1605</t>
  </si>
  <si>
    <t>Pooja Suryawanshi</t>
  </si>
  <si>
    <t>LD1606</t>
  </si>
  <si>
    <t>2025-06-06</t>
  </si>
  <si>
    <t>2025-06-21</t>
  </si>
  <si>
    <t>LD1607</t>
  </si>
  <si>
    <t>LD1608</t>
  </si>
  <si>
    <t>Bharati Nikalje</t>
  </si>
  <si>
    <t>LD1609</t>
  </si>
  <si>
    <t>LD1610</t>
  </si>
  <si>
    <t>Madhuri Gavhane</t>
  </si>
  <si>
    <t>LD1611</t>
  </si>
  <si>
    <t>Ashwini Yadav</t>
  </si>
  <si>
    <t>2025-06-14</t>
  </si>
  <si>
    <t>LD1612</t>
  </si>
  <si>
    <t>Sanjay Jadhav</t>
  </si>
  <si>
    <t>LD1613</t>
  </si>
  <si>
    <t>Shweta Naik</t>
  </si>
  <si>
    <t>LD1614</t>
  </si>
  <si>
    <t>LD1615</t>
  </si>
  <si>
    <t>Sunanda Chavan</t>
  </si>
  <si>
    <t>LD1616</t>
  </si>
  <si>
    <t>2025-06-11</t>
  </si>
  <si>
    <t>LD1617</t>
  </si>
  <si>
    <t>2025-05-23</t>
  </si>
  <si>
    <t>LD1618</t>
  </si>
  <si>
    <t>2025-05-10</t>
  </si>
  <si>
    <t>LD1619</t>
  </si>
  <si>
    <t>LD1620</t>
  </si>
  <si>
    <t>Vijay Nikalje</t>
  </si>
  <si>
    <t>LD1621</t>
  </si>
  <si>
    <t>Shweta Kale</t>
  </si>
  <si>
    <t>LD1622</t>
  </si>
  <si>
    <t>2025-06-13</t>
  </si>
  <si>
    <t>LD1623</t>
  </si>
  <si>
    <t>LD1624</t>
  </si>
  <si>
    <t>LD1625</t>
  </si>
  <si>
    <t>Shweta Bhalerao</t>
  </si>
  <si>
    <t>2025-06-30</t>
  </si>
  <si>
    <t>2025-07-07</t>
  </si>
  <si>
    <t>LD1626</t>
  </si>
  <si>
    <t>Manisha Kadam</t>
  </si>
  <si>
    <t>LD1627</t>
  </si>
  <si>
    <t>2025-05-21</t>
  </si>
  <si>
    <t>LD1628</t>
  </si>
  <si>
    <t>Mahesh Nikalje</t>
  </si>
  <si>
    <t>LD1629</t>
  </si>
  <si>
    <t>LD1630</t>
  </si>
  <si>
    <t>LD1631</t>
  </si>
  <si>
    <t>LD1632</t>
  </si>
  <si>
    <t>LD1633</t>
  </si>
  <si>
    <t>LD1634</t>
  </si>
  <si>
    <t>Meena Kulkarni</t>
  </si>
  <si>
    <t>LD1635</t>
  </si>
  <si>
    <t>2025-06-24</t>
  </si>
  <si>
    <t>LD1636</t>
  </si>
  <si>
    <t>Pravin Zende</t>
  </si>
  <si>
    <t>2025-06-16</t>
  </si>
  <si>
    <t>2025-06-18</t>
  </si>
  <si>
    <t>LD1637</t>
  </si>
  <si>
    <t>Shweta Nikalje</t>
  </si>
  <si>
    <t>LD1638</t>
  </si>
  <si>
    <t>Sunil Gaikwad</t>
  </si>
  <si>
    <t>LD1639</t>
  </si>
  <si>
    <t>Jyoti Yadav</t>
  </si>
  <si>
    <t>LD1640</t>
  </si>
  <si>
    <t>LD1641</t>
  </si>
  <si>
    <t>Alka Gavhane</t>
  </si>
  <si>
    <t>2025-05-11</t>
  </si>
  <si>
    <t>LD1642</t>
  </si>
  <si>
    <t>LD1643</t>
  </si>
  <si>
    <t>Umesh Mohite</t>
  </si>
  <si>
    <t>LD1644</t>
  </si>
  <si>
    <t>LD1645</t>
  </si>
  <si>
    <t>Prashant Phule</t>
  </si>
  <si>
    <t>LD1646</t>
  </si>
  <si>
    <t>LD1647</t>
  </si>
  <si>
    <t>Ravi Kshirsagar</t>
  </si>
  <si>
    <t>LD1648</t>
  </si>
  <si>
    <t>Ashwini Jadhav</t>
  </si>
  <si>
    <t>LD1649</t>
  </si>
  <si>
    <t>Manoj Sonawane</t>
  </si>
  <si>
    <t>2025-05-31</t>
  </si>
  <si>
    <t>LD1650</t>
  </si>
  <si>
    <t>LD1651</t>
  </si>
  <si>
    <t>Amit Thorat</t>
  </si>
  <si>
    <t>2025-06-26</t>
  </si>
  <si>
    <t>LD1652</t>
  </si>
  <si>
    <t>Deepak Jadhav</t>
  </si>
  <si>
    <t>2025-05-13</t>
  </si>
  <si>
    <t>LD1653</t>
  </si>
  <si>
    <t>LD1654</t>
  </si>
  <si>
    <t>Lata Kale</t>
  </si>
  <si>
    <t>2025-06-10</t>
  </si>
  <si>
    <t>LD1655</t>
  </si>
  <si>
    <t>Pramod Nikalje</t>
  </si>
  <si>
    <t>LD1656</t>
  </si>
  <si>
    <t>2025-07-12</t>
  </si>
  <si>
    <t>LD1657</t>
  </si>
  <si>
    <t>2025-06-09</t>
  </si>
  <si>
    <t>LD1658</t>
  </si>
  <si>
    <t>Lata Shinde</t>
  </si>
  <si>
    <t>LD1659</t>
  </si>
  <si>
    <t>2025-07-28</t>
  </si>
  <si>
    <t>2025-08-17</t>
  </si>
  <si>
    <t>LD1660</t>
  </si>
  <si>
    <t>LD1661</t>
  </si>
  <si>
    <t>LD1662</t>
  </si>
  <si>
    <t>Seema Gavhane</t>
  </si>
  <si>
    <t>2025-07-09</t>
  </si>
  <si>
    <t>LD1663</t>
  </si>
  <si>
    <t>LD1664</t>
  </si>
  <si>
    <t>Pooja Wagh</t>
  </si>
  <si>
    <t>2025-07-17</t>
  </si>
  <si>
    <t>2025-07-26</t>
  </si>
  <si>
    <t>LD1665</t>
  </si>
  <si>
    <t>2025-07-29</t>
  </si>
  <si>
    <t>LD1666</t>
  </si>
  <si>
    <t>LD1667</t>
  </si>
  <si>
    <t>Meena Pawar</t>
  </si>
  <si>
    <t>LD1668</t>
  </si>
  <si>
    <t>LD1669</t>
  </si>
  <si>
    <t>Smita Jadhav</t>
  </si>
  <si>
    <t>LD1670</t>
  </si>
  <si>
    <t>Santosh Deshmukh</t>
  </si>
  <si>
    <t>LD1671</t>
  </si>
  <si>
    <t>Archana Mane</t>
  </si>
  <si>
    <t>LD1672</t>
  </si>
  <si>
    <t>Sanjay Sonawane</t>
  </si>
  <si>
    <t>LD1673</t>
  </si>
  <si>
    <t>2025-06-27</t>
  </si>
  <si>
    <t>LD1674</t>
  </si>
  <si>
    <t>Seema Bhalerao</t>
  </si>
  <si>
    <t>LD1675</t>
  </si>
  <si>
    <t>LD1676</t>
  </si>
  <si>
    <t>Sunil Naik</t>
  </si>
  <si>
    <t>2025-07-16</t>
  </si>
  <si>
    <t>LD1677</t>
  </si>
  <si>
    <t>Archana Mohite</t>
  </si>
  <si>
    <t>LD1678</t>
  </si>
  <si>
    <t>LD1679</t>
  </si>
  <si>
    <t>Pravin Bhalerao</t>
  </si>
  <si>
    <t>2025-06-17</t>
  </si>
  <si>
    <t>LD1680</t>
  </si>
  <si>
    <t>Kavita Sawant</t>
  </si>
  <si>
    <t>2025-06-19</t>
  </si>
  <si>
    <t>LD1681</t>
  </si>
  <si>
    <t>Lata Yadav</t>
  </si>
  <si>
    <t>LD1682</t>
  </si>
  <si>
    <t>Dinesh Naik</t>
  </si>
  <si>
    <t>2025-07-21</t>
  </si>
  <si>
    <t>LD1683</t>
  </si>
  <si>
    <t>Sanjay Kshirsagar</t>
  </si>
  <si>
    <t>2025-07-14</t>
  </si>
  <si>
    <t>LD1684</t>
  </si>
  <si>
    <t>2025-07-11</t>
  </si>
  <si>
    <t>LD1685</t>
  </si>
  <si>
    <t>2025-07-05</t>
  </si>
  <si>
    <t>LD1686</t>
  </si>
  <si>
    <t>Sunita Thorat</t>
  </si>
  <si>
    <t>LD1687</t>
  </si>
  <si>
    <t>Dinesh Kadam</t>
  </si>
  <si>
    <t>LD1688</t>
  </si>
  <si>
    <t>2025-07-01</t>
  </si>
  <si>
    <t>LD1689</t>
  </si>
  <si>
    <t>Sanjay Thorat</t>
  </si>
  <si>
    <t>LD1690</t>
  </si>
  <si>
    <t>Sanjay Chavan</t>
  </si>
  <si>
    <t>LD1691</t>
  </si>
  <si>
    <t>LD1692</t>
  </si>
  <si>
    <t>LD1693</t>
  </si>
  <si>
    <t>Sonal Sawant</t>
  </si>
  <si>
    <t>LD1694</t>
  </si>
  <si>
    <t>2025-06-29</t>
  </si>
  <si>
    <t>LD1695</t>
  </si>
  <si>
    <t>LD1696</t>
  </si>
  <si>
    <t>Hemant Deshpande</t>
  </si>
  <si>
    <t>2025-06-28</t>
  </si>
  <si>
    <t>2025-07-13</t>
  </si>
  <si>
    <t>LD1697</t>
  </si>
  <si>
    <t>Pooja Kakade</t>
  </si>
  <si>
    <t>2025-08-02</t>
  </si>
  <si>
    <t>LD1698</t>
  </si>
  <si>
    <t>Jyoti Kulkarni</t>
  </si>
  <si>
    <t>2025-07-18</t>
  </si>
  <si>
    <t>LD1699</t>
  </si>
  <si>
    <t>Rekha Phule</t>
  </si>
  <si>
    <t>2025-07-31</t>
  </si>
  <si>
    <t>LD1700</t>
  </si>
  <si>
    <t>LD1701</t>
  </si>
  <si>
    <t>Mahesh Gavhane</t>
  </si>
  <si>
    <t>LD1702</t>
  </si>
  <si>
    <t>LD1703</t>
  </si>
  <si>
    <t>2025-08-16</t>
  </si>
  <si>
    <t>LD1704</t>
  </si>
  <si>
    <t>Sunil Sawant</t>
  </si>
  <si>
    <t>2025-07-15</t>
  </si>
  <si>
    <t>LD1705</t>
  </si>
  <si>
    <t>LD1706</t>
  </si>
  <si>
    <t>2025-06-25</t>
  </si>
  <si>
    <t>2025-08-07</t>
  </si>
  <si>
    <t>LD1707</t>
  </si>
  <si>
    <t>LD1708</t>
  </si>
  <si>
    <t>2025-08-12</t>
  </si>
  <si>
    <t>LD1709</t>
  </si>
  <si>
    <t>LD1710</t>
  </si>
  <si>
    <t>2025-07-24</t>
  </si>
  <si>
    <t>LD1711-DUP</t>
  </si>
  <si>
    <t>LD1712</t>
  </si>
  <si>
    <t>LD1713</t>
  </si>
  <si>
    <t>2025-08-30</t>
  </si>
  <si>
    <t>2025-09-20</t>
  </si>
  <si>
    <t>LD1714</t>
  </si>
  <si>
    <t>2025-07-23</t>
  </si>
  <si>
    <t>2025-08-03</t>
  </si>
  <si>
    <t>LD1715</t>
  </si>
  <si>
    <t>Kiran Mohite</t>
  </si>
  <si>
    <t>2025-07-20</t>
  </si>
  <si>
    <t>LD1716</t>
  </si>
  <si>
    <t>Kiran Sonawane</t>
  </si>
  <si>
    <t>2025-08-11</t>
  </si>
  <si>
    <t>LD1717</t>
  </si>
  <si>
    <t>2025-08-04</t>
  </si>
  <si>
    <t>LD1718</t>
  </si>
  <si>
    <t>2025-07-02</t>
  </si>
  <si>
    <t>2025-07-22</t>
  </si>
  <si>
    <t>LD1719</t>
  </si>
  <si>
    <t>Prashant Deshpande</t>
  </si>
  <si>
    <t>2025-07-27</t>
  </si>
  <si>
    <t>LD1720</t>
  </si>
  <si>
    <t>Sunil Bhalerao</t>
  </si>
  <si>
    <t>2025-08-22</t>
  </si>
  <si>
    <t>LD1721</t>
  </si>
  <si>
    <t>Jyoti Aware</t>
  </si>
  <si>
    <t>2025-08-21</t>
  </si>
  <si>
    <t>LD1722</t>
  </si>
  <si>
    <t>LD1723</t>
  </si>
  <si>
    <t>2025-08-08</t>
  </si>
  <si>
    <t>LD1724</t>
  </si>
  <si>
    <t>Lata Thorat</t>
  </si>
  <si>
    <t>2025-08-13</t>
  </si>
  <si>
    <t>LD1725</t>
  </si>
  <si>
    <t>Ravi Shinde</t>
  </si>
  <si>
    <t>2025-08-18</t>
  </si>
  <si>
    <t>LD1726</t>
  </si>
  <si>
    <t>2025-07-10</t>
  </si>
  <si>
    <t>2025-08-20</t>
  </si>
  <si>
    <t>2025-08-26</t>
  </si>
  <si>
    <t>LD1727</t>
  </si>
  <si>
    <t>Nanda Tupe</t>
  </si>
  <si>
    <t>2025-08-10</t>
  </si>
  <si>
    <t>LD1728</t>
  </si>
  <si>
    <t>2025-09-01</t>
  </si>
  <si>
    <t>LD1729</t>
  </si>
  <si>
    <t>Manoj Patil</t>
  </si>
  <si>
    <t>2025-08-25</t>
  </si>
  <si>
    <t>LD1730</t>
  </si>
  <si>
    <t>Ashwini Patil</t>
  </si>
  <si>
    <t>LD1731</t>
  </si>
  <si>
    <t>2025-09-15</t>
  </si>
  <si>
    <t>2025-09-26</t>
  </si>
  <si>
    <t>LD1732</t>
  </si>
  <si>
    <t>Devendra Londhe</t>
  </si>
  <si>
    <t>2025-09-13</t>
  </si>
  <si>
    <t>LD1733</t>
  </si>
  <si>
    <t>2025-08-14</t>
  </si>
  <si>
    <t>2025-09-04</t>
  </si>
  <si>
    <t>LD1734</t>
  </si>
  <si>
    <t>LD1735</t>
  </si>
  <si>
    <t>2025-09-09</t>
  </si>
  <si>
    <t>LD1736</t>
  </si>
  <si>
    <t>LD1737</t>
  </si>
  <si>
    <t>2025-07-25</t>
  </si>
  <si>
    <t>2025-08-05</t>
  </si>
  <si>
    <t>LD1738</t>
  </si>
  <si>
    <t>2025-09-10</t>
  </si>
  <si>
    <t>LD1739</t>
  </si>
  <si>
    <t>Pramod Jadhav</t>
  </si>
  <si>
    <t>LD1740</t>
  </si>
  <si>
    <t>LD1741</t>
  </si>
  <si>
    <t>2025-08-29</t>
  </si>
  <si>
    <t>2025-08-31</t>
  </si>
  <si>
    <t>LD1742</t>
  </si>
  <si>
    <t>2025-07-30</t>
  </si>
  <si>
    <t>LD1743</t>
  </si>
  <si>
    <t>Devendra Joshi</t>
  </si>
  <si>
    <t>2025-08-06</t>
  </si>
  <si>
    <t>LD1744</t>
  </si>
  <si>
    <t>Rohit Bhosale</t>
  </si>
  <si>
    <t>LD1745</t>
  </si>
  <si>
    <t>Divya Salve</t>
  </si>
  <si>
    <t>LD1746</t>
  </si>
  <si>
    <t>LD1747</t>
  </si>
  <si>
    <t>Ravi Thorat</t>
  </si>
  <si>
    <t>2025-09-03</t>
  </si>
  <si>
    <t>LD1748</t>
  </si>
  <si>
    <t>2025-09-22</t>
  </si>
  <si>
    <t>LD1749</t>
  </si>
  <si>
    <t>2025-08-28</t>
  </si>
  <si>
    <t>2025-09-02</t>
  </si>
  <si>
    <t>LD1750</t>
  </si>
  <si>
    <t>2025-09-08</t>
  </si>
  <si>
    <t>LD1751</t>
  </si>
  <si>
    <t>LD1752</t>
  </si>
  <si>
    <t>LD1753</t>
  </si>
  <si>
    <t>Sunil Kale</t>
  </si>
  <si>
    <t>LD1754</t>
  </si>
  <si>
    <t>LD1755</t>
  </si>
  <si>
    <t>Rekha Mohite</t>
  </si>
  <si>
    <t>2025-08-01</t>
  </si>
  <si>
    <t>LD1756</t>
  </si>
  <si>
    <t>Nanda Londhe</t>
  </si>
  <si>
    <t>2025-08-23</t>
  </si>
  <si>
    <t>LD1757</t>
  </si>
  <si>
    <t>Nilesh Aware</t>
  </si>
  <si>
    <t>LD1758</t>
  </si>
  <si>
    <t>Nilesh Sawant</t>
  </si>
  <si>
    <t>LD1759</t>
  </si>
  <si>
    <t>2025-08-15</t>
  </si>
  <si>
    <t>LD1760</t>
  </si>
  <si>
    <t>LD1761</t>
  </si>
  <si>
    <t>LD1762</t>
  </si>
  <si>
    <t>LD1763</t>
  </si>
  <si>
    <t>LD1764</t>
  </si>
  <si>
    <t>Sunita Gaikwad</t>
  </si>
  <si>
    <t>LD1765</t>
  </si>
  <si>
    <t>LD1766</t>
  </si>
  <si>
    <t>Lata Deshpande</t>
  </si>
  <si>
    <t>LD1767</t>
  </si>
  <si>
    <t>Archana Wagh</t>
  </si>
  <si>
    <t>2025-09-12</t>
  </si>
  <si>
    <t>LD1768</t>
  </si>
  <si>
    <t>Divya Nikalje</t>
  </si>
  <si>
    <t>LD1769</t>
  </si>
  <si>
    <t>Ritu Deshpande</t>
  </si>
  <si>
    <t>LD1770</t>
  </si>
  <si>
    <t>Ashwini Bhosale</t>
  </si>
  <si>
    <t>2025-09-06</t>
  </si>
  <si>
    <t>2025-09-17</t>
  </si>
  <si>
    <t>LD1771</t>
  </si>
  <si>
    <t>Sanjay Holkar</t>
  </si>
  <si>
    <t>LD1772</t>
  </si>
  <si>
    <t>LD1773</t>
  </si>
  <si>
    <t>LD1774</t>
  </si>
  <si>
    <t>LD1775</t>
  </si>
  <si>
    <t>Varsha Bansode</t>
  </si>
  <si>
    <t>2025-09-25</t>
  </si>
  <si>
    <t>LD1776-DUP</t>
  </si>
  <si>
    <t>LD1777</t>
  </si>
  <si>
    <t>LD1778</t>
  </si>
  <si>
    <t>Nikhil Phule</t>
  </si>
  <si>
    <t>LD1779</t>
  </si>
  <si>
    <t>Nanda More</t>
  </si>
  <si>
    <t>2025-09-11</t>
  </si>
  <si>
    <t>LD1780</t>
  </si>
  <si>
    <t>2025-08-09</t>
  </si>
  <si>
    <t>2025-08-27</t>
  </si>
  <si>
    <t>LD1781</t>
  </si>
  <si>
    <t>Nikhil Nikalje</t>
  </si>
  <si>
    <t>2025-10-27</t>
  </si>
  <si>
    <t>LD1782</t>
  </si>
  <si>
    <t>2025-10-02</t>
  </si>
  <si>
    <t>LD1783</t>
  </si>
  <si>
    <t>Pooja Nikalje</t>
  </si>
  <si>
    <t>2025-10-16</t>
  </si>
  <si>
    <t>LD1784</t>
  </si>
  <si>
    <t>2025-09-18</t>
  </si>
  <si>
    <t>LD1785</t>
  </si>
  <si>
    <t>Mahesh Chavan</t>
  </si>
  <si>
    <t>2025-10-11</t>
  </si>
  <si>
    <t>2025-10-19</t>
  </si>
  <si>
    <t>LD1786</t>
  </si>
  <si>
    <t>LD1787</t>
  </si>
  <si>
    <t>LD1788</t>
  </si>
  <si>
    <t>Meena Kale</t>
  </si>
  <si>
    <t>LD1789</t>
  </si>
  <si>
    <t>LD1790</t>
  </si>
  <si>
    <t>LD1791</t>
  </si>
  <si>
    <t>Sachin Kadam</t>
  </si>
  <si>
    <t>LD1792</t>
  </si>
  <si>
    <t>Ganesh Naik</t>
  </si>
  <si>
    <t>2025-09-16</t>
  </si>
  <si>
    <t>2025-10-05</t>
  </si>
  <si>
    <t>LD1793</t>
  </si>
  <si>
    <t>2025-09-28</t>
  </si>
  <si>
    <t>LD1794</t>
  </si>
  <si>
    <t>LD1795</t>
  </si>
  <si>
    <t>Sunita Salve</t>
  </si>
  <si>
    <t>LD1796</t>
  </si>
  <si>
    <t>2025-09-27</t>
  </si>
  <si>
    <t>LD1797</t>
  </si>
  <si>
    <t>LD1798</t>
  </si>
  <si>
    <t>LD1799</t>
  </si>
  <si>
    <t>Santosh Kulkarni</t>
  </si>
  <si>
    <t>2025-10-06</t>
  </si>
  <si>
    <t>LD1800</t>
  </si>
  <si>
    <t>2025-09-29</t>
  </si>
  <si>
    <t>LD1801</t>
  </si>
  <si>
    <t>LD1802</t>
  </si>
  <si>
    <t>Amit Mohite</t>
  </si>
  <si>
    <t>LD1803</t>
  </si>
  <si>
    <t>LD1804</t>
  </si>
  <si>
    <t>Divya Sonawane</t>
  </si>
  <si>
    <t>2025-08-19</t>
  </si>
  <si>
    <t>LD1805</t>
  </si>
  <si>
    <t>LD1806</t>
  </si>
  <si>
    <t>Kiran Sawant</t>
  </si>
  <si>
    <t>2025-09-21</t>
  </si>
  <si>
    <t>LD1807</t>
  </si>
  <si>
    <t>LD1808</t>
  </si>
  <si>
    <t>LD1809</t>
  </si>
  <si>
    <t>Vikas Nimbalkar</t>
  </si>
  <si>
    <t>2025-09-24</t>
  </si>
  <si>
    <t>2025-10-09</t>
  </si>
  <si>
    <t>LD1810</t>
  </si>
  <si>
    <t>LD1811</t>
  </si>
  <si>
    <t>2025-10-10</t>
  </si>
  <si>
    <t>LD1812</t>
  </si>
  <si>
    <t>2025-09-23</t>
  </si>
  <si>
    <t>LD1813</t>
  </si>
  <si>
    <t>LD1814</t>
  </si>
  <si>
    <t>LD1815</t>
  </si>
  <si>
    <t>LD1816</t>
  </si>
  <si>
    <t>LD1817</t>
  </si>
  <si>
    <t>LD1818</t>
  </si>
  <si>
    <t>LD1819</t>
  </si>
  <si>
    <t>LD1820</t>
  </si>
  <si>
    <t>LD1821</t>
  </si>
  <si>
    <t>2025-11-14</t>
  </si>
  <si>
    <t>2025-11-29</t>
  </si>
  <si>
    <t>LD1822</t>
  </si>
  <si>
    <t>2025-10-08</t>
  </si>
  <si>
    <t>LD1823</t>
  </si>
  <si>
    <t>Sunanda Zende</t>
  </si>
  <si>
    <t>LD1824</t>
  </si>
  <si>
    <t>Arun Nikalje</t>
  </si>
  <si>
    <t>2025-10-20</t>
  </si>
  <si>
    <t>LD1825</t>
  </si>
  <si>
    <t>2025-10-18</t>
  </si>
  <si>
    <t>LD1826</t>
  </si>
  <si>
    <t>Sanjay Kakade</t>
  </si>
  <si>
    <t>LD1827</t>
  </si>
  <si>
    <t>Pramod Naik</t>
  </si>
  <si>
    <t>LD1828</t>
  </si>
  <si>
    <t>2025-10-01</t>
  </si>
  <si>
    <t>LD1829</t>
  </si>
  <si>
    <t>LD1830</t>
  </si>
  <si>
    <t>2025-09-05</t>
  </si>
  <si>
    <t>LD1831</t>
  </si>
  <si>
    <t>Shweta Kulkarni</t>
  </si>
  <si>
    <t>2025-11-07</t>
  </si>
  <si>
    <t>LD1832</t>
  </si>
  <si>
    <t>Vijay Wagh</t>
  </si>
  <si>
    <t>LD1833</t>
  </si>
  <si>
    <t>2025-10-22</t>
  </si>
  <si>
    <t>2025-10-25</t>
  </si>
  <si>
    <t>LD1834</t>
  </si>
  <si>
    <t>LD1835</t>
  </si>
  <si>
    <t>LD1836</t>
  </si>
  <si>
    <t>LD1837</t>
  </si>
  <si>
    <t>Ravi Chavan</t>
  </si>
  <si>
    <t>LD1838</t>
  </si>
  <si>
    <t>Smita Kadam</t>
  </si>
  <si>
    <t>2025-09-19</t>
  </si>
  <si>
    <t>LD1839</t>
  </si>
  <si>
    <t>LD1840</t>
  </si>
  <si>
    <t>LD1841</t>
  </si>
  <si>
    <t>LD1842</t>
  </si>
  <si>
    <t>2025-11-10</t>
  </si>
  <si>
    <t>LD1843</t>
  </si>
  <si>
    <t>Nikhil Sonawane</t>
  </si>
  <si>
    <t>LD1844</t>
  </si>
  <si>
    <t>2025-11-21</t>
  </si>
  <si>
    <t>LD1845</t>
  </si>
  <si>
    <t>LD1846</t>
  </si>
  <si>
    <t>Arun Raut</t>
  </si>
  <si>
    <t>2025-10-30</t>
  </si>
  <si>
    <t>LD1847</t>
  </si>
  <si>
    <t>2025-10-28</t>
  </si>
  <si>
    <t>LD1848</t>
  </si>
  <si>
    <t>LD1849</t>
  </si>
  <si>
    <t>2025-09-30</t>
  </si>
  <si>
    <t>LD1850</t>
  </si>
  <si>
    <t>LD1851</t>
  </si>
  <si>
    <t>LD1852</t>
  </si>
  <si>
    <t>2025-10-04</t>
  </si>
  <si>
    <t>LD1853</t>
  </si>
  <si>
    <t>Nilesh Kale</t>
  </si>
  <si>
    <t>LD1854</t>
  </si>
  <si>
    <t>Madhuri Mane</t>
  </si>
  <si>
    <t>2025-11-17</t>
  </si>
  <si>
    <t>LD1855</t>
  </si>
  <si>
    <t>Nikhil Aware</t>
  </si>
  <si>
    <t>LD1856</t>
  </si>
  <si>
    <t>2025-11-04</t>
  </si>
  <si>
    <t>LD1857</t>
  </si>
  <si>
    <t>2025-11-15</t>
  </si>
  <si>
    <t>LD1858</t>
  </si>
  <si>
    <t>Nanda Yadav</t>
  </si>
  <si>
    <t>LD1859</t>
  </si>
  <si>
    <t>LD1860</t>
  </si>
  <si>
    <t>LD1861</t>
  </si>
  <si>
    <t>2025-10-15</t>
  </si>
  <si>
    <t>LD1862</t>
  </si>
  <si>
    <t>Anita Zende</t>
  </si>
  <si>
    <t>2025-10-03</t>
  </si>
  <si>
    <t>LD1863</t>
  </si>
  <si>
    <t>LD1864</t>
  </si>
  <si>
    <t>2025-11-05</t>
  </si>
  <si>
    <t>LD1865</t>
  </si>
  <si>
    <t>Sunil Patil</t>
  </si>
  <si>
    <t>2025-10-17</t>
  </si>
  <si>
    <t>LD1866</t>
  </si>
  <si>
    <t>2025-11-03</t>
  </si>
  <si>
    <t>LD1867</t>
  </si>
  <si>
    <t>Kiran Jadhav</t>
  </si>
  <si>
    <t>LD1868-DUP</t>
  </si>
  <si>
    <t>2025-10-29</t>
  </si>
  <si>
    <t>LD1869</t>
  </si>
  <si>
    <t>LD1870</t>
  </si>
  <si>
    <t>LD1871</t>
  </si>
  <si>
    <t>LD1872</t>
  </si>
  <si>
    <t>2025-11-11</t>
  </si>
  <si>
    <t>2025-11-25</t>
  </si>
  <si>
    <t>LD1873</t>
  </si>
  <si>
    <t>Pravin Jadhav</t>
  </si>
  <si>
    <t>LD1874</t>
  </si>
  <si>
    <t>2025-10-24</t>
  </si>
  <si>
    <t>2025-11-09</t>
  </si>
  <si>
    <t>LD1875</t>
  </si>
  <si>
    <t>LD1876</t>
  </si>
  <si>
    <t>LD1877</t>
  </si>
  <si>
    <t>2025-10-23</t>
  </si>
  <si>
    <t>LD1878</t>
  </si>
  <si>
    <t>Ritu Chavan</t>
  </si>
  <si>
    <t>2025-11-12</t>
  </si>
  <si>
    <t>LD1879</t>
  </si>
  <si>
    <t>LD1880</t>
  </si>
  <si>
    <t>Pramod Gavhane</t>
  </si>
  <si>
    <t>2025-12-04</t>
  </si>
  <si>
    <t>2025-12-24</t>
  </si>
  <si>
    <t>LD1881</t>
  </si>
  <si>
    <t>LD1882</t>
  </si>
  <si>
    <t>Suresh Sawant</t>
  </si>
  <si>
    <t>LD1883</t>
  </si>
  <si>
    <t>LD1884</t>
  </si>
  <si>
    <t>2025-11-01</t>
  </si>
  <si>
    <t>LD1885</t>
  </si>
  <si>
    <t>LD1886</t>
  </si>
  <si>
    <t>Vijay Kulkarni</t>
  </si>
  <si>
    <t>LD1887</t>
  </si>
  <si>
    <t>LD1888</t>
  </si>
  <si>
    <t>LD1889</t>
  </si>
  <si>
    <t>LD1890</t>
  </si>
  <si>
    <t>LD1891</t>
  </si>
  <si>
    <t>Rohit Joshi</t>
  </si>
  <si>
    <t>LD1892</t>
  </si>
  <si>
    <t>2025-12-03</t>
  </si>
  <si>
    <t>LD1893</t>
  </si>
  <si>
    <t>LD1894</t>
  </si>
  <si>
    <t>Vijay Nimbalkar</t>
  </si>
  <si>
    <t>LD1895</t>
  </si>
  <si>
    <t>Bharati Yadav</t>
  </si>
  <si>
    <t>2025-12-20</t>
  </si>
  <si>
    <t>2026-01-06</t>
  </si>
  <si>
    <t>LD1896-DUP</t>
  </si>
  <si>
    <t>Divya Mane</t>
  </si>
  <si>
    <t>2025-11-08</t>
  </si>
  <si>
    <t>LD1897</t>
  </si>
  <si>
    <t>LD1898</t>
  </si>
  <si>
    <t>2025-11-13</t>
  </si>
  <si>
    <t>LD1899</t>
  </si>
  <si>
    <t>Kiran Thorat</t>
  </si>
  <si>
    <t>LD1900</t>
  </si>
  <si>
    <t>Vijay Kshirsagar</t>
  </si>
  <si>
    <t>LD1901</t>
  </si>
  <si>
    <t>LD1902</t>
  </si>
  <si>
    <t>2025-12-05</t>
  </si>
  <si>
    <t>2025-12-15</t>
  </si>
  <si>
    <t>LD1903</t>
  </si>
  <si>
    <t>LD1904</t>
  </si>
  <si>
    <t>LD1905</t>
  </si>
  <si>
    <t>2025-11-22</t>
  </si>
  <si>
    <t>LD1906</t>
  </si>
  <si>
    <t>Hemant Kshirsagar</t>
  </si>
  <si>
    <t>2025-11-24</t>
  </si>
  <si>
    <t>2025-12-14</t>
  </si>
  <si>
    <t>LD1907</t>
  </si>
  <si>
    <t>LD1908</t>
  </si>
  <si>
    <t>2025-10-07</t>
  </si>
  <si>
    <t>LD1909</t>
  </si>
  <si>
    <t>LD1910</t>
  </si>
  <si>
    <t>2025-10-14</t>
  </si>
  <si>
    <t>LD1911</t>
  </si>
  <si>
    <t>2025-12-17</t>
  </si>
  <si>
    <t>LD1912</t>
  </si>
  <si>
    <t>LD1913</t>
  </si>
  <si>
    <t>Anita Deshmukh</t>
  </si>
  <si>
    <t>LD1914</t>
  </si>
  <si>
    <t>LD1915</t>
  </si>
  <si>
    <t>Sunita Mohite</t>
  </si>
  <si>
    <t>2025-11-20</t>
  </si>
  <si>
    <t>LD1916</t>
  </si>
  <si>
    <t>2025-10-13</t>
  </si>
  <si>
    <t>2025-12-01</t>
  </si>
  <si>
    <t>2025-12-06</t>
  </si>
  <si>
    <t>LD1917</t>
  </si>
  <si>
    <t>LD1918</t>
  </si>
  <si>
    <t>LD1919</t>
  </si>
  <si>
    <t>LD1920</t>
  </si>
  <si>
    <t>2025-11-26</t>
  </si>
  <si>
    <t>LD1921</t>
  </si>
  <si>
    <t>Manoj Nikalje</t>
  </si>
  <si>
    <t>LD1922</t>
  </si>
  <si>
    <t>Meena Shelke</t>
  </si>
  <si>
    <t>LD1923</t>
  </si>
  <si>
    <t>Arun Gavhane</t>
  </si>
  <si>
    <t>LD1924</t>
  </si>
  <si>
    <t>LD1925</t>
  </si>
  <si>
    <t>LD1926</t>
  </si>
  <si>
    <t>2025-10-21</t>
  </si>
  <si>
    <t>LD1927</t>
  </si>
  <si>
    <t>LD1928</t>
  </si>
  <si>
    <t>LD1929</t>
  </si>
  <si>
    <t>2025-11-02</t>
  </si>
  <si>
    <t>LD1930</t>
  </si>
  <si>
    <t>LD1931</t>
  </si>
  <si>
    <t>LD1932</t>
  </si>
  <si>
    <t>2025-12-26</t>
  </si>
  <si>
    <t>LD1933</t>
  </si>
  <si>
    <t>2025-12-09</t>
  </si>
  <si>
    <t>LD1934</t>
  </si>
  <si>
    <t>Rekha Kshirsagar</t>
  </si>
  <si>
    <t>LD1935</t>
  </si>
  <si>
    <t>Mahesh Phule</t>
  </si>
  <si>
    <t>LD1936</t>
  </si>
  <si>
    <t>Sunil Shinde</t>
  </si>
  <si>
    <t>LD1937</t>
  </si>
  <si>
    <t>Rohit Kshirsagar</t>
  </si>
  <si>
    <t>2025-12-02</t>
  </si>
  <si>
    <t>LD1938</t>
  </si>
  <si>
    <t>2025-12-18</t>
  </si>
  <si>
    <t>LD1939</t>
  </si>
  <si>
    <t>Varsha Kakade</t>
  </si>
  <si>
    <t>LD1940</t>
  </si>
  <si>
    <t>LD1941</t>
  </si>
  <si>
    <t>2025-12-08</t>
  </si>
  <si>
    <t>LD1942</t>
  </si>
  <si>
    <t>LD1943</t>
  </si>
  <si>
    <t>LD1944</t>
  </si>
  <si>
    <t>Manoj Wagh</t>
  </si>
  <si>
    <t>2025-11-19</t>
  </si>
  <si>
    <t>LD1945</t>
  </si>
  <si>
    <t>LD1946</t>
  </si>
  <si>
    <t>Lata Phule</t>
  </si>
  <si>
    <t>LD1947</t>
  </si>
  <si>
    <t>LD1948</t>
  </si>
  <si>
    <t>LD1949</t>
  </si>
  <si>
    <t>LD1950</t>
  </si>
  <si>
    <t>2025-11-28</t>
  </si>
  <si>
    <t>2025-12-19</t>
  </si>
  <si>
    <t>LD1951</t>
  </si>
  <si>
    <t>Deepak Gaikwad</t>
  </si>
  <si>
    <t>LD1952</t>
  </si>
  <si>
    <t>Rohit Shinde</t>
  </si>
  <si>
    <t>2026-01-05</t>
  </si>
  <si>
    <t>LD1953</t>
  </si>
  <si>
    <t>Lata Nimbalkar</t>
  </si>
  <si>
    <t>LD1954</t>
  </si>
  <si>
    <t>LD1955</t>
  </si>
  <si>
    <t>LD1956</t>
  </si>
  <si>
    <t>LD1957</t>
  </si>
  <si>
    <t>LD1958</t>
  </si>
  <si>
    <t>LD1959</t>
  </si>
  <si>
    <t>Santosh Yadav</t>
  </si>
  <si>
    <t>LD1960</t>
  </si>
  <si>
    <t>Madhuri Tupe</t>
  </si>
  <si>
    <t>LD1961</t>
  </si>
  <si>
    <t>LD1962</t>
  </si>
  <si>
    <t>Ashwini Naik</t>
  </si>
  <si>
    <t>LD1963</t>
  </si>
  <si>
    <t>Santosh Bhalerao</t>
  </si>
  <si>
    <t>LD1964</t>
  </si>
  <si>
    <t>LD1965</t>
  </si>
  <si>
    <t>2025-11-18</t>
  </si>
  <si>
    <t>LD1966</t>
  </si>
  <si>
    <t>LD1967</t>
  </si>
  <si>
    <t>Pooja Kadam</t>
  </si>
  <si>
    <t>LD1968</t>
  </si>
  <si>
    <t>LD1969</t>
  </si>
  <si>
    <t>LD1970</t>
  </si>
  <si>
    <t>Rohit Phule</t>
  </si>
  <si>
    <t>LD1971</t>
  </si>
  <si>
    <t>LD1972</t>
  </si>
  <si>
    <t>LD1973</t>
  </si>
  <si>
    <t>Ashwini Gavhane</t>
  </si>
  <si>
    <t>LD1974</t>
  </si>
  <si>
    <t>2025-11-06</t>
  </si>
  <si>
    <t>LD1975</t>
  </si>
  <si>
    <t>LD1976</t>
  </si>
  <si>
    <t>Madhuri Kshirsagar</t>
  </si>
  <si>
    <t>LD1977</t>
  </si>
  <si>
    <t>Hemant Naik</t>
  </si>
  <si>
    <t>LD1978</t>
  </si>
  <si>
    <t>LD1979</t>
  </si>
  <si>
    <t>LD1980</t>
  </si>
  <si>
    <t>Lata Kshirsagar</t>
  </si>
  <si>
    <t>LD1981</t>
  </si>
  <si>
    <t>LD1982</t>
  </si>
  <si>
    <t>LD1983</t>
  </si>
  <si>
    <t>Archana Thorat</t>
  </si>
  <si>
    <t>LD1984</t>
  </si>
  <si>
    <t>2026-01-01</t>
  </si>
  <si>
    <t>2026-01-03</t>
  </si>
  <si>
    <t>LD1985</t>
  </si>
  <si>
    <t>Ravi Bansode</t>
  </si>
  <si>
    <t>LD1986</t>
  </si>
  <si>
    <t>LD1987</t>
  </si>
  <si>
    <t>LD1988</t>
  </si>
  <si>
    <t>LD1989</t>
  </si>
  <si>
    <t>LD1990</t>
  </si>
  <si>
    <t>2025-12-25</t>
  </si>
  <si>
    <t>LD1991</t>
  </si>
  <si>
    <t>LD1992</t>
  </si>
  <si>
    <t>Pramod Bansode</t>
  </si>
  <si>
    <t>LD1993</t>
  </si>
  <si>
    <t>LD1994</t>
  </si>
  <si>
    <t>Umesh Nimbalkar</t>
  </si>
  <si>
    <t>LD1995</t>
  </si>
  <si>
    <t>LD1996</t>
  </si>
  <si>
    <t>Arun Phule</t>
  </si>
  <si>
    <t>LD1997</t>
  </si>
  <si>
    <t>2025-12-29</t>
  </si>
  <si>
    <t>LD1998</t>
  </si>
  <si>
    <t>LD1999</t>
  </si>
  <si>
    <t>Ashwini Salve</t>
  </si>
  <si>
    <t>LD2000</t>
  </si>
  <si>
    <t>LD2001</t>
  </si>
  <si>
    <t>2025-10-31</t>
  </si>
  <si>
    <t>LD2002</t>
  </si>
  <si>
    <t>Kiran Aware</t>
  </si>
  <si>
    <t>2026-01-09</t>
  </si>
  <si>
    <t>LD2003</t>
  </si>
  <si>
    <t>LD2004</t>
  </si>
  <si>
    <t>2025-12-22</t>
  </si>
  <si>
    <t>LD2005</t>
  </si>
  <si>
    <t>LD2006</t>
  </si>
  <si>
    <t>LD2007</t>
  </si>
  <si>
    <t>LD2008</t>
  </si>
  <si>
    <t>LD2009</t>
  </si>
  <si>
    <t>2025-12-12</t>
  </si>
  <si>
    <t>LD2010</t>
  </si>
  <si>
    <t>2026-01-10</t>
  </si>
  <si>
    <t>LD2011</t>
  </si>
  <si>
    <t>2026-01-21</t>
  </si>
  <si>
    <t>LD2012</t>
  </si>
  <si>
    <t>Manoj Holkar</t>
  </si>
  <si>
    <t>2026-01-24</t>
  </si>
  <si>
    <t>LD2013</t>
  </si>
  <si>
    <t>2026-01-02</t>
  </si>
  <si>
    <t>LD2014</t>
  </si>
  <si>
    <t>Vijay Gavhane</t>
  </si>
  <si>
    <t>LD2015</t>
  </si>
  <si>
    <t>2025-12-27</t>
  </si>
  <si>
    <t>2026-01-13</t>
  </si>
  <si>
    <t>LD2016</t>
  </si>
  <si>
    <t>2025-12-10</t>
  </si>
  <si>
    <t>LD2017</t>
  </si>
  <si>
    <t>LD2018</t>
  </si>
  <si>
    <t>2025-12-16</t>
  </si>
  <si>
    <t>LD2019</t>
  </si>
  <si>
    <t>Rekha Suryawanshi</t>
  </si>
  <si>
    <t>LD2020</t>
  </si>
  <si>
    <t>2025-12-30</t>
  </si>
  <si>
    <t>LD2021</t>
  </si>
  <si>
    <t>LD2022</t>
  </si>
  <si>
    <t>2026-01-11</t>
  </si>
  <si>
    <t>LD2023</t>
  </si>
  <si>
    <t>LD2024</t>
  </si>
  <si>
    <t>LD2025</t>
  </si>
  <si>
    <t>LD2026</t>
  </si>
  <si>
    <t>Kavita Naik</t>
  </si>
  <si>
    <t>LD2027</t>
  </si>
  <si>
    <t>Sunita Aware</t>
  </si>
  <si>
    <t>LD2028</t>
  </si>
  <si>
    <t>Vijay Salve</t>
  </si>
  <si>
    <t>LD2029</t>
  </si>
  <si>
    <t>Rajesh Mane</t>
  </si>
  <si>
    <t>2026-01-23</t>
  </si>
  <si>
    <t>LD2030</t>
  </si>
  <si>
    <t>LD2031</t>
  </si>
  <si>
    <t>LD2032</t>
  </si>
  <si>
    <t>LD2033</t>
  </si>
  <si>
    <t>LD2034</t>
  </si>
  <si>
    <t>LD2035</t>
  </si>
  <si>
    <t>Rohit Deshpande</t>
  </si>
  <si>
    <t>LD2036</t>
  </si>
  <si>
    <t>2025-11-27</t>
  </si>
  <si>
    <t>LD2037</t>
  </si>
  <si>
    <t>LD2038</t>
  </si>
  <si>
    <t>LD2039</t>
  </si>
  <si>
    <t>LD2040</t>
  </si>
  <si>
    <t>LD2041</t>
  </si>
  <si>
    <t>Mahesh Holkar</t>
  </si>
  <si>
    <t>LD2042</t>
  </si>
  <si>
    <t>LD2043</t>
  </si>
  <si>
    <t>LD2044</t>
  </si>
  <si>
    <t>Ritu Mane</t>
  </si>
  <si>
    <t>LD2045</t>
  </si>
  <si>
    <t>LD2046</t>
  </si>
  <si>
    <t>LD2047</t>
  </si>
  <si>
    <t>LD2048</t>
  </si>
  <si>
    <t>2025-12-31</t>
  </si>
  <si>
    <t>LD2049</t>
  </si>
  <si>
    <t>LD2050</t>
  </si>
  <si>
    <t>Rohit Suryawanshi</t>
  </si>
  <si>
    <t>2026-01-17</t>
  </si>
  <si>
    <t>LD2051</t>
  </si>
  <si>
    <t>LD2052</t>
  </si>
  <si>
    <t>Suresh Patil</t>
  </si>
  <si>
    <t>LD2053</t>
  </si>
  <si>
    <t>Kiran Naik</t>
  </si>
  <si>
    <t>LD2054</t>
  </si>
  <si>
    <t>LD2055</t>
  </si>
  <si>
    <t>LD2056</t>
  </si>
  <si>
    <t>Prashant Shinde</t>
  </si>
  <si>
    <t>LD2057</t>
  </si>
  <si>
    <t>Ashwini Pawar</t>
  </si>
  <si>
    <t>LD2058</t>
  </si>
  <si>
    <t>LD2059</t>
  </si>
  <si>
    <t>Shweta Jadhav</t>
  </si>
  <si>
    <t>2025-12-13</t>
  </si>
  <si>
    <t>LD2060</t>
  </si>
  <si>
    <t>Vijay Pawar</t>
  </si>
  <si>
    <t>LD2061</t>
  </si>
  <si>
    <t>LD2062</t>
  </si>
  <si>
    <t>LD2063</t>
  </si>
  <si>
    <t>2025-12-23</t>
  </si>
  <si>
    <t>LD2064</t>
  </si>
  <si>
    <t>LD2065</t>
  </si>
  <si>
    <t>LD2066</t>
  </si>
  <si>
    <t>LD2067</t>
  </si>
  <si>
    <t>Sunita Deshmukh</t>
  </si>
  <si>
    <t>LD2068</t>
  </si>
  <si>
    <t>LD2069</t>
  </si>
  <si>
    <t>LD2070</t>
  </si>
  <si>
    <t>LD2071</t>
  </si>
  <si>
    <t>Meena Raut</t>
  </si>
  <si>
    <t>LD2072</t>
  </si>
  <si>
    <t>LD2073</t>
  </si>
  <si>
    <t>LD2074</t>
  </si>
  <si>
    <t>LD2075</t>
  </si>
  <si>
    <t>2026-01-28</t>
  </si>
  <si>
    <t>LD2076</t>
  </si>
  <si>
    <t>LD2077</t>
  </si>
  <si>
    <t>LD2078</t>
  </si>
  <si>
    <t>Sunita Kale</t>
  </si>
  <si>
    <t>LD2079</t>
  </si>
  <si>
    <t>2026-01-07</t>
  </si>
  <si>
    <t>LD2080</t>
  </si>
  <si>
    <t>2026-01-15</t>
  </si>
  <si>
    <t>LD2081</t>
  </si>
  <si>
    <t>Sunita Deshpande</t>
  </si>
  <si>
    <t>LD2082</t>
  </si>
  <si>
    <t>Nikhil Holkar</t>
  </si>
  <si>
    <t>LD2083</t>
  </si>
  <si>
    <t>LD2084</t>
  </si>
  <si>
    <t>2026-01-12</t>
  </si>
  <si>
    <t>LD2085</t>
  </si>
  <si>
    <t>Sanjay Joshi</t>
  </si>
  <si>
    <t>LD2086</t>
  </si>
  <si>
    <t>2026-01-08</t>
  </si>
  <si>
    <t>LD2087</t>
  </si>
  <si>
    <t>LD2088</t>
  </si>
  <si>
    <t>Archana Gaikwad</t>
  </si>
  <si>
    <t>LD2089</t>
  </si>
  <si>
    <t>LD2090</t>
  </si>
  <si>
    <t>LD2091</t>
  </si>
  <si>
    <t>Nanda Suryawanshi</t>
  </si>
  <si>
    <t>LD2092</t>
  </si>
  <si>
    <t>LD2093</t>
  </si>
  <si>
    <t>Divya Aware</t>
  </si>
  <si>
    <t>LD2094</t>
  </si>
  <si>
    <t>Pramod Kulkarni</t>
  </si>
  <si>
    <t>LD2095</t>
  </si>
  <si>
    <t>LD2096</t>
  </si>
  <si>
    <t>Ritu Yadav</t>
  </si>
  <si>
    <t>LD2097</t>
  </si>
  <si>
    <t>2026-01-27</t>
  </si>
  <si>
    <t>LD2098</t>
  </si>
  <si>
    <t>LD2099</t>
  </si>
  <si>
    <t>2026-01-19</t>
  </si>
  <si>
    <t>LD2100</t>
  </si>
  <si>
    <t>LD2101</t>
  </si>
  <si>
    <t>LD2102</t>
  </si>
  <si>
    <t>Prashant Deshmukh</t>
  </si>
  <si>
    <t>LD2103</t>
  </si>
  <si>
    <t>2026-02-06</t>
  </si>
  <si>
    <t>LD2104</t>
  </si>
  <si>
    <t>LD2105-DUP</t>
  </si>
  <si>
    <t>LD2106</t>
  </si>
  <si>
    <t>LD2107</t>
  </si>
  <si>
    <t>LD2108</t>
  </si>
  <si>
    <t>LD2109</t>
  </si>
  <si>
    <t>LD2110</t>
  </si>
  <si>
    <t>Manisha Nimbalkar</t>
  </si>
  <si>
    <t>LD2111</t>
  </si>
  <si>
    <t>LD2112</t>
  </si>
  <si>
    <t>LD2113</t>
  </si>
  <si>
    <t>LD2114</t>
  </si>
  <si>
    <t>LD2115</t>
  </si>
  <si>
    <t>LD2116</t>
  </si>
  <si>
    <t>2026-01-16</t>
  </si>
  <si>
    <t>LD2117</t>
  </si>
  <si>
    <t>2026-01-29</t>
  </si>
  <si>
    <t>LD2118</t>
  </si>
  <si>
    <t>2026-01-26</t>
  </si>
  <si>
    <t>LD2119</t>
  </si>
  <si>
    <t>Sanjay Wagh</t>
  </si>
  <si>
    <t>2025-12-11</t>
  </si>
  <si>
    <t>2026-02-19</t>
  </si>
  <si>
    <t>LD2120</t>
  </si>
  <si>
    <t>Dinesh Kshirsagar</t>
  </si>
  <si>
    <t>LD2121</t>
  </si>
  <si>
    <t>LD2122</t>
  </si>
  <si>
    <t>LD2123</t>
  </si>
  <si>
    <t>LD2124</t>
  </si>
  <si>
    <t>LD2125</t>
  </si>
  <si>
    <t>LD2126</t>
  </si>
  <si>
    <t>Pooja Gavhane</t>
  </si>
  <si>
    <t>LD2127</t>
  </si>
  <si>
    <t>2026-01-22</t>
  </si>
  <si>
    <t>2026-01-30</t>
  </si>
  <si>
    <t>LD2128</t>
  </si>
  <si>
    <t>2026-02-04</t>
  </si>
  <si>
    <t>LD2129</t>
  </si>
  <si>
    <t>LD2130</t>
  </si>
  <si>
    <t>Lata Wagh</t>
  </si>
  <si>
    <t>LD2131</t>
  </si>
  <si>
    <t>2026-02-10</t>
  </si>
  <si>
    <t>LD2132</t>
  </si>
  <si>
    <t>2026-01-14</t>
  </si>
  <si>
    <t>LD2133</t>
  </si>
  <si>
    <t>2026-01-18</t>
  </si>
  <si>
    <t>LD2134</t>
  </si>
  <si>
    <t>Devendra Zende</t>
  </si>
  <si>
    <t>LD2135</t>
  </si>
  <si>
    <t>LD2136</t>
  </si>
  <si>
    <t>2026-02-16</t>
  </si>
  <si>
    <t>LD2137</t>
  </si>
  <si>
    <t>Sunanda Aware</t>
  </si>
  <si>
    <t>LD2138</t>
  </si>
  <si>
    <t>LD2139</t>
  </si>
  <si>
    <t>LD2140</t>
  </si>
  <si>
    <t>LD2141</t>
  </si>
  <si>
    <t>LD2142</t>
  </si>
  <si>
    <t>LD2143</t>
  </si>
  <si>
    <t>2026-03-02</t>
  </si>
  <si>
    <t>2026-03-09</t>
  </si>
  <si>
    <t>LD2144</t>
  </si>
  <si>
    <t>Nilesh Gavhane</t>
  </si>
  <si>
    <t>2026-02-02</t>
  </si>
  <si>
    <t>2026-02-13</t>
  </si>
  <si>
    <t>LD2145</t>
  </si>
  <si>
    <t>LD2146</t>
  </si>
  <si>
    <t>2026-02-12</t>
  </si>
  <si>
    <t>LD2147</t>
  </si>
  <si>
    <t>2026-01-20</t>
  </si>
  <si>
    <t>LD2148</t>
  </si>
  <si>
    <t>Manoj Suryawanshi</t>
  </si>
  <si>
    <t>LD2149</t>
  </si>
  <si>
    <t>LD2150</t>
  </si>
  <si>
    <t>LD2151</t>
  </si>
  <si>
    <t>Santosh Nikalje</t>
  </si>
  <si>
    <t>LD2152</t>
  </si>
  <si>
    <t>Smita Londhe</t>
  </si>
  <si>
    <t>LD2153</t>
  </si>
  <si>
    <t>LD2154</t>
  </si>
  <si>
    <t>LD2155</t>
  </si>
  <si>
    <t>2026-02-03</t>
  </si>
  <si>
    <t>LD2156</t>
  </si>
  <si>
    <t>Rohit Gaikwad</t>
  </si>
  <si>
    <t>2026-02-17</t>
  </si>
  <si>
    <t>LD2157</t>
  </si>
  <si>
    <t>LD2158</t>
  </si>
  <si>
    <t>2026-03-03</t>
  </si>
  <si>
    <t>LD2159</t>
  </si>
  <si>
    <t>LD2160</t>
  </si>
  <si>
    <t>Kavita Aware</t>
  </si>
  <si>
    <t>LD2161</t>
  </si>
  <si>
    <t>Archana Kadam</t>
  </si>
  <si>
    <t>LD2162</t>
  </si>
  <si>
    <t>LD2163</t>
  </si>
  <si>
    <t>Ganesh Kale</t>
  </si>
  <si>
    <t>LD2164</t>
  </si>
  <si>
    <t>Nanda Bhosale</t>
  </si>
  <si>
    <t>2026-02-11</t>
  </si>
  <si>
    <t>LD2165</t>
  </si>
  <si>
    <t>LD2166</t>
  </si>
  <si>
    <t>LD2167</t>
  </si>
  <si>
    <t>LD2168</t>
  </si>
  <si>
    <t>LD2169</t>
  </si>
  <si>
    <t>LD2170</t>
  </si>
  <si>
    <t>LD2171</t>
  </si>
  <si>
    <t>Kiran Londhe</t>
  </si>
  <si>
    <t>2026-02-27</t>
  </si>
  <si>
    <t>LD2172</t>
  </si>
  <si>
    <t>LD2173</t>
  </si>
  <si>
    <t>Deepak Nimbalkar</t>
  </si>
  <si>
    <t>2026-03-16</t>
  </si>
  <si>
    <t>LD2174</t>
  </si>
  <si>
    <t>2026-02-07</t>
  </si>
  <si>
    <t>LD2175</t>
  </si>
  <si>
    <t>LD2176</t>
  </si>
  <si>
    <t>Vijay Patil</t>
  </si>
  <si>
    <t>LD2177</t>
  </si>
  <si>
    <t>LD2178</t>
  </si>
  <si>
    <t>Nanda Kulkarni</t>
  </si>
  <si>
    <t>LD2179</t>
  </si>
  <si>
    <t>2026-01-31</t>
  </si>
  <si>
    <t>LD2180</t>
  </si>
  <si>
    <t>LD2181</t>
  </si>
  <si>
    <t>Bharati Shinde</t>
  </si>
  <si>
    <t>LD2182</t>
  </si>
  <si>
    <t>2026-02-20</t>
  </si>
  <si>
    <t>LD2183</t>
  </si>
  <si>
    <t>Rekha Thorat</t>
  </si>
  <si>
    <t>LD2184</t>
  </si>
  <si>
    <t>LD2185</t>
  </si>
  <si>
    <t>LD2186</t>
  </si>
  <si>
    <t>Sachin Bhalerao</t>
  </si>
  <si>
    <t>2026-02-18</t>
  </si>
  <si>
    <t>LD2187</t>
  </si>
  <si>
    <t>2026-03-12</t>
  </si>
  <si>
    <t>LD2188</t>
  </si>
  <si>
    <t>Varsha Phule</t>
  </si>
  <si>
    <t>2026-03-21</t>
  </si>
  <si>
    <t>LD2189</t>
  </si>
  <si>
    <t>Nanda Deshmukh</t>
  </si>
  <si>
    <t>LD2190</t>
  </si>
  <si>
    <t>LD2191</t>
  </si>
  <si>
    <t>Meena Sawant</t>
  </si>
  <si>
    <t>2026-03-05</t>
  </si>
  <si>
    <t>LD2192</t>
  </si>
  <si>
    <t>2026-02-09</t>
  </si>
  <si>
    <t>2026-03-01</t>
  </si>
  <si>
    <t>LD2193</t>
  </si>
  <si>
    <t>LD2194</t>
  </si>
  <si>
    <t>Varsha Kadam</t>
  </si>
  <si>
    <t>2026-02-23</t>
  </si>
  <si>
    <t>LD2195</t>
  </si>
  <si>
    <t>2026-03-18</t>
  </si>
  <si>
    <t>LD2196</t>
  </si>
  <si>
    <t>2026-03-26</t>
  </si>
  <si>
    <t>LD2197</t>
  </si>
  <si>
    <t>2026-03-07</t>
  </si>
  <si>
    <t>LD2198</t>
  </si>
  <si>
    <t>2026-03-30</t>
  </si>
  <si>
    <t>LD2199</t>
  </si>
  <si>
    <t>LD2200</t>
  </si>
  <si>
    <t>LD2201</t>
  </si>
  <si>
    <t>LD2202</t>
  </si>
  <si>
    <t>LD2203</t>
  </si>
  <si>
    <t>LD2204</t>
  </si>
  <si>
    <t>Sonal Raut</t>
  </si>
  <si>
    <t>LD2205</t>
  </si>
  <si>
    <t>LD2206</t>
  </si>
  <si>
    <t>LD2207</t>
  </si>
  <si>
    <t>LD2208</t>
  </si>
  <si>
    <t>LD2209</t>
  </si>
  <si>
    <t>2026-03-10</t>
  </si>
  <si>
    <t>LD2210</t>
  </si>
  <si>
    <t>Vijay Londhe</t>
  </si>
  <si>
    <t>LD2211</t>
  </si>
  <si>
    <t>Nikhil Thorat</t>
  </si>
  <si>
    <t>LD2212</t>
  </si>
  <si>
    <t>Rekha Deshpande</t>
  </si>
  <si>
    <t>LD2213</t>
  </si>
  <si>
    <t>LD2214</t>
  </si>
  <si>
    <t>LD2215</t>
  </si>
  <si>
    <t>LD2216</t>
  </si>
  <si>
    <t>Manisha Raut</t>
  </si>
  <si>
    <t>LD2217</t>
  </si>
  <si>
    <t>Umesh Bhosale</t>
  </si>
  <si>
    <t>LD2218</t>
  </si>
  <si>
    <t>LD2219</t>
  </si>
  <si>
    <t>LD2220</t>
  </si>
  <si>
    <t>Sunita Nikalje</t>
  </si>
  <si>
    <t>LD2221</t>
  </si>
  <si>
    <t>Santosh Patil</t>
  </si>
  <si>
    <t>LD2222</t>
  </si>
  <si>
    <t>LD2223</t>
  </si>
  <si>
    <t>LD2224</t>
  </si>
  <si>
    <t>Rajesh Salve</t>
  </si>
  <si>
    <t>LD2225</t>
  </si>
  <si>
    <t>LD2226</t>
  </si>
  <si>
    <t>Lata Nikalje</t>
  </si>
  <si>
    <t>LD2227</t>
  </si>
  <si>
    <t>2026-02-25</t>
  </si>
  <si>
    <t>LD2228</t>
  </si>
  <si>
    <t>2026-02-26</t>
  </si>
  <si>
    <t>LD2229</t>
  </si>
  <si>
    <t>Dinesh Chavan</t>
  </si>
  <si>
    <t>LD2230</t>
  </si>
  <si>
    <t>LD2231</t>
  </si>
  <si>
    <t>LD2232</t>
  </si>
  <si>
    <t>LD2233</t>
  </si>
  <si>
    <t>LD2234</t>
  </si>
  <si>
    <t>LD2235</t>
  </si>
  <si>
    <t>2026-02-28</t>
  </si>
  <si>
    <t>LD2236</t>
  </si>
  <si>
    <t>Amit Bhosale</t>
  </si>
  <si>
    <t>LD2237</t>
  </si>
  <si>
    <t>Rajesh Kulkarni</t>
  </si>
  <si>
    <t>2026-03-20</t>
  </si>
  <si>
    <t>LD2238</t>
  </si>
  <si>
    <t>LD2239</t>
  </si>
  <si>
    <t>2026-03-28</t>
  </si>
  <si>
    <t>LD2240</t>
  </si>
  <si>
    <t>2026-02-05</t>
  </si>
  <si>
    <t>LD2241</t>
  </si>
  <si>
    <t>2026-04-01</t>
  </si>
  <si>
    <t>LD2242</t>
  </si>
  <si>
    <t>LD2243</t>
  </si>
  <si>
    <t>Devendra Kulkarni</t>
  </si>
  <si>
    <t>2026-04-20</t>
  </si>
  <si>
    <t>2026-04-27</t>
  </si>
  <si>
    <t>LD2244</t>
  </si>
  <si>
    <t>Sonal Patil</t>
  </si>
  <si>
    <t>LD2245</t>
  </si>
  <si>
    <t>Archana Kshirsagar</t>
  </si>
  <si>
    <t>LD2246</t>
  </si>
  <si>
    <t>Kavita Shinde</t>
  </si>
  <si>
    <t>LD2247</t>
  </si>
  <si>
    <t>LD2248</t>
  </si>
  <si>
    <t>LD2249</t>
  </si>
  <si>
    <t>Sunil Yadav</t>
  </si>
  <si>
    <t>2026-03-23</t>
  </si>
  <si>
    <t>LD2250</t>
  </si>
  <si>
    <t>Arun Kshirsagar</t>
  </si>
  <si>
    <t>2026-03-11</t>
  </si>
  <si>
    <t>2026-03-22</t>
  </si>
  <si>
    <t>LD2251</t>
  </si>
  <si>
    <t>LD2252</t>
  </si>
  <si>
    <t>LD2253</t>
  </si>
  <si>
    <t>LD2254</t>
  </si>
  <si>
    <t>LD2255</t>
  </si>
  <si>
    <t>LD2256</t>
  </si>
  <si>
    <t>Jyoti Shinde</t>
  </si>
  <si>
    <t>2026-04-13</t>
  </si>
  <si>
    <t>LD2257</t>
  </si>
  <si>
    <t>Smita Gaikwad</t>
  </si>
  <si>
    <t>LD2258</t>
  </si>
  <si>
    <t>LD2259</t>
  </si>
  <si>
    <t>2026-03-17</t>
  </si>
  <si>
    <t>LD2260</t>
  </si>
  <si>
    <t>2026-03-04</t>
  </si>
  <si>
    <t>LD2261</t>
  </si>
  <si>
    <t>LD2262</t>
  </si>
  <si>
    <t>2026-03-19</t>
  </si>
  <si>
    <t>LD2263</t>
  </si>
  <si>
    <t>LD2264</t>
  </si>
  <si>
    <t>Vijay Joshi</t>
  </si>
  <si>
    <t>2026-02-14</t>
  </si>
  <si>
    <t>LD2265</t>
  </si>
  <si>
    <t>2026-04-06</t>
  </si>
  <si>
    <t>LD2266</t>
  </si>
  <si>
    <t>2026-02-21</t>
  </si>
  <si>
    <t>2026-03-14</t>
  </si>
  <si>
    <t>LD2267</t>
  </si>
  <si>
    <t>Devendra Tupe</t>
  </si>
  <si>
    <t>LD2268</t>
  </si>
  <si>
    <t>LD2269</t>
  </si>
  <si>
    <t>Shweta Gavhane</t>
  </si>
  <si>
    <t>2026-04-17</t>
  </si>
  <si>
    <t>2026-04-26</t>
  </si>
  <si>
    <t>LD2270</t>
  </si>
  <si>
    <t>LD2271</t>
  </si>
  <si>
    <t>Amit Aware</t>
  </si>
  <si>
    <t>LD2272</t>
  </si>
  <si>
    <t>LD2273</t>
  </si>
  <si>
    <t>LD2274</t>
  </si>
  <si>
    <t>2026-04-18</t>
  </si>
  <si>
    <t>2026-04-25</t>
  </si>
  <si>
    <t>LD2275</t>
  </si>
  <si>
    <t>LD2276</t>
  </si>
  <si>
    <t>LD2277</t>
  </si>
  <si>
    <t>LD2278</t>
  </si>
  <si>
    <t>Pravin Nimbalkar</t>
  </si>
  <si>
    <t>LD2279</t>
  </si>
  <si>
    <t>Kiran Chavan</t>
  </si>
  <si>
    <t>LD2280</t>
  </si>
  <si>
    <t>2026-03-24</t>
  </si>
  <si>
    <t>LD2281</t>
  </si>
  <si>
    <t>LD2282</t>
  </si>
  <si>
    <t>Nanda Kakade</t>
  </si>
  <si>
    <t>LD2283</t>
  </si>
  <si>
    <t>2026-03-06</t>
  </si>
  <si>
    <t>LD2284</t>
  </si>
  <si>
    <t>LD2285</t>
  </si>
  <si>
    <t>LD2286</t>
  </si>
  <si>
    <t>2026-03-25</t>
  </si>
  <si>
    <t>LD2287</t>
  </si>
  <si>
    <t>2026-04-07</t>
  </si>
  <si>
    <t>LD2288</t>
  </si>
  <si>
    <t>Anita Kale</t>
  </si>
  <si>
    <t>LD2289</t>
  </si>
  <si>
    <t>2026-04-04</t>
  </si>
  <si>
    <t>LD2290</t>
  </si>
  <si>
    <t>Smita Phule</t>
  </si>
  <si>
    <t>LD2291</t>
  </si>
  <si>
    <t>LD2292</t>
  </si>
  <si>
    <t>Ravi Salve</t>
  </si>
  <si>
    <t>LD2293</t>
  </si>
  <si>
    <t>Madhuri Wagh</t>
  </si>
  <si>
    <t>2026-04-22</t>
  </si>
  <si>
    <t>LD2294</t>
  </si>
  <si>
    <t>LD2295</t>
  </si>
  <si>
    <t>LD2296</t>
  </si>
  <si>
    <t>LD2297</t>
  </si>
  <si>
    <t>LD2298</t>
  </si>
  <si>
    <t>LD2299</t>
  </si>
  <si>
    <t>Mahesh Shinde</t>
  </si>
  <si>
    <t>LD2300</t>
  </si>
  <si>
    <t>LD2301</t>
  </si>
  <si>
    <t>2026-05-02</t>
  </si>
  <si>
    <t>2026-05-07</t>
  </si>
  <si>
    <t>LD2302</t>
  </si>
  <si>
    <t>Santosh Kadam</t>
  </si>
  <si>
    <t>LD2303</t>
  </si>
  <si>
    <t>LD2304</t>
  </si>
  <si>
    <t>2026-03-13</t>
  </si>
  <si>
    <t>LD2305</t>
  </si>
  <si>
    <t>LD2306</t>
  </si>
  <si>
    <t>LD2307</t>
  </si>
  <si>
    <t>LD2308</t>
  </si>
  <si>
    <t>2026-02-24</t>
  </si>
  <si>
    <t>2026-03-31</t>
  </si>
  <si>
    <t>LD2309</t>
  </si>
  <si>
    <t>LD2310</t>
  </si>
  <si>
    <t>2026-04-15</t>
  </si>
  <si>
    <t>LD2311</t>
  </si>
  <si>
    <t>2026-04-11</t>
  </si>
  <si>
    <t>2026-04-23</t>
  </si>
  <si>
    <t>LD2312</t>
  </si>
  <si>
    <t>Alka Holkar</t>
  </si>
  <si>
    <t>2026-04-02</t>
  </si>
  <si>
    <t>LD2313</t>
  </si>
  <si>
    <t>2026-04-10</t>
  </si>
  <si>
    <t>LD2314</t>
  </si>
  <si>
    <t>Anita Chavan</t>
  </si>
  <si>
    <t>2026-03-27</t>
  </si>
  <si>
    <t>LD2315</t>
  </si>
  <si>
    <t>LD2316</t>
  </si>
  <si>
    <t>LD2317</t>
  </si>
  <si>
    <t>Arun Thorat</t>
  </si>
  <si>
    <t>LD2318</t>
  </si>
  <si>
    <t>LD2319</t>
  </si>
  <si>
    <t>Prashant Pawar</t>
  </si>
  <si>
    <t>LD2320</t>
  </si>
  <si>
    <t>Jyoti More</t>
  </si>
  <si>
    <t>LD2321</t>
  </si>
  <si>
    <t>Amit Joshi</t>
  </si>
  <si>
    <t>LD2322</t>
  </si>
  <si>
    <t>LD2323</t>
  </si>
  <si>
    <t>LD2324</t>
  </si>
  <si>
    <t>LD2325</t>
  </si>
  <si>
    <t>Ritu Sawant</t>
  </si>
  <si>
    <t>LD2326</t>
  </si>
  <si>
    <t>LD2327</t>
  </si>
  <si>
    <t>LD2328</t>
  </si>
  <si>
    <t>LD2329</t>
  </si>
  <si>
    <t>LD2330</t>
  </si>
  <si>
    <t>Amit Phule</t>
  </si>
  <si>
    <t>LD2331</t>
  </si>
  <si>
    <t>2026-04-29</t>
  </si>
  <si>
    <t>LD2332</t>
  </si>
  <si>
    <t>Madhuri Suryawanshi</t>
  </si>
  <si>
    <t>LD2333</t>
  </si>
  <si>
    <t>Suresh Nimbalkar</t>
  </si>
  <si>
    <t>LD2334</t>
  </si>
  <si>
    <t>LD2335</t>
  </si>
  <si>
    <t>2026-04-08</t>
  </si>
  <si>
    <t>LD2336</t>
  </si>
  <si>
    <t>LD2337</t>
  </si>
  <si>
    <t>LD2338</t>
  </si>
  <si>
    <t>LD2339</t>
  </si>
  <si>
    <t>Umesh Sonawane</t>
  </si>
  <si>
    <t>2026-04-03</t>
  </si>
  <si>
    <t>LD2340</t>
  </si>
  <si>
    <t>Santosh Gaikwad</t>
  </si>
  <si>
    <t>LD2341</t>
  </si>
  <si>
    <t>2026-04-24</t>
  </si>
  <si>
    <t>LD2342</t>
  </si>
  <si>
    <t>LD2343</t>
  </si>
  <si>
    <t>LD2344</t>
  </si>
  <si>
    <t>LD2345</t>
  </si>
  <si>
    <t>LD2346</t>
  </si>
  <si>
    <t>LD2347</t>
  </si>
  <si>
    <t>LD2348</t>
  </si>
  <si>
    <t>LD2349</t>
  </si>
  <si>
    <t>LD2350</t>
  </si>
  <si>
    <t>LD2351</t>
  </si>
  <si>
    <t>Sunanda Shinde</t>
  </si>
  <si>
    <t>LD2352</t>
  </si>
  <si>
    <t>Alka Nimbalkar</t>
  </si>
  <si>
    <t>LD2353</t>
  </si>
  <si>
    <t>Archana Joshi</t>
  </si>
  <si>
    <t>2026-04-05</t>
  </si>
  <si>
    <t>LD2354</t>
  </si>
  <si>
    <t>LD2355</t>
  </si>
  <si>
    <t>LD2356</t>
  </si>
  <si>
    <t>Sunita Chavan</t>
  </si>
  <si>
    <t>LD2357</t>
  </si>
  <si>
    <t>Mahesh Aware</t>
  </si>
  <si>
    <t>LD2358</t>
  </si>
  <si>
    <t>LD2359</t>
  </si>
  <si>
    <t>LD2360</t>
  </si>
  <si>
    <t>LD2361</t>
  </si>
  <si>
    <t>Sunanda More</t>
  </si>
  <si>
    <t>LD2362</t>
  </si>
  <si>
    <t>Nikhil Pawar</t>
  </si>
  <si>
    <t>LD2363</t>
  </si>
  <si>
    <t>LD2364</t>
  </si>
  <si>
    <t>Ravi Shelke</t>
  </si>
  <si>
    <t>LD2365</t>
  </si>
  <si>
    <t>Prashant Kakade</t>
  </si>
  <si>
    <t>LD2366</t>
  </si>
  <si>
    <t>LD2367</t>
  </si>
  <si>
    <t>LD2368</t>
  </si>
  <si>
    <t>LD2369</t>
  </si>
  <si>
    <t>LD2370</t>
  </si>
  <si>
    <t>LD2371</t>
  </si>
  <si>
    <t>LD2372</t>
  </si>
  <si>
    <t>LD2373</t>
  </si>
  <si>
    <t>Rajesh Wagh</t>
  </si>
  <si>
    <t>LD2374</t>
  </si>
  <si>
    <t>Meena Kshirsagar</t>
  </si>
  <si>
    <t>LD2375</t>
  </si>
  <si>
    <t>LD2376</t>
  </si>
  <si>
    <t>2026-04-21</t>
  </si>
  <si>
    <t>LD2377</t>
  </si>
  <si>
    <t>Pramod Shinde</t>
  </si>
  <si>
    <t>LD2378</t>
  </si>
  <si>
    <t>Hemant Bhosale</t>
  </si>
  <si>
    <t>2026-04-12</t>
  </si>
  <si>
    <t>LD2379</t>
  </si>
  <si>
    <t>Shweta Suryawanshi</t>
  </si>
  <si>
    <t>LD2380</t>
  </si>
  <si>
    <t>LD2381</t>
  </si>
  <si>
    <t>Lata Gavhane</t>
  </si>
  <si>
    <t>LD2382</t>
  </si>
  <si>
    <t>Bharati Shelke</t>
  </si>
  <si>
    <t>LD2383</t>
  </si>
  <si>
    <t>LD2384</t>
  </si>
  <si>
    <t>LD2385</t>
  </si>
  <si>
    <t>LD2386</t>
  </si>
  <si>
    <t>LD2387</t>
  </si>
  <si>
    <t>2026-04-30</t>
  </si>
  <si>
    <t>LD2388</t>
  </si>
  <si>
    <t>Pravin Nikalje</t>
  </si>
  <si>
    <t>LD2389</t>
  </si>
  <si>
    <t>LD2390</t>
  </si>
  <si>
    <t>LD2391</t>
  </si>
  <si>
    <t>LD2392</t>
  </si>
  <si>
    <t>LD2393</t>
  </si>
  <si>
    <t>2026-05-05</t>
  </si>
  <si>
    <t>LD2394</t>
  </si>
  <si>
    <t>LD2395</t>
  </si>
  <si>
    <t>LD2396</t>
  </si>
  <si>
    <t>2026-04-28</t>
  </si>
  <si>
    <t>LD2397</t>
  </si>
  <si>
    <t>Sunil Mohite</t>
  </si>
  <si>
    <t>LD2398</t>
  </si>
  <si>
    <t>LD2399</t>
  </si>
  <si>
    <t>LD2400</t>
  </si>
  <si>
    <t>LD2401</t>
  </si>
  <si>
    <t>LD2402</t>
  </si>
  <si>
    <t>LD2403</t>
  </si>
  <si>
    <t>LD2404</t>
  </si>
  <si>
    <t>LD2405</t>
  </si>
  <si>
    <t>LD2406</t>
  </si>
  <si>
    <t>Rekha Gavhane</t>
  </si>
  <si>
    <t>LD2407</t>
  </si>
  <si>
    <t>Seema Kale</t>
  </si>
  <si>
    <t>2026-05-04</t>
  </si>
  <si>
    <t>LD2408</t>
  </si>
  <si>
    <t>Sunanda Kakade</t>
  </si>
  <si>
    <t>LD2409</t>
  </si>
  <si>
    <t>LD2410</t>
  </si>
  <si>
    <t>Sunil Kulkarni</t>
  </si>
  <si>
    <t>LD2411</t>
  </si>
  <si>
    <t>Archana More</t>
  </si>
  <si>
    <t>LD2412</t>
  </si>
  <si>
    <t>Deepak Bhalerao</t>
  </si>
  <si>
    <t>LD2413</t>
  </si>
  <si>
    <t>Nachiket Lokhande</t>
  </si>
  <si>
    <t>LD2414</t>
  </si>
  <si>
    <t>LD2415</t>
  </si>
  <si>
    <t>LD2416</t>
  </si>
  <si>
    <t>2026-04-09</t>
  </si>
  <si>
    <t>LD2417</t>
  </si>
  <si>
    <t>LD2418</t>
  </si>
  <si>
    <t>Rekha Bansode</t>
  </si>
  <si>
    <t>LD2419</t>
  </si>
  <si>
    <t>Arun Gaikwad</t>
  </si>
  <si>
    <t>2026-04-14</t>
  </si>
  <si>
    <t>LD2420</t>
  </si>
  <si>
    <t>LD2421</t>
  </si>
  <si>
    <t>LD2422</t>
  </si>
  <si>
    <t>LD2423</t>
  </si>
  <si>
    <t>Seema Yadav</t>
  </si>
  <si>
    <t>LD2424</t>
  </si>
  <si>
    <t>LD2425</t>
  </si>
  <si>
    <t>2026-04-16</t>
  </si>
  <si>
    <t>LD2426</t>
  </si>
  <si>
    <t>LD2427</t>
  </si>
  <si>
    <t>LD2428</t>
  </si>
  <si>
    <t>LD2429</t>
  </si>
  <si>
    <t>Shweta Mane</t>
  </si>
  <si>
    <t>LD2430</t>
  </si>
  <si>
    <t>2026-05-06</t>
  </si>
  <si>
    <t>LD2431</t>
  </si>
  <si>
    <t>LD2432</t>
  </si>
  <si>
    <t>Vikas Phule</t>
  </si>
  <si>
    <t>LD2433</t>
  </si>
  <si>
    <t>LD2434</t>
  </si>
  <si>
    <t>LD2435</t>
  </si>
  <si>
    <t>Anita Shinde</t>
  </si>
  <si>
    <t>LD2436</t>
  </si>
  <si>
    <t>LD2437</t>
  </si>
  <si>
    <t>LD2438</t>
  </si>
  <si>
    <t>Anita Kadam</t>
  </si>
  <si>
    <t>LD2439</t>
  </si>
  <si>
    <t>Vikas Kakade</t>
  </si>
  <si>
    <t>LD2440</t>
  </si>
  <si>
    <t>LD2441</t>
  </si>
  <si>
    <t>LD2442</t>
  </si>
  <si>
    <t>Alka Kale</t>
  </si>
  <si>
    <t>LD2443</t>
  </si>
  <si>
    <t>LD2444</t>
  </si>
  <si>
    <t>LD2445</t>
  </si>
  <si>
    <t>LD2446</t>
  </si>
  <si>
    <t>Jyoti Tupe</t>
  </si>
  <si>
    <t>LD2447</t>
  </si>
  <si>
    <t>LD2448</t>
  </si>
  <si>
    <t>Vijay Chavan</t>
  </si>
  <si>
    <t>LD2449</t>
  </si>
  <si>
    <t>LD2450</t>
  </si>
  <si>
    <t>LD2451</t>
  </si>
  <si>
    <t>LD2452</t>
  </si>
  <si>
    <t>LD2453</t>
  </si>
  <si>
    <t>Devendra Kshirsagar</t>
  </si>
  <si>
    <t>LD2454</t>
  </si>
  <si>
    <t>Nikhil Yadav</t>
  </si>
  <si>
    <t>LD2455</t>
  </si>
  <si>
    <t>LD2456</t>
  </si>
  <si>
    <t>LD2457</t>
  </si>
  <si>
    <t>2026-05-01</t>
  </si>
  <si>
    <t>LD2458</t>
  </si>
  <si>
    <t>Nilesh Nimbalkar</t>
  </si>
  <si>
    <t>LD2459</t>
  </si>
  <si>
    <t>LD2460</t>
  </si>
  <si>
    <t>Mahesh Naik</t>
  </si>
  <si>
    <t>LD2461</t>
  </si>
  <si>
    <t>Ganesh Joshi</t>
  </si>
  <si>
    <t>LD2462</t>
  </si>
  <si>
    <t>LD2463</t>
  </si>
  <si>
    <t>LD2464</t>
  </si>
  <si>
    <t>LD2465</t>
  </si>
  <si>
    <t>Amit Raut</t>
  </si>
  <si>
    <t>LD2466</t>
  </si>
  <si>
    <t>LD2467</t>
  </si>
  <si>
    <t>Devendra Kadam</t>
  </si>
  <si>
    <t>LD2468</t>
  </si>
  <si>
    <t>LD2469</t>
  </si>
  <si>
    <t>LD2470</t>
  </si>
  <si>
    <t>Year</t>
  </si>
  <si>
    <t>Total_Leads</t>
  </si>
  <si>
    <t>In_Progress</t>
  </si>
  <si>
    <t>Followup_Pend</t>
  </si>
  <si>
    <t>Avg_Budget</t>
  </si>
  <si>
    <t>Total_Revenue</t>
  </si>
  <si>
    <t>Conversion_%</t>
  </si>
  <si>
    <t>2022</t>
  </si>
  <si>
    <t>2023</t>
  </si>
  <si>
    <t>2024</t>
  </si>
  <si>
    <t>2025</t>
  </si>
  <si>
    <t>2026</t>
  </si>
  <si>
    <t>Field / Topic</t>
  </si>
  <si>
    <t>Details</t>
  </si>
  <si>
    <t>Company</t>
  </si>
  <si>
    <t>Trenzy.in — Interior Solutions | Started: 11 January 2022 | Location: Pune, Maharashtra</t>
  </si>
  <si>
    <t>Customer Type</t>
  </si>
  <si>
    <t>Direct Customers (B2C) — Flat owners, home owners getting interiors done</t>
  </si>
  <si>
    <t>Unique ID per lead. Suffix -DUP = duplicate CRM entry (real data quality issue)</t>
  </si>
  <si>
    <t>Sneha Abak left 31 Aug 2025 (YELLOW rows). Nachiket Lokhande joined 2 Apr 2026 (PURPLE rows). Converted rows in GREEN.</t>
  </si>
  <si>
    <t>Sorted Jan 2022 to May 2026. No Sundays. May-Jun dip every year (summer slow season).</t>
  </si>
  <si>
    <t>Blank only for online sources (Instagram/FB/Website/MagicBricks/99acres) where customer never shared phone AND status is Lost/Dropped.</t>
  </si>
  <si>
    <t>Grows year on year. 2022 = smaller starter projects. 2025-26 = full interior packages.</t>
  </si>
  <si>
    <t>2022 = slower (6-96hrs). 2025-26 = faster (0.5-36hrs, experienced team).</t>
  </si>
  <si>
    <t>Evolves by year — see Source by Year sheet.</t>
  </si>
  <si>
    <t>2022-23 = simple single jobs. 2024+ = combo and full interior packages.</t>
  </si>
  <si>
    <t>Hot = ready to convert. Warm = interested, needs time. Cold = low intent.</t>
  </si>
  <si>
    <t>Free text notes by executive. ~11% blank. No-phone rows have portal/DM specific remarks.</t>
  </si>
  <si>
    <t>Only filled when Lead_Status = Converted.</t>
  </si>
  <si>
    <t>TEAM</t>
  </si>
  <si>
    <t>Co-founder | Senior Executive | Jan 2022 → Present</t>
  </si>
  <si>
    <t>Executive | Joined June 2023 | Still with company</t>
  </si>
  <si>
    <t>Executive | Joined Feb 2024 | LEFT 31 Aug 2025 | Yellow rows</t>
  </si>
  <si>
    <t>Executive | Joined 2 April 2026 | Present | Purple rows</t>
  </si>
  <si>
    <t>LEAD SOURCE STORY</t>
  </si>
  <si>
    <t>Justdial + MagicBricks + 99acres + Walk-in + Referral + Word of Mouth only. No digital ads.</t>
  </si>
  <si>
    <t>Same + Facebook Ads added + Website launched.</t>
  </si>
  <si>
    <t>Instagram added — interior reels worked very well. Justdial declining.</t>
  </si>
  <si>
    <t>2025-26</t>
  </si>
  <si>
    <t>Instagram dominant. Referral very strong from happy customers.</t>
  </si>
  <si>
    <t>GROWTH STORY</t>
  </si>
  <si>
    <t>2022 (~150 leads)</t>
  </si>
  <si>
    <t>Startup — 2 founders, Justdial/MagicBricks outreach, Pune+Mumbai only, ~11% conversion</t>
  </si>
  <si>
    <t>2023 (~360 leads)</t>
  </si>
  <si>
    <t>Growing — Aniket joined June, Facebook+Website added, ~22% conversion</t>
  </si>
  <si>
    <t>2024 (~800 leads)</t>
  </si>
  <si>
    <t>Established — Sneha joined Feb, Instagram launched, ~25% conversion</t>
  </si>
  <si>
    <t>2025 (~870 leads)</t>
  </si>
  <si>
    <t>Peak Jan-Aug. Sneha left Aug 31. Stabilised with 3 execs. ~28% conversion</t>
  </si>
  <si>
    <t>2026 (~290 leads)</t>
  </si>
  <si>
    <t>Nachiket joined Apr 2. Now 4 executives again. Instagram dominant. ~30% conversion</t>
  </si>
  <si>
    <t>Month</t>
  </si>
  <si>
    <t>Month_NO</t>
  </si>
  <si>
    <t>Quarter</t>
  </si>
  <si>
    <t>Row Labels</t>
  </si>
  <si>
    <t>(blank)</t>
  </si>
  <si>
    <t>Grand Total</t>
  </si>
  <si>
    <t>Jan</t>
  </si>
  <si>
    <t>Feb</t>
  </si>
  <si>
    <t>Mar</t>
  </si>
  <si>
    <t>Apr</t>
  </si>
  <si>
    <t>May</t>
  </si>
  <si>
    <t>Jun</t>
  </si>
  <si>
    <t>Jul</t>
  </si>
  <si>
    <t>Aug</t>
  </si>
  <si>
    <t>Sep</t>
  </si>
  <si>
    <t>Oct</t>
  </si>
  <si>
    <t>Nov</t>
  </si>
  <si>
    <t>Dec</t>
  </si>
  <si>
    <t>Count of Lead_ID</t>
  </si>
  <si>
    <t>Count of Conversion_Date</t>
  </si>
  <si>
    <t>Count of Conversion</t>
  </si>
  <si>
    <t>source performance</t>
  </si>
  <si>
    <t>Sum of Final_Deal_Value</t>
  </si>
  <si>
    <t>city wise</t>
  </si>
  <si>
    <t>Average of Response_Time_Hours</t>
  </si>
  <si>
    <t>executive performance</t>
  </si>
  <si>
    <t>work type revenue</t>
  </si>
  <si>
    <t>Name of Designer</t>
  </si>
  <si>
    <t>Value</t>
  </si>
  <si>
    <t>pune</t>
  </si>
  <si>
    <t>mumbai</t>
  </si>
  <si>
    <t>LD2471</t>
  </si>
  <si>
    <t>Ramesh Salve</t>
  </si>
  <si>
    <t>13-May-2026</t>
  </si>
  <si>
    <t>Customer interested, site visit scheduled</t>
  </si>
  <si>
    <t>LD2472</t>
  </si>
  <si>
    <t>Vinod Joshi</t>
  </si>
  <si>
    <t>11-May-2026</t>
  </si>
  <si>
    <t>Follow-up done, awaiting decision</t>
  </si>
  <si>
    <t>LD2473</t>
  </si>
  <si>
    <t>Sneha Gaikwad</t>
  </si>
  <si>
    <t>Instagram Home Makeover</t>
  </si>
  <si>
    <t>Needs more time to decide</t>
  </si>
  <si>
    <t>LD2474</t>
  </si>
  <si>
    <t>Justdial Profile</t>
  </si>
  <si>
    <t>LD2475</t>
  </si>
  <si>
    <t>LD2476</t>
  </si>
  <si>
    <t>Walk-in Exhibition</t>
  </si>
  <si>
    <t>LD2477</t>
  </si>
  <si>
    <t>Customer referred by previous client</t>
  </si>
  <si>
    <t>LD2478</t>
  </si>
  <si>
    <t>Swati Wagh</t>
  </si>
  <si>
    <t>LD2479</t>
  </si>
  <si>
    <t>Budget finalized, moving forward</t>
  </si>
  <si>
    <t>LD2480</t>
  </si>
  <si>
    <t>Rahul Deshmukh</t>
  </si>
  <si>
    <t>Facebook Summer Campaign</t>
  </si>
  <si>
    <t>14-May-2026</t>
  </si>
  <si>
    <t>LD2481</t>
  </si>
  <si>
    <t>Pallavi Joshi</t>
  </si>
  <si>
    <t>Instagram Wardrobe Stories</t>
  </si>
  <si>
    <t>LD2482</t>
  </si>
  <si>
    <t>LD2483</t>
  </si>
  <si>
    <t>Suresh Lokhande</t>
  </si>
  <si>
    <t>Site measurement done</t>
  </si>
  <si>
    <t>LD2484</t>
  </si>
  <si>
    <t>LD2485</t>
  </si>
  <si>
    <t>Deepak Iyer</t>
  </si>
  <si>
    <t>LD2486</t>
  </si>
  <si>
    <t>15-May-2026</t>
  </si>
  <si>
    <t>Wants to compare with other vendors</t>
  </si>
  <si>
    <t>LD2487</t>
  </si>
  <si>
    <t>Rajesh Sharma</t>
  </si>
  <si>
    <t>LD2488</t>
  </si>
  <si>
    <t>Amit Lokhande</t>
  </si>
  <si>
    <t>LD2489</t>
  </si>
  <si>
    <t>Meena Kadam</t>
  </si>
  <si>
    <t>Justdial Premium</t>
  </si>
  <si>
    <t>LD2490</t>
  </si>
  <si>
    <t>LD2491</t>
  </si>
  <si>
    <t>Facebook Lead Form</t>
  </si>
  <si>
    <t>LD2492</t>
  </si>
  <si>
    <t>LD2493</t>
  </si>
  <si>
    <t>Mohan Bhosale</t>
  </si>
  <si>
    <t>LD2494</t>
  </si>
  <si>
    <t>Mohan Salve</t>
  </si>
  <si>
    <t>99acres Property Listing</t>
  </si>
  <si>
    <t>LD2495</t>
  </si>
  <si>
    <t>Pooja Sawant</t>
  </si>
  <si>
    <t>LD2496</t>
  </si>
  <si>
    <t>Sunita Mahajan</t>
  </si>
  <si>
    <t>LD2497</t>
  </si>
  <si>
    <t>Sachin Iyer</t>
  </si>
  <si>
    <t>Very interested, demo done</t>
  </si>
  <si>
    <t>LD2498</t>
  </si>
  <si>
    <t>Sachin Sawant</t>
  </si>
  <si>
    <t>18-May-2026</t>
  </si>
  <si>
    <t>LD2499</t>
  </si>
  <si>
    <t>Pallavi Patil</t>
  </si>
  <si>
    <t>LD2500</t>
  </si>
  <si>
    <t>Swati Kulkarni</t>
  </si>
  <si>
    <t>LD2501</t>
  </si>
  <si>
    <t>LD2502</t>
  </si>
  <si>
    <t>Sachin Yadav</t>
  </si>
  <si>
    <t>LD2503</t>
  </si>
  <si>
    <t>Prakash Iyer</t>
  </si>
  <si>
    <t>LD2504</t>
  </si>
  <si>
    <t>LD2505</t>
  </si>
  <si>
    <t>Priya Pawar</t>
  </si>
  <si>
    <t>LD2506</t>
  </si>
  <si>
    <t>Nisha Iyer</t>
  </si>
  <si>
    <t>LD2507</t>
  </si>
  <si>
    <t>LD2508</t>
  </si>
  <si>
    <t>LD2509</t>
  </si>
  <si>
    <t>MagicBricks Property Listing</t>
  </si>
  <si>
    <t>LD2510</t>
  </si>
  <si>
    <t>Kavita Deshmukh</t>
  </si>
  <si>
    <t>LD2511</t>
  </si>
  <si>
    <t>Shweta Deshmukh</t>
  </si>
  <si>
    <t>LD2512</t>
  </si>
  <si>
    <t>20-May-2026</t>
  </si>
  <si>
    <t>LD2513</t>
  </si>
  <si>
    <t>Walk-in Showroom</t>
  </si>
  <si>
    <t>LD2514</t>
  </si>
  <si>
    <t>Sanjay Kadam</t>
  </si>
  <si>
    <t>LD2515</t>
  </si>
  <si>
    <t>LD2516</t>
  </si>
  <si>
    <t>Sneha Wagh</t>
  </si>
  <si>
    <t>LD2517</t>
  </si>
  <si>
    <t>LD2518</t>
  </si>
  <si>
    <t>Rekha Patil</t>
  </si>
  <si>
    <t>LD2519</t>
  </si>
  <si>
    <t>Priya Jadhav</t>
  </si>
  <si>
    <t>LD2520</t>
  </si>
  <si>
    <t>LD2521</t>
  </si>
  <si>
    <t>LD2522</t>
  </si>
  <si>
    <t>Jyoti Kadam</t>
  </si>
  <si>
    <t>21-May-2026</t>
  </si>
  <si>
    <t>LD2523</t>
  </si>
  <si>
    <t>Seema Sharma</t>
  </si>
  <si>
    <t>LD2524</t>
  </si>
  <si>
    <t>Ramesh Sharma</t>
  </si>
  <si>
    <t>LD2525</t>
  </si>
  <si>
    <t>Swati Deshmukh</t>
  </si>
  <si>
    <t>22-May-2026</t>
  </si>
  <si>
    <t>LD2526</t>
  </si>
  <si>
    <t>Swati Iyer</t>
  </si>
  <si>
    <t>LD2527</t>
  </si>
  <si>
    <t>LD2528</t>
  </si>
  <si>
    <t>LD2529</t>
  </si>
  <si>
    <t>Arun Nair</t>
  </si>
  <si>
    <t>LD2530</t>
  </si>
  <si>
    <t>LD2531</t>
  </si>
  <si>
    <t>LD2532</t>
  </si>
  <si>
    <t>LD2533</t>
  </si>
  <si>
    <t>Meena Suryawanshi</t>
  </si>
  <si>
    <t>LD2534</t>
  </si>
  <si>
    <t>Shweta Sharma</t>
  </si>
  <si>
    <t>24-May-2026</t>
  </si>
  <si>
    <t>LD2535</t>
  </si>
  <si>
    <t>Deepak Suryawanshi</t>
  </si>
  <si>
    <t>LD2536</t>
  </si>
  <si>
    <t>LD2537</t>
  </si>
  <si>
    <t>LD2538</t>
  </si>
  <si>
    <t>Seema Kadam</t>
  </si>
  <si>
    <t>LD2539</t>
  </si>
  <si>
    <t>Vijay Iyer</t>
  </si>
  <si>
    <t>LD2540</t>
  </si>
  <si>
    <t>25-May-2026</t>
  </si>
  <si>
    <t>LD2541</t>
  </si>
  <si>
    <t>Ramesh Gaikwad</t>
  </si>
  <si>
    <t>LD2542</t>
  </si>
  <si>
    <t>Priya Sawant</t>
  </si>
  <si>
    <t>LD2543</t>
  </si>
  <si>
    <t>LD2544</t>
  </si>
  <si>
    <t>Pallavi Suryawanshi</t>
  </si>
  <si>
    <t>LD2545</t>
  </si>
  <si>
    <t>Shweta Mahajan</t>
  </si>
  <si>
    <t>LD2546</t>
  </si>
  <si>
    <t>LD2547</t>
  </si>
  <si>
    <t>Vinod Bhosale</t>
  </si>
  <si>
    <t>LD2548</t>
  </si>
  <si>
    <t>LD2549</t>
  </si>
  <si>
    <t>LD2550</t>
  </si>
  <si>
    <t>Nisha Deshmukh</t>
  </si>
  <si>
    <t>LD2551</t>
  </si>
  <si>
    <t>Ramesh Iyer</t>
  </si>
  <si>
    <t>LD2552</t>
  </si>
  <si>
    <t>LD2553</t>
  </si>
  <si>
    <t>Seema Lokhande</t>
  </si>
  <si>
    <t>LD2554</t>
  </si>
  <si>
    <t>LD2555</t>
  </si>
  <si>
    <t>Priya Lokhande</t>
  </si>
  <si>
    <t>27-May-2026</t>
  </si>
  <si>
    <t>LD2556</t>
  </si>
  <si>
    <t>Anita Nair</t>
  </si>
  <si>
    <t>LD2557</t>
  </si>
  <si>
    <t>LD2558</t>
  </si>
  <si>
    <t>LD2559</t>
  </si>
  <si>
    <t>Reshma Mahajan</t>
  </si>
  <si>
    <t>LD2560</t>
  </si>
  <si>
    <t>LD2561</t>
  </si>
  <si>
    <t>LD2562</t>
  </si>
  <si>
    <t>LD2563</t>
  </si>
  <si>
    <t>LD2564</t>
  </si>
  <si>
    <t>LD2565</t>
  </si>
  <si>
    <t>Arun Kulkarni</t>
  </si>
  <si>
    <t>LD2566</t>
  </si>
  <si>
    <t>Jyoti Nair</t>
  </si>
  <si>
    <t>LD2567</t>
  </si>
  <si>
    <t>LD2568</t>
  </si>
  <si>
    <t>Reshma Bhosale</t>
  </si>
  <si>
    <t>LD2569</t>
  </si>
  <si>
    <t>Ramesh Yadav</t>
  </si>
  <si>
    <t>LD2570</t>
  </si>
  <si>
    <t>Pallavi Deshmukh</t>
  </si>
  <si>
    <t>LD2571</t>
  </si>
  <si>
    <t>Sachin Bhosale</t>
  </si>
  <si>
    <t>LD2572</t>
  </si>
  <si>
    <t>LD2573</t>
  </si>
  <si>
    <t>LD2574</t>
  </si>
  <si>
    <t>Customer_LD2574</t>
  </si>
  <si>
    <t>June Organic/Paid</t>
  </si>
  <si>
    <t>Generated June Data</t>
  </si>
  <si>
    <t>LD2575</t>
  </si>
  <si>
    <t>Customer_LD2575</t>
  </si>
  <si>
    <t>LD2576</t>
  </si>
  <si>
    <t>Customer_LD2576</t>
  </si>
  <si>
    <t>LD2577</t>
  </si>
  <si>
    <t>Customer_LD2577</t>
  </si>
  <si>
    <t>LD2578</t>
  </si>
  <si>
    <t>Customer_LD2578</t>
  </si>
  <si>
    <t>LD2579</t>
  </si>
  <si>
    <t>Customer_LD2579</t>
  </si>
  <si>
    <t>LD2580</t>
  </si>
  <si>
    <t>Customer_LD2580</t>
  </si>
  <si>
    <t>LD2581</t>
  </si>
  <si>
    <t>Customer_LD2581</t>
  </si>
  <si>
    <t>LD2582</t>
  </si>
  <si>
    <t>Customer_LD2582</t>
  </si>
  <si>
    <t>LD2583</t>
  </si>
  <si>
    <t>Customer_LD2583</t>
  </si>
  <si>
    <t>LD2584</t>
  </si>
  <si>
    <t>Customer_LD2584</t>
  </si>
  <si>
    <t>LD2585</t>
  </si>
  <si>
    <t>Customer_LD2585</t>
  </si>
  <si>
    <t>Ruchit Shah</t>
  </si>
  <si>
    <t>Dhananjay Bhosle</t>
  </si>
  <si>
    <t>Lost due to material cost difference vs competitor</t>
  </si>
  <si>
    <t>Price gap too high vs local competitor, could not match</t>
  </si>
  <si>
    <t>Goa</t>
  </si>
  <si>
    <t>Customer frustrated with delay, escalated for faster completion</t>
  </si>
  <si>
    <t>Customer got cheaper quote for identical spec from rival firm</t>
  </si>
  <si>
    <t>Customer went with vendor buying material wholesale, cheaper</t>
  </si>
  <si>
    <t>Installation delayed - skilled technician shortage on site</t>
  </si>
  <si>
    <t>Lost - our quote well above market rate for same material</t>
  </si>
  <si>
    <t>Could not compete on price - market rate lower than ours</t>
  </si>
  <si>
    <t>Delivery pushed back, installation team short-staffed</t>
  </si>
  <si>
    <t>LD2586</t>
  </si>
  <si>
    <t>Sagar Deshmukh</t>
  </si>
  <si>
    <t>Jul Organic/Paid</t>
  </si>
  <si>
    <t>Follow up after possession</t>
  </si>
  <si>
    <t>LD2587</t>
  </si>
  <si>
    <t>Kavya Gaikwad</t>
  </si>
  <si>
    <t>No response after multiple follow ups</t>
  </si>
  <si>
    <t>LD2588</t>
  </si>
  <si>
    <t>Om Patil</t>
  </si>
  <si>
    <t>LD2589</t>
  </si>
  <si>
    <t>Pooja Shah</t>
  </si>
  <si>
    <t>07-Jul-2026</t>
  </si>
  <si>
    <t>LD2590</t>
  </si>
  <si>
    <t>Sneha More</t>
  </si>
  <si>
    <t>Very interested, discussing payment terms</t>
  </si>
  <si>
    <t>LD2591</t>
  </si>
  <si>
    <t>Isha Kulkarni</t>
  </si>
  <si>
    <t>03-Jul-2026</t>
  </si>
  <si>
    <t>LD2592</t>
  </si>
  <si>
    <t>Sagar Kulkarni</t>
  </si>
  <si>
    <t>LD2593</t>
  </si>
  <si>
    <t>Isha Shah</t>
  </si>
  <si>
    <t>LD2594</t>
  </si>
  <si>
    <t>Om Kadam</t>
  </si>
  <si>
    <t>LD2595</t>
  </si>
  <si>
    <t>Sagar Rane</t>
  </si>
  <si>
    <t>LD2596</t>
  </si>
  <si>
    <t>Amit Rane</t>
  </si>
  <si>
    <t>Design presentation done, awaiting confirmation</t>
  </si>
  <si>
    <t>LD2597</t>
  </si>
  <si>
    <t>Rahul Kulkarni</t>
  </si>
  <si>
    <t>LD2598</t>
  </si>
  <si>
    <t>29-Jun-2026</t>
  </si>
  <si>
    <t>LD2599</t>
  </si>
  <si>
    <t>LD2600</t>
  </si>
  <si>
    <t>Amit Kulkarni</t>
  </si>
  <si>
    <t>LD2601</t>
  </si>
  <si>
    <t>LD2602</t>
  </si>
  <si>
    <t>Rahul Shah</t>
  </si>
  <si>
    <t>LD2603</t>
  </si>
  <si>
    <t>Neha Joshi</t>
  </si>
  <si>
    <t>06-Jul-2026</t>
  </si>
  <si>
    <t>LD2604</t>
  </si>
  <si>
    <t>Yash Deshmukh</t>
  </si>
  <si>
    <t>LD2605</t>
  </si>
  <si>
    <t>Rahul More</t>
  </si>
  <si>
    <t>Waiting for loan approval</t>
  </si>
  <si>
    <t>LD2606</t>
  </si>
  <si>
    <t>Kavya Patil</t>
  </si>
  <si>
    <t>LD2607</t>
  </si>
  <si>
    <t>Yash Kulkarni</t>
  </si>
  <si>
    <t>LD2608</t>
  </si>
  <si>
    <t>Kunal Patil</t>
  </si>
  <si>
    <t>LD2609</t>
  </si>
  <si>
    <t>Isha Rane</t>
  </si>
  <si>
    <t>LD2610</t>
  </si>
  <si>
    <t>Rahul Rane</t>
  </si>
  <si>
    <t>26-Jun-2026</t>
  </si>
  <si>
    <t>LD2611</t>
  </si>
  <si>
    <t>Rohit Shah</t>
  </si>
  <si>
    <t>LD2612</t>
  </si>
  <si>
    <t>Amit Deshmukh</t>
  </si>
  <si>
    <t>LD2613</t>
  </si>
  <si>
    <t>LD2614</t>
  </si>
  <si>
    <t>Neha Gaikwad</t>
  </si>
  <si>
    <t>14-Jul-2026</t>
  </si>
  <si>
    <t>LD2615</t>
  </si>
  <si>
    <t>Anjali Joshi</t>
  </si>
  <si>
    <t>09-Jul-2026</t>
  </si>
  <si>
    <t>LD2616</t>
  </si>
  <si>
    <t>15-Jul-2026</t>
  </si>
  <si>
    <t>LD2617</t>
  </si>
  <si>
    <t>LD2618</t>
  </si>
  <si>
    <t>Vivek Deshmukh</t>
  </si>
  <si>
    <t>12-Jul-2026</t>
  </si>
  <si>
    <t>LD2619</t>
  </si>
  <si>
    <t>Anjali Rane</t>
  </si>
  <si>
    <t>LD2620</t>
  </si>
  <si>
    <t>Kavya Joshi</t>
  </si>
  <si>
    <t>LD2621</t>
  </si>
  <si>
    <t>Sneha Shah</t>
  </si>
  <si>
    <t>18-Jul-2026</t>
  </si>
  <si>
    <t>LD2622</t>
  </si>
  <si>
    <t>Rahul Patil</t>
  </si>
  <si>
    <t>13-Jul-2026</t>
  </si>
  <si>
    <t>LD2623</t>
  </si>
  <si>
    <t>LD2624</t>
  </si>
  <si>
    <t>Anjali Kadam</t>
  </si>
  <si>
    <t>LD2625</t>
  </si>
  <si>
    <t>LD2626</t>
  </si>
  <si>
    <t>Anjali Patil</t>
  </si>
  <si>
    <t>LD2627</t>
  </si>
  <si>
    <t>Kavya Rane</t>
  </si>
  <si>
    <t>LD2628</t>
  </si>
  <si>
    <t>LD2629</t>
  </si>
  <si>
    <t>Sagar Kadam</t>
  </si>
  <si>
    <t>16-Jul-2026</t>
  </si>
  <si>
    <t>LD2630</t>
  </si>
  <si>
    <t>Rahul Joshi</t>
  </si>
  <si>
    <t>25-Jul-2026</t>
  </si>
  <si>
    <t>LD2631</t>
  </si>
  <si>
    <t>Sagar More</t>
  </si>
  <si>
    <t>11-Jul-2026</t>
  </si>
  <si>
    <t>LD2632</t>
  </si>
  <si>
    <t>Sagar Naik</t>
  </si>
  <si>
    <t>LD2633</t>
  </si>
  <si>
    <t>Om Shah</t>
  </si>
  <si>
    <t>LD2634</t>
  </si>
  <si>
    <t>LD2635</t>
  </si>
  <si>
    <t>Yash Naik</t>
  </si>
  <si>
    <t>LD2636</t>
  </si>
  <si>
    <t>Anjali Deshmukh</t>
  </si>
  <si>
    <t>LD2637</t>
  </si>
  <si>
    <t>LD2638</t>
  </si>
  <si>
    <t>LD2639</t>
  </si>
  <si>
    <t>Amit Shah</t>
  </si>
  <si>
    <t>LD2640</t>
  </si>
  <si>
    <t>Kunal Kadam</t>
  </si>
  <si>
    <t>LD2641</t>
  </si>
  <si>
    <t>Priya Joshi</t>
  </si>
  <si>
    <t>02-Aug-2026</t>
  </si>
  <si>
    <t>LD2642</t>
  </si>
  <si>
    <t>Priya More</t>
  </si>
  <si>
    <t>LD2643</t>
  </si>
  <si>
    <t>Vivek More</t>
  </si>
  <si>
    <t>LD2644</t>
  </si>
  <si>
    <t>06-Aug-2026</t>
  </si>
  <si>
    <t>LD2645</t>
  </si>
  <si>
    <t>Sneha Naik</t>
  </si>
  <si>
    <t>LD2646</t>
  </si>
  <si>
    <t>LD2647</t>
  </si>
  <si>
    <t>Vivek Shah</t>
  </si>
  <si>
    <t>28-Jul-2026</t>
  </si>
  <si>
    <t>LD2648</t>
  </si>
  <si>
    <t>Yash Rane</t>
  </si>
  <si>
    <t>LD2649</t>
  </si>
  <si>
    <t>LD2650</t>
  </si>
  <si>
    <t>LD2651</t>
  </si>
  <si>
    <t>Isha Naik</t>
  </si>
  <si>
    <t>LD2652</t>
  </si>
  <si>
    <t>26-Jul-2026</t>
  </si>
  <si>
    <t>LD2653</t>
  </si>
  <si>
    <t>Neha Deshmukh</t>
  </si>
  <si>
    <t>LD2654</t>
  </si>
  <si>
    <t>Isha Deshmukh</t>
  </si>
  <si>
    <t>LD2655</t>
  </si>
  <si>
    <t>01-Aug-2026</t>
  </si>
  <si>
    <t>LD2656</t>
  </si>
  <si>
    <t>Sneha Patil</t>
  </si>
  <si>
    <t>LD2657</t>
  </si>
  <si>
    <t>Neha Patil</t>
  </si>
  <si>
    <t>LD2658</t>
  </si>
  <si>
    <t>Priya Gaikwad</t>
  </si>
  <si>
    <t>03-Aug-2026</t>
  </si>
  <si>
    <t>LD2659</t>
  </si>
  <si>
    <t>LD2660</t>
  </si>
  <si>
    <t>Vivek Kadam</t>
  </si>
  <si>
    <t>LD2661</t>
  </si>
  <si>
    <t>13-Aug-2026</t>
  </si>
  <si>
    <t>LD2662</t>
  </si>
  <si>
    <t>LD2663</t>
  </si>
  <si>
    <t>Sneha Kadam</t>
  </si>
  <si>
    <t>LD2664</t>
  </si>
  <si>
    <t>Om More</t>
  </si>
  <si>
    <t>LD2665</t>
  </si>
  <si>
    <t>LD2666</t>
  </si>
  <si>
    <t>LD2667</t>
  </si>
  <si>
    <t>LD2668</t>
  </si>
  <si>
    <t>LD2669</t>
  </si>
  <si>
    <t>LD2670</t>
  </si>
  <si>
    <t>LD2671</t>
  </si>
  <si>
    <t>Yash More</t>
  </si>
  <si>
    <t>Aug Organic/Paid</t>
  </si>
  <si>
    <t>27-Aug-2026</t>
  </si>
  <si>
    <t>LD2672</t>
  </si>
  <si>
    <t>LD2673</t>
  </si>
  <si>
    <t>LD2674</t>
  </si>
  <si>
    <t>LD2675</t>
  </si>
  <si>
    <t>LD2676</t>
  </si>
  <si>
    <t>28-Aug-2026</t>
  </si>
  <si>
    <t>LD2677</t>
  </si>
  <si>
    <t>LD2678</t>
  </si>
  <si>
    <t>LD2679</t>
  </si>
  <si>
    <t>LD2680</t>
  </si>
  <si>
    <t>Rohit Naik</t>
  </si>
  <si>
    <t>23-Aug-2026</t>
  </si>
  <si>
    <t>LD2681</t>
  </si>
  <si>
    <t>Vivek Patil</t>
  </si>
  <si>
    <t>21-Aug-2026</t>
  </si>
  <si>
    <t>LD2682</t>
  </si>
  <si>
    <t>Kavya Kulkarni</t>
  </si>
  <si>
    <t>20-Aug-2026</t>
  </si>
  <si>
    <t>LD2683</t>
  </si>
  <si>
    <t>LD2684</t>
  </si>
  <si>
    <t>Neha More</t>
  </si>
  <si>
    <t>LD2685</t>
  </si>
  <si>
    <t>18-Aug-2026</t>
  </si>
  <si>
    <t>LD2686</t>
  </si>
  <si>
    <t>LD2687</t>
  </si>
  <si>
    <t>LD2688</t>
  </si>
  <si>
    <t>LD2689</t>
  </si>
  <si>
    <t>Vivek Rane</t>
  </si>
  <si>
    <t>LD2690</t>
  </si>
  <si>
    <t>LD2691</t>
  </si>
  <si>
    <t>25-Aug-2026</t>
  </si>
  <si>
    <t>LD2692</t>
  </si>
  <si>
    <t>Priya Shah</t>
  </si>
  <si>
    <t>LD2693</t>
  </si>
  <si>
    <t>Vivek Naik</t>
  </si>
  <si>
    <t>LD2694</t>
  </si>
  <si>
    <t>LD2695</t>
  </si>
  <si>
    <t>Anjali More</t>
  </si>
  <si>
    <t>LD2696</t>
  </si>
  <si>
    <t>Waiting on factory production slot - single machine line at capacity</t>
  </si>
  <si>
    <t>LD2697</t>
  </si>
  <si>
    <t>LD2698</t>
  </si>
  <si>
    <t>LD2699</t>
  </si>
  <si>
    <t>LD2700</t>
  </si>
  <si>
    <t>LD2701</t>
  </si>
  <si>
    <t>Anjali Naik</t>
  </si>
  <si>
    <t>LD2702</t>
  </si>
  <si>
    <t>LD2703</t>
  </si>
  <si>
    <t>LD2704</t>
  </si>
  <si>
    <t>Kavya Deshmukh</t>
  </si>
  <si>
    <t>LD2705</t>
  </si>
  <si>
    <t>LD2706</t>
  </si>
  <si>
    <t>LD2707</t>
  </si>
  <si>
    <t>LD2708</t>
  </si>
  <si>
    <t>LD2709</t>
  </si>
  <si>
    <t>LD2710</t>
  </si>
  <si>
    <t>LD2711</t>
  </si>
  <si>
    <t>Kunal Rane</t>
  </si>
  <si>
    <t>LD2712</t>
  </si>
  <si>
    <t>Kunal Naik</t>
  </si>
  <si>
    <t>Ram Pal</t>
  </si>
  <si>
    <t>Client_Segment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</si>
</sst>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0"/>
    <numFmt numFmtId="165" formatCode="0.0"/>
    <numFmt numFmtId="166" formatCode="&quot;₹&quot;\ #,##0"/>
    <numFmt numFmtId="167" formatCode="yyyy/mm/dd"/>
  </numFmts>
  <fonts count="16" x14ac:knownFonts="1">
    <font>
      <sz val="11"/>
      <color theme="1"/>
      <name val="Calibri"/>
      <family val="2"/>
      <scheme val="minor"/>
    </font>
    <font>
      <b/>
      <sz val="10"/>
      <color rgb="FFFFFFFF"/>
      <name val="Calibri"/>
    </font>
    <font>
      <sz val="9"/>
      <name val="Calibri"/>
    </font>
    <font>
      <b/>
      <sz val="10"/>
      <name val="Calibri"/>
    </font>
    <font>
      <sz val="10"/>
      <name val="Calibri"/>
    </font>
    <font>
      <sz val="10"/>
      <color rgb="FF000000"/>
      <name val="Calibri"/>
    </font>
    <font>
      <b/>
      <sz val="10"/>
      <color rgb="FF000000"/>
      <name val="Calibri"/>
    </font>
    <font>
      <sz val="11"/>
      <color rgb="FF006100"/>
      <name val="Calibri"/>
      <family val="2"/>
      <scheme val="minor"/>
    </font>
    <font>
      <sz val="11"/>
      <color rgb="FF9C5700"/>
      <name val="Calibri"/>
      <family val="2"/>
      <scheme val="minor"/>
    </font>
    <font>
      <sz val="18"/>
      <color rgb="FF006100"/>
      <name val="Calibri"/>
      <family val="2"/>
      <scheme val="minor"/>
    </font>
    <font>
      <b/>
      <sz val="10"/>
      <color rgb="FFFFFFFF"/>
      <name val="Calibri"/>
      <family val="2"/>
    </font>
    <font>
      <sz val="18"/>
      <color rgb="FF9C5700"/>
      <name val="Calibri"/>
      <family val="2"/>
      <scheme val="minor"/>
    </font>
    <font>
      <sz val="9"/>
      <color theme="1"/>
      <name val="Calibri"/>
      <family val="2"/>
      <scheme val="minor"/>
    </font>
    <font>
      <sz val="9"/>
      <name val="Calibri"/>
      <family val="2"/>
    </font>
    <font>
      <b/>
      <sz val="10"/>
      <color rgb="FFFFFFFF"/>
      <name val="Arial"/>
      <charset val="1"/>
    </font>
    <font>
      <sz val="10"/>
      <name val="Arial"/>
      <charset val="1"/>
    </font>
  </fonts>
  <fills count="15">
    <fill>
      <patternFill patternType="none"/>
    </fill>
    <fill>
      <patternFill patternType="gray125"/>
    </fill>
    <fill>
      <patternFill patternType="solid">
        <fgColor rgb="FF1B3A5C"/>
        <bgColor rgb="FF1B3A5C"/>
      </patternFill>
    </fill>
    <fill>
      <patternFill patternType="solid">
        <fgColor rgb="FFEBF3FB"/>
        <bgColor rgb="FFEBF3FB"/>
      </patternFill>
    </fill>
    <fill>
      <patternFill patternType="solid">
        <fgColor rgb="FFE8F8E8"/>
        <bgColor rgb="FFE8F8E8"/>
      </patternFill>
    </fill>
    <fill>
      <patternFill patternType="solid">
        <fgColor rgb="FFFFF3CD"/>
        <bgColor rgb="FFFFF3CD"/>
      </patternFill>
    </fill>
    <fill>
      <patternFill patternType="solid">
        <fgColor rgb="FFE8D5F5"/>
        <bgColor rgb="FFE8D5F5"/>
      </patternFill>
    </fill>
    <fill>
      <patternFill patternType="solid">
        <fgColor rgb="FFFFE4E1"/>
        <bgColor rgb="FFFFE4E1"/>
      </patternFill>
    </fill>
    <fill>
      <patternFill patternType="solid">
        <fgColor rgb="FFFFECD2"/>
        <bgColor rgb="FFFFECD2"/>
      </patternFill>
    </fill>
    <fill>
      <patternFill patternType="solid">
        <fgColor rgb="FFF5EEF8"/>
        <bgColor rgb="FFF5EEF8"/>
      </patternFill>
    </fill>
    <fill>
      <patternFill patternType="solid">
        <fgColor rgb="FF2E86C1"/>
        <bgColor rgb="FF2E86C1"/>
      </patternFill>
    </fill>
    <fill>
      <patternFill patternType="solid">
        <fgColor rgb="FFD6EAF8"/>
        <bgColor rgb="FFD6EAF8"/>
      </patternFill>
    </fill>
    <fill>
      <patternFill patternType="solid">
        <fgColor rgb="FFC6EFCE"/>
      </patternFill>
    </fill>
    <fill>
      <patternFill patternType="solid">
        <fgColor rgb="FFFFEB9C"/>
      </patternFill>
    </fill>
    <fill>
      <patternFill patternType="solid">
        <fgColor rgb="FF1F4E78"/>
        <bgColor rgb="FF1B3A5C"/>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diagonal/>
    </border>
  </borders>
  <cellStyleXfs count="3">
    <xf numFmtId="0" fontId="0" fillId="0" borderId="0"/>
    <xf numFmtId="0" fontId="7" fillId="12" borderId="0" applyNumberFormat="0" applyBorder="0" applyAlignment="0" applyProtection="0"/>
    <xf numFmtId="0" fontId="8" fillId="13" borderId="0" applyNumberFormat="0" applyBorder="0" applyAlignment="0" applyProtection="0"/>
  </cellStyleXfs>
  <cellXfs count="6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164" fontId="2" fillId="5"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xf>
    <xf numFmtId="0" fontId="4" fillId="7" borderId="1" xfId="0" applyFont="1" applyFill="1" applyBorder="1" applyAlignment="1">
      <alignment horizontal="center" vertical="center"/>
    </xf>
    <xf numFmtId="164" fontId="4" fillId="7"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0" fontId="4" fillId="8"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3" fillId="9" borderId="1" xfId="0" applyFont="1" applyFill="1" applyBorder="1" applyAlignment="1">
      <alignment horizontal="center" vertical="center"/>
    </xf>
    <xf numFmtId="0" fontId="4" fillId="9" borderId="1" xfId="0" applyFont="1" applyFill="1" applyBorder="1" applyAlignment="1">
      <alignment horizontal="center" vertical="center"/>
    </xf>
    <xf numFmtId="164" fontId="4" fillId="9" borderId="1" xfId="0" applyNumberFormat="1" applyFont="1" applyFill="1" applyBorder="1" applyAlignment="1">
      <alignment horizontal="center" vertical="center"/>
    </xf>
    <xf numFmtId="0" fontId="4" fillId="0" borderId="1" xfId="0" applyFont="1" applyBorder="1" applyAlignment="1">
      <alignment horizontal="center" vertical="center"/>
    </xf>
    <xf numFmtId="0" fontId="1" fillId="2" borderId="1" xfId="0" applyFont="1" applyFill="1" applyBorder="1" applyAlignment="1">
      <alignment vertical="center" wrapText="1"/>
    </xf>
    <xf numFmtId="0" fontId="5" fillId="0" borderId="1" xfId="0" applyFont="1" applyBorder="1" applyAlignment="1">
      <alignment vertical="center" wrapText="1"/>
    </xf>
    <xf numFmtId="0" fontId="1" fillId="10" borderId="1" xfId="0" applyFont="1" applyFill="1" applyBorder="1" applyAlignment="1">
      <alignment vertical="center" wrapText="1"/>
    </xf>
    <xf numFmtId="0" fontId="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5" fillId="5" borderId="1" xfId="0" applyFont="1" applyFill="1" applyBorder="1" applyAlignment="1">
      <alignment vertical="center" wrapText="1"/>
    </xf>
    <xf numFmtId="0" fontId="6" fillId="6" borderId="1" xfId="0" applyFont="1" applyFill="1" applyBorder="1" applyAlignment="1">
      <alignment vertical="center" wrapText="1"/>
    </xf>
    <xf numFmtId="0" fontId="5" fillId="6" borderId="1" xfId="0" applyFont="1" applyFill="1" applyBorder="1" applyAlignment="1">
      <alignment vertical="center" wrapText="1"/>
    </xf>
    <xf numFmtId="0" fontId="6" fillId="11" borderId="1" xfId="0" applyFont="1" applyFill="1" applyBorder="1" applyAlignment="1">
      <alignment vertical="center" wrapText="1"/>
    </xf>
    <xf numFmtId="0" fontId="5" fillId="11" borderId="1"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165" fontId="0" fillId="0" borderId="0" xfId="0" applyNumberFormat="1"/>
    <xf numFmtId="0" fontId="10" fillId="2" borderId="1" xfId="0" applyFont="1" applyFill="1" applyBorder="1" applyAlignment="1">
      <alignment horizontal="center" vertical="center" wrapText="1"/>
    </xf>
    <xf numFmtId="0" fontId="0" fillId="0" borderId="0" xfId="0" applyNumberFormat="1" applyAlignment="1">
      <alignment horizontal="center"/>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3" fillId="4"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164" fontId="13" fillId="4" borderId="3" xfId="0" applyNumberFormat="1" applyFont="1" applyFill="1" applyBorder="1" applyAlignment="1">
      <alignment horizontal="center" vertical="center" wrapText="1"/>
    </xf>
    <xf numFmtId="164"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2" fillId="0" borderId="0" xfId="0" applyFont="1" applyAlignment="1">
      <alignment horizontal="center" vertical="center"/>
    </xf>
    <xf numFmtId="14" fontId="12" fillId="0" borderId="0" xfId="0" applyNumberFormat="1" applyFont="1" applyAlignment="1">
      <alignment horizontal="center" vertical="center"/>
    </xf>
    <xf numFmtId="167" fontId="12" fillId="0" borderId="0" xfId="0" applyNumberFormat="1" applyFont="1" applyAlignment="1">
      <alignment horizontal="center" vertical="center" wrapText="1"/>
    </xf>
    <xf numFmtId="166" fontId="12" fillId="0" borderId="0" xfId="0" applyNumberFormat="1" applyFont="1" applyAlignment="1">
      <alignment horizontal="center" vertical="center" wrapText="1"/>
    </xf>
    <xf numFmtId="167" fontId="12" fillId="0" borderId="0" xfId="0" applyNumberFormat="1" applyFont="1" applyAlignment="1">
      <alignment horizontal="center" vertical="center"/>
    </xf>
    <xf numFmtId="166" fontId="12" fillId="0" borderId="0" xfId="0" applyNumberFormat="1" applyFont="1" applyAlignment="1">
      <alignment horizontal="center" vertical="center"/>
    </xf>
    <xf numFmtId="6" fontId="11" fillId="13" borderId="0" xfId="2" applyNumberFormat="1" applyFont="1" applyAlignment="1">
      <alignment horizontal="center"/>
    </xf>
    <xf numFmtId="0" fontId="9" fillId="12" borderId="0" xfId="1" applyFont="1" applyAlignment="1">
      <alignment horizontal="center"/>
    </xf>
    <xf numFmtId="0" fontId="11" fillId="13" borderId="0" xfId="2" applyFont="1" applyAlignment="1">
      <alignment horizontal="center"/>
    </xf>
    <xf numFmtId="9" fontId="9" fillId="12" borderId="0" xfId="1" applyNumberFormat="1" applyFont="1" applyAlignment="1">
      <alignment horizontal="center"/>
    </xf>
    <xf numFmtId="0" fontId="14" fillId="14"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cellXfs>
  <cellStyles count="3">
    <cellStyle name="Good" xfId="1" builtinId="26"/>
    <cellStyle name="Neutral" xfId="2" builtinId="28"/>
    <cellStyle name="Normal" xfId="0" builtinId="0"/>
  </cellStyles>
  <dxfs count="9">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6!PivotTable6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solidFill>
                  <a:schemeClr val="bg1"/>
                </a:solidFill>
              </a:rPr>
              <a:t>Lead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6'!$B$3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63-4AE0-8B46-80B2A0083F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63-4AE0-8B46-80B2A0083FB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63-4AE0-8B46-80B2A0083FB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63-4AE0-8B46-80B2A0083FB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263-4AE0-8B46-80B2A0083FB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6'!$A$4:$A$9</c:f>
              <c:strCache>
                <c:ptCount val="5"/>
                <c:pt idx="0">
                  <c:v>Converted</c:v>
                </c:pt>
                <c:pt idx="1">
                  <c:v>Dropped</c:v>
                </c:pt>
                <c:pt idx="2">
                  <c:v>Follow-up Pending</c:v>
                </c:pt>
                <c:pt idx="3">
                  <c:v>In Progress</c:v>
                </c:pt>
                <c:pt idx="4">
                  <c:v>Lost</c:v>
                </c:pt>
              </c:strCache>
            </c:strRef>
          </c:cat>
          <c:val>
            <c:numRef>
              <c:f>'Pivot 6'!$B$4:$B$9</c:f>
              <c:numCache>
                <c:formatCode>General</c:formatCode>
                <c:ptCount val="5"/>
                <c:pt idx="0">
                  <c:v>213</c:v>
                </c:pt>
                <c:pt idx="1">
                  <c:v>47</c:v>
                </c:pt>
                <c:pt idx="2">
                  <c:v>117</c:v>
                </c:pt>
                <c:pt idx="3">
                  <c:v>159</c:v>
                </c:pt>
                <c:pt idx="4">
                  <c:v>257</c:v>
                </c:pt>
              </c:numCache>
            </c:numRef>
          </c:val>
          <c:extLst>
            <c:ext xmlns:c16="http://schemas.microsoft.com/office/drawing/2014/chart" uri="{C3380CC4-5D6E-409C-BE32-E72D297353CC}">
              <c16:uniqueId val="{0000001C-410C-4BBA-8077-9A70143A02A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tx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1!PivotTable1</c:name>
    <c:fmtId val="9"/>
  </c:pivotSource>
  <c:chart>
    <c:title>
      <c:tx>
        <c:rich>
          <a:bodyPr rot="0" spcFirstLastPara="1" vertOverflow="ellipsis" vert="horz" wrap="square" anchor="ctr" anchorCtr="1"/>
          <a:lstStyle/>
          <a:p>
            <a:pPr>
              <a:defRPr sz="1600" b="0" i="0" u="none" strike="noStrike" kern="1200" cap="none" baseline="0">
                <a:solidFill>
                  <a:schemeClr val="bg1"/>
                </a:solidFill>
                <a:latin typeface="+mn-lt"/>
                <a:ea typeface="+mn-ea"/>
                <a:cs typeface="+mn-cs"/>
              </a:defRPr>
            </a:pPr>
            <a:r>
              <a:rPr lang="en-US" sz="1600" b="1">
                <a:solidFill>
                  <a:schemeClr val="bg1"/>
                </a:solidFill>
              </a:rPr>
              <a:t>Monthly</a:t>
            </a:r>
            <a:r>
              <a:rPr lang="en-US" sz="1600" b="1" baseline="0">
                <a:solidFill>
                  <a:schemeClr val="bg1"/>
                </a:solidFill>
              </a:rPr>
              <a:t> Lead Trend</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1'!$A$4:$A$29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'pivot 1'!$B$4:$B$29</c:f>
              <c:numCache>
                <c:formatCode>General</c:formatCode>
                <c:ptCount val="12"/>
                <c:pt idx="0">
                  <c:v>83</c:v>
                </c:pt>
                <c:pt idx="1">
                  <c:v>76</c:v>
                </c:pt>
                <c:pt idx="2">
                  <c:v>83</c:v>
                </c:pt>
                <c:pt idx="3">
                  <c:v>71</c:v>
                </c:pt>
                <c:pt idx="4">
                  <c:v>34</c:v>
                </c:pt>
                <c:pt idx="5">
                  <c:v>33</c:v>
                </c:pt>
                <c:pt idx="6">
                  <c:v>42</c:v>
                </c:pt>
                <c:pt idx="7">
                  <c:v>53</c:v>
                </c:pt>
                <c:pt idx="8">
                  <c:v>64</c:v>
                </c:pt>
                <c:pt idx="9">
                  <c:v>93</c:v>
                </c:pt>
                <c:pt idx="10">
                  <c:v>86</c:v>
                </c:pt>
                <c:pt idx="11">
                  <c:v>75</c:v>
                </c:pt>
              </c:numCache>
            </c:numRef>
          </c:val>
          <c:extLst>
            <c:ext xmlns:c16="http://schemas.microsoft.com/office/drawing/2014/chart" uri="{C3380CC4-5D6E-409C-BE32-E72D297353CC}">
              <c16:uniqueId val="{00000000-C655-4A08-9F83-8FF9F535F5DE}"/>
            </c:ext>
          </c:extLst>
        </c:ser>
        <c:dLbls>
          <c:showLegendKey val="0"/>
          <c:showVal val="0"/>
          <c:showCatName val="0"/>
          <c:showSerName val="0"/>
          <c:showPercent val="0"/>
          <c:showBubbleSize val="0"/>
        </c:dLbls>
        <c:gapWidth val="315"/>
        <c:overlap val="-40"/>
        <c:axId val="2022468032"/>
        <c:axId val="2105219984"/>
      </c:barChart>
      <c:catAx>
        <c:axId val="202246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5219984"/>
        <c:crosses val="autoZero"/>
        <c:auto val="1"/>
        <c:lblAlgn val="ctr"/>
        <c:lblOffset val="100"/>
        <c:noMultiLvlLbl val="0"/>
      </c:catAx>
      <c:valAx>
        <c:axId val="210521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4680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[Trenzy_FINAL_DONE.xlsx]pivot2!PivotTable2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i="0" u="none" strike="noStrike" cap="none" baseline="0">
                <a:solidFill>
                  <a:schemeClr val="bg1"/>
                </a:solidFill>
                <a:effectLst/>
              </a:rPr>
              <a:t>Source Performance</a:t>
            </a:r>
            <a:r>
              <a:rPr lang="en-IN" sz="1600" b="1" i="0" u="none" strike="noStrike" cap="none" baseline="0">
                <a:solidFill>
                  <a:schemeClr val="bg1"/>
                </a:solidFill>
              </a:rPr>
              <a:t>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pivot2!$B$3</c:f>
              <c:strCache>
                <c:ptCount val="1"/>
                <c:pt idx="0">
                  <c:v>Count of Lead_ID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pivot2!$A$4:$A$13</c:f>
              <c:strCache>
                <c:ptCount val="9"/>
                <c:pt idx="0">
                  <c:v>99acres Enquiry</c:v>
                </c:pt>
                <c:pt idx="1">
                  <c:v>Facebook Ads</c:v>
                </c:pt>
                <c:pt idx="2">
                  <c:v>Instagram</c:v>
                </c:pt>
                <c:pt idx="3">
                  <c:v>Justdial Enquiry</c:v>
                </c:pt>
                <c:pt idx="4">
                  <c:v>MagicBricks Enquiry</c:v>
                </c:pt>
                <c:pt idx="5">
                  <c:v>Referral</c:v>
                </c:pt>
                <c:pt idx="6">
                  <c:v>Walk-in</c:v>
                </c:pt>
                <c:pt idx="7">
                  <c:v>Website</c:v>
                </c:pt>
                <c:pt idx="8">
                  <c:v>Word of Mouth</c:v>
                </c:pt>
              </c:strCache>
            </c:strRef>
          </c:cat>
          <c:val>
            <c:numRef>
              <c:f>pivot2!$B$4:$B$13</c:f>
              <c:numCache>
                <c:formatCode>General</c:formatCode>
                <c:ptCount val="9"/>
                <c:pt idx="0">
                  <c:v>53</c:v>
                </c:pt>
                <c:pt idx="1">
                  <c:v>88</c:v>
                </c:pt>
                <c:pt idx="2">
                  <c:v>153</c:v>
                </c:pt>
                <c:pt idx="3">
                  <c:v>68</c:v>
                </c:pt>
                <c:pt idx="4">
                  <c:v>56</c:v>
                </c:pt>
                <c:pt idx="5">
                  <c:v>166</c:v>
                </c:pt>
                <c:pt idx="6">
                  <c:v>92</c:v>
                </c:pt>
                <c:pt idx="7">
                  <c:v>83</c:v>
                </c:pt>
                <c:pt idx="8">
                  <c:v>34</c:v>
                </c:pt>
              </c:numCache>
            </c:numRef>
          </c:val>
          <c:extLst>
            <c:ext xmlns:c16="http://schemas.microsoft.com/office/drawing/2014/chart" uri="{C3380CC4-5D6E-409C-BE32-E72D297353CC}">
              <c16:uniqueId val="{00000006-BD8E-439D-8DBC-934864B77C54}"/>
            </c:ext>
          </c:extLst>
        </c:ser>
        <c:ser>
          <c:idx val="1"/>
          <c:order val="1"/>
          <c:tx>
            <c:strRef>
              <c:f>pivot2!$C$3</c:f>
              <c:strCache>
                <c:ptCount val="1"/>
                <c:pt idx="0">
                  <c:v>Count of Conversion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pivot2!$A$4:$A$13</c:f>
              <c:strCache>
                <c:ptCount val="9"/>
                <c:pt idx="0">
                  <c:v>99acres Enquiry</c:v>
                </c:pt>
                <c:pt idx="1">
                  <c:v>Facebook Ads</c:v>
                </c:pt>
                <c:pt idx="2">
                  <c:v>Instagram</c:v>
                </c:pt>
                <c:pt idx="3">
                  <c:v>Justdial Enquiry</c:v>
                </c:pt>
                <c:pt idx="4">
                  <c:v>MagicBricks Enquiry</c:v>
                </c:pt>
                <c:pt idx="5">
                  <c:v>Referral</c:v>
                </c:pt>
                <c:pt idx="6">
                  <c:v>Walk-in</c:v>
                </c:pt>
                <c:pt idx="7">
                  <c:v>Website</c:v>
                </c:pt>
                <c:pt idx="8">
                  <c:v>Word of Mouth</c:v>
                </c:pt>
              </c:strCache>
            </c:strRef>
          </c:cat>
          <c:val>
            <c:numRef>
              <c:f>pivot2!$C$4:$C$13</c:f>
              <c:numCache>
                <c:formatCode>General</c:formatCode>
                <c:ptCount val="9"/>
                <c:pt idx="0">
                  <c:v>13</c:v>
                </c:pt>
                <c:pt idx="1">
                  <c:v>24</c:v>
                </c:pt>
                <c:pt idx="2">
                  <c:v>34</c:v>
                </c:pt>
                <c:pt idx="3">
                  <c:v>13</c:v>
                </c:pt>
                <c:pt idx="4">
                  <c:v>12</c:v>
                </c:pt>
                <c:pt idx="5">
                  <c:v>62</c:v>
                </c:pt>
                <c:pt idx="6">
                  <c:v>26</c:v>
                </c:pt>
                <c:pt idx="7">
                  <c:v>19</c:v>
                </c:pt>
                <c:pt idx="8">
                  <c:v>10</c:v>
                </c:pt>
              </c:numCache>
            </c:numRef>
          </c:val>
          <c:extLst>
            <c:ext xmlns:c16="http://schemas.microsoft.com/office/drawing/2014/chart" uri="{C3380CC4-5D6E-409C-BE32-E72D297353CC}">
              <c16:uniqueId val="{00000007-BD8E-439D-8DBC-934864B77C54}"/>
            </c:ext>
          </c:extLst>
        </c:ser>
        <c:dLbls>
          <c:showLegendKey val="0"/>
          <c:showVal val="0"/>
          <c:showCatName val="0"/>
          <c:showSerName val="0"/>
          <c:showPercent val="0"/>
          <c:showBubbleSize val="0"/>
        </c:dLbls>
        <c:gapWidth val="315"/>
        <c:overlap val="-40"/>
        <c:axId val="2022468032"/>
        <c:axId val="2105219984"/>
      </c:barChart>
      <c:catAx>
        <c:axId val="202246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5219984"/>
        <c:crosses val="autoZero"/>
        <c:auto val="1"/>
        <c:lblAlgn val="ctr"/>
        <c:lblOffset val="100"/>
        <c:noMultiLvlLbl val="0"/>
      </c:catAx>
      <c:valAx>
        <c:axId val="210521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468032"/>
        <c:crosses val="autoZero"/>
        <c:crossBetween val="between"/>
      </c:valAx>
      <c:spPr>
        <a:noFill/>
        <a:ln w="25400">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3!PivotTable4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i="0" u="none" strike="noStrike" cap="none" baseline="0">
                <a:solidFill>
                  <a:schemeClr val="bg1"/>
                </a:solidFill>
                <a:effectLst/>
              </a:rPr>
              <a:t>Execative Performance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3'!$B$3</c:f>
              <c:strCache>
                <c:ptCount val="1"/>
                <c:pt idx="0">
                  <c:v>Count of Lead_ID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3'!$A$4:$A$8</c:f>
              <c:strCache>
                <c:ptCount val="4"/>
                <c:pt idx="0">
                  <c:v>Amit Talola</c:v>
                </c:pt>
                <c:pt idx="1">
                  <c:v>Aniket Kolhe</c:v>
                </c:pt>
                <c:pt idx="2">
                  <c:v>Ankeeta Londhe</c:v>
                </c:pt>
                <c:pt idx="3">
                  <c:v>Sneha Abak</c:v>
                </c:pt>
              </c:strCache>
            </c:strRef>
          </c:cat>
          <c:val>
            <c:numRef>
              <c:f>'pivot 3'!$B$4:$B$8</c:f>
              <c:numCache>
                <c:formatCode>General</c:formatCode>
                <c:ptCount val="4"/>
                <c:pt idx="0">
                  <c:v>261</c:v>
                </c:pt>
                <c:pt idx="1">
                  <c:v>137</c:v>
                </c:pt>
                <c:pt idx="2">
                  <c:v>299</c:v>
                </c:pt>
                <c:pt idx="3">
                  <c:v>96</c:v>
                </c:pt>
              </c:numCache>
            </c:numRef>
          </c:val>
          <c:extLst>
            <c:ext xmlns:c16="http://schemas.microsoft.com/office/drawing/2014/chart" uri="{C3380CC4-5D6E-409C-BE32-E72D297353CC}">
              <c16:uniqueId val="{00000003-C796-4269-A343-E2CCDF39F4D7}"/>
            </c:ext>
          </c:extLst>
        </c:ser>
        <c:ser>
          <c:idx val="1"/>
          <c:order val="1"/>
          <c:tx>
            <c:strRef>
              <c:f>'pivot 3'!$C$3</c:f>
              <c:strCache>
                <c:ptCount val="1"/>
                <c:pt idx="0">
                  <c:v>Average of Response_Time_Hours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3'!$A$4:$A$8</c:f>
              <c:strCache>
                <c:ptCount val="4"/>
                <c:pt idx="0">
                  <c:v>Amit Talola</c:v>
                </c:pt>
                <c:pt idx="1">
                  <c:v>Aniket Kolhe</c:v>
                </c:pt>
                <c:pt idx="2">
                  <c:v>Ankeeta Londhe</c:v>
                </c:pt>
                <c:pt idx="3">
                  <c:v>Sneha Abak</c:v>
                </c:pt>
              </c:strCache>
            </c:strRef>
          </c:cat>
          <c:val>
            <c:numRef>
              <c:f>'pivot 3'!$C$4:$C$8</c:f>
              <c:numCache>
                <c:formatCode>0.0</c:formatCode>
                <c:ptCount val="4"/>
                <c:pt idx="0">
                  <c:v>25.446124031007759</c:v>
                </c:pt>
                <c:pt idx="1">
                  <c:v>23.705185185185183</c:v>
                </c:pt>
                <c:pt idx="2">
                  <c:v>25.263758389261746</c:v>
                </c:pt>
                <c:pt idx="3">
                  <c:v>25.080851063829801</c:v>
                </c:pt>
              </c:numCache>
            </c:numRef>
          </c:val>
          <c:extLst>
            <c:ext xmlns:c16="http://schemas.microsoft.com/office/drawing/2014/chart" uri="{C3380CC4-5D6E-409C-BE32-E72D297353CC}">
              <c16:uniqueId val="{00000005-C796-4269-A343-E2CCDF39F4D7}"/>
            </c:ext>
          </c:extLst>
        </c:ser>
        <c:dLbls>
          <c:showLegendKey val="0"/>
          <c:showVal val="0"/>
          <c:showCatName val="0"/>
          <c:showSerName val="0"/>
          <c:showPercent val="0"/>
          <c:showBubbleSize val="0"/>
        </c:dLbls>
        <c:gapWidth val="315"/>
        <c:overlap val="-40"/>
        <c:axId val="2022468032"/>
        <c:axId val="2105219984"/>
      </c:barChart>
      <c:catAx>
        <c:axId val="202246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5219984"/>
        <c:crosses val="autoZero"/>
        <c:auto val="1"/>
        <c:lblAlgn val="ctr"/>
        <c:lblOffset val="100"/>
        <c:noMultiLvlLbl val="0"/>
      </c:catAx>
      <c:valAx>
        <c:axId val="210521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468032"/>
        <c:crosses val="autoZero"/>
        <c:crossBetween val="between"/>
      </c:valAx>
      <c:spPr>
        <a:noFill/>
        <a:ln w="25400">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4!PivotTable3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solidFill>
                  <a:schemeClr val="bg1"/>
                </a:solidFill>
                <a:effectLst/>
              </a:rPr>
              <a:t>Source Performance</a:t>
            </a:r>
            <a:r>
              <a:rPr lang="en-IN" sz="1400" b="1" i="0" u="none" strike="noStrike" cap="none" baseline="0">
                <a:solidFill>
                  <a:schemeClr val="bg1"/>
                </a:solidFill>
              </a:rPr>
              <a:t> </a:t>
            </a:r>
            <a:endParaRPr lang="en-US" b="1">
              <a:solidFill>
                <a:schemeClr val="bg1"/>
              </a:solidFill>
            </a:endParaRPr>
          </a:p>
        </c:rich>
      </c:tx>
      <c:layout>
        <c:manualLayout>
          <c:xMode val="edge"/>
          <c:yMode val="edge"/>
          <c:x val="0.2955675937243713"/>
          <c:y val="5.354134759175354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4'!$B$3</c:f>
              <c:strCache>
                <c:ptCount val="1"/>
                <c:pt idx="0">
                  <c:v>Count of Lead_ID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4'!$A$4:$A$9</c:f>
              <c:strCache>
                <c:ptCount val="5"/>
                <c:pt idx="0">
                  <c:v>Ahmednagar</c:v>
                </c:pt>
                <c:pt idx="1">
                  <c:v>Latur</c:v>
                </c:pt>
                <c:pt idx="2">
                  <c:v>Mumbai</c:v>
                </c:pt>
                <c:pt idx="3">
                  <c:v>Pune</c:v>
                </c:pt>
                <c:pt idx="4">
                  <c:v>Sangli</c:v>
                </c:pt>
              </c:strCache>
            </c:strRef>
          </c:cat>
          <c:val>
            <c:numRef>
              <c:f>'pivot 4'!$B$4:$B$9</c:f>
              <c:numCache>
                <c:formatCode>General</c:formatCode>
                <c:ptCount val="5"/>
                <c:pt idx="0">
                  <c:v>128</c:v>
                </c:pt>
                <c:pt idx="1">
                  <c:v>101</c:v>
                </c:pt>
                <c:pt idx="2">
                  <c:v>221</c:v>
                </c:pt>
                <c:pt idx="3">
                  <c:v>287</c:v>
                </c:pt>
                <c:pt idx="4">
                  <c:v>56</c:v>
                </c:pt>
              </c:numCache>
            </c:numRef>
          </c:val>
          <c:extLst>
            <c:ext xmlns:c16="http://schemas.microsoft.com/office/drawing/2014/chart" uri="{C3380CC4-5D6E-409C-BE32-E72D297353CC}">
              <c16:uniqueId val="{00000003-AF7C-48E5-8360-8D653BBFDC87}"/>
            </c:ext>
          </c:extLst>
        </c:ser>
        <c:ser>
          <c:idx val="1"/>
          <c:order val="1"/>
          <c:tx>
            <c:strRef>
              <c:f>'pivot 4'!$C$3</c:f>
              <c:strCache>
                <c:ptCount val="1"/>
                <c:pt idx="0">
                  <c:v>Sum of Final_Deal_Value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4'!$A$4:$A$9</c:f>
              <c:strCache>
                <c:ptCount val="5"/>
                <c:pt idx="0">
                  <c:v>Ahmednagar</c:v>
                </c:pt>
                <c:pt idx="1">
                  <c:v>Latur</c:v>
                </c:pt>
                <c:pt idx="2">
                  <c:v>Mumbai</c:v>
                </c:pt>
                <c:pt idx="3">
                  <c:v>Pune</c:v>
                </c:pt>
                <c:pt idx="4">
                  <c:v>Sangli</c:v>
                </c:pt>
              </c:strCache>
            </c:strRef>
          </c:cat>
          <c:val>
            <c:numRef>
              <c:f>'pivot 4'!$C$4:$C$9</c:f>
              <c:numCache>
                <c:formatCode>General</c:formatCode>
                <c:ptCount val="5"/>
                <c:pt idx="0">
                  <c:v>17090006</c:v>
                </c:pt>
                <c:pt idx="1">
                  <c:v>11043984</c:v>
                </c:pt>
                <c:pt idx="2">
                  <c:v>25471942</c:v>
                </c:pt>
                <c:pt idx="3">
                  <c:v>37976010</c:v>
                </c:pt>
                <c:pt idx="4">
                  <c:v>8191610</c:v>
                </c:pt>
              </c:numCache>
            </c:numRef>
          </c:val>
          <c:extLst>
            <c:ext xmlns:c16="http://schemas.microsoft.com/office/drawing/2014/chart" uri="{C3380CC4-5D6E-409C-BE32-E72D297353CC}">
              <c16:uniqueId val="{00000005-AF7C-48E5-8360-8D653BBFDC87}"/>
            </c:ext>
          </c:extLst>
        </c:ser>
        <c:dLbls>
          <c:showLegendKey val="0"/>
          <c:showVal val="0"/>
          <c:showCatName val="0"/>
          <c:showSerName val="0"/>
          <c:showPercent val="0"/>
          <c:showBubbleSize val="0"/>
        </c:dLbls>
        <c:gapWidth val="315"/>
        <c:overlap val="-40"/>
        <c:axId val="2022468032"/>
        <c:axId val="2105219984"/>
      </c:barChart>
      <c:catAx>
        <c:axId val="202246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5219984"/>
        <c:crosses val="autoZero"/>
        <c:auto val="1"/>
        <c:lblAlgn val="ctr"/>
        <c:lblOffset val="100"/>
        <c:noMultiLvlLbl val="0"/>
      </c:catAx>
      <c:valAx>
        <c:axId val="210521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468032"/>
        <c:crosses val="autoZero"/>
        <c:crossBetween val="between"/>
      </c:valAx>
      <c:spPr>
        <a:noFill/>
        <a:ln w="25400">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1!PivotTable1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Lead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1'!$A$4:$A$29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'pivot 1'!$B$4:$B$29</c:f>
              <c:numCache>
                <c:formatCode>General</c:formatCode>
                <c:ptCount val="12"/>
                <c:pt idx="0">
                  <c:v>83</c:v>
                </c:pt>
                <c:pt idx="1">
                  <c:v>76</c:v>
                </c:pt>
                <c:pt idx="2">
                  <c:v>83</c:v>
                </c:pt>
                <c:pt idx="3">
                  <c:v>71</c:v>
                </c:pt>
                <c:pt idx="4">
                  <c:v>34</c:v>
                </c:pt>
                <c:pt idx="5">
                  <c:v>33</c:v>
                </c:pt>
                <c:pt idx="6">
                  <c:v>42</c:v>
                </c:pt>
                <c:pt idx="7">
                  <c:v>53</c:v>
                </c:pt>
                <c:pt idx="8">
                  <c:v>64</c:v>
                </c:pt>
                <c:pt idx="9">
                  <c:v>93</c:v>
                </c:pt>
                <c:pt idx="10">
                  <c:v>86</c:v>
                </c:pt>
                <c:pt idx="11">
                  <c:v>75</c:v>
                </c:pt>
              </c:numCache>
            </c:numRef>
          </c:val>
          <c:extLst>
            <c:ext xmlns:c16="http://schemas.microsoft.com/office/drawing/2014/chart" uri="{C3380CC4-5D6E-409C-BE32-E72D297353CC}">
              <c16:uniqueId val="{00000000-F7F5-4E5A-916D-0A9D595EBC24}"/>
            </c:ext>
          </c:extLst>
        </c:ser>
        <c:dLbls>
          <c:showLegendKey val="0"/>
          <c:showVal val="0"/>
          <c:showCatName val="0"/>
          <c:showSerName val="0"/>
          <c:showPercent val="0"/>
          <c:showBubbleSize val="0"/>
        </c:dLbls>
        <c:gapWidth val="315"/>
        <c:overlap val="-40"/>
        <c:axId val="2022468032"/>
        <c:axId val="2105219984"/>
      </c:barChart>
      <c:catAx>
        <c:axId val="202246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5219984"/>
        <c:crosses val="autoZero"/>
        <c:auto val="1"/>
        <c:lblAlgn val="ctr"/>
        <c:lblOffset val="100"/>
        <c:noMultiLvlLbl val="0"/>
      </c:catAx>
      <c:valAx>
        <c:axId val="210521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24680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[Trenzy_FINAL_DONE.xlsx]pivot2!PivotTable2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pivot2!$B$3</c:f>
              <c:strCache>
                <c:ptCount val="1"/>
                <c:pt idx="0">
                  <c:v>Count of Lead_ID</c:v>
                </c:pt>
              </c:strCache>
            </c:strRef>
          </c:tx>
          <c:spPr>
            <a:solidFill>
              <a:schemeClr val="accent1"/>
            </a:solidFill>
            <a:ln>
              <a:noFill/>
            </a:ln>
            <a:effectLst/>
          </c:spPr>
          <c:invertIfNegative val="0"/>
          <c:cat>
            <c:strRef>
              <c:f>pivot2!$A$4:$A$13</c:f>
              <c:strCache>
                <c:ptCount val="9"/>
                <c:pt idx="0">
                  <c:v>99acres Enquiry</c:v>
                </c:pt>
                <c:pt idx="1">
                  <c:v>Facebook Ads</c:v>
                </c:pt>
                <c:pt idx="2">
                  <c:v>Instagram</c:v>
                </c:pt>
                <c:pt idx="3">
                  <c:v>Justdial Enquiry</c:v>
                </c:pt>
                <c:pt idx="4">
                  <c:v>MagicBricks Enquiry</c:v>
                </c:pt>
                <c:pt idx="5">
                  <c:v>Referral</c:v>
                </c:pt>
                <c:pt idx="6">
                  <c:v>Walk-in</c:v>
                </c:pt>
                <c:pt idx="7">
                  <c:v>Website</c:v>
                </c:pt>
                <c:pt idx="8">
                  <c:v>Word of Mouth</c:v>
                </c:pt>
              </c:strCache>
            </c:strRef>
          </c:cat>
          <c:val>
            <c:numRef>
              <c:f>pivot2!$B$4:$B$13</c:f>
              <c:numCache>
                <c:formatCode>General</c:formatCode>
                <c:ptCount val="9"/>
                <c:pt idx="0">
                  <c:v>53</c:v>
                </c:pt>
                <c:pt idx="1">
                  <c:v>88</c:v>
                </c:pt>
                <c:pt idx="2">
                  <c:v>153</c:v>
                </c:pt>
                <c:pt idx="3">
                  <c:v>68</c:v>
                </c:pt>
                <c:pt idx="4">
                  <c:v>56</c:v>
                </c:pt>
                <c:pt idx="5">
                  <c:v>166</c:v>
                </c:pt>
                <c:pt idx="6">
                  <c:v>92</c:v>
                </c:pt>
                <c:pt idx="7">
                  <c:v>83</c:v>
                </c:pt>
                <c:pt idx="8">
                  <c:v>34</c:v>
                </c:pt>
              </c:numCache>
            </c:numRef>
          </c:val>
          <c:extLst>
            <c:ext xmlns:c16="http://schemas.microsoft.com/office/drawing/2014/chart" uri="{C3380CC4-5D6E-409C-BE32-E72D297353CC}">
              <c16:uniqueId val="{00000000-2FFC-41EB-82CB-AD2A6D4D47FC}"/>
            </c:ext>
          </c:extLst>
        </c:ser>
        <c:ser>
          <c:idx val="1"/>
          <c:order val="1"/>
          <c:tx>
            <c:strRef>
              <c:f>pivot2!$C$3</c:f>
              <c:strCache>
                <c:ptCount val="1"/>
                <c:pt idx="0">
                  <c:v>Count of Conversion</c:v>
                </c:pt>
              </c:strCache>
            </c:strRef>
          </c:tx>
          <c:spPr>
            <a:solidFill>
              <a:schemeClr val="accent2"/>
            </a:solidFill>
            <a:ln>
              <a:noFill/>
            </a:ln>
            <a:effectLst/>
          </c:spPr>
          <c:invertIfNegative val="0"/>
          <c:cat>
            <c:strRef>
              <c:f>pivot2!$A$4:$A$13</c:f>
              <c:strCache>
                <c:ptCount val="9"/>
                <c:pt idx="0">
                  <c:v>99acres Enquiry</c:v>
                </c:pt>
                <c:pt idx="1">
                  <c:v>Facebook Ads</c:v>
                </c:pt>
                <c:pt idx="2">
                  <c:v>Instagram</c:v>
                </c:pt>
                <c:pt idx="3">
                  <c:v>Justdial Enquiry</c:v>
                </c:pt>
                <c:pt idx="4">
                  <c:v>MagicBricks Enquiry</c:v>
                </c:pt>
                <c:pt idx="5">
                  <c:v>Referral</c:v>
                </c:pt>
                <c:pt idx="6">
                  <c:v>Walk-in</c:v>
                </c:pt>
                <c:pt idx="7">
                  <c:v>Website</c:v>
                </c:pt>
                <c:pt idx="8">
                  <c:v>Word of Mouth</c:v>
                </c:pt>
              </c:strCache>
            </c:strRef>
          </c:cat>
          <c:val>
            <c:numRef>
              <c:f>pivot2!$C$4:$C$13</c:f>
              <c:numCache>
                <c:formatCode>General</c:formatCode>
                <c:ptCount val="9"/>
                <c:pt idx="0">
                  <c:v>13</c:v>
                </c:pt>
                <c:pt idx="1">
                  <c:v>24</c:v>
                </c:pt>
                <c:pt idx="2">
                  <c:v>34</c:v>
                </c:pt>
                <c:pt idx="3">
                  <c:v>13</c:v>
                </c:pt>
                <c:pt idx="4">
                  <c:v>12</c:v>
                </c:pt>
                <c:pt idx="5">
                  <c:v>62</c:v>
                </c:pt>
                <c:pt idx="6">
                  <c:v>26</c:v>
                </c:pt>
                <c:pt idx="7">
                  <c:v>19</c:v>
                </c:pt>
                <c:pt idx="8">
                  <c:v>10</c:v>
                </c:pt>
              </c:numCache>
            </c:numRef>
          </c:val>
          <c:extLst>
            <c:ext xmlns:c16="http://schemas.microsoft.com/office/drawing/2014/chart" uri="{C3380CC4-5D6E-409C-BE32-E72D297353CC}">
              <c16:uniqueId val="{00000001-2FFC-41EB-82CB-AD2A6D4D47FC}"/>
            </c:ext>
          </c:extLst>
        </c:ser>
        <c:dLbls>
          <c:showLegendKey val="0"/>
          <c:showVal val="0"/>
          <c:showCatName val="0"/>
          <c:showSerName val="0"/>
          <c:showPercent val="0"/>
          <c:showBubbleSize val="0"/>
        </c:dLbls>
        <c:gapWidth val="219"/>
        <c:overlap val="-27"/>
        <c:axId val="334762000"/>
        <c:axId val="85300640"/>
      </c:barChart>
      <c:catAx>
        <c:axId val="33476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0640"/>
        <c:crosses val="autoZero"/>
        <c:auto val="1"/>
        <c:lblAlgn val="ctr"/>
        <c:lblOffset val="100"/>
        <c:noMultiLvlLbl val="0"/>
      </c:catAx>
      <c:valAx>
        <c:axId val="8530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6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3!PivotTable4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3'!$B$3</c:f>
              <c:strCache>
                <c:ptCount val="1"/>
                <c:pt idx="0">
                  <c:v>Count of Lead_ID</c:v>
                </c:pt>
              </c:strCache>
            </c:strRef>
          </c:tx>
          <c:spPr>
            <a:solidFill>
              <a:schemeClr val="accent1"/>
            </a:solidFill>
            <a:ln>
              <a:noFill/>
            </a:ln>
            <a:effectLst/>
          </c:spPr>
          <c:invertIfNegative val="0"/>
          <c:cat>
            <c:strRef>
              <c:f>'pivot 3'!$A$4:$A$8</c:f>
              <c:strCache>
                <c:ptCount val="4"/>
                <c:pt idx="0">
                  <c:v>Amit Talola</c:v>
                </c:pt>
                <c:pt idx="1">
                  <c:v>Aniket Kolhe</c:v>
                </c:pt>
                <c:pt idx="2">
                  <c:v>Ankeeta Londhe</c:v>
                </c:pt>
                <c:pt idx="3">
                  <c:v>Sneha Abak</c:v>
                </c:pt>
              </c:strCache>
            </c:strRef>
          </c:cat>
          <c:val>
            <c:numRef>
              <c:f>'pivot 3'!$B$4:$B$8</c:f>
              <c:numCache>
                <c:formatCode>General</c:formatCode>
                <c:ptCount val="4"/>
                <c:pt idx="0">
                  <c:v>261</c:v>
                </c:pt>
                <c:pt idx="1">
                  <c:v>137</c:v>
                </c:pt>
                <c:pt idx="2">
                  <c:v>299</c:v>
                </c:pt>
                <c:pt idx="3">
                  <c:v>96</c:v>
                </c:pt>
              </c:numCache>
            </c:numRef>
          </c:val>
          <c:extLst>
            <c:ext xmlns:c16="http://schemas.microsoft.com/office/drawing/2014/chart" uri="{C3380CC4-5D6E-409C-BE32-E72D297353CC}">
              <c16:uniqueId val="{00000000-E98F-4408-BCCE-2CE6D57627BA}"/>
            </c:ext>
          </c:extLst>
        </c:ser>
        <c:ser>
          <c:idx val="1"/>
          <c:order val="1"/>
          <c:tx>
            <c:strRef>
              <c:f>'pivot 3'!$C$3</c:f>
              <c:strCache>
                <c:ptCount val="1"/>
                <c:pt idx="0">
                  <c:v>Average of Response_Time_Hours</c:v>
                </c:pt>
              </c:strCache>
            </c:strRef>
          </c:tx>
          <c:spPr>
            <a:solidFill>
              <a:schemeClr val="accent2"/>
            </a:solidFill>
            <a:ln>
              <a:noFill/>
            </a:ln>
            <a:effectLst/>
          </c:spPr>
          <c:invertIfNegative val="0"/>
          <c:cat>
            <c:strRef>
              <c:f>'pivot 3'!$A$4:$A$8</c:f>
              <c:strCache>
                <c:ptCount val="4"/>
                <c:pt idx="0">
                  <c:v>Amit Talola</c:v>
                </c:pt>
                <c:pt idx="1">
                  <c:v>Aniket Kolhe</c:v>
                </c:pt>
                <c:pt idx="2">
                  <c:v>Ankeeta Londhe</c:v>
                </c:pt>
                <c:pt idx="3">
                  <c:v>Sneha Abak</c:v>
                </c:pt>
              </c:strCache>
            </c:strRef>
          </c:cat>
          <c:val>
            <c:numRef>
              <c:f>'pivot 3'!$C$4:$C$8</c:f>
              <c:numCache>
                <c:formatCode>0.0</c:formatCode>
                <c:ptCount val="4"/>
                <c:pt idx="0">
                  <c:v>25.446124031007759</c:v>
                </c:pt>
                <c:pt idx="1">
                  <c:v>23.705185185185183</c:v>
                </c:pt>
                <c:pt idx="2">
                  <c:v>25.263758389261746</c:v>
                </c:pt>
                <c:pt idx="3">
                  <c:v>25.080851063829801</c:v>
                </c:pt>
              </c:numCache>
            </c:numRef>
          </c:val>
          <c:extLst>
            <c:ext xmlns:c16="http://schemas.microsoft.com/office/drawing/2014/chart" uri="{C3380CC4-5D6E-409C-BE32-E72D297353CC}">
              <c16:uniqueId val="{00000001-E98F-4408-BCCE-2CE6D57627BA}"/>
            </c:ext>
          </c:extLst>
        </c:ser>
        <c:dLbls>
          <c:showLegendKey val="0"/>
          <c:showVal val="0"/>
          <c:showCatName val="0"/>
          <c:showSerName val="0"/>
          <c:showPercent val="0"/>
          <c:showBubbleSize val="0"/>
        </c:dLbls>
        <c:gapWidth val="219"/>
        <c:overlap val="-27"/>
        <c:axId val="400798368"/>
        <c:axId val="337255984"/>
      </c:barChart>
      <c:catAx>
        <c:axId val="4007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55984"/>
        <c:crosses val="autoZero"/>
        <c:auto val="1"/>
        <c:lblAlgn val="ctr"/>
        <c:lblOffset val="100"/>
        <c:noMultiLvlLbl val="0"/>
      </c:catAx>
      <c:valAx>
        <c:axId val="33725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4!PivotTable3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4'!$B$3</c:f>
              <c:strCache>
                <c:ptCount val="1"/>
                <c:pt idx="0">
                  <c:v>Count of Lead_ID</c:v>
                </c:pt>
              </c:strCache>
            </c:strRef>
          </c:tx>
          <c:spPr>
            <a:solidFill>
              <a:schemeClr val="accent1"/>
            </a:solidFill>
            <a:ln>
              <a:noFill/>
            </a:ln>
            <a:effectLst/>
          </c:spPr>
          <c:invertIfNegative val="0"/>
          <c:cat>
            <c:strRef>
              <c:f>'pivot 4'!$A$4:$A$9</c:f>
              <c:strCache>
                <c:ptCount val="5"/>
                <c:pt idx="0">
                  <c:v>Ahmednagar</c:v>
                </c:pt>
                <c:pt idx="1">
                  <c:v>Latur</c:v>
                </c:pt>
                <c:pt idx="2">
                  <c:v>Mumbai</c:v>
                </c:pt>
                <c:pt idx="3">
                  <c:v>Pune</c:v>
                </c:pt>
                <c:pt idx="4">
                  <c:v>Sangli</c:v>
                </c:pt>
              </c:strCache>
            </c:strRef>
          </c:cat>
          <c:val>
            <c:numRef>
              <c:f>'pivot 4'!$B$4:$B$9</c:f>
              <c:numCache>
                <c:formatCode>General</c:formatCode>
                <c:ptCount val="5"/>
                <c:pt idx="0">
                  <c:v>128</c:v>
                </c:pt>
                <c:pt idx="1">
                  <c:v>101</c:v>
                </c:pt>
                <c:pt idx="2">
                  <c:v>221</c:v>
                </c:pt>
                <c:pt idx="3">
                  <c:v>287</c:v>
                </c:pt>
                <c:pt idx="4">
                  <c:v>56</c:v>
                </c:pt>
              </c:numCache>
            </c:numRef>
          </c:val>
          <c:extLst>
            <c:ext xmlns:c16="http://schemas.microsoft.com/office/drawing/2014/chart" uri="{C3380CC4-5D6E-409C-BE32-E72D297353CC}">
              <c16:uniqueId val="{00000000-DF34-4CB8-84BF-FCFDFB9EBD11}"/>
            </c:ext>
          </c:extLst>
        </c:ser>
        <c:ser>
          <c:idx val="1"/>
          <c:order val="1"/>
          <c:tx>
            <c:strRef>
              <c:f>'pivot 4'!$C$3</c:f>
              <c:strCache>
                <c:ptCount val="1"/>
                <c:pt idx="0">
                  <c:v>Sum of Final_Deal_Value</c:v>
                </c:pt>
              </c:strCache>
            </c:strRef>
          </c:tx>
          <c:spPr>
            <a:solidFill>
              <a:schemeClr val="accent2"/>
            </a:solidFill>
            <a:ln>
              <a:noFill/>
            </a:ln>
            <a:effectLst/>
          </c:spPr>
          <c:invertIfNegative val="0"/>
          <c:cat>
            <c:strRef>
              <c:f>'pivot 4'!$A$4:$A$9</c:f>
              <c:strCache>
                <c:ptCount val="5"/>
                <c:pt idx="0">
                  <c:v>Ahmednagar</c:v>
                </c:pt>
                <c:pt idx="1">
                  <c:v>Latur</c:v>
                </c:pt>
                <c:pt idx="2">
                  <c:v>Mumbai</c:v>
                </c:pt>
                <c:pt idx="3">
                  <c:v>Pune</c:v>
                </c:pt>
                <c:pt idx="4">
                  <c:v>Sangli</c:v>
                </c:pt>
              </c:strCache>
            </c:strRef>
          </c:cat>
          <c:val>
            <c:numRef>
              <c:f>'pivot 4'!$C$4:$C$9</c:f>
              <c:numCache>
                <c:formatCode>General</c:formatCode>
                <c:ptCount val="5"/>
                <c:pt idx="0">
                  <c:v>17090006</c:v>
                </c:pt>
                <c:pt idx="1">
                  <c:v>11043984</c:v>
                </c:pt>
                <c:pt idx="2">
                  <c:v>25471942</c:v>
                </c:pt>
                <c:pt idx="3">
                  <c:v>37976010</c:v>
                </c:pt>
                <c:pt idx="4">
                  <c:v>8191610</c:v>
                </c:pt>
              </c:numCache>
            </c:numRef>
          </c:val>
          <c:extLst>
            <c:ext xmlns:c16="http://schemas.microsoft.com/office/drawing/2014/chart" uri="{C3380CC4-5D6E-409C-BE32-E72D297353CC}">
              <c16:uniqueId val="{00000001-DF34-4CB8-84BF-FCFDFB9EBD11}"/>
            </c:ext>
          </c:extLst>
        </c:ser>
        <c:dLbls>
          <c:showLegendKey val="0"/>
          <c:showVal val="0"/>
          <c:showCatName val="0"/>
          <c:showSerName val="0"/>
          <c:showPercent val="0"/>
          <c:showBubbleSize val="0"/>
        </c:dLbls>
        <c:gapWidth val="219"/>
        <c:overlap val="-27"/>
        <c:axId val="337396208"/>
        <c:axId val="337249328"/>
      </c:barChart>
      <c:catAx>
        <c:axId val="3373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49328"/>
        <c:crosses val="autoZero"/>
        <c:auto val="1"/>
        <c:lblAlgn val="ctr"/>
        <c:lblOffset val="100"/>
        <c:noMultiLvlLbl val="0"/>
      </c:catAx>
      <c:valAx>
        <c:axId val="3372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5!PivotTable5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5'!$B$3</c:f>
              <c:strCache>
                <c:ptCount val="1"/>
                <c:pt idx="0">
                  <c:v>Sum of Final_Deal_Value</c:v>
                </c:pt>
              </c:strCache>
            </c:strRef>
          </c:tx>
          <c:spPr>
            <a:solidFill>
              <a:schemeClr val="accent1"/>
            </a:solidFill>
            <a:ln>
              <a:noFill/>
            </a:ln>
            <a:effectLst/>
          </c:spPr>
          <c:invertIfNegative val="0"/>
          <c:cat>
            <c:strRef>
              <c:f>'pivot 5'!$A$4:$A$20</c:f>
              <c:strCache>
                <c:ptCount val="16"/>
                <c:pt idx="0">
                  <c:v>Designer Doors</c:v>
                </c:pt>
                <c:pt idx="1">
                  <c:v>Designer Doors + Veneer Work</c:v>
                </c:pt>
                <c:pt idx="2">
                  <c:v>Full Interior (All Works)</c:v>
                </c:pt>
                <c:pt idx="3">
                  <c:v>Full Interior (Kitchen + Wardrobe + Doors + Windows)</c:v>
                </c:pt>
                <c:pt idx="4">
                  <c:v>Laminate Work</c:v>
                </c:pt>
                <c:pt idx="5">
                  <c:v>Modular Kitchen</c:v>
                </c:pt>
                <c:pt idx="6">
                  <c:v>Modular Kitchen + Laminate Work</c:v>
                </c:pt>
                <c:pt idx="7">
                  <c:v>Modular Kitchen + System Windows + Designer Doors</c:v>
                </c:pt>
                <c:pt idx="8">
                  <c:v>Modular Kitchen + Wardrobe</c:v>
                </c:pt>
                <c:pt idx="9">
                  <c:v>PU Finish Work</c:v>
                </c:pt>
                <c:pt idx="10">
                  <c:v>System Windows</c:v>
                </c:pt>
                <c:pt idx="11">
                  <c:v>System Windows + Laminate Work</c:v>
                </c:pt>
                <c:pt idx="12">
                  <c:v>Veneer Work</c:v>
                </c:pt>
                <c:pt idx="13">
                  <c:v>Wardrobe</c:v>
                </c:pt>
                <c:pt idx="14">
                  <c:v>Wardrobe + PU Finish</c:v>
                </c:pt>
                <c:pt idx="15">
                  <c:v>(blank)</c:v>
                </c:pt>
              </c:strCache>
            </c:strRef>
          </c:cat>
          <c:val>
            <c:numRef>
              <c:f>'pivot 5'!$B$4:$B$20</c:f>
              <c:numCache>
                <c:formatCode>General</c:formatCode>
                <c:ptCount val="16"/>
                <c:pt idx="0">
                  <c:v>9896787</c:v>
                </c:pt>
                <c:pt idx="1">
                  <c:v>13551386</c:v>
                </c:pt>
                <c:pt idx="2">
                  <c:v>16227100</c:v>
                </c:pt>
                <c:pt idx="3">
                  <c:v>35474210</c:v>
                </c:pt>
                <c:pt idx="4">
                  <c:v>9267550</c:v>
                </c:pt>
                <c:pt idx="5">
                  <c:v>47695831</c:v>
                </c:pt>
                <c:pt idx="6">
                  <c:v>26121162</c:v>
                </c:pt>
                <c:pt idx="7">
                  <c:v>43538125</c:v>
                </c:pt>
                <c:pt idx="8">
                  <c:v>70968595</c:v>
                </c:pt>
                <c:pt idx="9">
                  <c:v>12070460</c:v>
                </c:pt>
                <c:pt idx="10">
                  <c:v>7797757</c:v>
                </c:pt>
                <c:pt idx="11">
                  <c:v>6406747</c:v>
                </c:pt>
                <c:pt idx="12">
                  <c:v>6950663</c:v>
                </c:pt>
                <c:pt idx="13">
                  <c:v>23520667</c:v>
                </c:pt>
                <c:pt idx="14">
                  <c:v>11490232</c:v>
                </c:pt>
              </c:numCache>
            </c:numRef>
          </c:val>
          <c:extLst>
            <c:ext xmlns:c16="http://schemas.microsoft.com/office/drawing/2014/chart" uri="{C3380CC4-5D6E-409C-BE32-E72D297353CC}">
              <c16:uniqueId val="{00000000-8C05-4B53-9FA5-DA0286C3BB2D}"/>
            </c:ext>
          </c:extLst>
        </c:ser>
        <c:ser>
          <c:idx val="1"/>
          <c:order val="1"/>
          <c:tx>
            <c:strRef>
              <c:f>'pivot 5'!$C$3</c:f>
              <c:strCache>
                <c:ptCount val="1"/>
                <c:pt idx="0">
                  <c:v>Count of Lead_ID</c:v>
                </c:pt>
              </c:strCache>
            </c:strRef>
          </c:tx>
          <c:spPr>
            <a:solidFill>
              <a:schemeClr val="accent2"/>
            </a:solidFill>
            <a:ln>
              <a:noFill/>
            </a:ln>
            <a:effectLst/>
          </c:spPr>
          <c:invertIfNegative val="0"/>
          <c:cat>
            <c:strRef>
              <c:f>'pivot 5'!$A$4:$A$20</c:f>
              <c:strCache>
                <c:ptCount val="16"/>
                <c:pt idx="0">
                  <c:v>Designer Doors</c:v>
                </c:pt>
                <c:pt idx="1">
                  <c:v>Designer Doors + Veneer Work</c:v>
                </c:pt>
                <c:pt idx="2">
                  <c:v>Full Interior (All Works)</c:v>
                </c:pt>
                <c:pt idx="3">
                  <c:v>Full Interior (Kitchen + Wardrobe + Doors + Windows)</c:v>
                </c:pt>
                <c:pt idx="4">
                  <c:v>Laminate Work</c:v>
                </c:pt>
                <c:pt idx="5">
                  <c:v>Modular Kitchen</c:v>
                </c:pt>
                <c:pt idx="6">
                  <c:v>Modular Kitchen + Laminate Work</c:v>
                </c:pt>
                <c:pt idx="7">
                  <c:v>Modular Kitchen + System Windows + Designer Doors</c:v>
                </c:pt>
                <c:pt idx="8">
                  <c:v>Modular Kitchen + Wardrobe</c:v>
                </c:pt>
                <c:pt idx="9">
                  <c:v>PU Finish Work</c:v>
                </c:pt>
                <c:pt idx="10">
                  <c:v>System Windows</c:v>
                </c:pt>
                <c:pt idx="11">
                  <c:v>System Windows + Laminate Work</c:v>
                </c:pt>
                <c:pt idx="12">
                  <c:v>Veneer Work</c:v>
                </c:pt>
                <c:pt idx="13">
                  <c:v>Wardrobe</c:v>
                </c:pt>
                <c:pt idx="14">
                  <c:v>Wardrobe + PU Finish</c:v>
                </c:pt>
                <c:pt idx="15">
                  <c:v>(blank)</c:v>
                </c:pt>
              </c:strCache>
            </c:strRef>
          </c:cat>
          <c:val>
            <c:numRef>
              <c:f>'pivot 5'!$C$4:$C$20</c:f>
              <c:numCache>
                <c:formatCode>General</c:formatCode>
                <c:ptCount val="16"/>
                <c:pt idx="0">
                  <c:v>208</c:v>
                </c:pt>
                <c:pt idx="1">
                  <c:v>134</c:v>
                </c:pt>
                <c:pt idx="2">
                  <c:v>24</c:v>
                </c:pt>
                <c:pt idx="3">
                  <c:v>78</c:v>
                </c:pt>
                <c:pt idx="4">
                  <c:v>198</c:v>
                </c:pt>
                <c:pt idx="5">
                  <c:v>337</c:v>
                </c:pt>
                <c:pt idx="6">
                  <c:v>140</c:v>
                </c:pt>
                <c:pt idx="7">
                  <c:v>115</c:v>
                </c:pt>
                <c:pt idx="8">
                  <c:v>276</c:v>
                </c:pt>
                <c:pt idx="9">
                  <c:v>158</c:v>
                </c:pt>
                <c:pt idx="10">
                  <c:v>126</c:v>
                </c:pt>
                <c:pt idx="11">
                  <c:v>82</c:v>
                </c:pt>
                <c:pt idx="12">
                  <c:v>136</c:v>
                </c:pt>
                <c:pt idx="13">
                  <c:v>325</c:v>
                </c:pt>
                <c:pt idx="14">
                  <c:v>133</c:v>
                </c:pt>
              </c:numCache>
            </c:numRef>
          </c:val>
          <c:extLst>
            <c:ext xmlns:c16="http://schemas.microsoft.com/office/drawing/2014/chart" uri="{C3380CC4-5D6E-409C-BE32-E72D297353CC}">
              <c16:uniqueId val="{00000002-8C05-4B53-9FA5-DA0286C3BB2D}"/>
            </c:ext>
          </c:extLst>
        </c:ser>
        <c:dLbls>
          <c:showLegendKey val="0"/>
          <c:showVal val="0"/>
          <c:showCatName val="0"/>
          <c:showSerName val="0"/>
          <c:showPercent val="0"/>
          <c:showBubbleSize val="0"/>
        </c:dLbls>
        <c:gapWidth val="182"/>
        <c:axId val="334798400"/>
        <c:axId val="337261808"/>
      </c:barChart>
      <c:catAx>
        <c:axId val="33479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61808"/>
        <c:crosses val="autoZero"/>
        <c:auto val="1"/>
        <c:lblAlgn val="ctr"/>
        <c:lblOffset val="100"/>
        <c:noMultiLvlLbl val="0"/>
      </c:catAx>
      <c:valAx>
        <c:axId val="33726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9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[Trenzy_FINAL_DONE.xlsx]Pivot 6!PivotTable6</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0331159775247926"/>
          <c:y val="0"/>
          <c:w val="0.53555597910586328"/>
          <c:h val="0.90255631000206815"/>
        </c:manualLayout>
      </c:layout>
      <c:doughnutChart>
        <c:varyColors val="1"/>
        <c:ser>
          <c:idx val="0"/>
          <c:order val="0"/>
          <c:tx>
            <c:strRef>
              <c:f>'Pivot 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FE-4DB0-B1B1-F56FEEF00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FE-4DB0-B1B1-F56FEEF00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FE-4DB0-B1B1-F56FEEF00F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FE-4DB0-B1B1-F56FEEF00F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FE-4DB0-B1B1-F56FEEF00F1F}"/>
              </c:ext>
            </c:extLst>
          </c:dPt>
          <c:cat>
            <c:strRef>
              <c:f>'Pivot 6'!$A$4:$A$9</c:f>
              <c:strCache>
                <c:ptCount val="5"/>
                <c:pt idx="0">
                  <c:v>Converted</c:v>
                </c:pt>
                <c:pt idx="1">
                  <c:v>Dropped</c:v>
                </c:pt>
                <c:pt idx="2">
                  <c:v>Follow-up Pending</c:v>
                </c:pt>
                <c:pt idx="3">
                  <c:v>In Progress</c:v>
                </c:pt>
                <c:pt idx="4">
                  <c:v>Lost</c:v>
                </c:pt>
              </c:strCache>
            </c:strRef>
          </c:cat>
          <c:val>
            <c:numRef>
              <c:f>'Pivot 6'!$B$4:$B$9</c:f>
              <c:numCache>
                <c:formatCode>General</c:formatCode>
                <c:ptCount val="5"/>
                <c:pt idx="0">
                  <c:v>213</c:v>
                </c:pt>
                <c:pt idx="1">
                  <c:v>47</c:v>
                </c:pt>
                <c:pt idx="2">
                  <c:v>117</c:v>
                </c:pt>
                <c:pt idx="3">
                  <c:v>159</c:v>
                </c:pt>
                <c:pt idx="4">
                  <c:v>257</c:v>
                </c:pt>
              </c:numCache>
            </c:numRef>
          </c:val>
          <c:extLst>
            <c:ext xmlns:c16="http://schemas.microsoft.com/office/drawing/2014/chart" uri="{C3380CC4-5D6E-409C-BE32-E72D297353CC}">
              <c16:uniqueId val="{00000000-5674-4D46-BA64-88B3619BA7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rawpixel.com/search/dark%20desktop%20black%20hd%20wallpaper%20background" TargetMode="Externa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17930</xdr:rowOff>
    </xdr:from>
    <xdr:to>
      <xdr:col>16</xdr:col>
      <xdr:colOff>89647</xdr:colOff>
      <xdr:row>27</xdr:row>
      <xdr:rowOff>85164</xdr:rowOff>
    </xdr:to>
    <xdr:pic>
      <xdr:nvPicPr>
        <xdr:cNvPr id="22" name="Picture 21">
          <a:extLst>
            <a:ext uri="{FF2B5EF4-FFF2-40B4-BE49-F238E27FC236}">
              <a16:creationId xmlns:a16="http://schemas.microsoft.com/office/drawing/2014/main" id="{85C76309-4F0E-4835-8945-F4DE0C8D40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672354"/>
          <a:ext cx="13366376" cy="4370292"/>
        </a:xfrm>
        <a:prstGeom prst="rect">
          <a:avLst/>
        </a:prstGeom>
      </xdr:spPr>
    </xdr:pic>
    <xdr:clientData/>
  </xdr:twoCellAnchor>
  <xdr:oneCellAnchor>
    <xdr:from>
      <xdr:col>5</xdr:col>
      <xdr:colOff>102681</xdr:colOff>
      <xdr:row>0</xdr:row>
      <xdr:rowOff>40359</xdr:rowOff>
    </xdr:from>
    <xdr:ext cx="1128001" cy="342786"/>
    <xdr:sp macro="" textlink="">
      <xdr:nvSpPr>
        <xdr:cNvPr id="5" name="Rectangle 4">
          <a:extLst>
            <a:ext uri="{FF2B5EF4-FFF2-40B4-BE49-F238E27FC236}">
              <a16:creationId xmlns:a16="http://schemas.microsoft.com/office/drawing/2014/main" id="{C7DCAC26-FA6D-40D7-B3B5-C16A22EF3057}"/>
            </a:ext>
          </a:extLst>
        </xdr:cNvPr>
        <xdr:cNvSpPr/>
      </xdr:nvSpPr>
      <xdr:spPr>
        <a:xfrm>
          <a:off x="2863810" y="40359"/>
          <a:ext cx="11280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Total Leads</a:t>
          </a:r>
        </a:p>
      </xdr:txBody>
    </xdr:sp>
    <xdr:clientData/>
  </xdr:oneCellAnchor>
  <xdr:oneCellAnchor>
    <xdr:from>
      <xdr:col>11</xdr:col>
      <xdr:colOff>234470</xdr:colOff>
      <xdr:row>0</xdr:row>
      <xdr:rowOff>57830</xdr:rowOff>
    </xdr:from>
    <xdr:ext cx="1274516" cy="342786"/>
    <xdr:sp macro="" textlink="">
      <xdr:nvSpPr>
        <xdr:cNvPr id="7" name="Rectangle 6">
          <a:extLst>
            <a:ext uri="{FF2B5EF4-FFF2-40B4-BE49-F238E27FC236}">
              <a16:creationId xmlns:a16="http://schemas.microsoft.com/office/drawing/2014/main" id="{1F01C5C2-2BA5-4C81-9E91-80CBD50CF06B}"/>
            </a:ext>
          </a:extLst>
        </xdr:cNvPr>
        <xdr:cNvSpPr/>
      </xdr:nvSpPr>
      <xdr:spPr>
        <a:xfrm>
          <a:off x="8266846" y="57830"/>
          <a:ext cx="1274516"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Conv. Rate %</a:t>
          </a:r>
        </a:p>
      </xdr:txBody>
    </xdr:sp>
    <xdr:clientData/>
  </xdr:oneCellAnchor>
  <xdr:oneCellAnchor>
    <xdr:from>
      <xdr:col>14</xdr:col>
      <xdr:colOff>165116</xdr:colOff>
      <xdr:row>0</xdr:row>
      <xdr:rowOff>46935</xdr:rowOff>
    </xdr:from>
    <xdr:ext cx="1379224" cy="342786"/>
    <xdr:sp macro="" textlink="">
      <xdr:nvSpPr>
        <xdr:cNvPr id="8" name="Rectangle 7">
          <a:extLst>
            <a:ext uri="{FF2B5EF4-FFF2-40B4-BE49-F238E27FC236}">
              <a16:creationId xmlns:a16="http://schemas.microsoft.com/office/drawing/2014/main" id="{D1C8970E-C8EE-42CA-92CD-A919D4F19FE0}"/>
            </a:ext>
          </a:extLst>
        </xdr:cNvPr>
        <xdr:cNvSpPr/>
      </xdr:nvSpPr>
      <xdr:spPr>
        <a:xfrm>
          <a:off x="11084128" y="46935"/>
          <a:ext cx="1379224"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Total Revenue</a:t>
          </a:r>
        </a:p>
      </xdr:txBody>
    </xdr:sp>
    <xdr:clientData/>
  </xdr:oneCellAnchor>
  <xdr:twoCellAnchor editAs="oneCell">
    <xdr:from>
      <xdr:col>0</xdr:col>
      <xdr:colOff>25425</xdr:colOff>
      <xdr:row>18</xdr:row>
      <xdr:rowOff>141515</xdr:rowOff>
    </xdr:from>
    <xdr:to>
      <xdr:col>3</xdr:col>
      <xdr:colOff>276209</xdr:colOff>
      <xdr:row>27</xdr:row>
      <xdr:rowOff>35859</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5D60AB7C-E552-4FF6-AFFC-2A211920685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5425" y="3485350"/>
              <a:ext cx="2079584" cy="1507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10162</xdr:colOff>
      <xdr:row>6</xdr:row>
      <xdr:rowOff>23914</xdr:rowOff>
    </xdr:from>
    <xdr:to>
      <xdr:col>3</xdr:col>
      <xdr:colOff>287680</xdr:colOff>
      <xdr:row>18</xdr:row>
      <xdr:rowOff>108857</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D925A98F-8928-443C-BEDC-649A028A4F3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162" y="1216220"/>
              <a:ext cx="2106318" cy="2236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312654</xdr:colOff>
      <xdr:row>5</xdr:row>
      <xdr:rowOff>62753</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1E90E649-106C-44DF-8305-A10076A293E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0"/>
              <a:ext cx="2141454" cy="1075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779930</xdr:colOff>
      <xdr:row>13</xdr:row>
      <xdr:rowOff>107577</xdr:rowOff>
    </xdr:from>
    <xdr:to>
      <xdr:col>16</xdr:col>
      <xdr:colOff>53788</xdr:colOff>
      <xdr:row>27</xdr:row>
      <xdr:rowOff>35859</xdr:rowOff>
    </xdr:to>
    <xdr:graphicFrame macro="">
      <xdr:nvGraphicFramePr>
        <xdr:cNvPr id="13" name="Chart 12">
          <a:extLst>
            <a:ext uri="{FF2B5EF4-FFF2-40B4-BE49-F238E27FC236}">
              <a16:creationId xmlns:a16="http://schemas.microsoft.com/office/drawing/2014/main" id="{4645BD73-A1FC-4487-A758-1FB9C8DFC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300828</xdr:colOff>
      <xdr:row>3</xdr:row>
      <xdr:rowOff>98611</xdr:rowOff>
    </xdr:from>
    <xdr:to>
      <xdr:col>12</xdr:col>
      <xdr:colOff>708212</xdr:colOff>
      <xdr:row>13</xdr:row>
      <xdr:rowOff>0</xdr:rowOff>
    </xdr:to>
    <xdr:graphicFrame macro="">
      <xdr:nvGraphicFramePr>
        <xdr:cNvPr id="16" name="Chart 15">
          <a:extLst>
            <a:ext uri="{FF2B5EF4-FFF2-40B4-BE49-F238E27FC236}">
              <a16:creationId xmlns:a16="http://schemas.microsoft.com/office/drawing/2014/main" id="{8023F0CA-27C7-4E41-9DD6-61AB76BCF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273253</xdr:colOff>
      <xdr:row>13</xdr:row>
      <xdr:rowOff>71716</xdr:rowOff>
    </xdr:from>
    <xdr:to>
      <xdr:col>8</xdr:col>
      <xdr:colOff>233082</xdr:colOff>
      <xdr:row>27</xdr:row>
      <xdr:rowOff>8964</xdr:rowOff>
    </xdr:to>
    <xdr:graphicFrame macro="">
      <xdr:nvGraphicFramePr>
        <xdr:cNvPr id="17" name="Chart 16">
          <a:extLst>
            <a:ext uri="{FF2B5EF4-FFF2-40B4-BE49-F238E27FC236}">
              <a16:creationId xmlns:a16="http://schemas.microsoft.com/office/drawing/2014/main" id="{060B0249-F331-4C9E-8E74-545E69938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358587</xdr:colOff>
      <xdr:row>13</xdr:row>
      <xdr:rowOff>71718</xdr:rowOff>
    </xdr:from>
    <xdr:to>
      <xdr:col>12</xdr:col>
      <xdr:colOff>699247</xdr:colOff>
      <xdr:row>27</xdr:row>
      <xdr:rowOff>44825</xdr:rowOff>
    </xdr:to>
    <xdr:graphicFrame macro="">
      <xdr:nvGraphicFramePr>
        <xdr:cNvPr id="18" name="Chart 17">
          <a:extLst>
            <a:ext uri="{FF2B5EF4-FFF2-40B4-BE49-F238E27FC236}">
              <a16:creationId xmlns:a16="http://schemas.microsoft.com/office/drawing/2014/main" id="{E72573BA-792D-4F36-8E30-76F13FEDC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797859</xdr:colOff>
      <xdr:row>3</xdr:row>
      <xdr:rowOff>98611</xdr:rowOff>
    </xdr:from>
    <xdr:to>
      <xdr:col>16</xdr:col>
      <xdr:colOff>44823</xdr:colOff>
      <xdr:row>13</xdr:row>
      <xdr:rowOff>28821</xdr:rowOff>
    </xdr:to>
    <xdr:graphicFrame macro="">
      <xdr:nvGraphicFramePr>
        <xdr:cNvPr id="19" name="Chart 18">
          <a:extLst>
            <a:ext uri="{FF2B5EF4-FFF2-40B4-BE49-F238E27FC236}">
              <a16:creationId xmlns:a16="http://schemas.microsoft.com/office/drawing/2014/main" id="{73DB13C0-739D-4718-8A30-F9E593CE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162111</xdr:colOff>
      <xdr:row>0</xdr:row>
      <xdr:rowOff>64639</xdr:rowOff>
    </xdr:from>
    <xdr:ext cx="1054969" cy="342786"/>
    <xdr:sp macro="" textlink="">
      <xdr:nvSpPr>
        <xdr:cNvPr id="6" name="Rectangle 5">
          <a:extLst>
            <a:ext uri="{FF2B5EF4-FFF2-40B4-BE49-F238E27FC236}">
              <a16:creationId xmlns:a16="http://schemas.microsoft.com/office/drawing/2014/main" id="{B62719DF-F4C3-4328-B287-9EAF2CBEE797}"/>
            </a:ext>
          </a:extLst>
        </xdr:cNvPr>
        <xdr:cNvSpPr/>
      </xdr:nvSpPr>
      <xdr:spPr>
        <a:xfrm>
          <a:off x="5505076" y="64639"/>
          <a:ext cx="1054969"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Converted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220981</xdr:colOff>
      <xdr:row>10</xdr:row>
      <xdr:rowOff>31909</xdr:rowOff>
    </xdr:from>
    <xdr:to>
      <xdr:col>12</xdr:col>
      <xdr:colOff>518161</xdr:colOff>
      <xdr:row>25</xdr:row>
      <xdr:rowOff>31909</xdr:rowOff>
    </xdr:to>
    <xdr:graphicFrame macro="">
      <xdr:nvGraphicFramePr>
        <xdr:cNvPr id="2" name="Chart 1">
          <a:extLst>
            <a:ext uri="{FF2B5EF4-FFF2-40B4-BE49-F238E27FC236}">
              <a16:creationId xmlns:a16="http://schemas.microsoft.com/office/drawing/2014/main" id="{9C137BB1-9079-4A9F-9EE3-49440137B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160020</xdr:colOff>
      <xdr:row>11</xdr:row>
      <xdr:rowOff>30480</xdr:rowOff>
    </xdr:from>
    <xdr:to>
      <xdr:col>6</xdr:col>
      <xdr:colOff>220980</xdr:colOff>
      <xdr:row>26</xdr:row>
      <xdr:rowOff>30480</xdr:rowOff>
    </xdr:to>
    <xdr:graphicFrame macro="">
      <xdr:nvGraphicFramePr>
        <xdr:cNvPr id="2" name="Chart 1">
          <a:extLst>
            <a:ext uri="{FF2B5EF4-FFF2-40B4-BE49-F238E27FC236}">
              <a16:creationId xmlns:a16="http://schemas.microsoft.com/office/drawing/2014/main" id="{6D6DAFD6-A6E8-45B0-B9D9-2E13F68B3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1036320</xdr:colOff>
      <xdr:row>11</xdr:row>
      <xdr:rowOff>160020</xdr:rowOff>
    </xdr:from>
    <xdr:to>
      <xdr:col>5</xdr:col>
      <xdr:colOff>106680</xdr:colOff>
      <xdr:row>26</xdr:row>
      <xdr:rowOff>160020</xdr:rowOff>
    </xdr:to>
    <xdr:graphicFrame macro="">
      <xdr:nvGraphicFramePr>
        <xdr:cNvPr id="2" name="Chart 1">
          <a:extLst>
            <a:ext uri="{FF2B5EF4-FFF2-40B4-BE49-F238E27FC236}">
              <a16:creationId xmlns:a16="http://schemas.microsoft.com/office/drawing/2014/main" id="{680B30FB-49B3-4B0D-9F8A-6CF069408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106680</xdr:colOff>
      <xdr:row>13</xdr:row>
      <xdr:rowOff>53340</xdr:rowOff>
    </xdr:from>
    <xdr:to>
      <xdr:col>6</xdr:col>
      <xdr:colOff>259080</xdr:colOff>
      <xdr:row>28</xdr:row>
      <xdr:rowOff>53340</xdr:rowOff>
    </xdr:to>
    <xdr:graphicFrame macro="">
      <xdr:nvGraphicFramePr>
        <xdr:cNvPr id="2" name="Chart 1">
          <a:extLst>
            <a:ext uri="{FF2B5EF4-FFF2-40B4-BE49-F238E27FC236}">
              <a16:creationId xmlns:a16="http://schemas.microsoft.com/office/drawing/2014/main" id="{18744E0A-B2FA-4CFD-AC81-F2010B70F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1158240</xdr:colOff>
      <xdr:row>19</xdr:row>
      <xdr:rowOff>175260</xdr:rowOff>
    </xdr:from>
    <xdr:to>
      <xdr:col>3</xdr:col>
      <xdr:colOff>45720</xdr:colOff>
      <xdr:row>34</xdr:row>
      <xdr:rowOff>175260</xdr:rowOff>
    </xdr:to>
    <xdr:graphicFrame macro="">
      <xdr:nvGraphicFramePr>
        <xdr:cNvPr id="2" name="Chart 1">
          <a:extLst>
            <a:ext uri="{FF2B5EF4-FFF2-40B4-BE49-F238E27FC236}">
              <a16:creationId xmlns:a16="http://schemas.microsoft.com/office/drawing/2014/main" id="{4868C83C-9BA4-41D3-B08F-1697A3F0C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427808</xdr:colOff>
      <xdr:row>1</xdr:row>
      <xdr:rowOff>21771</xdr:rowOff>
    </xdr:from>
    <xdr:to>
      <xdr:col>5</xdr:col>
      <xdr:colOff>34834</xdr:colOff>
      <xdr:row>16</xdr:row>
      <xdr:rowOff>113211</xdr:rowOff>
    </xdr:to>
    <xdr:graphicFrame macro="">
      <xdr:nvGraphicFramePr>
        <xdr:cNvPr id="2" name="Chart 1">
          <a:extLst>
            <a:ext uri="{FF2B5EF4-FFF2-40B4-BE49-F238E27FC236}">
              <a16:creationId xmlns:a16="http://schemas.microsoft.com/office/drawing/2014/main" id="{05B2F194-93CE-4F9E-A3AD-C4402CA8C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0</xdr:row>
      <xdr:rowOff>91440</xdr:rowOff>
    </xdr:from>
    <xdr:to>
      <xdr:col>19</xdr:col>
      <xdr:colOff>601980</xdr:colOff>
      <xdr:row>13</xdr:row>
      <xdr:rowOff>180975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A40076AF-4A49-47CA-A9DB-5C2145078CE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453066" y="91440"/>
              <a:ext cx="1828800"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411480</xdr:colOff>
      <xdr:row>0</xdr:row>
      <xdr:rowOff>91440</xdr:rowOff>
    </xdr:from>
    <xdr:to>
      <xdr:col>12</xdr:col>
      <xdr:colOff>472439</xdr:colOff>
      <xdr:row>13</xdr:row>
      <xdr:rowOff>180975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9A0F7C11-4F90-4827-86B4-C5E7505702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049794" y="91440"/>
              <a:ext cx="1835331"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0</xdr:row>
      <xdr:rowOff>60960</xdr:rowOff>
    </xdr:from>
    <xdr:to>
      <xdr:col>16</xdr:col>
      <xdr:colOff>571500</xdr:colOff>
      <xdr:row>13</xdr:row>
      <xdr:rowOff>150495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883D0CA7-0F21-4C8B-9CF5-2E2A7B1AC0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593786" y="60960"/>
              <a:ext cx="1828800"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5.724497453702" createdVersion="6" refreshedVersion="6" minRefreshableVersion="3" recordCount="2472" xr:uid="{212DDC77-A81B-434D-B848-0244FADF7064}">
  <cacheSource type="worksheet">
    <worksheetSource ref="A1:V1048576" sheet="Trenzy Sales Data"/>
  </cacheSource>
  <cacheFields count="22">
    <cacheField name="Lead_ID" numFmtId="0">
      <sharedItems containsBlank="1"/>
    </cacheField>
    <cacheField name="Customer_Name" numFmtId="0">
      <sharedItems containsBlank="1"/>
    </cacheField>
    <cacheField name="Phone" numFmtId="0">
      <sharedItems containsString="0" containsBlank="1" containsNumber="1" containsInteger="1" minValue="9100010183" maxValue="9999269991"/>
    </cacheField>
    <cacheField name="City" numFmtId="0">
      <sharedItems containsBlank="1" count="10">
        <s v="Pune"/>
        <s v="Sangli"/>
        <s v="Mumbai"/>
        <s v="Latur"/>
        <s v="Ahmednagar"/>
        <m/>
        <s v="Mumbay" u="1"/>
        <s v="Poona" u="1"/>
        <s v="Pume" u="1"/>
        <s v="Mumabi" u="1"/>
      </sharedItems>
    </cacheField>
    <cacheField name="Lead_Source" numFmtId="0">
      <sharedItems containsBlank="1" count="10">
        <s v="Word of Mouth"/>
        <s v="Justdial Enquiry"/>
        <s v="Referral"/>
        <s v="MagicBricks Enquiry"/>
        <s v="99acres Enquiry"/>
        <s v="Walk-in"/>
        <s v="Facebook Ads"/>
        <s v="Website"/>
        <s v="Instagram"/>
        <m/>
      </sharedItems>
    </cacheField>
    <cacheField name="Campaign_Name" numFmtId="0">
      <sharedItems containsBlank="1"/>
    </cacheField>
    <cacheField name="Work_Type" numFmtId="0">
      <sharedItems containsBlank="1" count="16">
        <s v="Modular Kitchen"/>
        <s v="Veneer Work"/>
        <s v="Wardrobe"/>
        <s v="Laminate Work"/>
        <s v="PU Finish Work"/>
        <s v="Designer Doors"/>
        <s v="System Windows"/>
        <s v="Modular Kitchen + Wardrobe"/>
        <s v="Modular Kitchen + Laminate Work"/>
        <s v="Designer Doors + Veneer Work"/>
        <s v="Wardrobe + PU Finish"/>
        <s v="System Windows + Laminate Work"/>
        <s v="Modular Kitchen + System Windows + Designer Doors"/>
        <s v="Full Interior (Kitchen + Wardrobe + Doors + Windows)"/>
        <s v="Full Interior (All Works)"/>
        <m/>
      </sharedItems>
    </cacheField>
    <cacheField name="Lead_Date" numFmtId="0">
      <sharedItems containsBlank="1"/>
    </cacheField>
    <cacheField name="Month" numFmtId="0">
      <sharedItems containsBlank="1" count="13">
        <s v="Jan"/>
        <s v="Feb"/>
        <s v="Mar"/>
        <s v="Apr"/>
        <s v="May"/>
        <s v="Jun"/>
        <s v="Jul"/>
        <s v="Aug"/>
        <s v="Sep"/>
        <s v="Oct"/>
        <s v="Nov"/>
        <s v="Dec"/>
        <m/>
      </sharedItems>
    </cacheField>
    <cacheField name="Month_NO" numFmtId="0">
      <sharedItems containsString="0" containsBlank="1" containsNumber="1" containsInteger="1" minValue="1" maxValue="12" count="13">
        <n v="1"/>
        <n v="2"/>
        <n v="3"/>
        <n v="4"/>
        <n v="5"/>
        <n v="6"/>
        <n v="7"/>
        <n v="8"/>
        <n v="9"/>
        <n v="10"/>
        <n v="11"/>
        <n v="12"/>
        <m/>
      </sharedItems>
    </cacheField>
    <cacheField name="Year" numFmtId="0">
      <sharedItems containsString="0" containsBlank="1" containsNumber="1" containsInteger="1" minValue="2022" maxValue="2026" count="6">
        <n v="2022"/>
        <n v="2023"/>
        <n v="2024"/>
        <n v="2025"/>
        <n v="2026"/>
        <m/>
      </sharedItems>
    </cacheField>
    <cacheField name="Quarter" numFmtId="0">
      <sharedItems containsString="0" containsBlank="1" containsNumber="1" containsInteger="1" minValue="1" maxValue="4"/>
    </cacheField>
    <cacheField name="Followup_Count" numFmtId="0">
      <sharedItems containsString="0" containsBlank="1" containsNumber="1" containsInteger="1" minValue="0" maxValue="12"/>
    </cacheField>
    <cacheField name="Last_Contact_Date" numFmtId="0">
      <sharedItems containsBlank="1"/>
    </cacheField>
    <cacheField name="Lead_Status" numFmtId="0">
      <sharedItems containsBlank="1" count="6">
        <s v="Lost"/>
        <s v="In Progress"/>
        <s v="Dropped"/>
        <s v="Follow-up Pending"/>
        <s v="Converted"/>
        <m/>
      </sharedItems>
    </cacheField>
    <cacheField name="Estimated_Budget" numFmtId="0">
      <sharedItems containsString="0" containsBlank="1" containsNumber="1" containsInteger="1" minValue="50000" maxValue="2568192"/>
    </cacheField>
    <cacheField name="Final_Deal_Value" numFmtId="0">
      <sharedItems containsString="0" containsBlank="1" containsNumber="1" containsInteger="1" minValue="46141" maxValue="2386112"/>
    </cacheField>
    <cacheField name="Conversion_Date" numFmtId="0">
      <sharedItems containsBlank="1"/>
    </cacheField>
    <cacheField name="Sales_Executive" numFmtId="0">
      <sharedItems containsBlank="1" count="6">
        <s v="Amit Talola"/>
        <s v="Ankeeta Londhe"/>
        <s v="Aniket Kolhe"/>
        <s v="Sneha Abak"/>
        <s v="Nachiket Lokhande"/>
        <m/>
      </sharedItems>
    </cacheField>
    <cacheField name="Response_Time_Hours" numFmtId="0">
      <sharedItems containsString="0" containsBlank="1" containsNumber="1" minValue="0.5" maxValue="94.7"/>
    </cacheField>
    <cacheField name="Lead_Rating" numFmtId="0">
      <sharedItems containsBlank="1"/>
    </cacheField>
    <cacheField name="Remarks" numFmtId="0">
      <sharedItems containsBlank="1"/>
    </cacheField>
  </cacheFields>
  <extLst>
    <ext xmlns:x14="http://schemas.microsoft.com/office/spreadsheetml/2009/9/main" uri="{725AE2AE-9491-48be-B2B4-4EB974FC3084}">
      <x14:pivotCacheDefinition pivotCacheId="537243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2">
  <r>
    <s v="LD0001"/>
    <s v="Nilesh Gaikwad"/>
    <n v="9146654552"/>
    <x v="0"/>
    <x v="0"/>
    <s v="Colony Reference"/>
    <x v="0"/>
    <s v="2022-01-11"/>
    <x v="0"/>
    <x v="0"/>
    <x v="0"/>
    <n v="1"/>
    <n v="2"/>
    <s v="2022-01-29"/>
    <x v="0"/>
    <n v="597628"/>
    <m/>
    <m/>
    <x v="0"/>
    <n v="15.2"/>
    <s v="Cold"/>
    <s v="Lost to branded competitor"/>
  </r>
  <r>
    <s v="LD0002"/>
    <s v="Ritu Gaikwad"/>
    <n v="9642621108"/>
    <x v="0"/>
    <x v="1"/>
    <s v="Justdial Premium Listing — Inbound"/>
    <x v="1"/>
    <s v="2022-01-14"/>
    <x v="0"/>
    <x v="0"/>
    <x v="0"/>
    <n v="1"/>
    <n v="0"/>
    <s v="2022-01-19"/>
    <x v="0"/>
    <n v="114180"/>
    <m/>
    <m/>
    <x v="0"/>
    <n v="55.1"/>
    <s v="Cold"/>
    <s v="Customer did not proceed with project"/>
  </r>
  <r>
    <s v="LD0003"/>
    <s v="Ravi Nimbalkar"/>
    <n v="9676567501"/>
    <x v="0"/>
    <x v="2"/>
    <s v="Neighbour Referral"/>
    <x v="0"/>
    <s v="2022-01-15"/>
    <x v="0"/>
    <x v="0"/>
    <x v="0"/>
    <n v="1"/>
    <n v="5"/>
    <s v="2022-02-21"/>
    <x v="1"/>
    <n v="637808"/>
    <m/>
    <m/>
    <x v="1"/>
    <n v="28.6"/>
    <s v="Warm"/>
    <s v="Under construction, possession in 3 months"/>
  </r>
  <r>
    <s v="LD0004"/>
    <s v="Divya Patil"/>
    <n v="9731832764"/>
    <x v="1"/>
    <x v="2"/>
    <s v="Neighbour Referral"/>
    <x v="2"/>
    <s v="2022-01-17"/>
    <x v="0"/>
    <x v="0"/>
    <x v="0"/>
    <n v="1"/>
    <n v="2"/>
    <s v="2022-01-22"/>
    <x v="2"/>
    <n v="238821"/>
    <m/>
    <m/>
    <x v="0"/>
    <n v="16.899999999999999"/>
    <s v="Cold"/>
    <s v="No call back after site visit"/>
  </r>
  <r>
    <s v="LD0005"/>
    <s v="Deepak Raut"/>
    <n v="9528853029"/>
    <x v="2"/>
    <x v="2"/>
    <s v="Neighbour Referral"/>
    <x v="3"/>
    <s v="2022-01-17"/>
    <x v="0"/>
    <x v="0"/>
    <x v="0"/>
    <n v="1"/>
    <n v="5"/>
    <s v="2022-02-18"/>
    <x v="3"/>
    <n v="79361"/>
    <m/>
    <m/>
    <x v="0"/>
    <n v="73"/>
    <s v="Hot"/>
    <s v="Customer comparing 1-2 vendors only"/>
  </r>
  <r>
    <s v="LD0006"/>
    <s v="Jyoti Jadhav"/>
    <n v="9554814084"/>
    <x v="0"/>
    <x v="3"/>
    <s v="MagicBricks Property Enquiry — Inbound"/>
    <x v="4"/>
    <s v="2022-01-18"/>
    <x v="0"/>
    <x v="0"/>
    <x v="0"/>
    <n v="1"/>
    <n v="3"/>
    <s v="2022-02-02"/>
    <x v="0"/>
    <n v="183361"/>
    <m/>
    <m/>
    <x v="1"/>
    <n v="48.5"/>
    <s v="Cold"/>
    <m/>
  </r>
  <r>
    <s v="LD0007"/>
    <s v="Sunita Bhosale"/>
    <n v="9100614068"/>
    <x v="1"/>
    <x v="4"/>
    <s v="99acres New Project Enquiry — Inbound"/>
    <x v="1"/>
    <s v="2022-01-19"/>
    <x v="0"/>
    <x v="0"/>
    <x v="0"/>
    <n v="1"/>
    <n v="1"/>
    <s v="2022-01-31"/>
    <x v="1"/>
    <n v="193039"/>
    <m/>
    <m/>
    <x v="0"/>
    <n v="60.8"/>
    <s v="Warm"/>
    <s v="Follow up after Dussehra"/>
  </r>
  <r>
    <s v="LD0008"/>
    <s v="Manisha Zende"/>
    <n v="9690347116"/>
    <x v="0"/>
    <x v="3"/>
    <s v="MagicBricks Enquiry — Inbound"/>
    <x v="0"/>
    <s v="2022-01-20"/>
    <x v="0"/>
    <x v="0"/>
    <x v="0"/>
    <n v="1"/>
    <n v="1"/>
    <s v="2022-01-28"/>
    <x v="3"/>
    <n v="614904"/>
    <m/>
    <m/>
    <x v="1"/>
    <n v="94"/>
    <s v="Cold"/>
    <s v="Just enquiring, no serious intent"/>
  </r>
  <r>
    <s v="LD0009"/>
    <s v="Manoj Joshi"/>
    <n v="9491735568"/>
    <x v="2"/>
    <x v="2"/>
    <s v="Contractor Referral"/>
    <x v="5"/>
    <s v="2022-01-20"/>
    <x v="0"/>
    <x v="0"/>
    <x v="0"/>
    <n v="1"/>
    <n v="3"/>
    <s v="2022-02-04"/>
    <x v="1"/>
    <n v="210176"/>
    <m/>
    <m/>
    <x v="1"/>
    <n v="94.7"/>
    <s v="Warm"/>
    <s v="Site visit to be scheduled"/>
  </r>
  <r>
    <s v="LD0010"/>
    <s v="Nanda Kale"/>
    <n v="9680451872"/>
    <x v="0"/>
    <x v="2"/>
    <s v="Client Referral"/>
    <x v="2"/>
    <s v="2022-01-24"/>
    <x v="0"/>
    <x v="0"/>
    <x v="0"/>
    <n v="1"/>
    <n v="3"/>
    <s v="2022-02-17"/>
    <x v="0"/>
    <n v="280706"/>
    <m/>
    <m/>
    <x v="0"/>
    <n v="31.1"/>
    <s v="Cold"/>
    <m/>
  </r>
  <r>
    <s v="LD0011"/>
    <s v="Sunanda Jadhav"/>
    <n v="9721890096"/>
    <x v="2"/>
    <x v="1"/>
    <s v="Justdial Premium Listing — Inbound"/>
    <x v="0"/>
    <s v="2022-01-24"/>
    <x v="0"/>
    <x v="0"/>
    <x v="0"/>
    <n v="1"/>
    <n v="5"/>
    <s v="2022-02-22"/>
    <x v="4"/>
    <n v="504003"/>
    <n v="469451"/>
    <s v="2022-02-28"/>
    <x v="1"/>
    <n v="31.7"/>
    <s v="Hot"/>
    <s v="Customer referred 2 more leads after delivery"/>
  </r>
  <r>
    <s v="LD0012"/>
    <s v="Vikas Naik"/>
    <n v="9964411347"/>
    <x v="1"/>
    <x v="1"/>
    <s v="Justdial Sponsored — Inbound"/>
    <x v="5"/>
    <s v="2022-01-31"/>
    <x v="0"/>
    <x v="0"/>
    <x v="0"/>
    <n v="1"/>
    <n v="2"/>
    <s v="2022-02-07"/>
    <x v="0"/>
    <n v="224426"/>
    <m/>
    <m/>
    <x v="0"/>
    <n v="67.900000000000006"/>
    <s v="Cold"/>
    <s v="No response, marked as lost after 60 days"/>
  </r>
  <r>
    <s v="LD0013"/>
    <s v="Ganesh Sonawane"/>
    <n v="9216070149"/>
    <x v="3"/>
    <x v="5"/>
    <s v="Showroom Walk-in"/>
    <x v="0"/>
    <s v="2022-02-01"/>
    <x v="1"/>
    <x v="1"/>
    <x v="0"/>
    <n v="1"/>
    <n v="4"/>
    <s v="2022-03-02"/>
    <x v="4"/>
    <n v="520798"/>
    <n v="494690"/>
    <s v="2022-03-07"/>
    <x v="1"/>
    <n v="29.1"/>
    <s v="Hot"/>
    <s v="Full payment cleared, delivery done"/>
  </r>
  <r>
    <s v="LD0014"/>
    <s v="Vikas Shinde"/>
    <n v="9958043599"/>
    <x v="2"/>
    <x v="3"/>
    <s v="MagicBricks Property Enquiry — Inbound"/>
    <x v="2"/>
    <s v="2022-02-02"/>
    <x v="1"/>
    <x v="1"/>
    <x v="0"/>
    <n v="1"/>
    <n v="0"/>
    <s v="2022-02-14"/>
    <x v="0"/>
    <n v="238498"/>
    <m/>
    <m/>
    <x v="1"/>
    <n v="73.7"/>
    <s v="Cold"/>
    <s v="Lost to competitor - cheaper quote"/>
  </r>
  <r>
    <s v="LD0015"/>
    <s v="Sunita Pawar"/>
    <n v="9274484941"/>
    <x v="4"/>
    <x v="4"/>
    <s v="99acres New Project Enquiry — Inbound"/>
    <x v="0"/>
    <s v="2022-02-05"/>
    <x v="1"/>
    <x v="1"/>
    <x v="0"/>
    <n v="1"/>
    <n v="4"/>
    <s v="2022-03-12"/>
    <x v="0"/>
    <n v="453387"/>
    <m/>
    <m/>
    <x v="0"/>
    <n v="15.3"/>
    <s v="Cold"/>
    <s v="Budget mismatch - too low"/>
  </r>
  <r>
    <s v="LD0016"/>
    <s v="Manoj Nimbalkar"/>
    <n v="9266910922"/>
    <x v="2"/>
    <x v="4"/>
    <s v="99acres Flat Owner Enquiry — Inbound"/>
    <x v="5"/>
    <s v="2022-02-07"/>
    <x v="1"/>
    <x v="1"/>
    <x v="0"/>
    <n v="1"/>
    <n v="2"/>
    <s v="2022-02-14"/>
    <x v="1"/>
    <n v="252165"/>
    <m/>
    <m/>
    <x v="1"/>
    <n v="89.9"/>
    <s v="Warm"/>
    <s v="Under construction, possession in 3 months"/>
  </r>
  <r>
    <s v="LD0017"/>
    <s v="Sunita More"/>
    <m/>
    <x v="2"/>
    <x v="4"/>
    <s v="99acres Flat Owner Enquiry — Inbound"/>
    <x v="2"/>
    <s v="2022-02-08"/>
    <x v="1"/>
    <x v="1"/>
    <x v="0"/>
    <n v="1"/>
    <n v="1"/>
    <s v="2022-02-21"/>
    <x v="0"/>
    <n v="199871"/>
    <m/>
    <m/>
    <x v="0"/>
    <n v="42.4"/>
    <s v="Cold"/>
    <s v="99acres enquiry — masked number, no response"/>
  </r>
  <r>
    <s v="LD0018"/>
    <s v="Lata Gaikwad"/>
    <n v="9909037759"/>
    <x v="4"/>
    <x v="3"/>
    <s v="MagicBricks Property Enquiry — Inbound"/>
    <x v="5"/>
    <s v="2022-02-14"/>
    <x v="1"/>
    <x v="1"/>
    <x v="0"/>
    <n v="1"/>
    <n v="4"/>
    <s v="2022-03-07"/>
    <x v="0"/>
    <n v="86162"/>
    <m/>
    <m/>
    <x v="0"/>
    <n v="91.1"/>
    <s v="Cold"/>
    <m/>
  </r>
  <r>
    <s v="LD0019"/>
    <s v="Kiran Mane"/>
    <n v="9702269164"/>
    <x v="2"/>
    <x v="3"/>
    <s v="MagicBricks Enquiry — Inbound"/>
    <x v="0"/>
    <s v="2022-02-16"/>
    <x v="1"/>
    <x v="1"/>
    <x v="0"/>
    <n v="1"/>
    <n v="5"/>
    <s v="2022-03-14"/>
    <x v="1"/>
    <n v="385275"/>
    <m/>
    <m/>
    <x v="0"/>
    <n v="63.3"/>
    <s v="Warm"/>
    <s v="Follow up after flat possession"/>
  </r>
  <r>
    <s v="LD0020"/>
    <s v="Divya Suryawanshi"/>
    <m/>
    <x v="2"/>
    <x v="4"/>
    <s v="99acres Flat Owner Enquiry — Inbound"/>
    <x v="0"/>
    <s v="2022-02-18"/>
    <x v="1"/>
    <x v="1"/>
    <x v="0"/>
    <n v="1"/>
    <n v="3"/>
    <s v="2022-02-28"/>
    <x v="0"/>
    <n v="535235"/>
    <m/>
    <m/>
    <x v="0"/>
    <n v="49.6"/>
    <s v="Cold"/>
    <s v="99acres portal lead — customer did not share direct contact"/>
  </r>
  <r>
    <s v="LD0021"/>
    <s v="Seema Aware"/>
    <n v="9718121922"/>
    <x v="1"/>
    <x v="3"/>
    <s v="MagicBricks Enquiry — Inbound"/>
    <x v="0"/>
    <s v="2022-02-21"/>
    <x v="1"/>
    <x v="1"/>
    <x v="0"/>
    <n v="1"/>
    <n v="0"/>
    <s v="2022-03-04"/>
    <x v="1"/>
    <n v="317720"/>
    <m/>
    <m/>
    <x v="0"/>
    <n v="28"/>
    <s v="Hot"/>
    <s v="Customer comparing 1-2 vendors only"/>
  </r>
  <r>
    <s v="LD0022"/>
    <s v="Deepak Chavan"/>
    <n v="9371365120"/>
    <x v="2"/>
    <x v="3"/>
    <s v="MagicBricks Property Enquiry — Inbound"/>
    <x v="2"/>
    <s v="2022-02-23"/>
    <x v="1"/>
    <x v="1"/>
    <x v="0"/>
    <n v="1"/>
    <n v="3"/>
    <s v="2022-03-21"/>
    <x v="0"/>
    <n v="153411"/>
    <m/>
    <m/>
    <x v="0"/>
    <n v="73.7"/>
    <s v="Cold"/>
    <s v="Lost to branded competitor"/>
  </r>
  <r>
    <s v="LD0023"/>
    <s v="Devendra Gaikwad"/>
    <n v="9450236225"/>
    <x v="4"/>
    <x v="2"/>
    <s v="Architect Referral"/>
    <x v="1"/>
    <s v="2022-02-24"/>
    <x v="1"/>
    <x v="1"/>
    <x v="0"/>
    <n v="1"/>
    <n v="2"/>
    <s v="2022-03-16"/>
    <x v="0"/>
    <n v="102578"/>
    <m/>
    <m/>
    <x v="1"/>
    <n v="65.7"/>
    <s v="Cold"/>
    <s v="Went with local vendor"/>
  </r>
  <r>
    <s v="LD0024"/>
    <s v="Mahesh Salve"/>
    <n v="9329460134"/>
    <x v="1"/>
    <x v="1"/>
    <s v="Justdial Sponsored — Inbound"/>
    <x v="5"/>
    <s v="2022-02-24"/>
    <x v="1"/>
    <x v="1"/>
    <x v="0"/>
    <n v="1"/>
    <n v="2"/>
    <s v="2022-03-18"/>
    <x v="0"/>
    <n v="267084"/>
    <m/>
    <m/>
    <x v="0"/>
    <n v="76.7"/>
    <s v="Cold"/>
    <s v="Lost - no follow up done in time"/>
  </r>
  <r>
    <s v="LD0025"/>
    <s v="Rekha Kakade"/>
    <n v="9739362057"/>
    <x v="3"/>
    <x v="0"/>
    <s v="Family Reference"/>
    <x v="0"/>
    <s v="2022-02-25"/>
    <x v="1"/>
    <x v="1"/>
    <x v="0"/>
    <n v="1"/>
    <n v="3"/>
    <s v="2022-03-28"/>
    <x v="0"/>
    <n v="506886"/>
    <m/>
    <m/>
    <x v="0"/>
    <n v="82.4"/>
    <s v="Cold"/>
    <s v="Customer got work done from relative"/>
  </r>
  <r>
    <s v="LD0026"/>
    <s v="Vikas Joshi"/>
    <n v="9307371533"/>
    <x v="0"/>
    <x v="2"/>
    <s v="Architect Referral"/>
    <x v="1"/>
    <s v="2022-02-26"/>
    <x v="1"/>
    <x v="1"/>
    <x v="0"/>
    <n v="1"/>
    <n v="2"/>
    <s v="2022-03-12"/>
    <x v="0"/>
    <n v="197096"/>
    <m/>
    <m/>
    <x v="1"/>
    <n v="26"/>
    <s v="Cold"/>
    <m/>
  </r>
  <r>
    <s v="LD0027"/>
    <s v="Umesh Zende"/>
    <n v="9719106699"/>
    <x v="3"/>
    <x v="5"/>
    <s v="Showroom Walk-in"/>
    <x v="2"/>
    <s v="2022-02-28"/>
    <x v="1"/>
    <x v="1"/>
    <x v="0"/>
    <n v="1"/>
    <m/>
    <s v="2022-03-18"/>
    <x v="4"/>
    <n v="321874"/>
    <n v="303463"/>
    <s v="2022-04-02"/>
    <x v="1"/>
    <n v="9.4"/>
    <s v="Warm"/>
    <s v="Deal done, site work ongoing"/>
  </r>
  <r>
    <s v="LD0028"/>
    <s v="Rohit Sonawane"/>
    <n v="9765055833"/>
    <x v="0"/>
    <x v="5"/>
    <s v="Showroom Walk-in"/>
    <x v="0"/>
    <s v="2022-02-28"/>
    <x v="1"/>
    <x v="1"/>
    <x v="0"/>
    <n v="1"/>
    <n v="4"/>
    <s v="2022-03-18"/>
    <x v="2"/>
    <n v="240339"/>
    <m/>
    <m/>
    <x v="0"/>
    <n v="83.6"/>
    <s v="Warm"/>
    <s v="Follow up after Akshaya Tritiya"/>
  </r>
  <r>
    <s v="LD0029"/>
    <s v="Rekha Kadam"/>
    <n v="9456476596"/>
    <x v="0"/>
    <x v="3"/>
    <s v="MagicBricks Property Enquiry — Inbound"/>
    <x v="1"/>
    <s v="2022-03-02"/>
    <x v="2"/>
    <x v="2"/>
    <x v="0"/>
    <n v="1"/>
    <n v="0"/>
    <s v="2022-03-07"/>
    <x v="1"/>
    <n v="256334"/>
    <m/>
    <m/>
    <x v="1"/>
    <n v="64.7"/>
    <s v="Warm"/>
    <s v="Follow up after flat possession"/>
  </r>
  <r>
    <s v="LD0030"/>
    <s v="Manoj Naik"/>
    <n v="9894664845"/>
    <x v="0"/>
    <x v="3"/>
    <s v="MagicBricks Property Enquiry — Inbound"/>
    <x v="0"/>
    <s v="2022-03-03"/>
    <x v="2"/>
    <x v="2"/>
    <x v="0"/>
    <n v="1"/>
    <n v="2"/>
    <s v="2022-03-29"/>
    <x v="1"/>
    <n v="384604"/>
    <m/>
    <m/>
    <x v="1"/>
    <n v="45.8"/>
    <s v="Warm"/>
    <m/>
  </r>
  <r>
    <s v="LD0031"/>
    <s v="Deepak Patil"/>
    <n v="9743576792"/>
    <x v="4"/>
    <x v="2"/>
    <s v="Neighbour Referral"/>
    <x v="0"/>
    <s v="2022-03-04"/>
    <x v="2"/>
    <x v="2"/>
    <x v="0"/>
    <n v="1"/>
    <n v="3"/>
    <s v="2022-03-30"/>
    <x v="3"/>
    <n v="346710"/>
    <m/>
    <m/>
    <x v="1"/>
    <n v="49.4"/>
    <s v="Warm"/>
    <s v="Interested but waiting for loan approval"/>
  </r>
  <r>
    <s v="LD0032"/>
    <s v="Rajesh Gaikwad"/>
    <n v="9929517022"/>
    <x v="3"/>
    <x v="1"/>
    <s v="Justdial Premium Listing — Inbound"/>
    <x v="2"/>
    <s v="2022-03-04"/>
    <x v="2"/>
    <x v="2"/>
    <x v="0"/>
    <n v="1"/>
    <n v="2"/>
    <s v="2022-03-19"/>
    <x v="1"/>
    <n v="376124"/>
    <m/>
    <m/>
    <x v="1"/>
    <n v="55.5"/>
    <s v="Cold"/>
    <s v="Wrong number provided"/>
  </r>
  <r>
    <s v="LD0033"/>
    <s v="Amit Jadhav"/>
    <n v="9860229059"/>
    <x v="0"/>
    <x v="3"/>
    <s v="MagicBricks Enquiry — Inbound"/>
    <x v="0"/>
    <s v="2022-03-07"/>
    <x v="2"/>
    <x v="2"/>
    <x v="0"/>
    <n v="1"/>
    <n v="1"/>
    <s v="2022-03-15"/>
    <x v="0"/>
    <n v="513574"/>
    <m/>
    <m/>
    <x v="1"/>
    <n v="53.2"/>
    <s v="Cold"/>
    <s v="No response, marked as lost after 60 days"/>
  </r>
  <r>
    <s v="LD0034"/>
    <s v="Pramod Patil"/>
    <n v="9559967386"/>
    <x v="4"/>
    <x v="1"/>
    <s v="Justdial Sponsored — Inbound"/>
    <x v="5"/>
    <s v="2022-03-07"/>
    <x v="2"/>
    <x v="2"/>
    <x v="0"/>
    <n v="1"/>
    <n v="4"/>
    <s v="2022-04-09"/>
    <x v="3"/>
    <n v="178403"/>
    <m/>
    <m/>
    <x v="1"/>
    <n v="67.599999999999994"/>
    <s v="Hot"/>
    <s v="Site visit done, quotation shared"/>
  </r>
  <r>
    <s v="LD0035"/>
    <s v="Alka Pawar"/>
    <n v="9256304376"/>
    <x v="2"/>
    <x v="0"/>
    <s v="Family Reference"/>
    <x v="0"/>
    <s v="2022-03-08"/>
    <x v="2"/>
    <x v="2"/>
    <x v="0"/>
    <n v="1"/>
    <n v="0"/>
    <s v="2022-03-15"/>
    <x v="2"/>
    <n v="604974"/>
    <m/>
    <m/>
    <x v="0"/>
    <n v="8.6"/>
    <s v="Cold"/>
    <s v="Wrong number provided"/>
  </r>
  <r>
    <s v="LD0036"/>
    <s v="Meena Phule"/>
    <n v="9637377910"/>
    <x v="0"/>
    <x v="1"/>
    <s v="Justdial Free Listing — Inbound"/>
    <x v="0"/>
    <s v="2022-03-09"/>
    <x v="2"/>
    <x v="2"/>
    <x v="0"/>
    <n v="1"/>
    <n v="5"/>
    <s v="2022-03-28"/>
    <x v="0"/>
    <n v="263928"/>
    <m/>
    <m/>
    <x v="1"/>
    <n v="32"/>
    <s v="Cold"/>
    <s v="Customer chose readymade furniture"/>
  </r>
  <r>
    <s v="LD0037"/>
    <s v="Hemant More"/>
    <n v="9294872482"/>
    <x v="0"/>
    <x v="1"/>
    <s v="Justdial Free Listing — Inbound"/>
    <x v="0"/>
    <s v="2022-03-09"/>
    <x v="2"/>
    <x v="2"/>
    <x v="0"/>
    <n v="1"/>
    <n v="4"/>
    <s v="2022-04-07"/>
    <x v="2"/>
    <n v="360631"/>
    <m/>
    <m/>
    <x v="1"/>
    <n v="9.6"/>
    <s v="Cold"/>
    <s v="Duplicate enquiry"/>
  </r>
  <r>
    <s v="LD0038"/>
    <s v="Divya Phule"/>
    <m/>
    <x v="2"/>
    <x v="4"/>
    <s v="99acres New Project Enquiry — Inbound"/>
    <x v="0"/>
    <s v="2022-03-14"/>
    <x v="2"/>
    <x v="2"/>
    <x v="0"/>
    <n v="1"/>
    <n v="0"/>
    <s v="2022-03-28"/>
    <x v="0"/>
    <n v="364176"/>
    <m/>
    <m/>
    <x v="0"/>
    <n v="8"/>
    <s v="Cold"/>
    <s v="99acres portal lead — customer did not share direct contact"/>
  </r>
  <r>
    <s v="LD0039"/>
    <s v="Amit Kakade"/>
    <n v="9915401487"/>
    <x v="0"/>
    <x v="2"/>
    <s v="Client Referral"/>
    <x v="0"/>
    <s v="2022-03-14"/>
    <x v="2"/>
    <x v="2"/>
    <x v="0"/>
    <n v="1"/>
    <n v="4"/>
    <s v="2022-04-05"/>
    <x v="1"/>
    <n v="571553"/>
    <m/>
    <m/>
    <x v="1"/>
    <n v="13.2"/>
    <s v="Warm"/>
    <s v="Follow up after Gudi Padwa"/>
  </r>
  <r>
    <s v="LD0040"/>
    <s v="Ritu Zende"/>
    <n v="9771150922"/>
    <x v="0"/>
    <x v="1"/>
    <s v="Justdial Free Listing — Inbound"/>
    <x v="0"/>
    <s v="2022-03-18"/>
    <x v="2"/>
    <x v="2"/>
    <x v="0"/>
    <n v="1"/>
    <n v="5"/>
    <s v="2022-04-07"/>
    <x v="0"/>
    <n v="595306"/>
    <m/>
    <m/>
    <x v="0"/>
    <n v="31.4"/>
    <s v="Cold"/>
    <s v="Went with local vendor"/>
  </r>
  <r>
    <s v="LD0041"/>
    <s v="Jyoti Bansode"/>
    <n v="9654724287"/>
    <x v="4"/>
    <x v="5"/>
    <s v="Exhibition Walk-in"/>
    <x v="4"/>
    <s v="2022-03-19"/>
    <x v="2"/>
    <x v="2"/>
    <x v="0"/>
    <n v="1"/>
    <n v="4"/>
    <s v="2022-04-20"/>
    <x v="0"/>
    <n v="316235"/>
    <m/>
    <m/>
    <x v="0"/>
    <n v="77.8"/>
    <s v="Cold"/>
    <s v="Went with local vendor"/>
  </r>
  <r>
    <s v="LD0042"/>
    <s v="Ganesh Zende"/>
    <n v="9574303740"/>
    <x v="3"/>
    <x v="2"/>
    <s v="Neighbour Referral"/>
    <x v="2"/>
    <s v="2022-03-21"/>
    <x v="2"/>
    <x v="2"/>
    <x v="0"/>
    <n v="1"/>
    <n v="3"/>
    <s v="2022-04-05"/>
    <x v="3"/>
    <n v="276803"/>
    <m/>
    <m/>
    <x v="0"/>
    <n v="29"/>
    <s v="Hot"/>
    <s v="Customer visited showroom twice, very interested"/>
  </r>
  <r>
    <s v="LD0043"/>
    <s v="Meena Yadav"/>
    <n v="9433665422"/>
    <x v="1"/>
    <x v="0"/>
    <s v="Colony Reference"/>
    <x v="3"/>
    <s v="2022-03-21"/>
    <x v="2"/>
    <x v="2"/>
    <x v="0"/>
    <n v="1"/>
    <n v="0"/>
    <s v="2022-04-04"/>
    <x v="0"/>
    <n v="145728"/>
    <m/>
    <m/>
    <x v="0"/>
    <n v="31.9"/>
    <s v="Warm"/>
    <s v="No response, marked as lost after 60 days"/>
  </r>
  <r>
    <s v="LD0044"/>
    <s v="Kiran Tupe"/>
    <n v="9900942073"/>
    <x v="2"/>
    <x v="2"/>
    <s v="Neighbour Referral"/>
    <x v="3"/>
    <s v="2022-03-21"/>
    <x v="2"/>
    <x v="2"/>
    <x v="0"/>
    <n v="1"/>
    <n v="3"/>
    <s v="2022-04-18"/>
    <x v="3"/>
    <n v="171239"/>
    <m/>
    <m/>
    <x v="0"/>
    <n v="33.6"/>
    <s v="Warm"/>
    <s v="Follow up after flat possession"/>
  </r>
  <r>
    <s v="LD0045"/>
    <s v="Sonal Jadhav"/>
    <n v="9628008852"/>
    <x v="0"/>
    <x v="0"/>
    <s v="Friend Reference"/>
    <x v="3"/>
    <s v="2022-03-28"/>
    <x v="2"/>
    <x v="2"/>
    <x v="0"/>
    <n v="1"/>
    <n v="3"/>
    <s v="2022-04-06"/>
    <x v="3"/>
    <n v="196985"/>
    <m/>
    <m/>
    <x v="0"/>
    <n v="22.6"/>
    <s v="Warm"/>
    <m/>
  </r>
  <r>
    <s v="LD0046"/>
    <s v="Arun More"/>
    <n v="9736164778"/>
    <x v="0"/>
    <x v="4"/>
    <s v="99acres Flat Owner Enquiry — Inbound"/>
    <x v="0"/>
    <s v="2022-03-28"/>
    <x v="2"/>
    <x v="2"/>
    <x v="0"/>
    <n v="1"/>
    <n v="4"/>
    <s v="2022-05-02"/>
    <x v="2"/>
    <n v="342538"/>
    <m/>
    <m/>
    <x v="0"/>
    <n v="53"/>
    <s v="Warm"/>
    <s v="Site visit to be scheduled"/>
  </r>
  <r>
    <s v="LD0047"/>
    <s v="Kiran Kale"/>
    <n v="9588922557"/>
    <x v="1"/>
    <x v="4"/>
    <s v="99acres New Project Enquiry — Inbound"/>
    <x v="2"/>
    <s v="2022-03-30"/>
    <x v="2"/>
    <x v="2"/>
    <x v="0"/>
    <n v="1"/>
    <n v="3"/>
    <s v="2022-04-19"/>
    <x v="0"/>
    <n v="410992"/>
    <m/>
    <m/>
    <x v="1"/>
    <n v="83.9"/>
    <s v="Cold"/>
    <s v="Project cancelled by customer"/>
  </r>
  <r>
    <s v="LD0048"/>
    <s v="Manisha Thorat"/>
    <n v="9874233009"/>
    <x v="0"/>
    <x v="1"/>
    <s v="Justdial Premium Listing — Inbound"/>
    <x v="0"/>
    <s v="2022-04-04"/>
    <x v="3"/>
    <x v="3"/>
    <x v="0"/>
    <n v="2"/>
    <n v="5"/>
    <s v="2022-04-21"/>
    <x v="4"/>
    <n v="634832"/>
    <n v="572280"/>
    <s v="2022-05-06"/>
    <x v="0"/>
    <n v="92.1"/>
    <s v="Hot"/>
    <s v="Customer very satisfied, 5 star review given"/>
  </r>
  <r>
    <s v="LD0049"/>
    <s v="Sanjay Bhosale"/>
    <n v="9255357534"/>
    <x v="2"/>
    <x v="5"/>
    <s v="Showroom Walk-in"/>
    <x v="2"/>
    <s v="2022-04-05"/>
    <x v="3"/>
    <x v="3"/>
    <x v="0"/>
    <n v="2"/>
    <n v="4"/>
    <s v="2022-04-14"/>
    <x v="3"/>
    <n v="397932"/>
    <m/>
    <m/>
    <x v="1"/>
    <m/>
    <s v="Cold"/>
    <s v="Project on hold"/>
  </r>
  <r>
    <s v="LD0050"/>
    <s v="Alka Phule"/>
    <n v="9497341481"/>
    <x v="0"/>
    <x v="3"/>
    <s v="MagicBricks Enquiry — Inbound"/>
    <x v="0"/>
    <s v="2022-04-11"/>
    <x v="3"/>
    <x v="3"/>
    <x v="0"/>
    <n v="2"/>
    <n v="3"/>
    <s v="2022-05-04"/>
    <x v="3"/>
    <n v="506105"/>
    <m/>
    <m/>
    <x v="0"/>
    <n v="8.8000000000000007"/>
    <s v="Warm"/>
    <s v="Site visit to be scheduled"/>
  </r>
  <r>
    <s v="LD0051"/>
    <s v="Suresh Aware"/>
    <n v="9545478870"/>
    <x v="2"/>
    <x v="1"/>
    <s v="Justdial Free Listing — Inbound"/>
    <x v="0"/>
    <s v="2022-04-16"/>
    <x v="3"/>
    <x v="3"/>
    <x v="0"/>
    <n v="2"/>
    <n v="4"/>
    <s v="2022-05-21"/>
    <x v="3"/>
    <n v="554263"/>
    <m/>
    <m/>
    <x v="0"/>
    <n v="72.900000000000006"/>
    <s v="Warm"/>
    <s v="Waiting for interior budget approval from family"/>
  </r>
  <r>
    <s v="LD0052"/>
    <s v="Pravin Wagh"/>
    <n v="9449165212"/>
    <x v="2"/>
    <x v="4"/>
    <s v="99acres New Project Enquiry — Inbound"/>
    <x v="3"/>
    <s v="2022-04-16"/>
    <x v="3"/>
    <x v="3"/>
    <x v="0"/>
    <n v="2"/>
    <n v="4"/>
    <s v="2022-05-16"/>
    <x v="1"/>
    <n v="128111"/>
    <m/>
    <m/>
    <x v="1"/>
    <n v="19.399999999999999"/>
    <s v="Hot"/>
    <s v="Ready to proceed, discussing payment terms"/>
  </r>
  <r>
    <s v="LD0053"/>
    <s v="Vijay Deshmukh"/>
    <n v="9526717340"/>
    <x v="0"/>
    <x v="4"/>
    <s v="99acres New Project Enquiry — Inbound"/>
    <x v="2"/>
    <s v="2022-04-18"/>
    <x v="3"/>
    <x v="3"/>
    <x v="0"/>
    <n v="2"/>
    <n v="1"/>
    <s v="2022-05-05"/>
    <x v="0"/>
    <n v="299469"/>
    <m/>
    <m/>
    <x v="0"/>
    <n v="78.400000000000006"/>
    <s v="Cold"/>
    <s v="No response, marked as lost after 60 days"/>
  </r>
  <r>
    <s v="LD0054"/>
    <s v="Sanjay Sawant"/>
    <n v="9416872439"/>
    <x v="0"/>
    <x v="0"/>
    <s v="Colony Reference"/>
    <x v="4"/>
    <s v="2022-04-22"/>
    <x v="3"/>
    <x v="3"/>
    <x v="0"/>
    <n v="2"/>
    <n v="4"/>
    <s v="2022-05-14"/>
    <x v="1"/>
    <n v="259667"/>
    <m/>
    <m/>
    <x v="0"/>
    <n v="9.5"/>
    <s v="Warm"/>
    <s v="Waiting for interior budget approval from family"/>
  </r>
  <r>
    <s v="LD0055"/>
    <s v="Ravi Kulkarni"/>
    <n v="9990626742"/>
    <x v="2"/>
    <x v="4"/>
    <s v="99acres New Project Enquiry — Inbound"/>
    <x v="2"/>
    <s v="2022-04-22"/>
    <x v="3"/>
    <x v="3"/>
    <x v="0"/>
    <n v="2"/>
    <n v="4"/>
    <s v="2022-05-23"/>
    <x v="0"/>
    <n v="293743"/>
    <m/>
    <m/>
    <x v="0"/>
    <n v="26.4"/>
    <s v="Cold"/>
    <m/>
  </r>
  <r>
    <s v="LD0056"/>
    <s v="Shweta Londhe"/>
    <n v="9435596237"/>
    <x v="2"/>
    <x v="1"/>
    <s v="Justdial Sponsored — Inbound"/>
    <x v="4"/>
    <s v="2022-04-23"/>
    <x v="3"/>
    <x v="3"/>
    <x v="0"/>
    <n v="2"/>
    <n v="3"/>
    <s v="2022-05-14"/>
    <x v="3"/>
    <n v="168088"/>
    <m/>
    <m/>
    <x v="1"/>
    <n v="85.9"/>
    <s v="Warm"/>
    <s v="Budget discussion pending"/>
  </r>
  <r>
    <s v="LD0057"/>
    <s v="Manoj Phule"/>
    <n v="9984968439"/>
    <x v="2"/>
    <x v="3"/>
    <s v="MagicBricks Property Enquiry — Inbound"/>
    <x v="2"/>
    <s v="2022-04-23"/>
    <x v="3"/>
    <x v="3"/>
    <x v="0"/>
    <n v="2"/>
    <n v="3"/>
    <s v="2022-05-09"/>
    <x v="0"/>
    <n v="303967"/>
    <m/>
    <m/>
    <x v="0"/>
    <n v="55"/>
    <s v="Cold"/>
    <s v="No response, marked as lost after 60 days"/>
  </r>
  <r>
    <s v="LD0058"/>
    <s v="Ganesh Bansode"/>
    <n v="9984607950"/>
    <x v="2"/>
    <x v="2"/>
    <s v="Neighbour Referral"/>
    <x v="2"/>
    <s v="2022-04-25"/>
    <x v="3"/>
    <x v="3"/>
    <x v="0"/>
    <n v="2"/>
    <n v="4"/>
    <s v="2022-05-14"/>
    <x v="3"/>
    <n v="158880"/>
    <m/>
    <m/>
    <x v="1"/>
    <n v="61.8"/>
    <s v="Warm"/>
    <m/>
  </r>
  <r>
    <s v="LD0059"/>
    <s v="Dinesh Bhalerao"/>
    <n v="9760465943"/>
    <x v="3"/>
    <x v="3"/>
    <s v="MagicBricks Property Enquiry — Inbound"/>
    <x v="5"/>
    <s v="2022-04-26"/>
    <x v="3"/>
    <x v="3"/>
    <x v="0"/>
    <n v="2"/>
    <n v="3"/>
    <s v="2022-05-13"/>
    <x v="4"/>
    <n v="104468"/>
    <n v="101564"/>
    <s v="2022-05-31"/>
    <x v="0"/>
    <n v="16.2"/>
    <s v="Hot"/>
    <s v="Token received, design finalised"/>
  </r>
  <r>
    <s v="LD0060"/>
    <s v="Dinesh Thorat"/>
    <n v="9828519068"/>
    <x v="0"/>
    <x v="2"/>
    <s v="Contractor Referral"/>
    <x v="0"/>
    <s v="2022-05-02"/>
    <x v="4"/>
    <x v="4"/>
    <x v="0"/>
    <n v="2"/>
    <n v="2"/>
    <s v="2022-05-23"/>
    <x v="0"/>
    <n v="481119"/>
    <m/>
    <m/>
    <x v="1"/>
    <n v="25.4"/>
    <s v="Cold"/>
    <s v="Customer did not proceed with project"/>
  </r>
  <r>
    <s v="LD0061"/>
    <s v="Archana Patil"/>
    <n v="9637152602"/>
    <x v="0"/>
    <x v="1"/>
    <s v="Justdial Free Listing — Inbound"/>
    <x v="2"/>
    <s v="2022-05-02"/>
    <x v="4"/>
    <x v="4"/>
    <x v="0"/>
    <n v="2"/>
    <n v="1"/>
    <s v="2022-05-13"/>
    <x v="3"/>
    <n v="308682"/>
    <m/>
    <m/>
    <x v="0"/>
    <n v="50.8"/>
    <s v="Hot"/>
    <s v="Customer visited showroom twice, very interested"/>
  </r>
  <r>
    <s v="LD0062"/>
    <s v="Bharati Nimbalkar"/>
    <n v="9190966348"/>
    <x v="2"/>
    <x v="5"/>
    <s v="Exhibition Walk-in"/>
    <x v="4"/>
    <s v="2022-05-04"/>
    <x v="4"/>
    <x v="4"/>
    <x v="0"/>
    <n v="2"/>
    <n v="2"/>
    <s v="2022-05-21"/>
    <x v="0"/>
    <n v="224321"/>
    <m/>
    <m/>
    <x v="1"/>
    <n v="58.4"/>
    <s v="Cold"/>
    <s v="Budget mismatch - too low"/>
  </r>
  <r>
    <s v="LD0063"/>
    <s v="Vikas Pawar"/>
    <n v="9915133660"/>
    <x v="0"/>
    <x v="3"/>
    <s v="MagicBricks Enquiry — Inbound"/>
    <x v="1"/>
    <s v="2022-05-09"/>
    <x v="4"/>
    <x v="4"/>
    <x v="0"/>
    <n v="2"/>
    <n v="0"/>
    <s v="2022-05-13"/>
    <x v="4"/>
    <n v="215710"/>
    <n v="192689"/>
    <s v="2022-05-23"/>
    <x v="1"/>
    <n v="37.4"/>
    <s v="Warm"/>
    <s v="Customer happy with sample, deal closed"/>
  </r>
  <r>
    <s v="LD0064"/>
    <s v="Vijay Bhalerao"/>
    <n v="9213669678"/>
    <x v="0"/>
    <x v="1"/>
    <s v="Justdial Sponsored — Inbound"/>
    <x v="2"/>
    <s v="2022-05-16"/>
    <x v="4"/>
    <x v="4"/>
    <x v="0"/>
    <n v="2"/>
    <n v="4"/>
    <s v="2022-06-09"/>
    <x v="0"/>
    <n v="294882"/>
    <m/>
    <m/>
    <x v="1"/>
    <n v="42.5"/>
    <s v="Cold"/>
    <m/>
  </r>
  <r>
    <s v="LD0065"/>
    <s v="Amit Jadhav"/>
    <n v="9179661615"/>
    <x v="0"/>
    <x v="0"/>
    <s v="Family Reference"/>
    <x v="5"/>
    <s v="2022-05-19"/>
    <x v="4"/>
    <x v="4"/>
    <x v="0"/>
    <n v="2"/>
    <n v="2"/>
    <s v="2022-06-13"/>
    <x v="1"/>
    <n v="171792"/>
    <m/>
    <m/>
    <x v="0"/>
    <n v="48.2"/>
    <s v="Warm"/>
    <s v="Follow up after Diwali"/>
  </r>
  <r>
    <s v="LD0066"/>
    <s v="Manisha Jadhav"/>
    <n v="9463318956"/>
    <x v="2"/>
    <x v="1"/>
    <s v="Justdial Sponsored — Inbound"/>
    <x v="3"/>
    <s v="2022-05-23"/>
    <x v="4"/>
    <x v="4"/>
    <x v="0"/>
    <n v="2"/>
    <n v="2"/>
    <s v="2022-06-06"/>
    <x v="0"/>
    <n v="55663"/>
    <m/>
    <m/>
    <x v="0"/>
    <n v="53"/>
    <s v="Cold"/>
    <s v="Customer chose readymade furniture"/>
  </r>
  <r>
    <s v="LD0067"/>
    <s v="Pooja Kshirsagar"/>
    <n v="9610702777"/>
    <x v="4"/>
    <x v="1"/>
    <s v="Justdial Sponsored — Inbound"/>
    <x v="5"/>
    <s v="2022-05-28"/>
    <x v="4"/>
    <x v="4"/>
    <x v="0"/>
    <n v="2"/>
    <n v="4"/>
    <s v="2022-06-28"/>
    <x v="1"/>
    <n v="112394"/>
    <m/>
    <m/>
    <x v="1"/>
    <n v="86.6"/>
    <s v="Warm"/>
    <s v="Call back after 1 month"/>
  </r>
  <r>
    <s v="LD0068"/>
    <s v="Sunil Wagh"/>
    <n v="9872649234"/>
    <x v="0"/>
    <x v="2"/>
    <s v="Architect Referral"/>
    <x v="2"/>
    <s v="2022-06-02"/>
    <x v="5"/>
    <x v="5"/>
    <x v="0"/>
    <n v="2"/>
    <n v="3"/>
    <s v="2022-06-10"/>
    <x v="1"/>
    <n v="113309"/>
    <m/>
    <m/>
    <x v="0"/>
    <n v="62.2"/>
    <s v="Warm"/>
    <s v="Budget discussion pending"/>
  </r>
  <r>
    <s v="LD0069"/>
    <s v="Archana Kale"/>
    <n v="9117439966"/>
    <x v="2"/>
    <x v="5"/>
    <s v="Showroom Walk-in"/>
    <x v="2"/>
    <s v="2022-06-03"/>
    <x v="5"/>
    <x v="5"/>
    <x v="0"/>
    <n v="2"/>
    <n v="5"/>
    <s v="2022-06-28"/>
    <x v="2"/>
    <n v="311752"/>
    <m/>
    <m/>
    <x v="1"/>
    <n v="7.8"/>
    <s v="Cold"/>
    <s v="Wrong number provided"/>
  </r>
  <r>
    <s v="LD0070"/>
    <s v="Sunita Gavhane"/>
    <n v="9514642708"/>
    <x v="0"/>
    <x v="3"/>
    <s v="MagicBricks Enquiry — Inbound"/>
    <x v="0"/>
    <s v="2022-06-04"/>
    <x v="5"/>
    <x v="5"/>
    <x v="0"/>
    <n v="2"/>
    <n v="0"/>
    <s v="2022-06-14"/>
    <x v="0"/>
    <n v="425966"/>
    <m/>
    <m/>
    <x v="1"/>
    <n v="87.9"/>
    <s v="Warm"/>
    <s v="Lost to competitor - cheaper quote"/>
  </r>
  <r>
    <s v="LD0071"/>
    <s v="Sunil Chavan"/>
    <n v="9254164462"/>
    <x v="2"/>
    <x v="1"/>
    <s v="Justdial Premium Listing — Inbound"/>
    <x v="2"/>
    <s v="2022-06-04"/>
    <x v="5"/>
    <x v="5"/>
    <x v="0"/>
    <n v="2"/>
    <n v="5"/>
    <s v="2022-07-04"/>
    <x v="1"/>
    <n v="424742"/>
    <m/>
    <m/>
    <x v="0"/>
    <n v="51"/>
    <s v="Cold"/>
    <s v="No call back after site visit"/>
  </r>
  <r>
    <s v="LD0072"/>
    <s v="Pramod Shelke"/>
    <m/>
    <x v="3"/>
    <x v="3"/>
    <s v="MagicBricks Enquiry — Inbound"/>
    <x v="3"/>
    <s v="2022-06-08"/>
    <x v="5"/>
    <x v="5"/>
    <x v="0"/>
    <n v="2"/>
    <n v="1"/>
    <s v="2022-06-28"/>
    <x v="0"/>
    <n v="64176"/>
    <m/>
    <m/>
    <x v="0"/>
    <n v="40.4"/>
    <s v="Cold"/>
    <s v="MagicBricks enquiry — number masked, customer did not unlock"/>
  </r>
  <r>
    <s v="LD0073"/>
    <s v="Suresh Raut"/>
    <n v="9266371119"/>
    <x v="0"/>
    <x v="5"/>
    <s v="Site Visit Walk-in"/>
    <x v="0"/>
    <s v="2022-06-22"/>
    <x v="5"/>
    <x v="5"/>
    <x v="0"/>
    <n v="2"/>
    <n v="3"/>
    <s v="2022-07-06"/>
    <x v="1"/>
    <n v="311475"/>
    <m/>
    <m/>
    <x v="0"/>
    <n v="91.6"/>
    <s v="Hot"/>
    <s v="Measurement done, quote pending approval"/>
  </r>
  <r>
    <s v="LD0074"/>
    <s v="Amit Sawant"/>
    <n v="9591429705"/>
    <x v="3"/>
    <x v="0"/>
    <s v="Friend Reference"/>
    <x v="2"/>
    <s v="2022-06-24"/>
    <x v="5"/>
    <x v="5"/>
    <x v="0"/>
    <n v="2"/>
    <n v="3"/>
    <s v="2022-07-23"/>
    <x v="4"/>
    <n v="279153"/>
    <n v="257365"/>
    <s v="2022-07-30"/>
    <x v="1"/>
    <n v="76.099999999999994"/>
    <s v="Hot"/>
    <s v="Work order signed, production started"/>
  </r>
  <r>
    <s v="LD0075"/>
    <s v="Manisha Bhalerao"/>
    <n v="9260545470"/>
    <x v="3"/>
    <x v="1"/>
    <s v="Justdial Free Listing — Inbound"/>
    <x v="0"/>
    <s v="2022-06-27"/>
    <x v="5"/>
    <x v="5"/>
    <x v="0"/>
    <n v="2"/>
    <n v="0"/>
    <s v="2022-07-02"/>
    <x v="0"/>
    <n v="447881"/>
    <m/>
    <m/>
    <x v="1"/>
    <n v="48.2"/>
    <s v="Cold"/>
    <s v="Went with local vendor"/>
  </r>
  <r>
    <s v="LD0076"/>
    <s v="Sunita More"/>
    <n v="9705180256"/>
    <x v="2"/>
    <x v="3"/>
    <s v="MagicBricks Property Enquiry — Inbound"/>
    <x v="2"/>
    <s v="2022-07-04"/>
    <x v="6"/>
    <x v="6"/>
    <x v="0"/>
    <n v="3"/>
    <n v="1"/>
    <s v="2022-07-20"/>
    <x v="0"/>
    <n v="268778"/>
    <m/>
    <m/>
    <x v="1"/>
    <n v="21.2"/>
    <s v="Cold"/>
    <s v="Lost to branded competitor"/>
  </r>
  <r>
    <s v="LD0077"/>
    <s v="Jyoti Chavan"/>
    <n v="9576642996"/>
    <x v="2"/>
    <x v="2"/>
    <s v="Client Referral"/>
    <x v="3"/>
    <s v="2022-07-04"/>
    <x v="6"/>
    <x v="6"/>
    <x v="0"/>
    <n v="3"/>
    <n v="3"/>
    <s v="2022-08-01"/>
    <x v="0"/>
    <n v="124068"/>
    <m/>
    <m/>
    <x v="0"/>
    <n v="35.5"/>
    <s v="Warm"/>
    <s v="Customer chose readymade furniture"/>
  </r>
  <r>
    <s v="LD0078"/>
    <s v="Vikas Gaikwad"/>
    <n v="9925884151"/>
    <x v="4"/>
    <x v="1"/>
    <s v="Justdial Premium Listing — Inbound"/>
    <x v="2"/>
    <s v="2022-07-07"/>
    <x v="6"/>
    <x v="6"/>
    <x v="0"/>
    <n v="3"/>
    <n v="0"/>
    <s v="2022-07-16"/>
    <x v="4"/>
    <n v="372557"/>
    <n v="328273"/>
    <s v="2022-07-30"/>
    <x v="0"/>
    <n v="55.6"/>
    <s v="Warm"/>
    <s v="Token received, design finalised"/>
  </r>
  <r>
    <s v="LD0079"/>
    <s v="Kiran Pawar"/>
    <n v="9422076028"/>
    <x v="4"/>
    <x v="1"/>
    <s v="Justdial Free Listing — Inbound"/>
    <x v="0"/>
    <s v="2022-07-16"/>
    <x v="6"/>
    <x v="6"/>
    <x v="0"/>
    <n v="3"/>
    <n v="2"/>
    <s v="2022-07-25"/>
    <x v="3"/>
    <n v="604301"/>
    <m/>
    <m/>
    <x v="1"/>
    <n v="13.9"/>
    <s v="Warm"/>
    <s v="Follow up after flat possession"/>
  </r>
  <r>
    <s v="LD0080"/>
    <s v="Pooja Salve"/>
    <n v="9178354184"/>
    <x v="1"/>
    <x v="1"/>
    <s v="Justdial Sponsored — Inbound"/>
    <x v="1"/>
    <s v="2022-07-21"/>
    <x v="6"/>
    <x v="6"/>
    <x v="0"/>
    <n v="3"/>
    <n v="1"/>
    <s v="2022-08-06"/>
    <x v="0"/>
    <n v="110558"/>
    <m/>
    <m/>
    <x v="1"/>
    <n v="63.8"/>
    <s v="Cold"/>
    <s v="Customer chose readymade furniture"/>
  </r>
  <r>
    <s v="LD0081"/>
    <s v="Shweta Kshirsagar"/>
    <n v="9703091482"/>
    <x v="0"/>
    <x v="4"/>
    <s v="99acres Flat Owner Enquiry — Inbound"/>
    <x v="2"/>
    <s v="2022-07-22"/>
    <x v="6"/>
    <x v="6"/>
    <x v="0"/>
    <n v="3"/>
    <n v="0"/>
    <s v="2022-07-26"/>
    <x v="0"/>
    <n v="113279"/>
    <m/>
    <m/>
    <x v="0"/>
    <n v="34.299999999999997"/>
    <s v="Cold"/>
    <s v="Budget mismatch - too low"/>
  </r>
  <r>
    <s v="LD0082"/>
    <s v="Divya Chavan"/>
    <n v="9273910700"/>
    <x v="2"/>
    <x v="5"/>
    <s v="Showroom Walk-in"/>
    <x v="2"/>
    <s v="2022-07-22"/>
    <x v="6"/>
    <x v="6"/>
    <x v="0"/>
    <n v="3"/>
    <n v="0"/>
    <s v="2022-08-04"/>
    <x v="3"/>
    <n v="368297"/>
    <m/>
    <m/>
    <x v="1"/>
    <n v="17.600000000000001"/>
    <s v="Warm"/>
    <s v="Interested but waiting for loan approval"/>
  </r>
  <r>
    <s v="LD0083"/>
    <s v="Pramod Londhe"/>
    <n v="9172191273"/>
    <x v="3"/>
    <x v="1"/>
    <s v="Justdial Sponsored — Inbound"/>
    <x v="0"/>
    <s v="2022-07-26"/>
    <x v="6"/>
    <x v="6"/>
    <x v="0"/>
    <n v="3"/>
    <n v="5"/>
    <s v="2022-08-31"/>
    <x v="1"/>
    <n v="351658"/>
    <m/>
    <m/>
    <x v="1"/>
    <n v="91.8"/>
    <s v="Warm"/>
    <m/>
  </r>
  <r>
    <s v="LD0084"/>
    <s v="Hemant Aware"/>
    <n v="9515156661"/>
    <x v="0"/>
    <x v="5"/>
    <s v="Exhibition Walk-in"/>
    <x v="3"/>
    <s v="2022-07-27"/>
    <x v="6"/>
    <x v="6"/>
    <x v="0"/>
    <n v="3"/>
    <n v="0"/>
    <s v="2022-08-04"/>
    <x v="4"/>
    <n v="188918"/>
    <n v="166511"/>
    <s v="2022-08-19"/>
    <x v="0"/>
    <n v="10.3"/>
    <s v="Warm"/>
    <s v="Token received, design finalised"/>
  </r>
  <r>
    <s v="LD0085"/>
    <s v="Pravin Tupe"/>
    <n v="9866213410"/>
    <x v="0"/>
    <x v="1"/>
    <s v="Justdial Premium Listing — Inbound"/>
    <x v="0"/>
    <s v="2022-08-04"/>
    <x v="7"/>
    <x v="7"/>
    <x v="0"/>
    <n v="3"/>
    <n v="4"/>
    <s v="2022-08-17"/>
    <x v="0"/>
    <n v="626081"/>
    <m/>
    <m/>
    <x v="1"/>
    <n v="23.9"/>
    <s v="Cold"/>
    <m/>
  </r>
  <r>
    <s v="LD0086"/>
    <s v="Seema Kakade"/>
    <n v="9251266214"/>
    <x v="0"/>
    <x v="3"/>
    <s v="MagicBricks Property Enquiry — Inbound"/>
    <x v="4"/>
    <s v="2022-08-05"/>
    <x v="7"/>
    <x v="7"/>
    <x v="0"/>
    <n v="3"/>
    <n v="3"/>
    <s v="2022-08-17"/>
    <x v="1"/>
    <n v="190376"/>
    <m/>
    <m/>
    <x v="0"/>
    <n v="56.5"/>
    <s v="Warm"/>
    <s v="Wants more design options before deciding"/>
  </r>
  <r>
    <s v="LD0087"/>
    <s v="Nanda Shelke"/>
    <n v="9178954113"/>
    <x v="3"/>
    <x v="5"/>
    <s v="Showroom Walk-in"/>
    <x v="0"/>
    <s v="2022-08-10"/>
    <x v="7"/>
    <x v="7"/>
    <x v="0"/>
    <n v="3"/>
    <n v="4"/>
    <s v="2022-08-24"/>
    <x v="0"/>
    <n v="440074"/>
    <m/>
    <m/>
    <x v="0"/>
    <n v="10.1"/>
    <s v="Cold"/>
    <s v="Project cancelled by customer"/>
  </r>
  <r>
    <s v="LD0088"/>
    <s v="Mahesh Wagh"/>
    <n v="9526269674"/>
    <x v="3"/>
    <x v="2"/>
    <s v="Client Referral"/>
    <x v="0"/>
    <s v="2022-08-10"/>
    <x v="7"/>
    <x v="7"/>
    <x v="0"/>
    <n v="3"/>
    <n v="1"/>
    <s v="2022-08-27"/>
    <x v="1"/>
    <m/>
    <m/>
    <m/>
    <x v="1"/>
    <n v="9.4"/>
    <s v="Cold"/>
    <s v="Not responding to calls"/>
  </r>
  <r>
    <s v="LD0089"/>
    <s v="Sunanda Joshi"/>
    <n v="9902448600"/>
    <x v="0"/>
    <x v="2"/>
    <s v="Contractor Referral"/>
    <x v="2"/>
    <s v="2022-08-18"/>
    <x v="7"/>
    <x v="7"/>
    <x v="0"/>
    <n v="3"/>
    <n v="0"/>
    <s v="2022-08-24"/>
    <x v="4"/>
    <n v="220015"/>
    <n v="201842"/>
    <s v="2022-08-28"/>
    <x v="0"/>
    <n v="79.7"/>
    <s v="Warm"/>
    <s v="Token received, design finalised"/>
  </r>
  <r>
    <s v="LD0090"/>
    <s v="Ashwini Holkar"/>
    <n v="9690936560"/>
    <x v="2"/>
    <x v="2"/>
    <s v="Architect Referral"/>
    <x v="5"/>
    <s v="2022-08-20"/>
    <x v="7"/>
    <x v="7"/>
    <x v="0"/>
    <n v="3"/>
    <n v="5"/>
    <s v="2022-09-26"/>
    <x v="0"/>
    <n v="205120"/>
    <m/>
    <m/>
    <x v="1"/>
    <n v="43.2"/>
    <s v="Warm"/>
    <m/>
  </r>
  <r>
    <s v="LD0091"/>
    <s v="Dinesh Holkar"/>
    <n v="9656931857"/>
    <x v="2"/>
    <x v="1"/>
    <s v="Justdial Free Listing — Inbound"/>
    <x v="0"/>
    <s v="2022-08-23"/>
    <x v="7"/>
    <x v="7"/>
    <x v="0"/>
    <n v="3"/>
    <n v="5"/>
    <s v="2022-09-29"/>
    <x v="0"/>
    <n v="383754"/>
    <m/>
    <m/>
    <x v="0"/>
    <n v="51.2"/>
    <s v="Cold"/>
    <s v="Lost to competitor - cheaper quote"/>
  </r>
  <r>
    <s v="LD0092"/>
    <s v="Seema Mane"/>
    <n v="9765436255"/>
    <x v="0"/>
    <x v="2"/>
    <s v="Client Referral"/>
    <x v="5"/>
    <s v="2022-08-24"/>
    <x v="7"/>
    <x v="7"/>
    <x v="0"/>
    <n v="3"/>
    <n v="3"/>
    <s v="2022-09-05"/>
    <x v="1"/>
    <n v="66734"/>
    <m/>
    <m/>
    <x v="1"/>
    <n v="58"/>
    <s v="Warm"/>
    <s v="Follow up after flat possession"/>
  </r>
  <r>
    <s v="LD0093"/>
    <s v="Smita Aware"/>
    <n v="9726360971"/>
    <x v="0"/>
    <x v="3"/>
    <s v="MagicBricks Property Enquiry — Inbound"/>
    <x v="5"/>
    <s v="2022-08-27"/>
    <x v="7"/>
    <x v="7"/>
    <x v="0"/>
    <n v="3"/>
    <n v="0"/>
    <s v="2022-09-06"/>
    <x v="0"/>
    <n v="99612"/>
    <m/>
    <m/>
    <x v="1"/>
    <n v="85.1"/>
    <s v="Cold"/>
    <s v="Customer got work done from relative"/>
  </r>
  <r>
    <s v="LD0094"/>
    <s v="Sonal Bhosale"/>
    <n v="9975903641"/>
    <x v="0"/>
    <x v="5"/>
    <s v="Showroom Walk-in"/>
    <x v="2"/>
    <s v="2022-08-30"/>
    <x v="7"/>
    <x v="7"/>
    <x v="0"/>
    <n v="3"/>
    <n v="3"/>
    <s v="2022-10-01"/>
    <x v="0"/>
    <n v="267156"/>
    <m/>
    <m/>
    <x v="1"/>
    <n v="51.7"/>
    <s v="Cold"/>
    <s v="Lost to branded competitor"/>
  </r>
  <r>
    <s v="LD0095"/>
    <s v="Smita Naik"/>
    <n v="9419561201"/>
    <x v="4"/>
    <x v="5"/>
    <s v="Site Visit Walk-in"/>
    <x v="2"/>
    <s v="2022-08-30"/>
    <x v="7"/>
    <x v="7"/>
    <x v="0"/>
    <n v="3"/>
    <n v="1"/>
    <s v="2022-09-08"/>
    <x v="0"/>
    <n v="314483"/>
    <m/>
    <m/>
    <x v="1"/>
    <n v="29.8"/>
    <s v="Cold"/>
    <s v="Customer got work done from relative"/>
  </r>
  <r>
    <s v="LD0096"/>
    <s v="Santosh Thorat"/>
    <n v="9352889019"/>
    <x v="2"/>
    <x v="5"/>
    <s v="Exhibition Walk-in"/>
    <x v="5"/>
    <s v="2022-09-06"/>
    <x v="8"/>
    <x v="8"/>
    <x v="0"/>
    <n v="3"/>
    <n v="2"/>
    <s v="2022-09-19"/>
    <x v="3"/>
    <n v="250444"/>
    <m/>
    <m/>
    <x v="0"/>
    <n v="22.6"/>
    <s v="Warm"/>
    <s v="Follow up after Diwali"/>
  </r>
  <r>
    <s v="LD0097"/>
    <s v="Nilesh Phule"/>
    <n v="9335287540"/>
    <x v="2"/>
    <x v="2"/>
    <s v="Client Referral"/>
    <x v="2"/>
    <s v="2022-09-12"/>
    <x v="8"/>
    <x v="8"/>
    <x v="0"/>
    <n v="3"/>
    <n v="0"/>
    <s v="2022-09-19"/>
    <x v="1"/>
    <n v="147196"/>
    <m/>
    <m/>
    <x v="0"/>
    <n v="89.1"/>
    <s v="Warm"/>
    <s v="Follow up after Gudi Padwa"/>
  </r>
  <r>
    <s v="LD0098"/>
    <s v="Ganesh Kulkarni"/>
    <n v="9596474925"/>
    <x v="4"/>
    <x v="1"/>
    <s v="Justdial Free Listing — Inbound"/>
    <x v="4"/>
    <s v="2022-09-15"/>
    <x v="8"/>
    <x v="8"/>
    <x v="0"/>
    <n v="3"/>
    <n v="3"/>
    <s v="2022-10-06"/>
    <x v="1"/>
    <n v="194018"/>
    <m/>
    <m/>
    <x v="1"/>
    <n v="11"/>
    <s v="Warm"/>
    <m/>
  </r>
  <r>
    <s v="LD0099"/>
    <s v="Pravin Yadav"/>
    <n v="9253824712"/>
    <x v="2"/>
    <x v="1"/>
    <s v="Justdial Free Listing — Inbound"/>
    <x v="1"/>
    <s v="2022-09-19"/>
    <x v="8"/>
    <x v="8"/>
    <x v="0"/>
    <n v="3"/>
    <n v="5"/>
    <s v="2022-10-29"/>
    <x v="0"/>
    <n v="223239"/>
    <m/>
    <m/>
    <x v="1"/>
    <n v="34.700000000000003"/>
    <s v="Cold"/>
    <s v="Project cancelled by customer"/>
  </r>
  <r>
    <s v="LD0100"/>
    <s v="Jyoti Bansode"/>
    <n v="9922301213"/>
    <x v="0"/>
    <x v="1"/>
    <s v="Justdial Premium Listing — Inbound"/>
    <x v="0"/>
    <s v="2022-09-19"/>
    <x v="8"/>
    <x v="8"/>
    <x v="0"/>
    <n v="3"/>
    <n v="2"/>
    <s v="2022-10-10"/>
    <x v="0"/>
    <n v="283239"/>
    <m/>
    <m/>
    <x v="1"/>
    <n v="12.2"/>
    <s v="Cold"/>
    <s v="Budget mismatch - too low"/>
  </r>
  <r>
    <s v="LD0101"/>
    <s v="Ritu Sonawane"/>
    <n v="9989889367"/>
    <x v="2"/>
    <x v="5"/>
    <s v="Showroom Walk-in"/>
    <x v="4"/>
    <s v="2022-09-26"/>
    <x v="8"/>
    <x v="8"/>
    <x v="0"/>
    <n v="3"/>
    <n v="2"/>
    <s v="2022-10-06"/>
    <x v="3"/>
    <n v="148021"/>
    <m/>
    <m/>
    <x v="1"/>
    <n v="53.3"/>
    <s v="Warm"/>
    <s v="Follow up after Akshaya Tritiya"/>
  </r>
  <r>
    <s v="LD0102"/>
    <s v="Sonal Jadhav"/>
    <n v="9737742679"/>
    <x v="0"/>
    <x v="1"/>
    <s v="Justdial Premium Listing — Inbound"/>
    <x v="2"/>
    <s v="2022-09-27"/>
    <x v="8"/>
    <x v="8"/>
    <x v="0"/>
    <n v="3"/>
    <n v="0"/>
    <s v="2022-10-04"/>
    <x v="0"/>
    <n v="224694"/>
    <m/>
    <m/>
    <x v="1"/>
    <n v="16.2"/>
    <s v="Cold"/>
    <m/>
  </r>
  <r>
    <s v="LD0103"/>
    <s v="Rajesh Nimbalkar"/>
    <m/>
    <x v="4"/>
    <x v="3"/>
    <s v="MagicBricks Property Enquiry — Inbound"/>
    <x v="2"/>
    <s v="2022-09-30"/>
    <x v="8"/>
    <x v="8"/>
    <x v="0"/>
    <n v="3"/>
    <n v="1"/>
    <s v="2022-10-17"/>
    <x v="2"/>
    <n v="157929"/>
    <m/>
    <m/>
    <x v="0"/>
    <n v="82.6"/>
    <s v="Cold"/>
    <s v="MagicBricks portal lead — masked number, no response"/>
  </r>
  <r>
    <s v="LD0104"/>
    <s v="Ganesh Tupe"/>
    <n v="9996382881"/>
    <x v="2"/>
    <x v="3"/>
    <s v="MagicBricks Enquiry — Inbound"/>
    <x v="2"/>
    <s v="2022-09-30"/>
    <x v="8"/>
    <x v="8"/>
    <x v="0"/>
    <n v="3"/>
    <n v="4"/>
    <s v="2022-10-17"/>
    <x v="1"/>
    <n v="439457"/>
    <m/>
    <m/>
    <x v="0"/>
    <n v="16.7"/>
    <s v="Cold"/>
    <s v="Price too high as per customer"/>
  </r>
  <r>
    <s v="LD0105"/>
    <s v="Lata More"/>
    <n v="9126373949"/>
    <x v="0"/>
    <x v="1"/>
    <s v="Justdial Premium Listing — Inbound"/>
    <x v="0"/>
    <s v="2022-10-04"/>
    <x v="9"/>
    <x v="9"/>
    <x v="0"/>
    <n v="4"/>
    <n v="5"/>
    <s v="2022-11-04"/>
    <x v="0"/>
    <n v="420197"/>
    <m/>
    <m/>
    <x v="1"/>
    <n v="46.1"/>
    <s v="Cold"/>
    <s v="Customer got work done from relative"/>
  </r>
  <r>
    <s v="LD0106"/>
    <s v="Santosh Kakade"/>
    <n v="9427124037"/>
    <x v="2"/>
    <x v="1"/>
    <s v="Justdial Premium Listing — Inbound"/>
    <x v="0"/>
    <s v="2022-10-05"/>
    <x v="9"/>
    <x v="9"/>
    <x v="0"/>
    <n v="4"/>
    <n v="4"/>
    <s v="2022-10-22"/>
    <x v="0"/>
    <n v="312152"/>
    <m/>
    <m/>
    <x v="1"/>
    <n v="91"/>
    <s v="Cold"/>
    <m/>
  </r>
  <r>
    <s v="LD0107"/>
    <s v="Manisha Shinde"/>
    <n v="9388258432"/>
    <x v="0"/>
    <x v="4"/>
    <s v="99acres Flat Owner Enquiry — Inbound"/>
    <x v="0"/>
    <s v="2022-10-05"/>
    <x v="9"/>
    <x v="9"/>
    <x v="0"/>
    <n v="4"/>
    <n v="2"/>
    <s v="2022-10-11"/>
    <x v="2"/>
    <n v="486944"/>
    <m/>
    <m/>
    <x v="0"/>
    <n v="24.3"/>
    <s v="Cold"/>
    <s v="Customer relocated"/>
  </r>
  <r>
    <s v="LD0108"/>
    <s v="Pooja Bhalerao"/>
    <n v="9682115008"/>
    <x v="2"/>
    <x v="4"/>
    <s v="99acres Flat Owner Enquiry — Inbound"/>
    <x v="5"/>
    <s v="2022-10-08"/>
    <x v="9"/>
    <x v="9"/>
    <x v="0"/>
    <n v="4"/>
    <n v="1"/>
    <s v="2022-10-24"/>
    <x v="0"/>
    <n v="156085"/>
    <m/>
    <m/>
    <x v="1"/>
    <n v="21.1"/>
    <s v="Cold"/>
    <s v="Customer got work done from relative"/>
  </r>
  <r>
    <s v="LD0109"/>
    <s v="Nikhil Kale"/>
    <n v="9795752405"/>
    <x v="4"/>
    <x v="3"/>
    <s v="MagicBricks Enquiry — Inbound"/>
    <x v="3"/>
    <s v="2022-10-10"/>
    <x v="9"/>
    <x v="9"/>
    <x v="0"/>
    <n v="4"/>
    <n v="0"/>
    <s v="2022-10-12"/>
    <x v="1"/>
    <n v="85961"/>
    <m/>
    <m/>
    <x v="0"/>
    <n v="46.7"/>
    <s v="Warm"/>
    <s v="Follow up after Diwali"/>
  </r>
  <r>
    <s v="LD0110"/>
    <s v="Smita Mane"/>
    <n v="9727099478"/>
    <x v="2"/>
    <x v="5"/>
    <s v="Exhibition Walk-in"/>
    <x v="3"/>
    <s v="2022-10-12"/>
    <x v="9"/>
    <x v="9"/>
    <x v="0"/>
    <n v="4"/>
    <n v="0"/>
    <s v="2022-10-24"/>
    <x v="4"/>
    <n v="123975"/>
    <n v="117749"/>
    <s v="2022-11-02"/>
    <x v="1"/>
    <n v="24.3"/>
    <s v="Hot"/>
    <s v="Deal closed, advance received"/>
  </r>
  <r>
    <s v="LD0111"/>
    <s v="Ravi Mohite"/>
    <n v="9939638591"/>
    <x v="2"/>
    <x v="2"/>
    <s v="Architect Referral"/>
    <x v="5"/>
    <s v="2022-10-14"/>
    <x v="9"/>
    <x v="9"/>
    <x v="0"/>
    <n v="4"/>
    <n v="5"/>
    <s v="2022-11-16"/>
    <x v="0"/>
    <n v="183358"/>
    <m/>
    <m/>
    <x v="0"/>
    <n v="93.2"/>
    <s v="Cold"/>
    <s v="Lost - no follow up done in time"/>
  </r>
  <r>
    <s v="LD0112"/>
    <s v="Umesh Patil"/>
    <n v="9330635563"/>
    <x v="4"/>
    <x v="4"/>
    <s v="99acres Flat Owner Enquiry — Inbound"/>
    <x v="2"/>
    <s v="2022-10-14"/>
    <x v="9"/>
    <x v="9"/>
    <x v="0"/>
    <n v="4"/>
    <n v="4"/>
    <s v="2022-11-05"/>
    <x v="1"/>
    <n v="217016"/>
    <m/>
    <m/>
    <x v="1"/>
    <n v="72.400000000000006"/>
    <s v="Warm"/>
    <m/>
  </r>
  <r>
    <s v="LD0113"/>
    <s v="Nilesh Sonawane"/>
    <n v="9184846271"/>
    <x v="0"/>
    <x v="3"/>
    <s v="MagicBricks Property Enquiry — Inbound"/>
    <x v="0"/>
    <s v="2022-10-18"/>
    <x v="9"/>
    <x v="9"/>
    <x v="0"/>
    <n v="4"/>
    <n v="2"/>
    <s v="2022-11-07"/>
    <x v="3"/>
    <n v="339446"/>
    <m/>
    <m/>
    <x v="1"/>
    <n v="27.7"/>
    <s v="Warm"/>
    <s v="Wants more design options before deciding"/>
  </r>
  <r>
    <s v="LD0114"/>
    <s v="Sonal Suryawanshi"/>
    <n v="9360642799"/>
    <x v="3"/>
    <x v="5"/>
    <s v="Exhibition Walk-in"/>
    <x v="3"/>
    <s v="2022-10-18"/>
    <x v="9"/>
    <x v="9"/>
    <x v="0"/>
    <n v="4"/>
    <n v="2"/>
    <s v="2022-11-07"/>
    <x v="4"/>
    <n v="162917"/>
    <n v="155960"/>
    <s v="2022-11-21"/>
    <x v="1"/>
    <n v="76.599999999999994"/>
    <s v="Hot"/>
    <s v="Deal done, site work ongoing"/>
  </r>
  <r>
    <s v="LD0115"/>
    <s v="Seema Patil"/>
    <n v="9807233980"/>
    <x v="2"/>
    <x v="1"/>
    <s v="Justdial Sponsored — Inbound"/>
    <x v="4"/>
    <s v="2022-10-18"/>
    <x v="9"/>
    <x v="9"/>
    <x v="0"/>
    <n v="4"/>
    <n v="3"/>
    <s v="2022-11-14"/>
    <x v="4"/>
    <n v="263981"/>
    <n v="251667"/>
    <s v="2022-12-01"/>
    <x v="0"/>
    <n v="80.8"/>
    <s v="Hot"/>
    <s v="Token paid, measurement done, work started"/>
  </r>
  <r>
    <s v="LD0116"/>
    <s v="Bharati Mohite"/>
    <n v="9794710793"/>
    <x v="0"/>
    <x v="4"/>
    <s v="99acres Flat Owner Enquiry — Inbound"/>
    <x v="4"/>
    <s v="2022-10-18"/>
    <x v="9"/>
    <x v="9"/>
    <x v="0"/>
    <n v="4"/>
    <n v="1"/>
    <s v="2022-10-31"/>
    <x v="1"/>
    <n v="278131"/>
    <m/>
    <m/>
    <x v="1"/>
    <n v="63.4"/>
    <s v="Warm"/>
    <s v="Customer interested, flat handover next month"/>
  </r>
  <r>
    <s v="LD0117"/>
    <s v="Nanda Joshi"/>
    <n v="9105578324"/>
    <x v="0"/>
    <x v="3"/>
    <s v="MagicBricks Property Enquiry — Inbound"/>
    <x v="0"/>
    <s v="2022-10-22"/>
    <x v="9"/>
    <x v="9"/>
    <x v="0"/>
    <n v="4"/>
    <n v="3"/>
    <s v="2022-11-09"/>
    <x v="3"/>
    <n v="328456"/>
    <m/>
    <m/>
    <x v="0"/>
    <n v="76.599999999999994"/>
    <s v="Warm"/>
    <m/>
  </r>
  <r>
    <s v="LD0118"/>
    <s v="Sunanda Shelke"/>
    <n v="9807901168"/>
    <x v="3"/>
    <x v="1"/>
    <s v="Justdial Free Listing — Inbound"/>
    <x v="1"/>
    <s v="2022-10-22"/>
    <x v="9"/>
    <x v="9"/>
    <x v="0"/>
    <n v="4"/>
    <n v="4"/>
    <s v="2022-11-21"/>
    <x v="0"/>
    <n v="93045"/>
    <m/>
    <m/>
    <x v="1"/>
    <n v="51.5"/>
    <s v="Warm"/>
    <s v="Lost to branded competitor"/>
  </r>
  <r>
    <s v="LD0119"/>
    <s v="Archana Shelke"/>
    <n v="9393482659"/>
    <x v="1"/>
    <x v="1"/>
    <s v="Justdial Sponsored — Inbound"/>
    <x v="4"/>
    <s v="2022-10-24"/>
    <x v="9"/>
    <x v="9"/>
    <x v="0"/>
    <n v="4"/>
    <n v="4"/>
    <s v="2022-11-24"/>
    <x v="4"/>
    <n v="240302"/>
    <n v="212774"/>
    <s v="2022-12-08"/>
    <x v="0"/>
    <n v="12.8"/>
    <s v="Hot"/>
    <m/>
  </r>
  <r>
    <s v="LD0120"/>
    <s v="Smita Suryawanshi"/>
    <n v="9525880424"/>
    <x v="2"/>
    <x v="2"/>
    <s v="Architect Referral"/>
    <x v="5"/>
    <s v="2022-10-24"/>
    <x v="9"/>
    <x v="9"/>
    <x v="0"/>
    <n v="4"/>
    <n v="3"/>
    <s v="2022-11-07"/>
    <x v="1"/>
    <n v="169869"/>
    <m/>
    <m/>
    <x v="1"/>
    <n v="90.3"/>
    <s v="Hot"/>
    <s v="Ready to proceed, discussing payment terms"/>
  </r>
  <r>
    <s v="LD0121"/>
    <s v="Alka Suryawanshi"/>
    <n v="9421346113"/>
    <x v="2"/>
    <x v="5"/>
    <s v="Exhibition Walk-in"/>
    <x v="3"/>
    <s v="2022-10-24"/>
    <x v="9"/>
    <x v="9"/>
    <x v="0"/>
    <n v="4"/>
    <n v="2"/>
    <s v="2022-10-28"/>
    <x v="4"/>
    <n v="201831"/>
    <n v="184229"/>
    <s v="2022-11-05"/>
    <x v="1"/>
    <n v="56.7"/>
    <s v="Warm"/>
    <s v="Customer very satisfied, 5 star review given"/>
  </r>
  <r>
    <s v="LD0122"/>
    <s v="Suresh Bhalerao"/>
    <n v="9792463878"/>
    <x v="2"/>
    <x v="1"/>
    <s v="Justdial Sponsored — Inbound"/>
    <x v="4"/>
    <s v="2022-10-27"/>
    <x v="9"/>
    <x v="9"/>
    <x v="0"/>
    <n v="4"/>
    <n v="1"/>
    <s v="2022-10-31"/>
    <x v="3"/>
    <n v="148447"/>
    <m/>
    <m/>
    <x v="0"/>
    <n v="11.1"/>
    <s v="Warm"/>
    <s v="Site visit to be scheduled"/>
  </r>
  <r>
    <s v="LD0123"/>
    <s v="Sunanda Holkar"/>
    <n v="9297438548"/>
    <x v="3"/>
    <x v="2"/>
    <s v="Neighbour Referral"/>
    <x v="0"/>
    <s v="2022-10-29"/>
    <x v="9"/>
    <x v="9"/>
    <x v="0"/>
    <n v="4"/>
    <n v="3"/>
    <s v="2022-11-19"/>
    <x v="1"/>
    <n v="331316"/>
    <m/>
    <m/>
    <x v="1"/>
    <n v="76.7"/>
    <s v="Warm"/>
    <s v="Interested but waiting for loan approval"/>
  </r>
  <r>
    <s v="LD0124"/>
    <s v="Bharati Salve"/>
    <n v="9499264207"/>
    <x v="2"/>
    <x v="1"/>
    <s v="Justdial Premium Listing — Inbound"/>
    <x v="0"/>
    <s v="2022-11-01"/>
    <x v="10"/>
    <x v="10"/>
    <x v="0"/>
    <n v="4"/>
    <n v="2"/>
    <s v="2022-11-09"/>
    <x v="0"/>
    <n v="593175"/>
    <m/>
    <m/>
    <x v="1"/>
    <n v="85.4"/>
    <s v="Cold"/>
    <s v="Project cancelled by customer"/>
  </r>
  <r>
    <s v="LD0125"/>
    <s v="Ravi Gaikwad"/>
    <n v="9905407446"/>
    <x v="4"/>
    <x v="5"/>
    <s v="Site Visit Walk-in"/>
    <x v="2"/>
    <s v="2022-11-02"/>
    <x v="10"/>
    <x v="10"/>
    <x v="0"/>
    <n v="4"/>
    <n v="5"/>
    <s v="2022-12-10"/>
    <x v="0"/>
    <n v="198573"/>
    <m/>
    <m/>
    <x v="0"/>
    <n v="32"/>
    <s v="Cold"/>
    <s v="Customer did not proceed with project"/>
  </r>
  <r>
    <s v="LD0126"/>
    <s v="Manoj Mane"/>
    <n v="9276218805"/>
    <x v="3"/>
    <x v="1"/>
    <s v="Justdial Premium Listing — Inbound"/>
    <x v="2"/>
    <s v="2022-11-04"/>
    <x v="10"/>
    <x v="10"/>
    <x v="0"/>
    <n v="4"/>
    <n v="4"/>
    <s v="2022-12-01"/>
    <x v="3"/>
    <n v="281010"/>
    <m/>
    <m/>
    <x v="1"/>
    <n v="18"/>
    <s v="Warm"/>
    <s v="Follow up after Diwali"/>
  </r>
  <r>
    <s v="LD0127"/>
    <s v="Kiran Kulkarni"/>
    <n v="9874360740"/>
    <x v="0"/>
    <x v="1"/>
    <s v="Justdial Free Listing — Inbound"/>
    <x v="0"/>
    <s v="2022-11-07"/>
    <x v="10"/>
    <x v="10"/>
    <x v="0"/>
    <n v="4"/>
    <n v="0"/>
    <s v="2022-11-14"/>
    <x v="3"/>
    <n v="446460"/>
    <m/>
    <m/>
    <x v="1"/>
    <n v="18.600000000000001"/>
    <s v="Hot"/>
    <s v="Customer visited showroom twice, very interested"/>
  </r>
  <r>
    <s v="LD0128"/>
    <s v="Amit Kshirsagar"/>
    <n v="9493914829"/>
    <x v="0"/>
    <x v="1"/>
    <s v="Justdial Premium Listing — Inbound"/>
    <x v="5"/>
    <s v="2022-11-09"/>
    <x v="10"/>
    <x v="10"/>
    <x v="0"/>
    <n v="4"/>
    <n v="0"/>
    <s v="2022-11-14"/>
    <x v="0"/>
    <n v="63777"/>
    <m/>
    <m/>
    <x v="1"/>
    <n v="55.5"/>
    <s v="Cold"/>
    <s v="Customer got work done from relative"/>
  </r>
  <r>
    <s v="LD0129"/>
    <s v="Sanjay Shelke"/>
    <n v="9844567935"/>
    <x v="2"/>
    <x v="1"/>
    <s v="Justdial Premium Listing — Inbound"/>
    <x v="2"/>
    <s v="2022-11-11"/>
    <x v="10"/>
    <x v="10"/>
    <x v="0"/>
    <n v="4"/>
    <n v="3"/>
    <s v="2022-11-26"/>
    <x v="0"/>
    <n v="306127"/>
    <m/>
    <m/>
    <x v="0"/>
    <n v="59.7"/>
    <s v="Cold"/>
    <s v="Lost - no follow up done in time"/>
  </r>
  <r>
    <s v="LD0130"/>
    <s v="Umesh Thorat"/>
    <n v="9762888128"/>
    <x v="3"/>
    <x v="1"/>
    <s v="Justdial Free Listing — Inbound"/>
    <x v="3"/>
    <s v="2022-11-11"/>
    <x v="10"/>
    <x v="10"/>
    <x v="0"/>
    <n v="4"/>
    <n v="0"/>
    <s v="2022-11-21"/>
    <x v="0"/>
    <n v="144044"/>
    <m/>
    <m/>
    <x v="1"/>
    <n v="41"/>
    <s v="Cold"/>
    <s v="Project cancelled by customer"/>
  </r>
  <r>
    <s v="LD0131"/>
    <s v="Varsha Nikalje"/>
    <n v="9496287154"/>
    <x v="3"/>
    <x v="3"/>
    <s v="MagicBricks Property Enquiry — Inbound"/>
    <x v="1"/>
    <s v="2022-11-11"/>
    <x v="10"/>
    <x v="10"/>
    <x v="0"/>
    <n v="4"/>
    <m/>
    <s v="2022-12-12"/>
    <x v="1"/>
    <n v="119678"/>
    <m/>
    <m/>
    <x v="0"/>
    <n v="46.7"/>
    <s v="Warm"/>
    <s v="Wants more design options before deciding"/>
  </r>
  <r>
    <s v="LD0132"/>
    <s v="Rajesh Londhe"/>
    <n v="9176248559"/>
    <x v="0"/>
    <x v="5"/>
    <s v="Showroom Walk-in"/>
    <x v="3"/>
    <s v="2022-11-17"/>
    <x v="10"/>
    <x v="10"/>
    <x v="0"/>
    <n v="4"/>
    <n v="0"/>
    <s v="2022-11-25"/>
    <x v="3"/>
    <n v="105435"/>
    <m/>
    <m/>
    <x v="0"/>
    <n v="91.9"/>
    <s v="Cold"/>
    <s v="Duplicate enquiry"/>
  </r>
  <r>
    <s v="LD0133"/>
    <s v="Lata Zende"/>
    <n v="9637997228"/>
    <x v="2"/>
    <x v="4"/>
    <s v="99acres New Project Enquiry — Inbound"/>
    <x v="2"/>
    <s v="2022-11-19"/>
    <x v="10"/>
    <x v="10"/>
    <x v="0"/>
    <n v="4"/>
    <n v="3"/>
    <s v="2022-12-12"/>
    <x v="3"/>
    <n v="424429"/>
    <m/>
    <m/>
    <x v="0"/>
    <n v="29.6"/>
    <s v="Hot"/>
    <s v="Design presentation done, waiting for confirmation"/>
  </r>
  <r>
    <s v="LD0134"/>
    <s v="Arun Jadhav"/>
    <n v="9569747059"/>
    <x v="2"/>
    <x v="1"/>
    <s v="Justdial Free Listing — Inbound"/>
    <x v="2"/>
    <s v="2022-11-21"/>
    <x v="10"/>
    <x v="10"/>
    <x v="0"/>
    <n v="4"/>
    <n v="5"/>
    <s v="2022-12-26"/>
    <x v="0"/>
    <n v="169034"/>
    <m/>
    <m/>
    <x v="1"/>
    <n v="35.4"/>
    <s v="Warm"/>
    <s v="Customer did not proceed with project"/>
  </r>
  <r>
    <s v="LD0135"/>
    <s v="Ravi Bhosale"/>
    <n v="9236290703"/>
    <x v="2"/>
    <x v="5"/>
    <s v="Exhibition Walk-in"/>
    <x v="0"/>
    <s v="2022-11-21"/>
    <x v="10"/>
    <x v="10"/>
    <x v="0"/>
    <n v="4"/>
    <n v="4"/>
    <s v="2022-12-19"/>
    <x v="1"/>
    <n v="578481"/>
    <m/>
    <m/>
    <x v="0"/>
    <n v="7"/>
    <s v="Hot"/>
    <s v="Design presentation done, waiting for confirmation"/>
  </r>
  <r>
    <s v="LD0136"/>
    <s v="Sonal Jadhav"/>
    <n v="9707890457"/>
    <x v="4"/>
    <x v="4"/>
    <s v="99acres Flat Owner Enquiry — Inbound"/>
    <x v="5"/>
    <s v="2022-11-24"/>
    <x v="10"/>
    <x v="10"/>
    <x v="0"/>
    <n v="4"/>
    <n v="2"/>
    <s v="2022-12-10"/>
    <x v="3"/>
    <n v="184617"/>
    <m/>
    <m/>
    <x v="0"/>
    <n v="25.1"/>
    <s v="Warm"/>
    <s v="Follow up after flat possession"/>
  </r>
  <r>
    <s v="LD0137"/>
    <s v="Deepak Holkar"/>
    <n v="9553456129"/>
    <x v="2"/>
    <x v="1"/>
    <s v="Justdial Sponsored — Inbound"/>
    <x v="3"/>
    <s v="2022-11-25"/>
    <x v="10"/>
    <x v="10"/>
    <x v="0"/>
    <n v="4"/>
    <n v="3"/>
    <s v="2022-12-05"/>
    <x v="4"/>
    <n v="134969"/>
    <n v="122453"/>
    <s v="2022-12-07"/>
    <x v="0"/>
    <n v="59.4"/>
    <s v="Hot"/>
    <s v="Work order signed, production started"/>
  </r>
  <r>
    <s v="LD0138"/>
    <s v="Nikhil Kakade"/>
    <n v="9863166250"/>
    <x v="4"/>
    <x v="2"/>
    <s v="Architect Referral"/>
    <x v="1"/>
    <s v="2022-11-28"/>
    <x v="10"/>
    <x v="10"/>
    <x v="0"/>
    <n v="4"/>
    <n v="1"/>
    <s v="2022-12-03"/>
    <x v="0"/>
    <n v="67594"/>
    <m/>
    <m/>
    <x v="0"/>
    <n v="13.8"/>
    <s v="Cold"/>
    <s v="Lost to branded competitor"/>
  </r>
  <r>
    <s v="LD0139"/>
    <s v="Meena Sonawane"/>
    <n v="9862509565"/>
    <x v="2"/>
    <x v="4"/>
    <s v="99acres New Project Enquiry — Inbound"/>
    <x v="5"/>
    <s v="2022-11-28"/>
    <x v="10"/>
    <x v="10"/>
    <x v="0"/>
    <n v="4"/>
    <n v="3"/>
    <s v="2022-12-21"/>
    <x v="3"/>
    <n v="78872"/>
    <m/>
    <m/>
    <x v="0"/>
    <n v="92.7"/>
    <s v="Cold"/>
    <s v="Just enquiring, no serious intent"/>
  </r>
  <r>
    <s v="LD0140"/>
    <s v="Pooja Mane"/>
    <n v="9668883968"/>
    <x v="0"/>
    <x v="1"/>
    <s v="Justdial Free Listing — Inbound"/>
    <x v="3"/>
    <s v="2022-12-05"/>
    <x v="11"/>
    <x v="11"/>
    <x v="0"/>
    <n v="4"/>
    <n v="5"/>
    <s v="2022-12-27"/>
    <x v="0"/>
    <n v="77527"/>
    <m/>
    <m/>
    <x v="1"/>
    <n v="91.6"/>
    <s v="Cold"/>
    <m/>
  </r>
  <r>
    <s v="LD0141"/>
    <s v="Nilesh Jadhav"/>
    <n v="9198761306"/>
    <x v="3"/>
    <x v="1"/>
    <s v="Justdial Premium Listing — Inbound"/>
    <x v="3"/>
    <s v="2022-12-05"/>
    <x v="11"/>
    <x v="11"/>
    <x v="0"/>
    <n v="4"/>
    <n v="1"/>
    <s v="2022-12-21"/>
    <x v="1"/>
    <n v="87541"/>
    <m/>
    <m/>
    <x v="1"/>
    <n v="79.099999999999994"/>
    <s v="Hot"/>
    <s v="Final quote shared, awaiting approval"/>
  </r>
  <r>
    <s v="LD0142"/>
    <s v="Ravi Pawar"/>
    <n v="9707363258"/>
    <x v="2"/>
    <x v="2"/>
    <s v="Architect Referral"/>
    <x v="3"/>
    <s v="2022-12-07"/>
    <x v="11"/>
    <x v="11"/>
    <x v="0"/>
    <n v="4"/>
    <n v="4"/>
    <s v="2023-01-11"/>
    <x v="1"/>
    <n v="89250"/>
    <m/>
    <m/>
    <x v="1"/>
    <n v="76.400000000000006"/>
    <s v="Cold"/>
    <s v="Duplicate enquiry"/>
  </r>
  <r>
    <s v="LD0143"/>
    <s v="Hemant Sawant"/>
    <n v="9360472583"/>
    <x v="0"/>
    <x v="5"/>
    <s v="Exhibition Walk-in"/>
    <x v="0"/>
    <s v="2022-12-08"/>
    <x v="11"/>
    <x v="11"/>
    <x v="0"/>
    <n v="4"/>
    <n v="2"/>
    <s v="2022-12-22"/>
    <x v="4"/>
    <n v="266587"/>
    <n v="263827"/>
    <s v="2023-01-02"/>
    <x v="1"/>
    <n v="13.8"/>
    <s v="Hot"/>
    <s v="Token paid, measurement done, work started"/>
  </r>
  <r>
    <s v="LD0144"/>
    <s v="Sonal Thorat"/>
    <n v="9384550090"/>
    <x v="3"/>
    <x v="1"/>
    <s v="Justdial Free Listing — Inbound"/>
    <x v="0"/>
    <s v="2022-12-09"/>
    <x v="11"/>
    <x v="11"/>
    <x v="0"/>
    <n v="4"/>
    <n v="2"/>
    <s v="2022-12-19"/>
    <x v="0"/>
    <n v="484332"/>
    <m/>
    <m/>
    <x v="0"/>
    <n v="34.299999999999997"/>
    <s v="Cold"/>
    <s v="Lost - no follow up done in time"/>
  </r>
  <r>
    <s v="LD0145"/>
    <s v="Devendra Holkar"/>
    <n v="9416866759"/>
    <x v="0"/>
    <x v="4"/>
    <s v="99acres Flat Owner Enquiry — Inbound"/>
    <x v="0"/>
    <s v="2022-12-13"/>
    <x v="11"/>
    <x v="11"/>
    <x v="0"/>
    <n v="4"/>
    <n v="4"/>
    <s v="2023-01-10"/>
    <x v="1"/>
    <n v="534751"/>
    <m/>
    <m/>
    <x v="0"/>
    <n v="31.2"/>
    <s v="Hot"/>
    <s v="Ready to proceed, discussing payment terms"/>
  </r>
  <r>
    <s v="LD0146"/>
    <s v="Jyoti Bhosale"/>
    <n v="9716233644"/>
    <x v="0"/>
    <x v="1"/>
    <s v="Justdial Sponsored — Inbound"/>
    <x v="2"/>
    <s v="2022-12-17"/>
    <x v="11"/>
    <x v="11"/>
    <x v="0"/>
    <n v="4"/>
    <n v="2"/>
    <s v="2022-12-30"/>
    <x v="2"/>
    <n v="363663"/>
    <m/>
    <m/>
    <x v="0"/>
    <n v="11"/>
    <s v="Cold"/>
    <s v="Project on hold"/>
  </r>
  <r>
    <s v="LD0147"/>
    <s v="Kavita Bhalerao"/>
    <n v="9252098390"/>
    <x v="4"/>
    <x v="4"/>
    <s v="99acres Flat Owner Enquiry — Inbound"/>
    <x v="0"/>
    <s v="2022-12-17"/>
    <x v="11"/>
    <x v="11"/>
    <x v="0"/>
    <n v="4"/>
    <n v="0"/>
    <s v="2022-12-22"/>
    <x v="3"/>
    <n v="329487"/>
    <m/>
    <m/>
    <x v="0"/>
    <n v="88.7"/>
    <s v="Warm"/>
    <s v="Follow up after Akshaya Tritiya"/>
  </r>
  <r>
    <s v="LD0148"/>
    <s v="Pooja Yadav"/>
    <n v="9976479512"/>
    <x v="0"/>
    <x v="0"/>
    <s v="Friend Reference"/>
    <x v="2"/>
    <s v="2022-12-26"/>
    <x v="11"/>
    <x v="11"/>
    <x v="0"/>
    <n v="4"/>
    <n v="1"/>
    <s v="2023-01-09"/>
    <x v="3"/>
    <n v="139359"/>
    <m/>
    <m/>
    <x v="0"/>
    <n v="26.9"/>
    <s v="Warm"/>
    <s v="Call back after 1 month"/>
  </r>
  <r>
    <s v="LD0149"/>
    <s v="Deepak Bhosale"/>
    <n v="9368277223"/>
    <x v="3"/>
    <x v="3"/>
    <s v="MagicBricks Enquiry — Inbound"/>
    <x v="0"/>
    <s v="2022-12-27"/>
    <x v="11"/>
    <x v="11"/>
    <x v="0"/>
    <n v="4"/>
    <m/>
    <s v="2023-01-17"/>
    <x v="1"/>
    <n v="377596"/>
    <m/>
    <m/>
    <x v="1"/>
    <n v="29.4"/>
    <s v="Warm"/>
    <s v="Follow up after flat possession"/>
  </r>
  <r>
    <s v="LD0150"/>
    <s v="Alka Londhe"/>
    <n v="9443527737"/>
    <x v="3"/>
    <x v="1"/>
    <s v="Justdial Free Listing — Inbound"/>
    <x v="2"/>
    <s v="2022-12-28"/>
    <x v="11"/>
    <x v="11"/>
    <x v="0"/>
    <n v="4"/>
    <n v="2"/>
    <s v="2023-01-11"/>
    <x v="1"/>
    <n v="322926"/>
    <m/>
    <m/>
    <x v="0"/>
    <n v="9.1999999999999993"/>
    <s v="Cold"/>
    <s v="Not interested anymore"/>
  </r>
  <r>
    <s v="LD0151"/>
    <s v="Varsha Mohite"/>
    <n v="9240346956"/>
    <x v="2"/>
    <x v="5"/>
    <s v="Site Visit Walk-in"/>
    <x v="3"/>
    <s v="2022-12-29"/>
    <x v="11"/>
    <x v="11"/>
    <x v="0"/>
    <n v="4"/>
    <n v="4"/>
    <s v="2023-01-28"/>
    <x v="3"/>
    <n v="145101"/>
    <m/>
    <m/>
    <x v="0"/>
    <n v="18"/>
    <s v="Hot"/>
    <s v="Site visit done, quotation shared"/>
  </r>
  <r>
    <s v="LD0152"/>
    <s v="Hemant Shinde"/>
    <n v="9628524423"/>
    <x v="2"/>
    <x v="1"/>
    <s v="Justdial Free Listing — Inbound"/>
    <x v="0"/>
    <s v="2022-12-30"/>
    <x v="11"/>
    <x v="11"/>
    <x v="0"/>
    <n v="4"/>
    <n v="4"/>
    <s v="2023-01-17"/>
    <x v="1"/>
    <n v="589672"/>
    <m/>
    <m/>
    <x v="0"/>
    <n v="91.3"/>
    <s v="Warm"/>
    <s v="New flat, moving in after 2 months"/>
  </r>
  <r>
    <s v="LD0153"/>
    <s v="Sunil Phule"/>
    <n v="9701457391"/>
    <x v="4"/>
    <x v="1"/>
    <s v="Justdial Sponsored — Inbound"/>
    <x v="1"/>
    <s v="2023-01-02"/>
    <x v="0"/>
    <x v="0"/>
    <x v="1"/>
    <n v="1"/>
    <n v="0"/>
    <s v="2023-01-09"/>
    <x v="1"/>
    <n v="219038"/>
    <m/>
    <m/>
    <x v="0"/>
    <n v="68.599999999999994"/>
    <s v="Warm"/>
    <s v="New flat, moving in after 2 months"/>
  </r>
  <r>
    <s v="LD0154"/>
    <s v="Meena Londhe"/>
    <n v="9767660223"/>
    <x v="3"/>
    <x v="4"/>
    <s v="99acres Flat Owner Enquiry — Inbound"/>
    <x v="3"/>
    <s v="2023-01-02"/>
    <x v="0"/>
    <x v="0"/>
    <x v="1"/>
    <n v="1"/>
    <n v="10"/>
    <s v="2023-03-06"/>
    <x v="0"/>
    <n v="162839"/>
    <m/>
    <m/>
    <x v="1"/>
    <n v="4.7"/>
    <s v="Cold"/>
    <s v="Budget mismatch - too low"/>
  </r>
  <r>
    <s v="LD0155"/>
    <s v="Amit Gaikwad"/>
    <n v="9560662565"/>
    <x v="2"/>
    <x v="5"/>
    <s v="Showroom Walk-in"/>
    <x v="2"/>
    <s v="2023-01-02"/>
    <x v="0"/>
    <x v="0"/>
    <x v="1"/>
    <n v="1"/>
    <n v="2"/>
    <s v="2023-01-19"/>
    <x v="3"/>
    <n v="416604"/>
    <m/>
    <m/>
    <x v="1"/>
    <m/>
    <s v="Warm"/>
    <s v="Customer interested, flat handover next month"/>
  </r>
  <r>
    <s v="LD0156"/>
    <s v="Smita More"/>
    <n v="9283429671"/>
    <x v="0"/>
    <x v="5"/>
    <s v="Site Visit Walk-in"/>
    <x v="4"/>
    <s v="2023-01-02"/>
    <x v="0"/>
    <x v="0"/>
    <x v="1"/>
    <n v="1"/>
    <n v="7"/>
    <s v="2023-02-01"/>
    <x v="3"/>
    <n v="272035"/>
    <m/>
    <m/>
    <x v="0"/>
    <n v="24"/>
    <s v="Warm"/>
    <m/>
  </r>
  <r>
    <s v="LD0157"/>
    <s v="Jyoti Gaikwad"/>
    <n v="9694973692"/>
    <x v="3"/>
    <x v="4"/>
    <s v="99acres Flat Owner Enquiry — Inbound"/>
    <x v="1"/>
    <s v="2023-01-03"/>
    <x v="0"/>
    <x v="0"/>
    <x v="1"/>
    <n v="1"/>
    <n v="5"/>
    <s v="2023-01-19"/>
    <x v="1"/>
    <n v="179028"/>
    <m/>
    <m/>
    <x v="0"/>
    <n v="14.7"/>
    <s v="Cold"/>
    <s v="No response after 4 follow ups"/>
  </r>
  <r>
    <s v="LD0158"/>
    <s v="Deepak Bansode"/>
    <n v="9276260482"/>
    <x v="0"/>
    <x v="1"/>
    <s v="Justdial Sponsored — Inbound"/>
    <x v="6"/>
    <s v="2023-01-04"/>
    <x v="0"/>
    <x v="0"/>
    <x v="1"/>
    <n v="1"/>
    <n v="5"/>
    <s v="2023-02-10"/>
    <x v="0"/>
    <n v="166324"/>
    <m/>
    <m/>
    <x v="1"/>
    <n v="23.9"/>
    <s v="Cold"/>
    <m/>
  </r>
  <r>
    <s v="LD0159"/>
    <s v="Lata Salve"/>
    <n v="9151697938"/>
    <x v="4"/>
    <x v="0"/>
    <s v="Colony Reference"/>
    <x v="0"/>
    <s v="2023-01-06"/>
    <x v="0"/>
    <x v="0"/>
    <x v="1"/>
    <n v="1"/>
    <n v="5"/>
    <s v="2023-01-24"/>
    <x v="1"/>
    <n v="553625"/>
    <m/>
    <m/>
    <x v="0"/>
    <n v="21"/>
    <s v="Hot"/>
    <s v="Very interested, finalising design"/>
  </r>
  <r>
    <s v="LD0160"/>
    <s v="Mahesh Kulkarni"/>
    <n v="9227460504"/>
    <x v="0"/>
    <x v="1"/>
    <s v="Justdial Free Listing — Inbound"/>
    <x v="5"/>
    <s v="2023-01-09"/>
    <x v="0"/>
    <x v="0"/>
    <x v="1"/>
    <n v="1"/>
    <n v="7"/>
    <s v="2023-02-01"/>
    <x v="1"/>
    <n v="195645"/>
    <m/>
    <m/>
    <x v="1"/>
    <n v="34.200000000000003"/>
    <s v="Hot"/>
    <s v="Final quote shared, awaiting approval"/>
  </r>
  <r>
    <s v="LD0161"/>
    <s v="Suresh Wagh"/>
    <n v="9207593219"/>
    <x v="4"/>
    <x v="2"/>
    <s v="Client Referral"/>
    <x v="5"/>
    <s v="2023-01-09"/>
    <x v="0"/>
    <x v="0"/>
    <x v="1"/>
    <n v="1"/>
    <n v="9"/>
    <s v="2023-03-06"/>
    <x v="3"/>
    <n v="194600"/>
    <m/>
    <m/>
    <x v="1"/>
    <n v="32.200000000000003"/>
    <s v="Warm"/>
    <s v="Follow up after Akshaya Tritiya"/>
  </r>
  <r>
    <s v="LD0162"/>
    <s v="Smita Salve"/>
    <n v="9316544937"/>
    <x v="4"/>
    <x v="0"/>
    <s v="Colony Reference"/>
    <x v="1"/>
    <s v="2023-01-09"/>
    <x v="0"/>
    <x v="0"/>
    <x v="1"/>
    <n v="1"/>
    <n v="7"/>
    <s v="2023-02-04"/>
    <x v="4"/>
    <n v="118227"/>
    <n v="104348"/>
    <s v="2023-02-25"/>
    <x v="1"/>
    <n v="11.8"/>
    <s v="Hot"/>
    <s v="Token paid, measurement done, work started"/>
  </r>
  <r>
    <s v="LD0163"/>
    <s v="Smita Deshpande"/>
    <n v="9803731001"/>
    <x v="0"/>
    <x v="0"/>
    <s v="Family Reference"/>
    <x v="3"/>
    <s v="2023-01-09"/>
    <x v="0"/>
    <x v="0"/>
    <x v="1"/>
    <n v="1"/>
    <n v="6"/>
    <s v="2023-02-14"/>
    <x v="0"/>
    <n v="125449"/>
    <m/>
    <m/>
    <x v="0"/>
    <n v="65.2"/>
    <s v="Cold"/>
    <s v="Budget mismatch - too low"/>
  </r>
  <r>
    <s v="LD0164"/>
    <s v="Ashwini Joshi"/>
    <n v="9152925780"/>
    <x v="0"/>
    <x v="5"/>
    <s v="Exhibition Walk-in"/>
    <x v="1"/>
    <s v="2023-01-09"/>
    <x v="0"/>
    <x v="0"/>
    <x v="1"/>
    <n v="1"/>
    <n v="0"/>
    <s v="2023-01-19"/>
    <x v="1"/>
    <n v="144867"/>
    <m/>
    <m/>
    <x v="0"/>
    <n v="46"/>
    <s v="Warm"/>
    <s v="Follow up after Gudi Padwa"/>
  </r>
  <r>
    <s v="LD0165"/>
    <s v="Lata Aware"/>
    <n v="9195871030"/>
    <x v="2"/>
    <x v="4"/>
    <s v="99acres Flat Owner Enquiry — Inbound"/>
    <x v="2"/>
    <s v="2023-01-10"/>
    <x v="0"/>
    <x v="0"/>
    <x v="1"/>
    <n v="1"/>
    <n v="4"/>
    <s v="2023-02-13"/>
    <x v="3"/>
    <n v="430503"/>
    <m/>
    <m/>
    <x v="0"/>
    <n v="34.1"/>
    <s v="Cold"/>
    <s v="Not interested anymore"/>
  </r>
  <r>
    <s v="LD0166"/>
    <s v="Anita Nimbalkar"/>
    <n v="9707254955"/>
    <x v="0"/>
    <x v="6"/>
    <s v="Facebook Diwali Offer"/>
    <x v="7"/>
    <s v="2023-01-10"/>
    <x v="0"/>
    <x v="0"/>
    <x v="1"/>
    <n v="1"/>
    <n v="0"/>
    <s v="2023-01-17"/>
    <x v="4"/>
    <n v="647255"/>
    <n v="584283"/>
    <s v="2023-02-07"/>
    <x v="1"/>
    <n v="71.599999999999994"/>
    <s v="Hot"/>
    <s v="Customer happy with sample, deal closed"/>
  </r>
  <r>
    <s v="LD0167"/>
    <s v="Smita Tupe"/>
    <n v="9984595578"/>
    <x v="3"/>
    <x v="7"/>
    <s v="SEO Organic"/>
    <x v="4"/>
    <s v="2023-01-11"/>
    <x v="0"/>
    <x v="0"/>
    <x v="1"/>
    <n v="1"/>
    <n v="2"/>
    <s v="2023-01-20"/>
    <x v="4"/>
    <n v="112565"/>
    <n v="111847"/>
    <s v="2023-02-03"/>
    <x v="1"/>
    <n v="63.6"/>
    <s v="Hot"/>
    <s v="Token paid, measurement done, work started"/>
  </r>
  <r>
    <s v="LD0168"/>
    <s v="Sunil Chavan"/>
    <n v="9703418543"/>
    <x v="3"/>
    <x v="2"/>
    <s v="Contractor Referral"/>
    <x v="0"/>
    <s v="2023-01-13"/>
    <x v="0"/>
    <x v="0"/>
    <x v="1"/>
    <n v="1"/>
    <n v="10"/>
    <s v="2023-02-25"/>
    <x v="0"/>
    <n v="567437"/>
    <m/>
    <m/>
    <x v="1"/>
    <n v="47.5"/>
    <s v="Cold"/>
    <s v="Budget mismatch - too low"/>
  </r>
  <r>
    <s v="LD0169"/>
    <s v="Mahesh Sonawane"/>
    <n v="9827920634"/>
    <x v="2"/>
    <x v="7"/>
    <s v="Google Ads"/>
    <x v="3"/>
    <s v="2023-01-13"/>
    <x v="0"/>
    <x v="0"/>
    <x v="1"/>
    <n v="1"/>
    <n v="1"/>
    <s v="2023-01-19"/>
    <x v="3"/>
    <n v="121365"/>
    <m/>
    <m/>
    <x v="1"/>
    <n v="32"/>
    <s v="Hot"/>
    <m/>
  </r>
  <r>
    <s v="LD0170"/>
    <s v="Nanda Kale"/>
    <n v="9753901994"/>
    <x v="0"/>
    <x v="2"/>
    <s v="Architect Referral"/>
    <x v="5"/>
    <s v="2023-01-14"/>
    <x v="0"/>
    <x v="0"/>
    <x v="1"/>
    <n v="1"/>
    <n v="5"/>
    <s v="2023-02-13"/>
    <x v="1"/>
    <n v="102001"/>
    <m/>
    <m/>
    <x v="1"/>
    <n v="48.7"/>
    <s v="Hot"/>
    <s v="Customer comparing 1-2 vendors only"/>
  </r>
  <r>
    <s v="LD0171"/>
    <s v="Kiran Kadam"/>
    <n v="9705855162"/>
    <x v="2"/>
    <x v="2"/>
    <s v="Contractor Referral"/>
    <x v="7"/>
    <s v="2023-01-16"/>
    <x v="0"/>
    <x v="0"/>
    <x v="1"/>
    <n v="1"/>
    <n v="0"/>
    <s v="2023-01-24"/>
    <x v="4"/>
    <n v="695294"/>
    <n v="669984"/>
    <s v="2023-02-09"/>
    <x v="0"/>
    <n v="29.1"/>
    <s v="Warm"/>
    <s v="Customer referred 2 more leads after delivery"/>
  </r>
  <r>
    <s v="LD0172"/>
    <s v="Sonal Gaikwad"/>
    <n v="9867064555"/>
    <x v="0"/>
    <x v="1"/>
    <s v="Justdial Premium Listing — Inbound"/>
    <x v="0"/>
    <s v="2023-01-16"/>
    <x v="0"/>
    <x v="0"/>
    <x v="1"/>
    <n v="1"/>
    <n v="10"/>
    <s v="2023-02-22"/>
    <x v="1"/>
    <n v="425943"/>
    <m/>
    <m/>
    <x v="0"/>
    <n v="62.5"/>
    <s v="Warm"/>
    <s v="Call back after 1 month"/>
  </r>
  <r>
    <s v="LD0173"/>
    <s v="Hemant Nimbalkar"/>
    <n v="9868443155"/>
    <x v="2"/>
    <x v="1"/>
    <s v="Justdial Premium Listing — Inbound"/>
    <x v="7"/>
    <s v="2023-01-17"/>
    <x v="0"/>
    <x v="0"/>
    <x v="1"/>
    <n v="1"/>
    <n v="6"/>
    <s v="2023-03-01"/>
    <x v="1"/>
    <n v="1134577"/>
    <m/>
    <m/>
    <x v="1"/>
    <n v="71.5"/>
    <s v="Hot"/>
    <s v="Sample seen at showroom, liked veneer finish"/>
  </r>
  <r>
    <s v="LD0174"/>
    <s v="Sunita Suryawanshi"/>
    <n v="9553533911"/>
    <x v="0"/>
    <x v="2"/>
    <s v="Contractor Referral"/>
    <x v="7"/>
    <s v="2023-01-17"/>
    <x v="0"/>
    <x v="0"/>
    <x v="1"/>
    <n v="1"/>
    <n v="10"/>
    <s v="2023-03-28"/>
    <x v="1"/>
    <n v="931405"/>
    <m/>
    <m/>
    <x v="0"/>
    <n v="49.4"/>
    <s v="Warm"/>
    <s v="New flat, moving in after 2 months"/>
  </r>
  <r>
    <s v="LD0175"/>
    <s v="Pramod Sawant"/>
    <n v="9135509761"/>
    <x v="4"/>
    <x v="1"/>
    <s v="Justdial Premium Listing — Inbound"/>
    <x v="0"/>
    <s v="2023-01-17"/>
    <x v="0"/>
    <x v="0"/>
    <x v="1"/>
    <n v="1"/>
    <n v="3"/>
    <s v="2023-01-30"/>
    <x v="1"/>
    <n v="546563"/>
    <m/>
    <m/>
    <x v="1"/>
    <n v="42.7"/>
    <s v="Warm"/>
    <m/>
  </r>
  <r>
    <s v="LD0176"/>
    <s v="Seema Salve"/>
    <n v="9212447665"/>
    <x v="0"/>
    <x v="5"/>
    <s v="Exhibition Walk-in"/>
    <x v="0"/>
    <s v="2023-01-18"/>
    <x v="0"/>
    <x v="0"/>
    <x v="1"/>
    <n v="1"/>
    <n v="4"/>
    <s v="2023-01-26"/>
    <x v="3"/>
    <n v="628439"/>
    <m/>
    <m/>
    <x v="1"/>
    <n v="34.700000000000003"/>
    <s v="Hot"/>
    <s v="Token amount discussed, decision this week"/>
  </r>
  <r>
    <s v="LD0177"/>
    <s v="Deepak Deshpande"/>
    <n v="9294493146"/>
    <x v="3"/>
    <x v="6"/>
    <s v="Facebook Kitchen Showcase"/>
    <x v="4"/>
    <s v="2023-01-19"/>
    <x v="0"/>
    <x v="0"/>
    <x v="1"/>
    <n v="1"/>
    <n v="8"/>
    <s v="2023-02-25"/>
    <x v="0"/>
    <n v="119095"/>
    <m/>
    <m/>
    <x v="1"/>
    <n v="36.299999999999997"/>
    <s v="Cold"/>
    <s v="Budget mismatch - too low"/>
  </r>
  <r>
    <s v="LD0178"/>
    <s v="Manisha Thorat"/>
    <n v="9959922040"/>
    <x v="3"/>
    <x v="7"/>
    <s v="SEO Organic"/>
    <x v="2"/>
    <s v="2023-01-19"/>
    <x v="0"/>
    <x v="0"/>
    <x v="1"/>
    <n v="1"/>
    <n v="7"/>
    <s v="2023-02-10"/>
    <x v="1"/>
    <n v="389187"/>
    <m/>
    <m/>
    <x v="1"/>
    <n v="62.8"/>
    <s v="Warm"/>
    <s v="Customer interested, flat handover next month"/>
  </r>
  <r>
    <s v="LD0179"/>
    <s v="Kiran More"/>
    <n v="9377733976"/>
    <x v="0"/>
    <x v="1"/>
    <s v="Justdial Free Listing — Inbound"/>
    <x v="7"/>
    <s v="2023-01-21"/>
    <x v="0"/>
    <x v="0"/>
    <x v="1"/>
    <n v="1"/>
    <n v="5"/>
    <s v="2023-02-15"/>
    <x v="0"/>
    <n v="868590"/>
    <m/>
    <m/>
    <x v="0"/>
    <n v="36.299999999999997"/>
    <s v="Cold"/>
    <s v="Budget mismatch - too low"/>
  </r>
  <r>
    <s v="LD0180"/>
    <s v="Divya Shelke"/>
    <n v="9894024006"/>
    <x v="2"/>
    <x v="1"/>
    <s v="Justdial Sponsored — Inbound"/>
    <x v="2"/>
    <s v="2023-01-25"/>
    <x v="0"/>
    <x v="0"/>
    <x v="1"/>
    <n v="1"/>
    <n v="7"/>
    <s v="2023-02-16"/>
    <x v="0"/>
    <n v="434780"/>
    <m/>
    <m/>
    <x v="1"/>
    <n v="40.799999999999997"/>
    <s v="Cold"/>
    <s v="Lost to branded competitor"/>
  </r>
  <r>
    <s v="LD0181"/>
    <s v="Vikas More"/>
    <n v="9443328397"/>
    <x v="4"/>
    <x v="5"/>
    <s v="Showroom Walk-in"/>
    <x v="2"/>
    <s v="2023-01-25"/>
    <x v="0"/>
    <x v="0"/>
    <x v="1"/>
    <n v="1"/>
    <n v="10"/>
    <s v="2023-02-24"/>
    <x v="2"/>
    <n v="374915"/>
    <m/>
    <m/>
    <x v="0"/>
    <n v="50.5"/>
    <s v="Warm"/>
    <s v="New flat, moving in after 2 months"/>
  </r>
  <r>
    <s v="LD0182"/>
    <s v="Pravin Sonawane"/>
    <n v="9866979905"/>
    <x v="2"/>
    <x v="2"/>
    <s v="Client Referral"/>
    <x v="2"/>
    <s v="2023-01-25"/>
    <x v="0"/>
    <x v="0"/>
    <x v="1"/>
    <n v="1"/>
    <n v="7"/>
    <s v="2023-02-28"/>
    <x v="3"/>
    <n v="237698"/>
    <m/>
    <m/>
    <x v="1"/>
    <n v="42.9"/>
    <s v="Cold"/>
    <s v="Went with local carpenter"/>
  </r>
  <r>
    <s v="LD0183"/>
    <s v="Nikhil Patil"/>
    <n v="9642849045"/>
    <x v="4"/>
    <x v="4"/>
    <s v="99acres New Project Enquiry — Inbound"/>
    <x v="4"/>
    <s v="2023-01-28"/>
    <x v="0"/>
    <x v="0"/>
    <x v="1"/>
    <n v="1"/>
    <n v="8"/>
    <s v="2023-03-27"/>
    <x v="0"/>
    <n v="224319"/>
    <m/>
    <m/>
    <x v="0"/>
    <n v="47.6"/>
    <s v="Cold"/>
    <m/>
  </r>
  <r>
    <s v="LD0184"/>
    <s v="Deepak Aware"/>
    <n v="9732773408"/>
    <x v="1"/>
    <x v="5"/>
    <s v="Exhibition Walk-in"/>
    <x v="2"/>
    <s v="2023-01-30"/>
    <x v="0"/>
    <x v="0"/>
    <x v="1"/>
    <n v="1"/>
    <m/>
    <s v="2023-02-17"/>
    <x v="3"/>
    <n v="261631"/>
    <m/>
    <m/>
    <x v="0"/>
    <n v="7.2"/>
    <s v="Warm"/>
    <s v="Site visit to be scheduled"/>
  </r>
  <r>
    <s v="LD0185"/>
    <s v="Manoj Deshmukh"/>
    <n v="9371375678"/>
    <x v="0"/>
    <x v="0"/>
    <s v="Colony Reference"/>
    <x v="2"/>
    <s v="2023-01-30"/>
    <x v="0"/>
    <x v="0"/>
    <x v="1"/>
    <n v="1"/>
    <n v="6"/>
    <s v="2023-03-11"/>
    <x v="1"/>
    <n v="208347"/>
    <m/>
    <m/>
    <x v="0"/>
    <n v="7.3"/>
    <s v="Cold"/>
    <s v="Not interested anymore"/>
  </r>
  <r>
    <s v="LD0186"/>
    <s v="Smita Thorat"/>
    <n v="9737558411"/>
    <x v="2"/>
    <x v="5"/>
    <s v="Exhibition Walk-in"/>
    <x v="3"/>
    <s v="2023-01-30"/>
    <x v="0"/>
    <x v="0"/>
    <x v="1"/>
    <n v="1"/>
    <n v="0"/>
    <s v="2023-02-08"/>
    <x v="0"/>
    <n v="164982"/>
    <m/>
    <m/>
    <x v="1"/>
    <n v="31"/>
    <s v="Cold"/>
    <s v="Project cancelled by customer"/>
  </r>
  <r>
    <s v="LD0187"/>
    <s v="Nikhil Bhosale"/>
    <n v="9888208775"/>
    <x v="0"/>
    <x v="6"/>
    <s v="Facebook Diwali Offer"/>
    <x v="0"/>
    <s v="2023-01-30"/>
    <x v="0"/>
    <x v="0"/>
    <x v="1"/>
    <n v="1"/>
    <n v="0"/>
    <s v="2023-02-06"/>
    <x v="2"/>
    <n v="286245"/>
    <m/>
    <m/>
    <x v="1"/>
    <n v="65.7"/>
    <s v="Warm"/>
    <s v="Call back after 1 month"/>
  </r>
  <r>
    <s v="LD0188"/>
    <s v="Smita Deshpande"/>
    <n v="9791851361"/>
    <x v="2"/>
    <x v="2"/>
    <s v="Architect Referral"/>
    <x v="3"/>
    <s v="2023-01-30"/>
    <x v="0"/>
    <x v="0"/>
    <x v="1"/>
    <n v="1"/>
    <n v="12"/>
    <s v="2023-03-27"/>
    <x v="4"/>
    <n v="65656"/>
    <n v="57827"/>
    <s v="2023-03-31"/>
    <x v="1"/>
    <n v="14.1"/>
    <s v="Hot"/>
    <s v="Work order signed, production started"/>
  </r>
  <r>
    <s v="LD0189"/>
    <s v="Rohit Nikalje"/>
    <n v="9157635190"/>
    <x v="2"/>
    <x v="6"/>
    <s v="Facebook Home Decor Ads"/>
    <x v="3"/>
    <s v="2023-01-31"/>
    <x v="0"/>
    <x v="0"/>
    <x v="1"/>
    <n v="1"/>
    <n v="4"/>
    <s v="2023-02-28"/>
    <x v="0"/>
    <n v="229737"/>
    <m/>
    <m/>
    <x v="1"/>
    <n v="64.3"/>
    <s v="Cold"/>
    <s v="Went with local vendor"/>
  </r>
  <r>
    <s v="LD0190"/>
    <s v="Rohit Holkar"/>
    <n v="9271149511"/>
    <x v="0"/>
    <x v="5"/>
    <s v="Exhibition Walk-in"/>
    <x v="2"/>
    <s v="2023-01-31"/>
    <x v="0"/>
    <x v="0"/>
    <x v="1"/>
    <n v="1"/>
    <n v="11"/>
    <s v="2023-04-10"/>
    <x v="1"/>
    <n v="229926"/>
    <m/>
    <m/>
    <x v="0"/>
    <n v="15.3"/>
    <s v="Cold"/>
    <s v="Not responding to calls"/>
  </r>
  <r>
    <s v="LD0191"/>
    <s v="Archana Chavan"/>
    <n v="9700343937"/>
    <x v="0"/>
    <x v="1"/>
    <s v="Justdial Premium Listing — Inbound"/>
    <x v="0"/>
    <s v="2023-02-01"/>
    <x v="1"/>
    <x v="1"/>
    <x v="1"/>
    <n v="1"/>
    <n v="1"/>
    <s v="2023-02-11"/>
    <x v="3"/>
    <n v="299997"/>
    <m/>
    <m/>
    <x v="0"/>
    <n v="39.200000000000003"/>
    <s v="Warm"/>
    <s v="Wants more design options before deciding"/>
  </r>
  <r>
    <s v="LD0192"/>
    <s v="Nanda Sonawane"/>
    <n v="9648825565"/>
    <x v="2"/>
    <x v="6"/>
    <s v="Facebook Gudi Padwa Offer"/>
    <x v="7"/>
    <s v="2023-02-03"/>
    <x v="1"/>
    <x v="1"/>
    <x v="1"/>
    <n v="1"/>
    <n v="4"/>
    <s v="2023-03-02"/>
    <x v="1"/>
    <n v="634358"/>
    <m/>
    <m/>
    <x v="1"/>
    <n v="25.4"/>
    <s v="Warm"/>
    <s v="Interested but waiting for loan approval"/>
  </r>
  <r>
    <s v="LD0193"/>
    <s v="Dinesh Wagh"/>
    <n v="9872608028"/>
    <x v="2"/>
    <x v="0"/>
    <s v="Friend Reference"/>
    <x v="5"/>
    <s v="2023-02-06"/>
    <x v="1"/>
    <x v="1"/>
    <x v="1"/>
    <n v="1"/>
    <n v="9"/>
    <s v="2023-04-04"/>
    <x v="3"/>
    <n v="156902"/>
    <m/>
    <m/>
    <x v="0"/>
    <n v="39.1"/>
    <s v="Cold"/>
    <m/>
  </r>
  <r>
    <s v="LD0194"/>
    <s v="Shweta Kadam"/>
    <n v="9178538388"/>
    <x v="2"/>
    <x v="1"/>
    <s v="Justdial Free Listing — Inbound"/>
    <x v="2"/>
    <s v="2023-02-06"/>
    <x v="1"/>
    <x v="1"/>
    <x v="1"/>
    <n v="1"/>
    <n v="12"/>
    <s v="2023-04-06"/>
    <x v="1"/>
    <n v="168997"/>
    <m/>
    <m/>
    <x v="0"/>
    <n v="42.6"/>
    <s v="Warm"/>
    <s v="Site visit to be scheduled"/>
  </r>
  <r>
    <s v="LD0195"/>
    <s v="Rajesh Raut"/>
    <n v="9617661767"/>
    <x v="4"/>
    <x v="5"/>
    <s v="Exhibition Walk-in"/>
    <x v="1"/>
    <s v="2023-02-06"/>
    <x v="1"/>
    <x v="1"/>
    <x v="1"/>
    <n v="1"/>
    <n v="6"/>
    <s v="2023-03-16"/>
    <x v="0"/>
    <n v="283364"/>
    <m/>
    <m/>
    <x v="1"/>
    <n v="65.7"/>
    <s v="Cold"/>
    <s v="Project cancelled by customer"/>
  </r>
  <r>
    <s v="LD0196"/>
    <s v="Smita Kshirsagar"/>
    <n v="9365639987"/>
    <x v="2"/>
    <x v="5"/>
    <s v="Showroom Walk-in"/>
    <x v="0"/>
    <s v="2023-02-06"/>
    <x v="1"/>
    <x v="1"/>
    <x v="1"/>
    <n v="1"/>
    <n v="1"/>
    <s v="2023-02-13"/>
    <x v="4"/>
    <n v="697470"/>
    <n v="635371"/>
    <s v="2023-03-06"/>
    <x v="0"/>
    <n v="39.6"/>
    <s v="Hot"/>
    <s v="Customer very satisfied, 5 star review given"/>
  </r>
  <r>
    <s v="LD0197"/>
    <s v="Seema Sonawane"/>
    <n v="9717287602"/>
    <x v="2"/>
    <x v="5"/>
    <s v="Site Visit Walk-in"/>
    <x v="3"/>
    <s v="2023-02-07"/>
    <x v="1"/>
    <x v="1"/>
    <x v="1"/>
    <n v="1"/>
    <n v="1"/>
    <s v="2023-02-23"/>
    <x v="4"/>
    <n v="219695"/>
    <n v="206110"/>
    <s v="2023-03-13"/>
    <x v="1"/>
    <n v="38.200000000000003"/>
    <s v="Hot"/>
    <s v="Deal done, site work ongoing"/>
  </r>
  <r>
    <s v="LD0198"/>
    <s v="Shweta Deshpande"/>
    <n v="9799624335"/>
    <x v="0"/>
    <x v="1"/>
    <s v="Justdial Sponsored — Inbound"/>
    <x v="7"/>
    <s v="2023-02-07"/>
    <x v="1"/>
    <x v="1"/>
    <x v="1"/>
    <n v="1"/>
    <n v="6"/>
    <s v="2023-03-16"/>
    <x v="3"/>
    <n v="1188858"/>
    <m/>
    <m/>
    <x v="0"/>
    <n v="48.5"/>
    <s v="Hot"/>
    <s v="Very interested, finalising design"/>
  </r>
  <r>
    <s v="LD0199"/>
    <s v="Sunanda Deshmukh"/>
    <n v="9239939527"/>
    <x v="0"/>
    <x v="2"/>
    <s v="Neighbour Referral"/>
    <x v="5"/>
    <s v="2023-02-07"/>
    <x v="1"/>
    <x v="1"/>
    <x v="1"/>
    <n v="1"/>
    <n v="8"/>
    <s v="2023-03-06"/>
    <x v="3"/>
    <n v="197891"/>
    <m/>
    <m/>
    <x v="0"/>
    <n v="44.8"/>
    <s v="Cold"/>
    <s v="Went with local carpenter"/>
  </r>
  <r>
    <s v="LD0200"/>
    <s v="Pooja Mohite"/>
    <n v="9703591560"/>
    <x v="1"/>
    <x v="1"/>
    <s v="Justdial Free Listing — Inbound"/>
    <x v="6"/>
    <s v="2023-02-07"/>
    <x v="1"/>
    <x v="1"/>
    <x v="1"/>
    <n v="1"/>
    <n v="8"/>
    <s v="2023-03-20"/>
    <x v="0"/>
    <n v="270328"/>
    <m/>
    <m/>
    <x v="0"/>
    <n v="64.7"/>
    <s v="Warm"/>
    <s v="Lost - no follow up done in time"/>
  </r>
  <r>
    <s v="LD0201"/>
    <s v="Dinesh Deshpande"/>
    <n v="9124804609"/>
    <x v="0"/>
    <x v="4"/>
    <s v="99acres Flat Owner Enquiry — Inbound"/>
    <x v="3"/>
    <s v="2023-02-08"/>
    <x v="1"/>
    <x v="1"/>
    <x v="1"/>
    <n v="1"/>
    <n v="8"/>
    <s v="2023-03-29"/>
    <x v="1"/>
    <n v="97222"/>
    <m/>
    <m/>
    <x v="1"/>
    <n v="67.8"/>
    <s v="Warm"/>
    <s v="Budget discussion pending"/>
  </r>
  <r>
    <s v="LD0202"/>
    <s v="Jyoti Joshi"/>
    <n v="9836599683"/>
    <x v="2"/>
    <x v="3"/>
    <s v="MagicBricks Property Enquiry — Inbound"/>
    <x v="5"/>
    <s v="2023-02-08"/>
    <x v="1"/>
    <x v="1"/>
    <x v="1"/>
    <n v="1"/>
    <n v="4"/>
    <s v="2023-03-06"/>
    <x v="0"/>
    <n v="133305"/>
    <m/>
    <m/>
    <x v="0"/>
    <n v="29.3"/>
    <s v="Cold"/>
    <s v="Budget mismatch - too low"/>
  </r>
  <r>
    <s v="LD0203"/>
    <s v="Pravin Joshi"/>
    <n v="9447968711"/>
    <x v="0"/>
    <x v="7"/>
    <s v="SEO Organic"/>
    <x v="5"/>
    <s v="2023-02-08"/>
    <x v="1"/>
    <x v="1"/>
    <x v="1"/>
    <n v="1"/>
    <n v="6"/>
    <s v="2023-03-24"/>
    <x v="4"/>
    <n v="231997"/>
    <n v="234322"/>
    <s v="2023-04-09"/>
    <x v="0"/>
    <n v="65.7"/>
    <s v="Hot"/>
    <s v="Deal closed, advance received"/>
  </r>
  <r>
    <s v="LD0204"/>
    <s v="Anita Londhe"/>
    <n v="9679473892"/>
    <x v="0"/>
    <x v="6"/>
    <s v="Facebook Home Decor Ads"/>
    <x v="1"/>
    <s v="2023-02-09"/>
    <x v="1"/>
    <x v="1"/>
    <x v="1"/>
    <n v="1"/>
    <n v="3"/>
    <s v="2023-02-20"/>
    <x v="1"/>
    <n v="192601"/>
    <m/>
    <m/>
    <x v="1"/>
    <n v="43.4"/>
    <s v="Cold"/>
    <s v="Customer relocated"/>
  </r>
  <r>
    <s v="LD0205"/>
    <s v="Ritu Sonawane"/>
    <n v="9829699746"/>
    <x v="0"/>
    <x v="5"/>
    <s v="Showroom Walk-in"/>
    <x v="1"/>
    <s v="2023-02-09"/>
    <x v="1"/>
    <x v="1"/>
    <x v="1"/>
    <n v="1"/>
    <n v="5"/>
    <s v="2023-02-21"/>
    <x v="0"/>
    <n v="183114"/>
    <m/>
    <m/>
    <x v="0"/>
    <n v="67.400000000000006"/>
    <s v="Cold"/>
    <s v="Customer chose readymade furniture"/>
  </r>
  <r>
    <s v="LD0206"/>
    <s v="Rekha Salve"/>
    <n v="9807899575"/>
    <x v="1"/>
    <x v="6"/>
    <s v="Facebook Kitchen Showcase"/>
    <x v="3"/>
    <s v="2023-02-09"/>
    <x v="1"/>
    <x v="1"/>
    <x v="1"/>
    <n v="1"/>
    <n v="9"/>
    <s v="2023-03-23"/>
    <x v="0"/>
    <n v="170204"/>
    <m/>
    <m/>
    <x v="0"/>
    <n v="21.3"/>
    <s v="Cold"/>
    <s v="Customer chose readymade furniture"/>
  </r>
  <r>
    <s v="LD0207"/>
    <s v="Rekha Yadav"/>
    <n v="9766323040"/>
    <x v="4"/>
    <x v="6"/>
    <s v="Facebook Home Decor Ads"/>
    <x v="7"/>
    <s v="2023-02-10"/>
    <x v="1"/>
    <x v="1"/>
    <x v="1"/>
    <n v="1"/>
    <n v="0"/>
    <s v="2023-02-15"/>
    <x v="3"/>
    <n v="1126279"/>
    <m/>
    <m/>
    <x v="1"/>
    <n v="25.3"/>
    <s v="Cold"/>
    <s v="Price too high as per customer"/>
  </r>
  <r>
    <s v="LD0208"/>
    <s v="Rajesh Kakade"/>
    <n v="9227029844"/>
    <x v="1"/>
    <x v="1"/>
    <s v="Justdial Free Listing — Inbound"/>
    <x v="0"/>
    <s v="2023-02-11"/>
    <x v="1"/>
    <x v="1"/>
    <x v="1"/>
    <n v="1"/>
    <n v="6"/>
    <s v="2023-03-27"/>
    <x v="4"/>
    <n v="575287"/>
    <n v="550390"/>
    <s v="2023-04-10"/>
    <x v="0"/>
    <n v="65.900000000000006"/>
    <s v="Warm"/>
    <s v="Deal closed, advance received"/>
  </r>
  <r>
    <s v="LD0209"/>
    <s v="Meena Joshi"/>
    <n v="9793155758"/>
    <x v="0"/>
    <x v="3"/>
    <s v="MagicBricks Property Enquiry — Inbound"/>
    <x v="2"/>
    <s v="2023-02-11"/>
    <x v="1"/>
    <x v="1"/>
    <x v="1"/>
    <n v="1"/>
    <n v="5"/>
    <s v="2023-03-20"/>
    <x v="0"/>
    <n v="404515"/>
    <m/>
    <m/>
    <x v="1"/>
    <n v="36.6"/>
    <s v="Cold"/>
    <s v="Went with local vendor"/>
  </r>
  <r>
    <s v="LD0210"/>
    <s v="Alka Londhe"/>
    <n v="9263632841"/>
    <x v="3"/>
    <x v="1"/>
    <s v="Justdial Sponsored — Inbound"/>
    <x v="7"/>
    <s v="2023-02-13"/>
    <x v="1"/>
    <x v="1"/>
    <x v="1"/>
    <n v="1"/>
    <n v="9"/>
    <s v="2023-04-17"/>
    <x v="0"/>
    <n v="841597"/>
    <m/>
    <m/>
    <x v="0"/>
    <n v="37"/>
    <s v="Cold"/>
    <s v="Went with local vendor"/>
  </r>
  <r>
    <s v="LD0211"/>
    <s v="Rohit Patil"/>
    <n v="9586909856"/>
    <x v="3"/>
    <x v="2"/>
    <s v="Architect Referral"/>
    <x v="2"/>
    <s v="2023-02-16"/>
    <x v="1"/>
    <x v="1"/>
    <x v="1"/>
    <n v="1"/>
    <n v="4"/>
    <s v="2023-03-06"/>
    <x v="3"/>
    <n v="327718"/>
    <m/>
    <m/>
    <x v="1"/>
    <n v="46.4"/>
    <s v="Warm"/>
    <s v="Waiting for interior budget approval from family"/>
  </r>
  <r>
    <s v="LD0212"/>
    <s v="Divya More"/>
    <n v="9243755891"/>
    <x v="0"/>
    <x v="5"/>
    <s v="Showroom Walk-in"/>
    <x v="3"/>
    <s v="2023-02-17"/>
    <x v="1"/>
    <x v="1"/>
    <x v="1"/>
    <n v="1"/>
    <n v="9"/>
    <s v="2023-04-24"/>
    <x v="1"/>
    <n v="76895"/>
    <m/>
    <m/>
    <x v="1"/>
    <n v="56.3"/>
    <s v="Warm"/>
    <m/>
  </r>
  <r>
    <s v="LD0213"/>
    <s v="Bharati Deshmukh"/>
    <n v="9702728525"/>
    <x v="1"/>
    <x v="1"/>
    <s v="Justdial Sponsored — Inbound"/>
    <x v="3"/>
    <s v="2023-02-17"/>
    <x v="1"/>
    <x v="1"/>
    <x v="1"/>
    <n v="1"/>
    <n v="4"/>
    <s v="2023-03-06"/>
    <x v="1"/>
    <n v="81858"/>
    <m/>
    <m/>
    <x v="0"/>
    <n v="26.6"/>
    <s v="Hot"/>
    <s v="Ready to proceed, discussing payment terms"/>
  </r>
  <r>
    <s v="LD0214"/>
    <s v="Lata Kulkarni"/>
    <n v="9734356903"/>
    <x v="3"/>
    <x v="0"/>
    <s v="Friend Reference"/>
    <x v="2"/>
    <s v="2023-02-17"/>
    <x v="1"/>
    <x v="1"/>
    <x v="1"/>
    <n v="1"/>
    <n v="12"/>
    <s v="2023-04-06"/>
    <x v="4"/>
    <n v="371734"/>
    <n v="339358"/>
    <s v="2023-04-11"/>
    <x v="1"/>
    <n v="49"/>
    <s v="Warm"/>
    <s v="Token received, design finalised"/>
  </r>
  <r>
    <s v="LD0215"/>
    <s v="Varsha Londhe"/>
    <n v="9326293650"/>
    <x v="2"/>
    <x v="1"/>
    <s v="Justdial Premium Listing — Inbound"/>
    <x v="5"/>
    <s v="2023-02-18"/>
    <x v="1"/>
    <x v="1"/>
    <x v="1"/>
    <n v="1"/>
    <n v="5"/>
    <s v="2023-03-25"/>
    <x v="0"/>
    <n v="83012"/>
    <m/>
    <m/>
    <x v="0"/>
    <n v="51.5"/>
    <s v="Cold"/>
    <m/>
  </r>
  <r>
    <s v="LD0216"/>
    <s v="Divya Kakade"/>
    <n v="9653850668"/>
    <x v="0"/>
    <x v="1"/>
    <s v="Justdial Free Listing — Inbound"/>
    <x v="6"/>
    <s v="2023-02-20"/>
    <x v="1"/>
    <x v="1"/>
    <x v="1"/>
    <n v="1"/>
    <n v="3"/>
    <s v="2023-03-01"/>
    <x v="1"/>
    <n v="216295"/>
    <m/>
    <m/>
    <x v="0"/>
    <n v="58.7"/>
    <s v="Warm"/>
    <s v="Follow up after Dussehra"/>
  </r>
  <r>
    <s v="LD0217"/>
    <s v="Pramod Raut"/>
    <n v="9982732880"/>
    <x v="3"/>
    <x v="2"/>
    <s v="Architect Referral"/>
    <x v="1"/>
    <s v="2023-02-21"/>
    <x v="1"/>
    <x v="1"/>
    <x v="1"/>
    <n v="1"/>
    <n v="8"/>
    <s v="2023-03-29"/>
    <x v="2"/>
    <n v="83409"/>
    <m/>
    <m/>
    <x v="0"/>
    <n v="11.7"/>
    <s v="Cold"/>
    <s v="Not responding to calls"/>
  </r>
  <r>
    <s v="LD0218"/>
    <s v="Sachin Patil"/>
    <n v="9854564401"/>
    <x v="3"/>
    <x v="3"/>
    <s v="MagicBricks Enquiry — Inbound"/>
    <x v="3"/>
    <s v="2023-02-21"/>
    <x v="1"/>
    <x v="1"/>
    <x v="1"/>
    <n v="1"/>
    <n v="10"/>
    <s v="2023-04-10"/>
    <x v="2"/>
    <n v="187648"/>
    <m/>
    <m/>
    <x v="1"/>
    <n v="8.5"/>
    <s v="Warm"/>
    <m/>
  </r>
  <r>
    <s v="LD0219"/>
    <s v="Varsha Bhalerao"/>
    <n v="9941847352"/>
    <x v="4"/>
    <x v="1"/>
    <s v="Justdial Free Listing — Inbound"/>
    <x v="0"/>
    <s v="2023-02-23"/>
    <x v="1"/>
    <x v="1"/>
    <x v="1"/>
    <n v="1"/>
    <n v="7"/>
    <s v="2023-04-17"/>
    <x v="3"/>
    <n v="559372"/>
    <m/>
    <m/>
    <x v="1"/>
    <n v="61.3"/>
    <s v="Warm"/>
    <s v="Follow up after flat possession"/>
  </r>
  <r>
    <s v="LD0220"/>
    <s v="Deepak Salve"/>
    <n v="9560106760"/>
    <x v="0"/>
    <x v="2"/>
    <s v="Architect Referral"/>
    <x v="4"/>
    <s v="2023-02-25"/>
    <x v="1"/>
    <x v="1"/>
    <x v="1"/>
    <n v="1"/>
    <n v="11"/>
    <s v="2023-04-22"/>
    <x v="3"/>
    <n v="161592"/>
    <m/>
    <m/>
    <x v="0"/>
    <n v="9.1"/>
    <s v="Cold"/>
    <s v="Went with local carpenter"/>
  </r>
  <r>
    <s v="LD0221"/>
    <s v="Alka Mohite"/>
    <n v="9462267940"/>
    <x v="2"/>
    <x v="3"/>
    <s v="MagicBricks Property Enquiry — Inbound"/>
    <x v="3"/>
    <s v="2023-02-25"/>
    <x v="1"/>
    <x v="1"/>
    <x v="1"/>
    <n v="1"/>
    <n v="7"/>
    <s v="2023-03-22"/>
    <x v="1"/>
    <n v="141513"/>
    <m/>
    <m/>
    <x v="1"/>
    <n v="29.9"/>
    <s v="Cold"/>
    <s v="Budget too low for our range"/>
  </r>
  <r>
    <s v="LD0222"/>
    <s v="Rajesh Deshpande"/>
    <n v="9542839009"/>
    <x v="4"/>
    <x v="5"/>
    <s v="Exhibition Walk-in"/>
    <x v="7"/>
    <s v="2023-02-25"/>
    <x v="1"/>
    <x v="1"/>
    <x v="1"/>
    <n v="1"/>
    <n v="10"/>
    <s v="2023-05-02"/>
    <x v="3"/>
    <n v="1118264"/>
    <m/>
    <m/>
    <x v="0"/>
    <n v="47.1"/>
    <s v="Hot"/>
    <s v="Measurement done, quote pending approval"/>
  </r>
  <r>
    <s v="LD0223"/>
    <s v="Arun Kakade"/>
    <n v="9322026871"/>
    <x v="1"/>
    <x v="4"/>
    <s v="99acres New Project Enquiry — Inbound"/>
    <x v="0"/>
    <s v="2023-02-27"/>
    <x v="1"/>
    <x v="1"/>
    <x v="1"/>
    <n v="1"/>
    <n v="7"/>
    <s v="2023-03-27"/>
    <x v="0"/>
    <n v="629030"/>
    <m/>
    <m/>
    <x v="1"/>
    <n v="68.400000000000006"/>
    <s v="Cold"/>
    <s v="No response, marked as lost after 60 days"/>
  </r>
  <r>
    <s v="LD0224"/>
    <s v="Seema Mohite"/>
    <n v="9140539484"/>
    <x v="0"/>
    <x v="2"/>
    <s v="Client Referral"/>
    <x v="1"/>
    <s v="2023-02-27"/>
    <x v="1"/>
    <x v="1"/>
    <x v="1"/>
    <n v="1"/>
    <n v="6"/>
    <s v="2023-03-20"/>
    <x v="4"/>
    <n v="142425"/>
    <n v="140012"/>
    <s v="2023-03-24"/>
    <x v="1"/>
    <n v="36.1"/>
    <s v="Warm"/>
    <m/>
  </r>
  <r>
    <s v="LD0225"/>
    <s v="Smita Mane"/>
    <n v="9519825069"/>
    <x v="1"/>
    <x v="1"/>
    <s v="Justdial Sponsored — Inbound"/>
    <x v="3"/>
    <s v="2023-02-28"/>
    <x v="1"/>
    <x v="1"/>
    <x v="1"/>
    <n v="1"/>
    <n v="10"/>
    <s v="2023-03-24"/>
    <x v="4"/>
    <n v="100169"/>
    <n v="101960"/>
    <s v="2023-04-10"/>
    <x v="0"/>
    <n v="33.799999999999997"/>
    <s v="Hot"/>
    <s v="Customer referred 2 more leads after delivery"/>
  </r>
  <r>
    <s v="LD0226"/>
    <s v="Jyoti Chavan"/>
    <n v="9449939063"/>
    <x v="0"/>
    <x v="6"/>
    <s v="Facebook Diwali Offer"/>
    <x v="1"/>
    <s v="2023-02-28"/>
    <x v="1"/>
    <x v="1"/>
    <x v="1"/>
    <n v="1"/>
    <n v="9"/>
    <s v="2023-04-17"/>
    <x v="2"/>
    <n v="100550"/>
    <m/>
    <m/>
    <x v="1"/>
    <n v="6.8"/>
    <s v="Warm"/>
    <s v="Follow up after flat possession"/>
  </r>
  <r>
    <s v="LD0227"/>
    <s v="Dinesh Mane"/>
    <m/>
    <x v="4"/>
    <x v="4"/>
    <s v="99acres Flat Owner Enquiry — Inbound"/>
    <x v="0"/>
    <s v="2023-02-28"/>
    <x v="1"/>
    <x v="1"/>
    <x v="1"/>
    <n v="1"/>
    <n v="10"/>
    <s v="2023-04-03"/>
    <x v="0"/>
    <n v="739515"/>
    <m/>
    <m/>
    <x v="0"/>
    <n v="20.2"/>
    <s v="Warm"/>
    <s v="99acres portal lead — customer did not share direct contact"/>
  </r>
  <r>
    <s v="LD0228"/>
    <s v="Pramod Pawar"/>
    <n v="9749304307"/>
    <x v="2"/>
    <x v="7"/>
    <s v="Website Chat Enquiry"/>
    <x v="1"/>
    <s v="2023-03-01"/>
    <x v="2"/>
    <x v="2"/>
    <x v="1"/>
    <n v="1"/>
    <n v="11"/>
    <s v="2023-05-11"/>
    <x v="1"/>
    <n v="231890"/>
    <m/>
    <m/>
    <x v="1"/>
    <n v="5.8"/>
    <s v="Hot"/>
    <s v="Final quote shared, awaiting approval"/>
  </r>
  <r>
    <s v="LD0229"/>
    <s v="Alka Zende"/>
    <n v="9904137710"/>
    <x v="0"/>
    <x v="0"/>
    <s v="Family Reference"/>
    <x v="3"/>
    <s v="2023-03-02"/>
    <x v="2"/>
    <x v="2"/>
    <x v="1"/>
    <n v="1"/>
    <n v="2"/>
    <s v="2023-03-28"/>
    <x v="3"/>
    <n v="154686"/>
    <m/>
    <m/>
    <x v="1"/>
    <n v="13.2"/>
    <s v="Warm"/>
    <s v="Follow up after Akshaya Tritiya"/>
  </r>
  <r>
    <s v="LD0230"/>
    <s v="Seema Patil"/>
    <n v="9421365006"/>
    <x v="0"/>
    <x v="1"/>
    <s v="Justdial Free Listing — Inbound"/>
    <x v="3"/>
    <s v="2023-03-02"/>
    <x v="2"/>
    <x v="2"/>
    <x v="1"/>
    <n v="1"/>
    <n v="2"/>
    <s v="2023-03-24"/>
    <x v="4"/>
    <n v="147720"/>
    <n v="142870"/>
    <s v="2023-04-13"/>
    <x v="1"/>
    <n v="42.9"/>
    <s v="Hot"/>
    <m/>
  </r>
  <r>
    <s v="LD0231"/>
    <s v="Arun Kale"/>
    <n v="9889917232"/>
    <x v="2"/>
    <x v="2"/>
    <s v="Contractor Referral"/>
    <x v="3"/>
    <s v="2023-03-02"/>
    <x v="2"/>
    <x v="2"/>
    <x v="1"/>
    <n v="1"/>
    <n v="3"/>
    <s v="2023-03-27"/>
    <x v="4"/>
    <n v="132006"/>
    <n v="117996"/>
    <s v="2023-04-10"/>
    <x v="1"/>
    <n v="13.2"/>
    <s v="Hot"/>
    <s v="Customer referred 2 more leads after delivery"/>
  </r>
  <r>
    <s v="LD0232"/>
    <s v="Sunanda Deshmukh"/>
    <n v="9634323575"/>
    <x v="2"/>
    <x v="5"/>
    <s v="Exhibition Walk-in"/>
    <x v="2"/>
    <s v="2023-03-02"/>
    <x v="2"/>
    <x v="2"/>
    <x v="1"/>
    <n v="1"/>
    <n v="0"/>
    <s v="2023-03-13"/>
    <x v="1"/>
    <n v="184730"/>
    <m/>
    <m/>
    <x v="1"/>
    <n v="12.9"/>
    <s v="Hot"/>
    <m/>
  </r>
  <r>
    <s v="LD0233"/>
    <s v="Umesh Bhalerao"/>
    <n v="9317228954"/>
    <x v="3"/>
    <x v="6"/>
    <s v="Facebook Kitchen Showcase"/>
    <x v="3"/>
    <s v="2023-03-03"/>
    <x v="2"/>
    <x v="2"/>
    <x v="1"/>
    <n v="1"/>
    <n v="2"/>
    <s v="2023-03-17"/>
    <x v="0"/>
    <n v="167870"/>
    <m/>
    <m/>
    <x v="1"/>
    <n v="26.4"/>
    <s v="Cold"/>
    <s v="Budget mismatch - too low"/>
  </r>
  <r>
    <s v="LD0234"/>
    <s v="Prashant Zende"/>
    <n v="9542750235"/>
    <x v="0"/>
    <x v="1"/>
    <s v="Justdial Sponsored — Inbound"/>
    <x v="2"/>
    <s v="2023-03-04"/>
    <x v="2"/>
    <x v="2"/>
    <x v="1"/>
    <n v="1"/>
    <n v="5"/>
    <s v="2023-04-03"/>
    <x v="0"/>
    <n v="372492"/>
    <m/>
    <m/>
    <x v="0"/>
    <n v="34.1"/>
    <s v="Cold"/>
    <s v="Project cancelled by customer"/>
  </r>
  <r>
    <s v="LD0235"/>
    <s v="Sunanda Naik"/>
    <n v="9324422284"/>
    <x v="2"/>
    <x v="7"/>
    <s v="Google Ads"/>
    <x v="7"/>
    <s v="2023-03-06"/>
    <x v="2"/>
    <x v="2"/>
    <x v="1"/>
    <n v="1"/>
    <n v="0"/>
    <s v="2023-03-14"/>
    <x v="4"/>
    <n v="1161813"/>
    <n v="1073164"/>
    <s v="2023-03-19"/>
    <x v="1"/>
    <n v="63.1"/>
    <s v="Warm"/>
    <m/>
  </r>
  <r>
    <s v="LD0236"/>
    <s v="Hemant Gavhane"/>
    <n v="9571678892"/>
    <x v="4"/>
    <x v="3"/>
    <s v="MagicBricks Property Enquiry — Inbound"/>
    <x v="0"/>
    <s v="2023-03-07"/>
    <x v="2"/>
    <x v="2"/>
    <x v="1"/>
    <n v="1"/>
    <n v="12"/>
    <s v="2023-04-14"/>
    <x v="3"/>
    <n v="502103"/>
    <m/>
    <m/>
    <x v="1"/>
    <n v="49.7"/>
    <s v="Hot"/>
    <s v="Very interested, finalising design"/>
  </r>
  <r>
    <s v="LD0237"/>
    <s v="Amit Patil"/>
    <n v="9385417366"/>
    <x v="3"/>
    <x v="2"/>
    <s v="Client Referral"/>
    <x v="7"/>
    <s v="2023-03-08"/>
    <x v="2"/>
    <x v="2"/>
    <x v="1"/>
    <n v="1"/>
    <n v="5"/>
    <s v="2023-04-04"/>
    <x v="4"/>
    <n v="935505"/>
    <n v="951886"/>
    <s v="2023-04-19"/>
    <x v="0"/>
    <n v="9.4"/>
    <s v="Warm"/>
    <s v="Deal closed, advance received"/>
  </r>
  <r>
    <s v="LD0238"/>
    <s v="Bharati Chavan"/>
    <n v="9440096507"/>
    <x v="0"/>
    <x v="1"/>
    <s v="Justdial Free Listing — Inbound"/>
    <x v="5"/>
    <s v="2023-03-08"/>
    <x v="2"/>
    <x v="2"/>
    <x v="1"/>
    <n v="1"/>
    <n v="12"/>
    <s v="2023-04-12"/>
    <x v="1"/>
    <n v="259298"/>
    <m/>
    <m/>
    <x v="1"/>
    <n v="47.8"/>
    <s v="Hot"/>
    <s v="Sample seen at showroom, liked veneer finish"/>
  </r>
  <r>
    <s v="LD0239"/>
    <s v="Vikas Gavhane"/>
    <n v="9333471497"/>
    <x v="0"/>
    <x v="2"/>
    <s v="Architect Referral"/>
    <x v="5"/>
    <s v="2023-03-09"/>
    <x v="2"/>
    <x v="2"/>
    <x v="1"/>
    <n v="1"/>
    <n v="3"/>
    <s v="2023-03-24"/>
    <x v="4"/>
    <n v="269012"/>
    <n v="257975"/>
    <s v="2023-04-04"/>
    <x v="0"/>
    <n v="64.5"/>
    <s v="Hot"/>
    <s v="Customer very satisfied, 5 star review given"/>
  </r>
  <r>
    <s v="LD0240"/>
    <s v="Sonal Aware"/>
    <n v="9678700154"/>
    <x v="0"/>
    <x v="2"/>
    <s v="Neighbour Referral"/>
    <x v="3"/>
    <s v="2023-03-09"/>
    <x v="2"/>
    <x v="2"/>
    <x v="1"/>
    <n v="1"/>
    <n v="12"/>
    <s v="2023-05-13"/>
    <x v="4"/>
    <n v="108455"/>
    <n v="105039"/>
    <s v="2023-05-22"/>
    <x v="1"/>
    <n v="46.1"/>
    <s v="Warm"/>
    <s v="Work order signed, production started"/>
  </r>
  <r>
    <s v="LD0241"/>
    <s v="Hemant Holkar"/>
    <n v="9674558056"/>
    <x v="0"/>
    <x v="2"/>
    <s v="Architect Referral"/>
    <x v="4"/>
    <s v="2023-03-13"/>
    <x v="2"/>
    <x v="2"/>
    <x v="1"/>
    <n v="1"/>
    <n v="8"/>
    <s v="2023-04-06"/>
    <x v="3"/>
    <n v="229370"/>
    <m/>
    <m/>
    <x v="0"/>
    <n v="24.6"/>
    <s v="Hot"/>
    <s v="Token amount discussed, decision this week"/>
  </r>
  <r>
    <s v="LD0242"/>
    <s v="Hemant Bhalerao"/>
    <n v="9517254802"/>
    <x v="4"/>
    <x v="0"/>
    <s v="Friend Reference"/>
    <x v="3"/>
    <s v="2023-03-14"/>
    <x v="2"/>
    <x v="2"/>
    <x v="1"/>
    <n v="1"/>
    <n v="1"/>
    <s v="2023-03-24"/>
    <x v="4"/>
    <n v="73920"/>
    <n v="73028"/>
    <s v="2023-04-01"/>
    <x v="1"/>
    <n v="63.4"/>
    <s v="Hot"/>
    <s v="Customer happy with sample, deal closed"/>
  </r>
  <r>
    <s v="LD0243"/>
    <s v="Umesh Kshirsagar"/>
    <n v="9209815321"/>
    <x v="1"/>
    <x v="3"/>
    <s v="MagicBricks Enquiry — Inbound"/>
    <x v="0"/>
    <s v="2023-03-14"/>
    <x v="2"/>
    <x v="2"/>
    <x v="1"/>
    <n v="1"/>
    <n v="3"/>
    <s v="2023-04-03"/>
    <x v="4"/>
    <n v="606729"/>
    <n v="618002"/>
    <s v="2023-04-05"/>
    <x v="0"/>
    <n v="51.6"/>
    <s v="Hot"/>
    <m/>
  </r>
  <r>
    <s v="LD0244"/>
    <s v="Dinesh Mane"/>
    <n v="9459910894"/>
    <x v="4"/>
    <x v="0"/>
    <s v="Friend Reference"/>
    <x v="3"/>
    <s v="2023-03-15"/>
    <x v="2"/>
    <x v="2"/>
    <x v="1"/>
    <n v="1"/>
    <n v="8"/>
    <s v="2023-04-27"/>
    <x v="1"/>
    <n v="227471"/>
    <m/>
    <m/>
    <x v="1"/>
    <n v="68.599999999999994"/>
    <s v="Warm"/>
    <s v="Follow up after Diwali"/>
  </r>
  <r>
    <s v="LD0245"/>
    <s v="Pravin Bhosale"/>
    <n v="9899641923"/>
    <x v="3"/>
    <x v="3"/>
    <s v="MagicBricks Enquiry — Inbound"/>
    <x v="6"/>
    <s v="2023-03-15"/>
    <x v="2"/>
    <x v="2"/>
    <x v="1"/>
    <n v="1"/>
    <n v="10"/>
    <s v="2023-04-26"/>
    <x v="0"/>
    <n v="158489"/>
    <m/>
    <m/>
    <x v="0"/>
    <n v="18.2"/>
    <s v="Cold"/>
    <s v="Project cancelled by customer"/>
  </r>
  <r>
    <s v="LD0246"/>
    <s v="Ravi Yadav"/>
    <n v="9974947794"/>
    <x v="2"/>
    <x v="5"/>
    <s v="Showroom Walk-in"/>
    <x v="6"/>
    <s v="2023-03-16"/>
    <x v="2"/>
    <x v="2"/>
    <x v="1"/>
    <n v="1"/>
    <n v="4"/>
    <s v="2023-04-22"/>
    <x v="4"/>
    <n v="137161"/>
    <n v="137667"/>
    <s v="2023-04-25"/>
    <x v="0"/>
    <n v="71.7"/>
    <s v="Hot"/>
    <s v="Customer very satisfied, 5 star review given"/>
  </r>
  <r>
    <s v="LD0247"/>
    <s v="Bharati Deshmukh"/>
    <n v="9763534625"/>
    <x v="4"/>
    <x v="0"/>
    <s v="Friend Reference"/>
    <x v="7"/>
    <s v="2023-03-16"/>
    <x v="2"/>
    <x v="2"/>
    <x v="1"/>
    <n v="1"/>
    <n v="0"/>
    <s v="2023-03-22"/>
    <x v="1"/>
    <n v="1076383"/>
    <m/>
    <m/>
    <x v="1"/>
    <n v="7"/>
    <s v="Warm"/>
    <s v="Call back after 1 month"/>
  </r>
  <r>
    <s v="LD0248"/>
    <s v="Rajesh Bhosale"/>
    <n v="9306364903"/>
    <x v="4"/>
    <x v="3"/>
    <s v="MagicBricks Property Enquiry — Inbound"/>
    <x v="3"/>
    <s v="2023-03-16"/>
    <x v="2"/>
    <x v="2"/>
    <x v="1"/>
    <n v="1"/>
    <n v="0"/>
    <s v="2023-03-22"/>
    <x v="0"/>
    <n v="110172"/>
    <m/>
    <m/>
    <x v="0"/>
    <n v="26.5"/>
    <s v="Cold"/>
    <m/>
  </r>
  <r>
    <s v="LD0249"/>
    <s v="Kiran Phule"/>
    <n v="9619329173"/>
    <x v="3"/>
    <x v="1"/>
    <s v="Justdial Sponsored — Inbound"/>
    <x v="0"/>
    <s v="2023-03-16"/>
    <x v="2"/>
    <x v="2"/>
    <x v="1"/>
    <n v="1"/>
    <n v="1"/>
    <s v="2023-03-27"/>
    <x v="3"/>
    <n v="313923"/>
    <m/>
    <m/>
    <x v="0"/>
    <n v="18.2"/>
    <s v="Hot"/>
    <s v="Customer visited showroom twice, very interested"/>
  </r>
  <r>
    <s v="LD0250"/>
    <s v="Alka Chavan"/>
    <n v="9922790554"/>
    <x v="4"/>
    <x v="1"/>
    <s v="Justdial Sponsored — Inbound"/>
    <x v="0"/>
    <s v="2023-03-17"/>
    <x v="2"/>
    <x v="2"/>
    <x v="1"/>
    <n v="1"/>
    <n v="8"/>
    <s v="2023-05-08"/>
    <x v="0"/>
    <n v="497083"/>
    <m/>
    <m/>
    <x v="0"/>
    <n v="42.8"/>
    <s v="Cold"/>
    <s v="Customer chose readymade furniture"/>
  </r>
  <r>
    <s v="LD0251"/>
    <s v="Bharati Salve"/>
    <n v="9447972640"/>
    <x v="3"/>
    <x v="1"/>
    <s v="Justdial Sponsored — Inbound"/>
    <x v="2"/>
    <s v="2023-03-17"/>
    <x v="2"/>
    <x v="2"/>
    <x v="1"/>
    <n v="1"/>
    <n v="11"/>
    <s v="2023-04-24"/>
    <x v="2"/>
    <n v="490069"/>
    <m/>
    <m/>
    <x v="0"/>
    <n v="16.2"/>
    <s v="Cold"/>
    <m/>
  </r>
  <r>
    <s v="LD0252"/>
    <s v="Manoj Gavhane"/>
    <n v="9107053228"/>
    <x v="0"/>
    <x v="3"/>
    <s v="MagicBricks Property Enquiry — Inbound"/>
    <x v="3"/>
    <s v="2023-03-18"/>
    <x v="2"/>
    <x v="2"/>
    <x v="1"/>
    <n v="1"/>
    <n v="9"/>
    <s v="2023-04-08"/>
    <x v="0"/>
    <n v="118746"/>
    <m/>
    <m/>
    <x v="1"/>
    <n v="6.4"/>
    <s v="Warm"/>
    <s v="Customer got work done from relative"/>
  </r>
  <r>
    <s v="LD0253"/>
    <s v="Pravin Mane"/>
    <n v="9158569033"/>
    <x v="4"/>
    <x v="5"/>
    <s v="Site Visit Walk-in"/>
    <x v="4"/>
    <s v="2023-03-18"/>
    <x v="2"/>
    <x v="2"/>
    <x v="1"/>
    <n v="1"/>
    <n v="7"/>
    <s v="2023-04-13"/>
    <x v="2"/>
    <n v="247292"/>
    <m/>
    <m/>
    <x v="0"/>
    <n v="56.6"/>
    <s v="Cold"/>
    <s v="Not interested anymore"/>
  </r>
  <r>
    <s v="LD0254"/>
    <s v="Prashant Bhosale"/>
    <n v="9101697496"/>
    <x v="3"/>
    <x v="4"/>
    <s v="99acres Flat Owner Enquiry — Inbound"/>
    <x v="2"/>
    <s v="2023-03-20"/>
    <x v="2"/>
    <x v="2"/>
    <x v="1"/>
    <n v="1"/>
    <n v="3"/>
    <s v="2023-04-21"/>
    <x v="3"/>
    <n v="403586"/>
    <m/>
    <m/>
    <x v="1"/>
    <n v="58.9"/>
    <s v="Warm"/>
    <s v="Wants more design options before deciding"/>
  </r>
  <r>
    <s v="LD0255"/>
    <s v="Sunil Joshi"/>
    <n v="9654705830"/>
    <x v="0"/>
    <x v="3"/>
    <s v="MagicBricks Property Enquiry — Inbound"/>
    <x v="0"/>
    <s v="2023-03-20"/>
    <x v="2"/>
    <x v="2"/>
    <x v="1"/>
    <n v="1"/>
    <n v="6"/>
    <s v="2023-04-18"/>
    <x v="0"/>
    <n v="543225"/>
    <m/>
    <m/>
    <x v="0"/>
    <n v="54.1"/>
    <s v="Warm"/>
    <m/>
  </r>
  <r>
    <s v="LD0256"/>
    <s v="Vijay Mane"/>
    <n v="9196725836"/>
    <x v="2"/>
    <x v="7"/>
    <s v="Google My Business"/>
    <x v="1"/>
    <s v="2023-03-21"/>
    <x v="2"/>
    <x v="2"/>
    <x v="1"/>
    <n v="1"/>
    <n v="2"/>
    <s v="2023-03-27"/>
    <x v="4"/>
    <n v="98792"/>
    <n v="93977"/>
    <s v="2023-04-10"/>
    <x v="0"/>
    <n v="26.2"/>
    <s v="Hot"/>
    <s v="Customer happy with sample, deal closed"/>
  </r>
  <r>
    <s v="LD0257"/>
    <s v="Amit Sonawane"/>
    <n v="9801450705"/>
    <x v="2"/>
    <x v="5"/>
    <s v="Exhibition Walk-in"/>
    <x v="5"/>
    <s v="2023-03-22"/>
    <x v="2"/>
    <x v="2"/>
    <x v="1"/>
    <n v="1"/>
    <n v="3"/>
    <s v="2023-04-03"/>
    <x v="0"/>
    <n v="100982"/>
    <m/>
    <m/>
    <x v="0"/>
    <n v="22.9"/>
    <s v="Cold"/>
    <s v="Budget mismatch - too low"/>
  </r>
  <r>
    <s v="LD0258"/>
    <s v="Kavita Yadav"/>
    <n v="9566330798"/>
    <x v="4"/>
    <x v="6"/>
    <s v="Facebook Home Decor Ads"/>
    <x v="4"/>
    <s v="2023-03-23"/>
    <x v="2"/>
    <x v="2"/>
    <x v="1"/>
    <n v="1"/>
    <n v="12"/>
    <s v="2023-05-08"/>
    <x v="1"/>
    <n v="172364"/>
    <m/>
    <m/>
    <x v="1"/>
    <n v="9.3000000000000007"/>
    <s v="Warm"/>
    <s v="Follow up after Gudi Padwa"/>
  </r>
  <r>
    <s v="LD0259"/>
    <s v="Devendra Salve"/>
    <n v="9395627385"/>
    <x v="0"/>
    <x v="5"/>
    <s v="Site Visit Walk-in"/>
    <x v="3"/>
    <s v="2023-03-23"/>
    <x v="2"/>
    <x v="2"/>
    <x v="1"/>
    <n v="1"/>
    <n v="3"/>
    <s v="2023-04-20"/>
    <x v="4"/>
    <n v="168699"/>
    <n v="157347"/>
    <s v="2023-04-27"/>
    <x v="1"/>
    <n v="40.9"/>
    <s v="Hot"/>
    <s v="Final payment received, project handed over"/>
  </r>
  <r>
    <s v="LD0260"/>
    <s v="Mahesh Joshi"/>
    <n v="9544572227"/>
    <x v="2"/>
    <x v="1"/>
    <s v="Justdial Sponsored — Inbound"/>
    <x v="1"/>
    <s v="2023-03-25"/>
    <x v="2"/>
    <x v="2"/>
    <x v="1"/>
    <n v="1"/>
    <n v="2"/>
    <s v="2023-03-31"/>
    <x v="3"/>
    <n v="137184"/>
    <m/>
    <m/>
    <x v="1"/>
    <n v="12.1"/>
    <s v="Cold"/>
    <s v="Wrong number provided"/>
  </r>
  <r>
    <s v="LD0261"/>
    <s v="Amit Kale"/>
    <n v="9659042709"/>
    <x v="0"/>
    <x v="1"/>
    <s v="Justdial Sponsored — Inbound"/>
    <x v="1"/>
    <s v="2023-03-25"/>
    <x v="2"/>
    <x v="2"/>
    <x v="1"/>
    <n v="1"/>
    <n v="8"/>
    <s v="2023-05-25"/>
    <x v="3"/>
    <n v="232296"/>
    <m/>
    <m/>
    <x v="0"/>
    <n v="42.9"/>
    <s v="Cold"/>
    <s v="Price too high as per customer"/>
  </r>
  <r>
    <s v="LD0262"/>
    <s v="Kiran Holkar"/>
    <n v="9145090037"/>
    <x v="4"/>
    <x v="1"/>
    <s v="Justdial Free Listing — Inbound"/>
    <x v="7"/>
    <s v="2023-03-29"/>
    <x v="2"/>
    <x v="2"/>
    <x v="1"/>
    <n v="1"/>
    <n v="1"/>
    <s v="2023-04-11"/>
    <x v="2"/>
    <n v="585223"/>
    <m/>
    <m/>
    <x v="0"/>
    <n v="58"/>
    <s v="Warm"/>
    <s v="Follow up after Dussehra"/>
  </r>
  <r>
    <s v="LD0263"/>
    <s v="Umesh Kulkarni"/>
    <n v="9591759000"/>
    <x v="4"/>
    <x v="0"/>
    <s v="Friend Reference"/>
    <x v="3"/>
    <s v="2023-03-30"/>
    <x v="2"/>
    <x v="2"/>
    <x v="1"/>
    <n v="1"/>
    <n v="7"/>
    <s v="2023-05-23"/>
    <x v="4"/>
    <n v="176689"/>
    <n v="166117"/>
    <s v="2023-06-11"/>
    <x v="1"/>
    <n v="52.3"/>
    <s v="Hot"/>
    <s v="Customer referred 2 more leads after delivery"/>
  </r>
  <r>
    <s v="LD0264"/>
    <s v="Rekha Shinde"/>
    <n v="9761662253"/>
    <x v="0"/>
    <x v="2"/>
    <s v="Client Referral"/>
    <x v="0"/>
    <s v="2023-03-30"/>
    <x v="2"/>
    <x v="2"/>
    <x v="1"/>
    <n v="1"/>
    <n v="12"/>
    <s v="2023-05-12"/>
    <x v="1"/>
    <n v="731574"/>
    <m/>
    <m/>
    <x v="0"/>
    <n v="44.4"/>
    <s v="Hot"/>
    <s v="Sample seen at showroom, liked veneer finish"/>
  </r>
  <r>
    <s v="LD0265"/>
    <s v="Sanjay Deshpande"/>
    <n v="9807762976"/>
    <x v="3"/>
    <x v="3"/>
    <s v="MagicBricks Enquiry — Inbound"/>
    <x v="5"/>
    <s v="2023-04-01"/>
    <x v="3"/>
    <x v="3"/>
    <x v="1"/>
    <n v="2"/>
    <n v="0"/>
    <s v="2023-04-05"/>
    <x v="4"/>
    <n v="133018"/>
    <n v="119176"/>
    <s v="2023-04-26"/>
    <x v="0"/>
    <n v="23.1"/>
    <s v="Hot"/>
    <s v="Customer happy with sample, deal closed"/>
  </r>
  <r>
    <s v="LD0266"/>
    <s v="Kavita More"/>
    <n v="9785136281"/>
    <x v="4"/>
    <x v="5"/>
    <s v="Site Visit Walk-in"/>
    <x v="0"/>
    <s v="2023-04-01"/>
    <x v="3"/>
    <x v="3"/>
    <x v="1"/>
    <n v="2"/>
    <n v="9"/>
    <s v="2023-04-24"/>
    <x v="4"/>
    <n v="393049"/>
    <n v="371271"/>
    <s v="2023-04-27"/>
    <x v="0"/>
    <n v="17.100000000000001"/>
    <s v="Hot"/>
    <s v="Customer referred 2 more leads after delivery"/>
  </r>
  <r>
    <s v="LD0267"/>
    <s v="Sachin Shelke"/>
    <n v="9587902225"/>
    <x v="0"/>
    <x v="0"/>
    <s v="Friend Reference"/>
    <x v="0"/>
    <s v="2023-04-03"/>
    <x v="3"/>
    <x v="3"/>
    <x v="1"/>
    <n v="2"/>
    <n v="7"/>
    <s v="2023-05-29"/>
    <x v="1"/>
    <n v="681761"/>
    <m/>
    <m/>
    <x v="0"/>
    <n v="9.8000000000000007"/>
    <s v="Cold"/>
    <s v="Not interested anymore"/>
  </r>
  <r>
    <s v="LD0268"/>
    <s v="Anita Wagh"/>
    <n v="9512955792"/>
    <x v="3"/>
    <x v="3"/>
    <s v="MagicBricks Enquiry — Inbound"/>
    <x v="0"/>
    <s v="2023-04-04"/>
    <x v="3"/>
    <x v="3"/>
    <x v="1"/>
    <n v="2"/>
    <n v="8"/>
    <s v="2023-05-06"/>
    <x v="0"/>
    <n v="384356"/>
    <m/>
    <m/>
    <x v="1"/>
    <n v="31.6"/>
    <s v="Cold"/>
    <s v="Budget mismatch - too low"/>
  </r>
  <r>
    <s v="LD0269"/>
    <s v="Manisha Tupe"/>
    <n v="9222753236"/>
    <x v="3"/>
    <x v="6"/>
    <s v="Facebook Gudi Padwa Offer"/>
    <x v="4"/>
    <s v="2023-04-07"/>
    <x v="3"/>
    <x v="3"/>
    <x v="1"/>
    <n v="2"/>
    <n v="11"/>
    <s v="2023-06-13"/>
    <x v="3"/>
    <n v="182099"/>
    <m/>
    <m/>
    <x v="1"/>
    <n v="20.100000000000001"/>
    <s v="Warm"/>
    <s v="Follow up after Akshaya Tritiya"/>
  </r>
  <r>
    <s v="LD0270"/>
    <s v="Sunanda Mane"/>
    <n v="9592171427"/>
    <x v="2"/>
    <x v="2"/>
    <s v="Neighbour Referral"/>
    <x v="4"/>
    <s v="2023-04-10"/>
    <x v="3"/>
    <x v="3"/>
    <x v="1"/>
    <n v="2"/>
    <n v="1"/>
    <s v="2023-04-18"/>
    <x v="2"/>
    <n v="324236"/>
    <m/>
    <m/>
    <x v="0"/>
    <n v="53"/>
    <s v="Cold"/>
    <s v="Just enquiring, no serious intent"/>
  </r>
  <r>
    <s v="LD0271"/>
    <s v="Manisha More"/>
    <n v="9147276808"/>
    <x v="0"/>
    <x v="7"/>
    <s v="SEO Organic"/>
    <x v="3"/>
    <s v="2023-04-10"/>
    <x v="3"/>
    <x v="3"/>
    <x v="1"/>
    <n v="2"/>
    <n v="6"/>
    <s v="2023-05-29"/>
    <x v="3"/>
    <n v="197654"/>
    <m/>
    <m/>
    <x v="1"/>
    <n v="53.3"/>
    <s v="Hot"/>
    <m/>
  </r>
  <r>
    <s v="LD0272"/>
    <s v="Smita Suryawanshi"/>
    <n v="9809615999"/>
    <x v="0"/>
    <x v="5"/>
    <s v="Site Visit Walk-in"/>
    <x v="0"/>
    <s v="2023-04-10"/>
    <x v="3"/>
    <x v="3"/>
    <x v="1"/>
    <n v="2"/>
    <n v="1"/>
    <s v="2023-04-15"/>
    <x v="4"/>
    <n v="276625"/>
    <n v="269206"/>
    <s v="2023-04-21"/>
    <x v="1"/>
    <n v="47.9"/>
    <s v="Hot"/>
    <s v="Deal closed, advance received"/>
  </r>
  <r>
    <s v="LD0273"/>
    <s v="Hemant Holkar"/>
    <n v="9717015275"/>
    <x v="0"/>
    <x v="1"/>
    <s v="Justdial Free Listing — Inbound"/>
    <x v="0"/>
    <s v="2023-04-10"/>
    <x v="3"/>
    <x v="3"/>
    <x v="1"/>
    <n v="2"/>
    <n v="0"/>
    <s v="2023-04-17"/>
    <x v="4"/>
    <n v="536813"/>
    <n v="482659"/>
    <s v="2023-04-27"/>
    <x v="1"/>
    <n v="37.799999999999997"/>
    <s v="Hot"/>
    <s v="Final payment received, project handed over"/>
  </r>
  <r>
    <s v="LD0274"/>
    <s v="Meena Zende"/>
    <n v="9154176732"/>
    <x v="3"/>
    <x v="3"/>
    <s v="MagicBricks Property Enquiry — Inbound"/>
    <x v="0"/>
    <s v="2023-04-11"/>
    <x v="3"/>
    <x v="3"/>
    <x v="1"/>
    <n v="2"/>
    <n v="2"/>
    <s v="2023-04-15"/>
    <x v="1"/>
    <n v="658920"/>
    <m/>
    <m/>
    <x v="0"/>
    <n v="40.799999999999997"/>
    <s v="Cold"/>
    <s v="Duplicate enquiry"/>
  </r>
  <r>
    <s v="LD0275"/>
    <s v="Sachin Naik"/>
    <n v="9680499353"/>
    <x v="0"/>
    <x v="5"/>
    <s v="Showroom Walk-in"/>
    <x v="3"/>
    <s v="2023-04-13"/>
    <x v="3"/>
    <x v="3"/>
    <x v="1"/>
    <n v="2"/>
    <n v="6"/>
    <s v="2023-05-10"/>
    <x v="0"/>
    <n v="198706"/>
    <m/>
    <m/>
    <x v="0"/>
    <n v="67.099999999999994"/>
    <s v="Cold"/>
    <m/>
  </r>
  <r>
    <s v="LD0276"/>
    <s v="Rohit Kale"/>
    <n v="9127235036"/>
    <x v="2"/>
    <x v="0"/>
    <s v="Family Reference"/>
    <x v="2"/>
    <s v="2023-04-13"/>
    <x v="3"/>
    <x v="3"/>
    <x v="1"/>
    <n v="2"/>
    <n v="11"/>
    <s v="2023-05-22"/>
    <x v="1"/>
    <n v="449356"/>
    <m/>
    <m/>
    <x v="1"/>
    <n v="64.2"/>
    <s v="Warm"/>
    <m/>
  </r>
  <r>
    <s v="LD0277"/>
    <s v="Anita Sawant"/>
    <n v="9126773507"/>
    <x v="3"/>
    <x v="1"/>
    <s v="Justdial Free Listing — Inbound"/>
    <x v="5"/>
    <s v="2023-04-14"/>
    <x v="3"/>
    <x v="3"/>
    <x v="1"/>
    <n v="2"/>
    <n v="12"/>
    <s v="2023-05-20"/>
    <x v="0"/>
    <n v="134940"/>
    <m/>
    <m/>
    <x v="1"/>
    <n v="29.4"/>
    <s v="Warm"/>
    <s v="Customer did not proceed with project"/>
  </r>
  <r>
    <s v="LD0278"/>
    <s v="Kiran More"/>
    <n v="9495758262"/>
    <x v="1"/>
    <x v="2"/>
    <s v="Neighbour Referral"/>
    <x v="0"/>
    <s v="2023-04-14"/>
    <x v="3"/>
    <x v="3"/>
    <x v="1"/>
    <n v="2"/>
    <n v="0"/>
    <s v="2023-04-18"/>
    <x v="3"/>
    <n v="695702"/>
    <m/>
    <m/>
    <x v="1"/>
    <n v="41.1"/>
    <s v="Warm"/>
    <s v="Follow up after Akshaya Tritiya"/>
  </r>
  <r>
    <s v="LD0279"/>
    <s v="Sanjay Gavhane"/>
    <n v="9658294552"/>
    <x v="2"/>
    <x v="2"/>
    <s v="Contractor Referral"/>
    <x v="1"/>
    <s v="2023-04-14"/>
    <x v="3"/>
    <x v="3"/>
    <x v="1"/>
    <n v="2"/>
    <n v="11"/>
    <s v="2023-06-19"/>
    <x v="0"/>
    <n v="188040"/>
    <m/>
    <m/>
    <x v="0"/>
    <n v="30.6"/>
    <s v="Cold"/>
    <s v="Lost to branded competitor"/>
  </r>
  <r>
    <s v="LD0280"/>
    <s v="Santosh Nimbalkar"/>
    <n v="9923594990"/>
    <x v="0"/>
    <x v="1"/>
    <s v="Justdial Premium Listing — Inbound"/>
    <x v="3"/>
    <s v="2023-04-14"/>
    <x v="3"/>
    <x v="3"/>
    <x v="1"/>
    <n v="2"/>
    <n v="4"/>
    <s v="2023-05-01"/>
    <x v="1"/>
    <n v="198520"/>
    <m/>
    <m/>
    <x v="1"/>
    <n v="21.3"/>
    <s v="Warm"/>
    <s v="Follow up after flat possession"/>
  </r>
  <r>
    <s v="LD0281"/>
    <s v="Shweta Bhosale"/>
    <n v="9888514234"/>
    <x v="0"/>
    <x v="1"/>
    <s v="Justdial Free Listing — Inbound"/>
    <x v="3"/>
    <s v="2023-04-17"/>
    <x v="3"/>
    <x v="3"/>
    <x v="1"/>
    <n v="2"/>
    <n v="11"/>
    <s v="2023-06-21"/>
    <x v="2"/>
    <n v="157419"/>
    <m/>
    <m/>
    <x v="1"/>
    <n v="30.1"/>
    <s v="Cold"/>
    <s v="Budget too low for our range"/>
  </r>
  <r>
    <s v="LD0282"/>
    <s v="Amit Kadam"/>
    <n v="9669355272"/>
    <x v="0"/>
    <x v="7"/>
    <s v="SEO Organic"/>
    <x v="6"/>
    <s v="2023-04-17"/>
    <x v="3"/>
    <x v="3"/>
    <x v="1"/>
    <n v="2"/>
    <n v="4"/>
    <s v="2023-05-20"/>
    <x v="0"/>
    <n v="273377"/>
    <m/>
    <m/>
    <x v="0"/>
    <n v="63.2"/>
    <s v="Warm"/>
    <s v="Lost - no follow up done in time"/>
  </r>
  <r>
    <s v="LD0283"/>
    <s v="Nanda Thorat"/>
    <n v="9518293601"/>
    <x v="3"/>
    <x v="1"/>
    <s v="Justdial Sponsored — Inbound"/>
    <x v="2"/>
    <s v="2023-04-18"/>
    <x v="3"/>
    <x v="3"/>
    <x v="1"/>
    <n v="2"/>
    <n v="10"/>
    <s v="2023-06-14"/>
    <x v="1"/>
    <n v="401541"/>
    <m/>
    <m/>
    <x v="1"/>
    <n v="6.1"/>
    <s v="Hot"/>
    <s v="Sample seen at showroom, liked veneer finish"/>
  </r>
  <r>
    <s v="LD0284"/>
    <s v="Arun Shelke"/>
    <n v="9356168265"/>
    <x v="2"/>
    <x v="2"/>
    <s v="Client Referral"/>
    <x v="0"/>
    <s v="2023-04-20"/>
    <x v="3"/>
    <x v="3"/>
    <x v="1"/>
    <n v="2"/>
    <n v="8"/>
    <s v="2023-06-06"/>
    <x v="0"/>
    <n v="302205"/>
    <m/>
    <m/>
    <x v="0"/>
    <n v="8.8000000000000007"/>
    <s v="Cold"/>
    <s v="Customer chose readymade furniture"/>
  </r>
  <r>
    <s v="LD0285"/>
    <s v="Kiran Tupe"/>
    <n v="9709659120"/>
    <x v="0"/>
    <x v="6"/>
    <s v="Facebook Gudi Padwa Offer"/>
    <x v="7"/>
    <s v="2023-04-21"/>
    <x v="3"/>
    <x v="3"/>
    <x v="1"/>
    <n v="2"/>
    <n v="1"/>
    <s v="2023-05-11"/>
    <x v="1"/>
    <n v="737070"/>
    <m/>
    <m/>
    <x v="1"/>
    <n v="49.6"/>
    <s v="Warm"/>
    <s v="Follow up after Dussehra"/>
  </r>
  <r>
    <s v="LD0286"/>
    <s v="Manisha Kakade"/>
    <n v="9168673962"/>
    <x v="4"/>
    <x v="1"/>
    <s v="Justdial Sponsored — Inbound"/>
    <x v="5"/>
    <s v="2023-04-24"/>
    <x v="3"/>
    <x v="3"/>
    <x v="1"/>
    <n v="2"/>
    <n v="4"/>
    <s v="2023-05-29"/>
    <x v="4"/>
    <n v="143351"/>
    <n v="142398"/>
    <s v="2023-06-03"/>
    <x v="0"/>
    <n v="5"/>
    <s v="Hot"/>
    <s v="Full payment cleared, delivery done"/>
  </r>
  <r>
    <s v="LD0287"/>
    <s v="Pooja Nimbalkar"/>
    <n v="9435544022"/>
    <x v="0"/>
    <x v="7"/>
    <s v="Google My Business"/>
    <x v="2"/>
    <s v="2023-04-25"/>
    <x v="3"/>
    <x v="3"/>
    <x v="1"/>
    <n v="2"/>
    <n v="10"/>
    <s v="2023-06-24"/>
    <x v="1"/>
    <m/>
    <m/>
    <m/>
    <x v="0"/>
    <n v="69.3"/>
    <s v="Warm"/>
    <s v="Follow up after flat possession"/>
  </r>
  <r>
    <s v="LD0288"/>
    <s v="Archana Holkar"/>
    <n v="9132495867"/>
    <x v="2"/>
    <x v="5"/>
    <s v="Showroom Walk-in"/>
    <x v="5"/>
    <s v="2023-04-25"/>
    <x v="3"/>
    <x v="3"/>
    <x v="1"/>
    <n v="2"/>
    <n v="12"/>
    <s v="2023-07-15"/>
    <x v="2"/>
    <n v="200589"/>
    <m/>
    <m/>
    <x v="0"/>
    <n v="16.5"/>
    <s v="Cold"/>
    <s v="Wrong number provided"/>
  </r>
  <r>
    <s v="LD0289"/>
    <s v="Sunil Shelke"/>
    <n v="9269110063"/>
    <x v="2"/>
    <x v="0"/>
    <s v="Family Reference"/>
    <x v="6"/>
    <s v="2023-04-25"/>
    <x v="3"/>
    <x v="3"/>
    <x v="1"/>
    <n v="2"/>
    <n v="4"/>
    <s v="2023-05-22"/>
    <x v="4"/>
    <n v="264423"/>
    <n v="267326"/>
    <s v="2023-06-03"/>
    <x v="1"/>
    <n v="17.600000000000001"/>
    <s v="Hot"/>
    <s v="Work order signed, production started"/>
  </r>
  <r>
    <s v="LD0290"/>
    <s v="Nanda Wagh"/>
    <n v="9465139645"/>
    <x v="0"/>
    <x v="1"/>
    <s v="Justdial Free Listing — Inbound"/>
    <x v="4"/>
    <s v="2023-04-26"/>
    <x v="3"/>
    <x v="3"/>
    <x v="1"/>
    <n v="2"/>
    <n v="5"/>
    <s v="2023-05-29"/>
    <x v="4"/>
    <n v="158995"/>
    <n v="161678"/>
    <s v="2023-06-09"/>
    <x v="1"/>
    <n v="42.6"/>
    <s v="Hot"/>
    <s v="Work order signed, production started"/>
  </r>
  <r>
    <s v="LD0291"/>
    <s v="Pooja Bhalerao"/>
    <n v="9544478713"/>
    <x v="2"/>
    <x v="3"/>
    <s v="MagicBricks Property Enquiry — Inbound"/>
    <x v="2"/>
    <s v="2023-04-27"/>
    <x v="3"/>
    <x v="3"/>
    <x v="1"/>
    <n v="2"/>
    <n v="8"/>
    <s v="2023-06-07"/>
    <x v="3"/>
    <n v="375054"/>
    <m/>
    <m/>
    <x v="1"/>
    <n v="36.700000000000003"/>
    <s v="Warm"/>
    <s v="Site visit to be scheduled"/>
  </r>
  <r>
    <s v="LD0292"/>
    <s v="Varsha Deshpande"/>
    <n v="9816807711"/>
    <x v="2"/>
    <x v="0"/>
    <s v="Friend Reference"/>
    <x v="4"/>
    <s v="2023-04-29"/>
    <x v="3"/>
    <x v="3"/>
    <x v="1"/>
    <n v="2"/>
    <n v="4"/>
    <s v="2023-06-03"/>
    <x v="3"/>
    <n v="186582"/>
    <m/>
    <m/>
    <x v="0"/>
    <n v="67.7"/>
    <s v="Warm"/>
    <s v="Budget discussion pending"/>
  </r>
  <r>
    <s v="LD0293"/>
    <s v="Devendra Jadhav"/>
    <n v="9415878379"/>
    <x v="1"/>
    <x v="4"/>
    <s v="99acres Flat Owner Enquiry — Inbound"/>
    <x v="2"/>
    <s v="2023-04-29"/>
    <x v="3"/>
    <x v="3"/>
    <x v="1"/>
    <n v="2"/>
    <m/>
    <s v="2023-06-19"/>
    <x v="3"/>
    <n v="351028"/>
    <m/>
    <m/>
    <x v="1"/>
    <n v="10.1"/>
    <s v="Hot"/>
    <s v="Customer comparing 1-2 vendors only"/>
  </r>
  <r>
    <s v="LD0294"/>
    <s v="Alka Jadhav"/>
    <n v="9775705787"/>
    <x v="0"/>
    <x v="5"/>
    <s v="Site Visit Walk-in"/>
    <x v="4"/>
    <s v="2023-04-29"/>
    <x v="3"/>
    <x v="3"/>
    <x v="1"/>
    <n v="2"/>
    <n v="11"/>
    <s v="2023-06-13"/>
    <x v="0"/>
    <n v="158674"/>
    <m/>
    <m/>
    <x v="0"/>
    <n v="51.3"/>
    <s v="Warm"/>
    <s v="Lost to branded competitor"/>
  </r>
  <r>
    <s v="LD0295"/>
    <s v="Bharati Gavhane"/>
    <n v="9468070623"/>
    <x v="0"/>
    <x v="4"/>
    <s v="99acres New Project Enquiry — Inbound"/>
    <x v="3"/>
    <s v="2023-05-01"/>
    <x v="4"/>
    <x v="4"/>
    <x v="1"/>
    <n v="2"/>
    <n v="12"/>
    <s v="2023-06-08"/>
    <x v="0"/>
    <n v="95667"/>
    <m/>
    <m/>
    <x v="1"/>
    <n v="16.899999999999999"/>
    <s v="Warm"/>
    <s v="Customer got work done from relative"/>
  </r>
  <r>
    <s v="LD0296"/>
    <s v="Madhuri Bhalerao"/>
    <n v="9500305748"/>
    <x v="0"/>
    <x v="4"/>
    <s v="99acres New Project Enquiry — Inbound"/>
    <x v="2"/>
    <s v="2023-05-05"/>
    <x v="4"/>
    <x v="4"/>
    <x v="1"/>
    <n v="2"/>
    <n v="8"/>
    <s v="2023-06-20"/>
    <x v="1"/>
    <n v="158633"/>
    <m/>
    <m/>
    <x v="1"/>
    <n v="28"/>
    <s v="Hot"/>
    <m/>
  </r>
  <r>
    <s v="LD0297"/>
    <s v="Ashwini Gaikwad"/>
    <n v="9546915228"/>
    <x v="0"/>
    <x v="1"/>
    <s v="Justdial Sponsored — Inbound"/>
    <x v="1"/>
    <s v="2023-05-05"/>
    <x v="4"/>
    <x v="4"/>
    <x v="1"/>
    <n v="2"/>
    <n v="11"/>
    <s v="2023-07-07"/>
    <x v="0"/>
    <n v="294959"/>
    <m/>
    <m/>
    <x v="1"/>
    <n v="4.5"/>
    <s v="Warm"/>
    <s v="Lost to branded competitor"/>
  </r>
  <r>
    <s v="LD0298"/>
    <s v="Pramod Mohite"/>
    <n v="9160180666"/>
    <x v="4"/>
    <x v="1"/>
    <s v="Justdial Sponsored — Inbound"/>
    <x v="0"/>
    <s v="2023-05-08"/>
    <x v="4"/>
    <x v="4"/>
    <x v="1"/>
    <n v="2"/>
    <n v="5"/>
    <s v="2023-06-09"/>
    <x v="3"/>
    <n v="690814"/>
    <m/>
    <m/>
    <x v="1"/>
    <n v="30.8"/>
    <s v="Cold"/>
    <s v="No call back after site visit"/>
  </r>
  <r>
    <s v="LD0299"/>
    <s v="Smita Naik"/>
    <n v="9146295027"/>
    <x v="4"/>
    <x v="5"/>
    <s v="Site Visit Walk-in"/>
    <x v="6"/>
    <s v="2023-05-08"/>
    <x v="4"/>
    <x v="4"/>
    <x v="1"/>
    <n v="2"/>
    <n v="7"/>
    <s v="2023-06-05"/>
    <x v="1"/>
    <n v="154153"/>
    <m/>
    <m/>
    <x v="0"/>
    <n v="50.6"/>
    <s v="Warm"/>
    <s v="Interested but waiting for loan approval"/>
  </r>
  <r>
    <s v="LD0300"/>
    <s v="Ritu Nikalje"/>
    <n v="9752997384"/>
    <x v="4"/>
    <x v="6"/>
    <s v="Facebook Gudi Padwa Offer"/>
    <x v="0"/>
    <s v="2023-05-11"/>
    <x v="4"/>
    <x v="4"/>
    <x v="1"/>
    <n v="2"/>
    <n v="7"/>
    <s v="2023-06-17"/>
    <x v="3"/>
    <n v="317180"/>
    <m/>
    <m/>
    <x v="1"/>
    <n v="31.3"/>
    <s v="Hot"/>
    <s v="Very interested, finalising design"/>
  </r>
  <r>
    <s v="LD0301"/>
    <s v="Jyoti Raut"/>
    <n v="9147485372"/>
    <x v="4"/>
    <x v="3"/>
    <s v="MagicBricks Property Enquiry — Inbound"/>
    <x v="0"/>
    <s v="2023-05-15"/>
    <x v="4"/>
    <x v="4"/>
    <x v="1"/>
    <n v="2"/>
    <n v="2"/>
    <s v="2023-06-10"/>
    <x v="1"/>
    <n v="350062"/>
    <m/>
    <m/>
    <x v="0"/>
    <n v="64.599999999999994"/>
    <s v="Warm"/>
    <s v="Follow up after Diwali"/>
  </r>
  <r>
    <s v="LD0302"/>
    <s v="Suresh Kakade"/>
    <n v="9226173057"/>
    <x v="0"/>
    <x v="3"/>
    <s v="MagicBricks Enquiry — Inbound"/>
    <x v="2"/>
    <s v="2023-05-15"/>
    <x v="4"/>
    <x v="4"/>
    <x v="1"/>
    <n v="2"/>
    <n v="6"/>
    <s v="2023-05-29"/>
    <x v="1"/>
    <n v="308768"/>
    <m/>
    <m/>
    <x v="1"/>
    <n v="57.2"/>
    <s v="Warm"/>
    <s v="Follow up after flat possession"/>
  </r>
  <r>
    <s v="LD0303"/>
    <s v="Amit Wagh"/>
    <n v="9457455242"/>
    <x v="2"/>
    <x v="5"/>
    <s v="Showroom Walk-in"/>
    <x v="6"/>
    <s v="2023-05-15"/>
    <x v="4"/>
    <x v="4"/>
    <x v="1"/>
    <n v="2"/>
    <n v="10"/>
    <s v="2023-06-08"/>
    <x v="3"/>
    <n v="135722"/>
    <m/>
    <m/>
    <x v="1"/>
    <n v="35.6"/>
    <s v="Warm"/>
    <s v="Budget discussion pending"/>
  </r>
  <r>
    <s v="LD0304"/>
    <s v="Sanjay Shelke"/>
    <n v="9764789481"/>
    <x v="2"/>
    <x v="2"/>
    <s v="Client Referral"/>
    <x v="2"/>
    <s v="2023-05-18"/>
    <x v="4"/>
    <x v="4"/>
    <x v="1"/>
    <n v="2"/>
    <n v="0"/>
    <s v="2023-05-22"/>
    <x v="1"/>
    <n v="377958"/>
    <m/>
    <m/>
    <x v="1"/>
    <n v="65.900000000000006"/>
    <s v="Warm"/>
    <s v="Budget discussion pending"/>
  </r>
  <r>
    <s v="LD0305"/>
    <s v="Sunil Salve"/>
    <n v="9405352880"/>
    <x v="1"/>
    <x v="5"/>
    <s v="Exhibition Walk-in"/>
    <x v="5"/>
    <s v="2023-05-18"/>
    <x v="4"/>
    <x v="4"/>
    <x v="1"/>
    <n v="2"/>
    <n v="12"/>
    <s v="2023-08-07"/>
    <x v="1"/>
    <n v="57058"/>
    <m/>
    <m/>
    <x v="1"/>
    <n v="29.3"/>
    <s v="Hot"/>
    <s v="Site visit done, quotation shared"/>
  </r>
  <r>
    <s v="LD0306"/>
    <s v="Pravin Aware"/>
    <n v="9346640965"/>
    <x v="2"/>
    <x v="2"/>
    <s v="Contractor Referral"/>
    <x v="0"/>
    <s v="2023-05-23"/>
    <x v="4"/>
    <x v="4"/>
    <x v="1"/>
    <n v="2"/>
    <n v="9"/>
    <s v="2023-06-22"/>
    <x v="4"/>
    <n v="431841"/>
    <n v="432328"/>
    <s v="2023-07-13"/>
    <x v="0"/>
    <n v="19"/>
    <s v="Hot"/>
    <s v="Customer happy with sample, deal closed"/>
  </r>
  <r>
    <s v="LD0307"/>
    <s v="Prashant Chavan"/>
    <n v="9246463340"/>
    <x v="0"/>
    <x v="5"/>
    <s v="Exhibition Walk-in"/>
    <x v="2"/>
    <s v="2023-05-24"/>
    <x v="4"/>
    <x v="4"/>
    <x v="1"/>
    <n v="2"/>
    <n v="9"/>
    <s v="2023-07-11"/>
    <x v="3"/>
    <n v="130726"/>
    <m/>
    <m/>
    <x v="1"/>
    <n v="33.6"/>
    <s v="Hot"/>
    <s v="Sample seen at showroom, liked veneer finish"/>
  </r>
  <r>
    <s v="LD0308"/>
    <s v="Varsha Yadav"/>
    <n v="9549968984"/>
    <x v="1"/>
    <x v="5"/>
    <s v="Showroom Walk-in"/>
    <x v="0"/>
    <s v="2023-05-25"/>
    <x v="4"/>
    <x v="4"/>
    <x v="1"/>
    <n v="2"/>
    <n v="3"/>
    <s v="2023-06-14"/>
    <x v="1"/>
    <n v="550621"/>
    <m/>
    <m/>
    <x v="0"/>
    <n v="39"/>
    <s v="Hot"/>
    <s v="Ready to proceed, discussing payment terms"/>
  </r>
  <r>
    <s v="LD0309"/>
    <s v="Nikhil Tupe"/>
    <n v="9117104881"/>
    <x v="3"/>
    <x v="6"/>
    <s v="Facebook Gudi Padwa Offer"/>
    <x v="0"/>
    <s v="2023-05-26"/>
    <x v="4"/>
    <x v="4"/>
    <x v="1"/>
    <n v="2"/>
    <n v="2"/>
    <s v="2023-06-12"/>
    <x v="0"/>
    <n v="377347"/>
    <m/>
    <m/>
    <x v="1"/>
    <n v="31.7"/>
    <s v="Cold"/>
    <s v="Went with local vendor"/>
  </r>
  <r>
    <s v="LD0310"/>
    <s v="Anita Aware"/>
    <n v="9220285474"/>
    <x v="2"/>
    <x v="2"/>
    <s v="Neighbour Referral"/>
    <x v="2"/>
    <s v="2023-05-27"/>
    <x v="4"/>
    <x v="4"/>
    <x v="1"/>
    <n v="2"/>
    <n v="4"/>
    <s v="2023-06-08"/>
    <x v="1"/>
    <n v="233604"/>
    <m/>
    <m/>
    <x v="1"/>
    <n v="9.5"/>
    <s v="Warm"/>
    <s v="Under construction, possession in 3 months"/>
  </r>
  <r>
    <s v="LD0311"/>
    <s v="Sunanda Salve"/>
    <n v="9469202923"/>
    <x v="1"/>
    <x v="6"/>
    <s v="Facebook Kitchen Showcase"/>
    <x v="7"/>
    <s v="2023-05-27"/>
    <x v="4"/>
    <x v="4"/>
    <x v="1"/>
    <n v="2"/>
    <n v="2"/>
    <s v="2023-06-08"/>
    <x v="0"/>
    <n v="997698"/>
    <m/>
    <m/>
    <x v="1"/>
    <n v="34"/>
    <s v="Cold"/>
    <s v="Customer got work done from relative"/>
  </r>
  <r>
    <s v="LD0312"/>
    <s v="Pramod Shelke"/>
    <n v="9913413214"/>
    <x v="0"/>
    <x v="6"/>
    <s v="Facebook Gudi Padwa Offer"/>
    <x v="7"/>
    <s v="2023-05-27"/>
    <x v="4"/>
    <x v="4"/>
    <x v="1"/>
    <n v="2"/>
    <n v="9"/>
    <s v="2023-06-26"/>
    <x v="0"/>
    <n v="788125"/>
    <m/>
    <m/>
    <x v="0"/>
    <n v="57.9"/>
    <s v="Cold"/>
    <m/>
  </r>
  <r>
    <s v="LD0313"/>
    <s v="Alka Mane"/>
    <n v="9411199562"/>
    <x v="0"/>
    <x v="2"/>
    <s v="Architect Referral"/>
    <x v="6"/>
    <s v="2023-05-30"/>
    <x v="4"/>
    <x v="4"/>
    <x v="1"/>
    <n v="2"/>
    <n v="10"/>
    <s v="2023-08-05"/>
    <x v="2"/>
    <n v="138691"/>
    <m/>
    <m/>
    <x v="0"/>
    <n v="70.3"/>
    <s v="Cold"/>
    <s v="Project on hold"/>
  </r>
  <r>
    <s v="LD0314"/>
    <s v="Lata Gaikwad"/>
    <n v="9555086354"/>
    <x v="0"/>
    <x v="3"/>
    <s v="MagicBricks Property Enquiry — Inbound"/>
    <x v="3"/>
    <s v="2023-06-01"/>
    <x v="5"/>
    <x v="5"/>
    <x v="1"/>
    <n v="2"/>
    <n v="12"/>
    <s v="2023-07-27"/>
    <x v="0"/>
    <n v="182909"/>
    <m/>
    <m/>
    <x v="0"/>
    <n v="34.200000000000003"/>
    <s v="Cold"/>
    <s v="Went with local vendor"/>
  </r>
  <r>
    <s v="LD0315"/>
    <s v="Madhuri Kakade"/>
    <n v="9473486641"/>
    <x v="2"/>
    <x v="1"/>
    <s v="Justdial Sponsored — Inbound"/>
    <x v="2"/>
    <s v="2023-06-02"/>
    <x v="5"/>
    <x v="5"/>
    <x v="1"/>
    <n v="2"/>
    <n v="2"/>
    <s v="2023-06-19"/>
    <x v="4"/>
    <n v="415463"/>
    <n v="378393"/>
    <s v="2023-06-21"/>
    <x v="0"/>
    <n v="44"/>
    <s v="Hot"/>
    <s v="Token paid, measurement done, work started"/>
  </r>
  <r>
    <s v="LD0316"/>
    <s v="Nikhil Gaikwad"/>
    <n v="9742916320"/>
    <x v="2"/>
    <x v="3"/>
    <s v="MagicBricks Property Enquiry — Inbound"/>
    <x v="3"/>
    <s v="2023-06-02"/>
    <x v="5"/>
    <x v="5"/>
    <x v="1"/>
    <n v="2"/>
    <n v="3"/>
    <s v="2023-07-03"/>
    <x v="1"/>
    <n v="183169"/>
    <m/>
    <m/>
    <x v="0"/>
    <n v="67.7"/>
    <s v="Warm"/>
    <s v="Interested but waiting for loan approval"/>
  </r>
  <r>
    <s v="LD0317"/>
    <s v="Anita Gavhane"/>
    <n v="9378675934"/>
    <x v="1"/>
    <x v="2"/>
    <s v="Contractor Referral"/>
    <x v="6"/>
    <s v="2023-06-03"/>
    <x v="5"/>
    <x v="5"/>
    <x v="1"/>
    <n v="2"/>
    <n v="5"/>
    <s v="2023-06-29"/>
    <x v="1"/>
    <n v="186879"/>
    <m/>
    <m/>
    <x v="2"/>
    <n v="36.4"/>
    <s v="Warm"/>
    <s v="Waiting for interior budget approval from family"/>
  </r>
  <r>
    <s v="LD0318"/>
    <s v="Dinesh Raut"/>
    <n v="9145652216"/>
    <x v="2"/>
    <x v="3"/>
    <s v="MagicBricks Enquiry — Inbound"/>
    <x v="0"/>
    <s v="2023-06-05"/>
    <x v="5"/>
    <x v="5"/>
    <x v="1"/>
    <n v="2"/>
    <n v="1"/>
    <s v="2023-06-07"/>
    <x v="1"/>
    <n v="701175"/>
    <m/>
    <m/>
    <x v="0"/>
    <n v="32.9"/>
    <s v="Cold"/>
    <s v="Duplicate enquiry"/>
  </r>
  <r>
    <s v="LD0319"/>
    <s v="Bharati Mohite"/>
    <n v="9737426805"/>
    <x v="2"/>
    <x v="6"/>
    <s v="Facebook Home Decor Ads"/>
    <x v="2"/>
    <s v="2023-06-05"/>
    <x v="5"/>
    <x v="5"/>
    <x v="1"/>
    <n v="2"/>
    <n v="6"/>
    <s v="2023-07-19"/>
    <x v="0"/>
    <n v="366289"/>
    <m/>
    <m/>
    <x v="0"/>
    <n v="31.5"/>
    <s v="Cold"/>
    <s v="Went with local vendor"/>
  </r>
  <r>
    <s v="LD0320"/>
    <s v="Seema Wagh"/>
    <n v="9247024288"/>
    <x v="0"/>
    <x v="5"/>
    <s v="Exhibition Walk-in"/>
    <x v="4"/>
    <s v="2023-06-10"/>
    <x v="5"/>
    <x v="5"/>
    <x v="1"/>
    <n v="2"/>
    <n v="6"/>
    <s v="2023-07-05"/>
    <x v="4"/>
    <n v="316450"/>
    <n v="290035"/>
    <s v="2023-07-24"/>
    <x v="1"/>
    <n v="31.8"/>
    <s v="Hot"/>
    <s v="Customer happy with sample, deal closed"/>
  </r>
  <r>
    <s v="LD0321"/>
    <s v="Amit More"/>
    <n v="9698216060"/>
    <x v="1"/>
    <x v="5"/>
    <s v="Showroom Walk-in"/>
    <x v="5"/>
    <s v="2023-06-12"/>
    <x v="5"/>
    <x v="5"/>
    <x v="1"/>
    <n v="2"/>
    <n v="2"/>
    <s v="2023-07-05"/>
    <x v="1"/>
    <n v="242762"/>
    <m/>
    <m/>
    <x v="1"/>
    <n v="35.700000000000003"/>
    <s v="Hot"/>
    <s v="Token amount discussed, decision this week"/>
  </r>
  <r>
    <s v="LD0322"/>
    <s v="Sonal Kulkarni"/>
    <n v="9173259976"/>
    <x v="0"/>
    <x v="2"/>
    <s v="Architect Referral"/>
    <x v="2"/>
    <s v="2023-06-16"/>
    <x v="5"/>
    <x v="5"/>
    <x v="1"/>
    <n v="2"/>
    <n v="0"/>
    <s v="2023-06-19"/>
    <x v="3"/>
    <n v="199462"/>
    <m/>
    <m/>
    <x v="0"/>
    <n v="46.7"/>
    <s v="Warm"/>
    <m/>
  </r>
  <r>
    <s v="LD0323"/>
    <s v="Rohit Pawar"/>
    <n v="9493486679"/>
    <x v="0"/>
    <x v="7"/>
    <s v="SEO Organic"/>
    <x v="0"/>
    <s v="2023-06-19"/>
    <x v="5"/>
    <x v="5"/>
    <x v="1"/>
    <n v="2"/>
    <n v="3"/>
    <s v="2023-07-11"/>
    <x v="1"/>
    <n v="447436"/>
    <m/>
    <m/>
    <x v="2"/>
    <n v="70.2"/>
    <s v="Warm"/>
    <s v="New flat, moving in after 2 months"/>
  </r>
  <r>
    <s v="LD0324"/>
    <s v="Pravin More"/>
    <n v="9821657025"/>
    <x v="1"/>
    <x v="6"/>
    <s v="Facebook Gudi Padwa Offer"/>
    <x v="2"/>
    <s v="2023-06-20"/>
    <x v="5"/>
    <x v="5"/>
    <x v="1"/>
    <n v="2"/>
    <n v="10"/>
    <s v="2023-08-05"/>
    <x v="0"/>
    <n v="406074"/>
    <m/>
    <m/>
    <x v="2"/>
    <n v="62.3"/>
    <s v="Cold"/>
    <m/>
  </r>
  <r>
    <s v="LD0325"/>
    <s v="Nanda Nimbalkar"/>
    <n v="9741720343"/>
    <x v="2"/>
    <x v="2"/>
    <s v="Client Referral"/>
    <x v="7"/>
    <s v="2023-06-23"/>
    <x v="5"/>
    <x v="5"/>
    <x v="1"/>
    <n v="2"/>
    <n v="11"/>
    <s v="2023-08-10"/>
    <x v="0"/>
    <n v="840794"/>
    <m/>
    <m/>
    <x v="2"/>
    <n v="36.6"/>
    <s v="Cold"/>
    <s v="Budget mismatch - too low"/>
  </r>
  <r>
    <s v="LD0326"/>
    <s v="Devendra Kakade"/>
    <n v="9992895309"/>
    <x v="4"/>
    <x v="4"/>
    <s v="99acres Flat Owner Enquiry — Inbound"/>
    <x v="2"/>
    <s v="2023-06-26"/>
    <x v="5"/>
    <x v="5"/>
    <x v="1"/>
    <n v="2"/>
    <n v="6"/>
    <s v="2023-08-01"/>
    <x v="4"/>
    <n v="481815"/>
    <n v="451836"/>
    <s v="2023-08-08"/>
    <x v="0"/>
    <n v="29.4"/>
    <s v="Hot"/>
    <s v="Full payment cleared, delivery done"/>
  </r>
  <r>
    <s v="LD0327"/>
    <s v="Bharati Kale"/>
    <n v="9628159105"/>
    <x v="4"/>
    <x v="2"/>
    <s v="Neighbour Referral"/>
    <x v="2"/>
    <s v="2023-06-27"/>
    <x v="5"/>
    <x v="5"/>
    <x v="1"/>
    <n v="2"/>
    <n v="1"/>
    <s v="2023-07-12"/>
    <x v="1"/>
    <n v="374103"/>
    <m/>
    <m/>
    <x v="0"/>
    <n v="21.9"/>
    <s v="Hot"/>
    <s v="Design presentation done, waiting for confirmation"/>
  </r>
  <r>
    <s v="LD0328"/>
    <s v="Hemant Holkar"/>
    <n v="9983901883"/>
    <x v="1"/>
    <x v="5"/>
    <s v="Exhibition Walk-in"/>
    <x v="2"/>
    <s v="2023-07-01"/>
    <x v="6"/>
    <x v="6"/>
    <x v="1"/>
    <n v="3"/>
    <n v="12"/>
    <s v="2023-09-14"/>
    <x v="4"/>
    <n v="329113"/>
    <n v="291487"/>
    <s v="2023-09-29"/>
    <x v="0"/>
    <n v="66.3"/>
    <s v="Warm"/>
    <s v="Token paid, measurement done, work started"/>
  </r>
  <r>
    <s v="LD0329"/>
    <s v="Sonal Bhosale"/>
    <n v="9852281566"/>
    <x v="2"/>
    <x v="0"/>
    <s v="Friend Reference"/>
    <x v="1"/>
    <s v="2023-07-01"/>
    <x v="6"/>
    <x v="6"/>
    <x v="1"/>
    <n v="3"/>
    <n v="4"/>
    <s v="2023-07-28"/>
    <x v="3"/>
    <n v="127774"/>
    <m/>
    <m/>
    <x v="2"/>
    <n v="57.6"/>
    <s v="Warm"/>
    <s v="Budget discussion pending"/>
  </r>
  <r>
    <s v="LD0330"/>
    <s v="Ravi Mane"/>
    <n v="9555031725"/>
    <x v="3"/>
    <x v="1"/>
    <s v="Justdial Free Listing — Inbound"/>
    <x v="0"/>
    <s v="2023-07-07"/>
    <x v="6"/>
    <x v="6"/>
    <x v="1"/>
    <n v="3"/>
    <n v="5"/>
    <s v="2023-08-12"/>
    <x v="0"/>
    <n v="418176"/>
    <m/>
    <m/>
    <x v="1"/>
    <n v="7.8"/>
    <s v="Cold"/>
    <s v="Customer did not proceed with project"/>
  </r>
  <r>
    <s v="LD0331"/>
    <s v="Rohit Kadam"/>
    <n v="9198738972"/>
    <x v="0"/>
    <x v="2"/>
    <s v="Client Referral"/>
    <x v="1"/>
    <s v="2023-07-07"/>
    <x v="6"/>
    <x v="6"/>
    <x v="1"/>
    <n v="3"/>
    <n v="12"/>
    <s v="2023-08-17"/>
    <x v="3"/>
    <n v="286112"/>
    <m/>
    <m/>
    <x v="0"/>
    <n v="71.7"/>
    <s v="Hot"/>
    <s v="Ready to proceed, discussing payment terms"/>
  </r>
  <r>
    <s v="LD0332"/>
    <s v="Sunanda Gaikwad"/>
    <n v="9682438493"/>
    <x v="3"/>
    <x v="0"/>
    <s v="Friend Reference"/>
    <x v="1"/>
    <s v="2023-07-10"/>
    <x v="6"/>
    <x v="6"/>
    <x v="1"/>
    <n v="3"/>
    <n v="10"/>
    <s v="2023-09-01"/>
    <x v="3"/>
    <n v="136649"/>
    <m/>
    <m/>
    <x v="1"/>
    <n v="35.700000000000003"/>
    <s v="Warm"/>
    <s v="Site visit to be scheduled"/>
  </r>
  <r>
    <s v="LD0333"/>
    <s v="Mahesh Suryawanshi"/>
    <n v="9436521776"/>
    <x v="0"/>
    <x v="6"/>
    <s v="Facebook Kitchen Showcase"/>
    <x v="0"/>
    <s v="2023-07-13"/>
    <x v="6"/>
    <x v="6"/>
    <x v="1"/>
    <n v="3"/>
    <n v="4"/>
    <s v="2023-08-09"/>
    <x v="4"/>
    <n v="608894"/>
    <n v="548992"/>
    <s v="2023-08-13"/>
    <x v="2"/>
    <n v="60.4"/>
    <s v="Hot"/>
    <s v="Work order signed, production started"/>
  </r>
  <r>
    <s v="LD0334"/>
    <s v="Sachin Phule"/>
    <n v="9281200333"/>
    <x v="4"/>
    <x v="5"/>
    <s v="Exhibition Walk-in"/>
    <x v="2"/>
    <s v="2023-07-14"/>
    <x v="6"/>
    <x v="6"/>
    <x v="1"/>
    <n v="3"/>
    <n v="1"/>
    <s v="2023-07-24"/>
    <x v="3"/>
    <n v="366821"/>
    <m/>
    <m/>
    <x v="2"/>
    <n v="48"/>
    <s v="Cold"/>
    <s v="No response after 4 follow ups"/>
  </r>
  <r>
    <s v="LD0335"/>
    <s v="Rekha Gaikwad"/>
    <n v="9297288915"/>
    <x v="4"/>
    <x v="1"/>
    <s v="Justdial Sponsored — Inbound"/>
    <x v="2"/>
    <s v="2023-07-14"/>
    <x v="6"/>
    <x v="6"/>
    <x v="1"/>
    <n v="3"/>
    <m/>
    <s v="2023-08-01"/>
    <x v="0"/>
    <n v="406716"/>
    <m/>
    <m/>
    <x v="1"/>
    <n v="41.2"/>
    <s v="Cold"/>
    <s v="Lost to competitor - cheaper quote"/>
  </r>
  <r>
    <s v="LD0336"/>
    <s v="Nanda Nimbalkar"/>
    <n v="9633361273"/>
    <x v="2"/>
    <x v="5"/>
    <s v="Showroom Walk-in"/>
    <x v="2"/>
    <s v="2023-07-17"/>
    <x v="6"/>
    <x v="6"/>
    <x v="1"/>
    <n v="3"/>
    <n v="1"/>
    <s v="2023-08-02"/>
    <x v="1"/>
    <n v="490879"/>
    <m/>
    <m/>
    <x v="0"/>
    <n v="42.9"/>
    <s v="Warm"/>
    <s v="Customer interested, flat handover next month"/>
  </r>
  <r>
    <s v="LD0337"/>
    <s v="Nilesh Shelke"/>
    <n v="9771049849"/>
    <x v="3"/>
    <x v="5"/>
    <s v="Showroom Walk-in"/>
    <x v="5"/>
    <s v="2023-07-17"/>
    <x v="6"/>
    <x v="6"/>
    <x v="1"/>
    <n v="3"/>
    <n v="5"/>
    <s v="2023-08-07"/>
    <x v="0"/>
    <n v="187481"/>
    <m/>
    <m/>
    <x v="2"/>
    <n v="24.4"/>
    <s v="Cold"/>
    <s v="Customer chose readymade furniture"/>
  </r>
  <r>
    <s v="LD0338"/>
    <s v="Deepak Londhe"/>
    <n v="9165953495"/>
    <x v="2"/>
    <x v="6"/>
    <s v="Facebook Gudi Padwa Offer"/>
    <x v="4"/>
    <s v="2023-07-18"/>
    <x v="6"/>
    <x v="6"/>
    <x v="1"/>
    <n v="3"/>
    <n v="9"/>
    <s v="2023-09-20"/>
    <x v="0"/>
    <n v="203450"/>
    <m/>
    <m/>
    <x v="1"/>
    <n v="37.6"/>
    <s v="Cold"/>
    <s v="Project cancelled by customer"/>
  </r>
  <r>
    <s v="LD0339"/>
    <s v="Sonal Nikalje"/>
    <n v="9889385047"/>
    <x v="2"/>
    <x v="1"/>
    <s v="Justdial Free Listing — Inbound"/>
    <x v="0"/>
    <s v="2023-07-19"/>
    <x v="6"/>
    <x v="6"/>
    <x v="1"/>
    <n v="3"/>
    <n v="12"/>
    <s v="2023-09-04"/>
    <x v="0"/>
    <n v="382933"/>
    <m/>
    <m/>
    <x v="2"/>
    <n v="61.6"/>
    <s v="Cold"/>
    <s v="Lost - no follow up done in time"/>
  </r>
  <r>
    <s v="LD0340"/>
    <s v="Ganesh Tupe"/>
    <m/>
    <x v="0"/>
    <x v="4"/>
    <s v="99acres Flat Owner Enquiry — Inbound"/>
    <x v="5"/>
    <s v="2023-07-25"/>
    <x v="6"/>
    <x v="6"/>
    <x v="1"/>
    <n v="3"/>
    <n v="4"/>
    <s v="2023-08-24"/>
    <x v="0"/>
    <n v="92335"/>
    <m/>
    <m/>
    <x v="0"/>
    <n v="60"/>
    <s v="Cold"/>
    <s v="99acres portal lead — customer did not share direct contact"/>
  </r>
  <r>
    <s v="LD0341"/>
    <s v="Ritu Londhe"/>
    <n v="9164297440"/>
    <x v="4"/>
    <x v="3"/>
    <s v="MagicBricks Property Enquiry — Inbound"/>
    <x v="4"/>
    <s v="2023-07-28"/>
    <x v="6"/>
    <x v="6"/>
    <x v="1"/>
    <n v="3"/>
    <n v="12"/>
    <s v="2023-10-23"/>
    <x v="0"/>
    <n v="233650"/>
    <m/>
    <m/>
    <x v="2"/>
    <n v="47.4"/>
    <s v="Cold"/>
    <s v="Customer chose readymade furniture"/>
  </r>
  <r>
    <s v="LD0342"/>
    <s v="Sunanda Gavhane"/>
    <n v="9222912620"/>
    <x v="0"/>
    <x v="0"/>
    <s v="Family Reference"/>
    <x v="3"/>
    <s v="2023-07-29"/>
    <x v="6"/>
    <x v="6"/>
    <x v="1"/>
    <n v="3"/>
    <n v="10"/>
    <s v="2023-09-08"/>
    <x v="4"/>
    <n v="177912"/>
    <n v="176120"/>
    <s v="2023-09-28"/>
    <x v="1"/>
    <n v="20.6"/>
    <s v="Hot"/>
    <s v="Work order signed, production started"/>
  </r>
  <r>
    <s v="LD0343"/>
    <s v="Seema Aware"/>
    <n v="9435501022"/>
    <x v="3"/>
    <x v="1"/>
    <s v="Justdial Premium Listing — Inbound"/>
    <x v="3"/>
    <s v="2023-07-29"/>
    <x v="6"/>
    <x v="6"/>
    <x v="1"/>
    <n v="3"/>
    <n v="11"/>
    <s v="2023-09-01"/>
    <x v="0"/>
    <n v="114912"/>
    <m/>
    <m/>
    <x v="1"/>
    <n v="41.9"/>
    <s v="Warm"/>
    <s v="Lost - no follow up done in time"/>
  </r>
  <r>
    <s v="LD0344"/>
    <s v="Vikas Bansode"/>
    <n v="9190118660"/>
    <x v="2"/>
    <x v="1"/>
    <s v="Justdial Free Listing — Inbound"/>
    <x v="2"/>
    <s v="2023-07-29"/>
    <x v="6"/>
    <x v="6"/>
    <x v="1"/>
    <n v="3"/>
    <n v="11"/>
    <s v="2023-09-20"/>
    <x v="0"/>
    <n v="440360"/>
    <m/>
    <m/>
    <x v="2"/>
    <n v="41.4"/>
    <s v="Cold"/>
    <m/>
  </r>
  <r>
    <s v="LD0345"/>
    <s v="Hemant Suryawanshi"/>
    <n v="9973394943"/>
    <x v="0"/>
    <x v="2"/>
    <s v="Client Referral"/>
    <x v="0"/>
    <s v="2023-07-31"/>
    <x v="6"/>
    <x v="6"/>
    <x v="1"/>
    <n v="3"/>
    <n v="3"/>
    <s v="2023-08-28"/>
    <x v="1"/>
    <n v="338374"/>
    <m/>
    <m/>
    <x v="2"/>
    <n v="49.8"/>
    <s v="Warm"/>
    <s v="Call back after 1 month"/>
  </r>
  <r>
    <s v="LD0346"/>
    <s v="Sunil Kshirsagar"/>
    <n v="9147080354"/>
    <x v="3"/>
    <x v="3"/>
    <s v="MagicBricks Enquiry — Inbound"/>
    <x v="7"/>
    <s v="2023-08-01"/>
    <x v="7"/>
    <x v="7"/>
    <x v="1"/>
    <n v="3"/>
    <n v="7"/>
    <s v="2023-09-04"/>
    <x v="0"/>
    <n v="987734"/>
    <m/>
    <m/>
    <x v="2"/>
    <n v="9.5"/>
    <s v="Warm"/>
    <s v="Lost to branded competitor"/>
  </r>
  <r>
    <s v="LD0347"/>
    <s v="Dinesh Tupe"/>
    <n v="9640569491"/>
    <x v="2"/>
    <x v="2"/>
    <s v="Client Referral"/>
    <x v="0"/>
    <s v="2023-08-02"/>
    <x v="7"/>
    <x v="7"/>
    <x v="1"/>
    <n v="3"/>
    <n v="5"/>
    <s v="2023-08-22"/>
    <x v="1"/>
    <n v="392832"/>
    <m/>
    <m/>
    <x v="1"/>
    <n v="53"/>
    <s v="Warm"/>
    <m/>
  </r>
  <r>
    <s v="LD0348"/>
    <s v="Suresh Zende"/>
    <n v="9748596832"/>
    <x v="1"/>
    <x v="5"/>
    <s v="Exhibition Walk-in"/>
    <x v="7"/>
    <s v="2023-08-03"/>
    <x v="7"/>
    <x v="7"/>
    <x v="1"/>
    <n v="3"/>
    <n v="3"/>
    <s v="2023-08-15"/>
    <x v="0"/>
    <m/>
    <m/>
    <m/>
    <x v="1"/>
    <n v="22"/>
    <s v="Cold"/>
    <s v="Customer did not proceed with project"/>
  </r>
  <r>
    <s v="LD0349"/>
    <s v="Umesh Bansode"/>
    <n v="9283890958"/>
    <x v="0"/>
    <x v="0"/>
    <s v="Family Reference"/>
    <x v="3"/>
    <s v="2023-08-05"/>
    <x v="7"/>
    <x v="7"/>
    <x v="1"/>
    <n v="3"/>
    <n v="12"/>
    <s v="2023-09-30"/>
    <x v="3"/>
    <n v="135764"/>
    <m/>
    <m/>
    <x v="1"/>
    <n v="56.3"/>
    <s v="Warm"/>
    <s v="Follow up after Gudi Padwa"/>
  </r>
  <r>
    <s v="LD0350"/>
    <s v="Meena Gaikwad"/>
    <n v="9824885563"/>
    <x v="0"/>
    <x v="0"/>
    <s v="Family Reference"/>
    <x v="5"/>
    <s v="2023-08-07"/>
    <x v="7"/>
    <x v="7"/>
    <x v="1"/>
    <n v="3"/>
    <n v="5"/>
    <s v="2023-09-12"/>
    <x v="1"/>
    <n v="261412"/>
    <m/>
    <m/>
    <x v="1"/>
    <n v="46.1"/>
    <s v="Warm"/>
    <s v="Customer interested, flat handover next month"/>
  </r>
  <r>
    <s v="LD0351"/>
    <s v="Ganesh Gavhane"/>
    <n v="9852467956"/>
    <x v="1"/>
    <x v="5"/>
    <s v="Exhibition Walk-in"/>
    <x v="0"/>
    <s v="2023-08-07"/>
    <x v="7"/>
    <x v="7"/>
    <x v="1"/>
    <n v="3"/>
    <n v="4"/>
    <s v="2023-09-01"/>
    <x v="3"/>
    <m/>
    <m/>
    <m/>
    <x v="0"/>
    <n v="70.5"/>
    <s v="Warm"/>
    <s v="Budget discussion pending"/>
  </r>
  <r>
    <s v="LD0352"/>
    <s v="Pramod Bhalerao"/>
    <n v="9611372846"/>
    <x v="4"/>
    <x v="1"/>
    <s v="Justdial Sponsored — Inbound"/>
    <x v="3"/>
    <s v="2023-08-08"/>
    <x v="7"/>
    <x v="7"/>
    <x v="1"/>
    <n v="3"/>
    <n v="1"/>
    <s v="2023-08-10"/>
    <x v="1"/>
    <n v="118148"/>
    <m/>
    <m/>
    <x v="0"/>
    <n v="60.3"/>
    <s v="Warm"/>
    <s v="Budget discussion pending"/>
  </r>
  <r>
    <s v="LD0353"/>
    <s v="Varsha Mohite"/>
    <m/>
    <x v="0"/>
    <x v="6"/>
    <s v="Facebook Kitchen Showcase"/>
    <x v="7"/>
    <s v="2023-08-10"/>
    <x v="7"/>
    <x v="7"/>
    <x v="1"/>
    <n v="3"/>
    <n v="7"/>
    <s v="2023-09-12"/>
    <x v="0"/>
    <n v="966949"/>
    <m/>
    <m/>
    <x v="0"/>
    <n v="21.8"/>
    <s v="Cold"/>
    <s v="Facebook enquiry — no phone shared in form"/>
  </r>
  <r>
    <s v="LD0354"/>
    <s v="Alka Phule"/>
    <n v="9578290147"/>
    <x v="0"/>
    <x v="3"/>
    <s v="MagicBricks Enquiry — Inbound"/>
    <x v="1"/>
    <s v="2023-08-14"/>
    <x v="7"/>
    <x v="7"/>
    <x v="1"/>
    <n v="3"/>
    <n v="2"/>
    <s v="2023-09-02"/>
    <x v="4"/>
    <n v="182371"/>
    <n v="176558"/>
    <s v="2023-09-07"/>
    <x v="1"/>
    <n v="25.1"/>
    <s v="Warm"/>
    <s v="Deal done, site work ongoing"/>
  </r>
  <r>
    <s v="LD0355"/>
    <s v="Bharati Londhe"/>
    <n v="9547601168"/>
    <x v="2"/>
    <x v="3"/>
    <s v="MagicBricks Enquiry — Inbound"/>
    <x v="5"/>
    <s v="2023-08-15"/>
    <x v="7"/>
    <x v="7"/>
    <x v="1"/>
    <n v="3"/>
    <n v="2"/>
    <s v="2023-08-31"/>
    <x v="1"/>
    <n v="126383"/>
    <m/>
    <m/>
    <x v="2"/>
    <n v="52.6"/>
    <s v="Cold"/>
    <s v="Price too high as per customer"/>
  </r>
  <r>
    <s v="LD0356"/>
    <s v="Vikas Kale"/>
    <n v="9712878747"/>
    <x v="0"/>
    <x v="2"/>
    <s v="Architect Referral"/>
    <x v="0"/>
    <s v="2023-08-15"/>
    <x v="7"/>
    <x v="7"/>
    <x v="1"/>
    <n v="3"/>
    <n v="4"/>
    <s v="2023-09-14"/>
    <x v="4"/>
    <n v="596715"/>
    <n v="532030"/>
    <s v="2023-10-04"/>
    <x v="2"/>
    <n v="15.4"/>
    <s v="Hot"/>
    <s v="Deal closed, advance received"/>
  </r>
  <r>
    <s v="LD0357"/>
    <s v="Nanda Deshpande"/>
    <n v="9382626443"/>
    <x v="2"/>
    <x v="4"/>
    <s v="99acres New Project Enquiry — Inbound"/>
    <x v="5"/>
    <s v="2023-08-16"/>
    <x v="7"/>
    <x v="7"/>
    <x v="1"/>
    <n v="3"/>
    <n v="7"/>
    <s v="2023-09-18"/>
    <x v="4"/>
    <n v="149134"/>
    <n v="149184"/>
    <s v="2023-10-01"/>
    <x v="1"/>
    <n v="25.3"/>
    <s v="Hot"/>
    <s v="Token paid, measurement done, work started"/>
  </r>
  <r>
    <s v="LD0358"/>
    <s v="Kiran Raut"/>
    <n v="9698098197"/>
    <x v="2"/>
    <x v="1"/>
    <s v="Justdial Premium Listing — Inbound"/>
    <x v="0"/>
    <s v="2023-08-17"/>
    <x v="7"/>
    <x v="7"/>
    <x v="1"/>
    <n v="3"/>
    <n v="12"/>
    <s v="2023-10-04"/>
    <x v="0"/>
    <n v="614498"/>
    <m/>
    <m/>
    <x v="0"/>
    <n v="21.5"/>
    <s v="Cold"/>
    <s v="Lost to competitor - cheaper quote"/>
  </r>
  <r>
    <s v="LD0359"/>
    <s v="Santosh Suryawanshi"/>
    <n v="9423766892"/>
    <x v="4"/>
    <x v="2"/>
    <s v="Neighbour Referral"/>
    <x v="0"/>
    <s v="2023-08-17"/>
    <x v="7"/>
    <x v="7"/>
    <x v="1"/>
    <n v="3"/>
    <n v="12"/>
    <s v="2023-11-01"/>
    <x v="0"/>
    <n v="440132"/>
    <m/>
    <m/>
    <x v="1"/>
    <n v="34.1"/>
    <s v="Cold"/>
    <s v="Customer chose readymade furniture"/>
  </r>
  <r>
    <s v="LD0360"/>
    <s v="Sachin Raut"/>
    <n v="9426355333"/>
    <x v="4"/>
    <x v="3"/>
    <s v="MagicBricks Enquiry — Inbound"/>
    <x v="2"/>
    <s v="2023-08-18"/>
    <x v="7"/>
    <x v="7"/>
    <x v="1"/>
    <n v="3"/>
    <n v="9"/>
    <s v="2023-09-25"/>
    <x v="1"/>
    <n v="306257"/>
    <m/>
    <m/>
    <x v="0"/>
    <n v="5.6"/>
    <s v="Warm"/>
    <s v="Call back after 1 month"/>
  </r>
  <r>
    <s v="LD0361"/>
    <s v="Vijay Aware"/>
    <n v="9695179948"/>
    <x v="0"/>
    <x v="3"/>
    <s v="MagicBricks Property Enquiry — Inbound"/>
    <x v="2"/>
    <s v="2023-08-19"/>
    <x v="7"/>
    <x v="7"/>
    <x v="1"/>
    <n v="3"/>
    <n v="6"/>
    <s v="2023-10-04"/>
    <x v="1"/>
    <n v="273167"/>
    <m/>
    <m/>
    <x v="0"/>
    <n v="61.6"/>
    <s v="Hot"/>
    <s v="Ready to proceed, discussing payment terms"/>
  </r>
  <r>
    <s v="LD0362"/>
    <s v="Dinesh Sonawane"/>
    <n v="9351081528"/>
    <x v="3"/>
    <x v="2"/>
    <s v="Client Referral"/>
    <x v="3"/>
    <s v="2023-08-21"/>
    <x v="7"/>
    <x v="7"/>
    <x v="1"/>
    <n v="3"/>
    <n v="12"/>
    <s v="2023-11-01"/>
    <x v="4"/>
    <n v="110555"/>
    <n v="108659"/>
    <s v="2023-11-21"/>
    <x v="0"/>
    <n v="34.799999999999997"/>
    <s v="Hot"/>
    <s v="Deal done, site work ongoing"/>
  </r>
  <r>
    <s v="LD0363"/>
    <s v="Deepak Thorat"/>
    <n v="9960652062"/>
    <x v="2"/>
    <x v="3"/>
    <s v="MagicBricks Property Enquiry — Inbound"/>
    <x v="5"/>
    <s v="2023-08-21"/>
    <x v="7"/>
    <x v="7"/>
    <x v="1"/>
    <n v="3"/>
    <n v="7"/>
    <s v="2023-10-09"/>
    <x v="4"/>
    <n v="279136"/>
    <n v="270362"/>
    <s v="2023-10-27"/>
    <x v="2"/>
    <n v="48"/>
    <s v="Hot"/>
    <s v="Token received, design finalised"/>
  </r>
  <r>
    <s v="LD0364"/>
    <s v="Shweta Chavan"/>
    <n v="9150518836"/>
    <x v="0"/>
    <x v="3"/>
    <s v="MagicBricks Enquiry — Inbound"/>
    <x v="2"/>
    <s v="2023-08-21"/>
    <x v="7"/>
    <x v="7"/>
    <x v="1"/>
    <n v="3"/>
    <n v="7"/>
    <s v="2023-09-26"/>
    <x v="1"/>
    <n v="234308"/>
    <m/>
    <m/>
    <x v="0"/>
    <n v="10.9"/>
    <s v="Warm"/>
    <s v="Call back after 1 month"/>
  </r>
  <r>
    <s v="LD0365"/>
    <s v="Anita Kshirsagar"/>
    <n v="9552989372"/>
    <x v="1"/>
    <x v="3"/>
    <s v="MagicBricks Enquiry — Inbound"/>
    <x v="0"/>
    <s v="2023-08-23"/>
    <x v="7"/>
    <x v="7"/>
    <x v="1"/>
    <n v="3"/>
    <n v="3"/>
    <s v="2023-09-05"/>
    <x v="0"/>
    <n v="411048"/>
    <m/>
    <m/>
    <x v="0"/>
    <n v="62.4"/>
    <s v="Cold"/>
    <s v="Went with local vendor"/>
  </r>
  <r>
    <s v="LD0366"/>
    <s v="Deepak Shelke"/>
    <n v="9424814794"/>
    <x v="1"/>
    <x v="2"/>
    <s v="Client Referral"/>
    <x v="2"/>
    <s v="2023-08-24"/>
    <x v="7"/>
    <x v="7"/>
    <x v="1"/>
    <n v="3"/>
    <n v="10"/>
    <s v="2023-10-25"/>
    <x v="4"/>
    <n v="204346"/>
    <n v="199861"/>
    <s v="2023-10-28"/>
    <x v="0"/>
    <n v="65.8"/>
    <s v="Hot"/>
    <s v="Deal done, site work ongoing"/>
  </r>
  <r>
    <s v="LD0367"/>
    <s v="Hemant Shinde"/>
    <n v="9858021852"/>
    <x v="0"/>
    <x v="2"/>
    <s v="Architect Referral"/>
    <x v="6"/>
    <s v="2023-08-24"/>
    <x v="7"/>
    <x v="7"/>
    <x v="1"/>
    <n v="3"/>
    <n v="2"/>
    <s v="2023-08-30"/>
    <x v="1"/>
    <n v="215404"/>
    <m/>
    <m/>
    <x v="2"/>
    <n v="14.1"/>
    <s v="Hot"/>
    <s v="Final quote shared, awaiting approval"/>
  </r>
  <r>
    <s v="LD0368"/>
    <s v="Pravin Patil"/>
    <n v="9110682349"/>
    <x v="1"/>
    <x v="2"/>
    <s v="Architect Referral"/>
    <x v="3"/>
    <s v="2023-08-25"/>
    <x v="7"/>
    <x v="7"/>
    <x v="1"/>
    <n v="3"/>
    <n v="12"/>
    <s v="2023-11-04"/>
    <x v="4"/>
    <n v="70320"/>
    <n v="67932"/>
    <s v="2023-11-17"/>
    <x v="2"/>
    <n v="68.7"/>
    <s v="Warm"/>
    <s v="Token received, design finalised"/>
  </r>
  <r>
    <s v="LD0369"/>
    <s v="Madhuri Bhalerao"/>
    <n v="9591465381"/>
    <x v="0"/>
    <x v="3"/>
    <s v="MagicBricks Property Enquiry — Inbound"/>
    <x v="4"/>
    <s v="2023-08-28"/>
    <x v="7"/>
    <x v="7"/>
    <x v="1"/>
    <n v="3"/>
    <n v="2"/>
    <s v="2023-09-18"/>
    <x v="1"/>
    <n v="272891"/>
    <m/>
    <m/>
    <x v="2"/>
    <n v="70.2"/>
    <s v="Warm"/>
    <s v="Interested but waiting for loan approval"/>
  </r>
  <r>
    <s v="LD0370"/>
    <s v="Sachin Kulkarni"/>
    <n v="9793830293"/>
    <x v="4"/>
    <x v="2"/>
    <s v="Client Referral"/>
    <x v="2"/>
    <s v="2023-08-29"/>
    <x v="7"/>
    <x v="7"/>
    <x v="1"/>
    <n v="3"/>
    <n v="7"/>
    <s v="2023-09-22"/>
    <x v="1"/>
    <n v="172125"/>
    <m/>
    <m/>
    <x v="0"/>
    <n v="64.7"/>
    <s v="Hot"/>
    <s v="Final quote shared, awaiting approval"/>
  </r>
  <r>
    <s v="LD0371"/>
    <s v="Vijay More"/>
    <n v="9357784072"/>
    <x v="0"/>
    <x v="2"/>
    <s v="Architect Referral"/>
    <x v="0"/>
    <s v="2023-08-31"/>
    <x v="7"/>
    <x v="7"/>
    <x v="1"/>
    <n v="3"/>
    <n v="6"/>
    <s v="2023-09-21"/>
    <x v="3"/>
    <n v="510143"/>
    <m/>
    <m/>
    <x v="0"/>
    <n v="8.8000000000000007"/>
    <s v="Hot"/>
    <s v="Customer comparing 1-2 vendors only"/>
  </r>
  <r>
    <s v="LD0372"/>
    <s v="Smita Kshirsagar"/>
    <n v="9320531781"/>
    <x v="3"/>
    <x v="5"/>
    <s v="Showroom Walk-in"/>
    <x v="5"/>
    <s v="2023-08-31"/>
    <x v="7"/>
    <x v="7"/>
    <x v="1"/>
    <n v="3"/>
    <n v="8"/>
    <s v="2023-09-22"/>
    <x v="2"/>
    <n v="177501"/>
    <m/>
    <m/>
    <x v="2"/>
    <n v="60"/>
    <s v="Cold"/>
    <s v="Budget too low for our range"/>
  </r>
  <r>
    <s v="LD0373"/>
    <s v="Kiran Nimbalkar"/>
    <n v="9601869492"/>
    <x v="0"/>
    <x v="2"/>
    <s v="Architect Referral"/>
    <x v="4"/>
    <s v="2023-09-01"/>
    <x v="8"/>
    <x v="8"/>
    <x v="1"/>
    <n v="3"/>
    <n v="10"/>
    <s v="2023-10-04"/>
    <x v="4"/>
    <n v="171854"/>
    <n v="155162"/>
    <s v="2023-10-08"/>
    <x v="2"/>
    <n v="17.3"/>
    <s v="Hot"/>
    <s v="Token received, design finalised"/>
  </r>
  <r>
    <s v="LD0374"/>
    <s v="Divya Yadav"/>
    <n v="9425535468"/>
    <x v="0"/>
    <x v="1"/>
    <s v="Justdial Premium Listing — Inbound"/>
    <x v="5"/>
    <s v="2023-09-01"/>
    <x v="8"/>
    <x v="8"/>
    <x v="1"/>
    <n v="3"/>
    <n v="3"/>
    <s v="2023-09-12"/>
    <x v="2"/>
    <n v="159307"/>
    <m/>
    <m/>
    <x v="0"/>
    <n v="23.1"/>
    <s v="Warm"/>
    <s v="New flat, moving in after 2 months"/>
  </r>
  <r>
    <s v="LD0375"/>
    <s v="Arun Patil"/>
    <n v="9982222571"/>
    <x v="3"/>
    <x v="1"/>
    <s v="Justdial Premium Listing — Inbound"/>
    <x v="5"/>
    <s v="2023-09-04"/>
    <x v="8"/>
    <x v="8"/>
    <x v="1"/>
    <n v="3"/>
    <n v="7"/>
    <s v="2023-10-03"/>
    <x v="3"/>
    <n v="96492"/>
    <m/>
    <m/>
    <x v="1"/>
    <n v="21"/>
    <s v="Hot"/>
    <s v="Token amount discussed, decision this week"/>
  </r>
  <r>
    <s v="LD0376"/>
    <s v="Ganesh Wagh"/>
    <n v="9109163182"/>
    <x v="2"/>
    <x v="1"/>
    <s v="Justdial Premium Listing — Inbound"/>
    <x v="0"/>
    <s v="2023-09-04"/>
    <x v="8"/>
    <x v="8"/>
    <x v="1"/>
    <n v="3"/>
    <n v="3"/>
    <s v="2023-10-04"/>
    <x v="4"/>
    <n v="563775"/>
    <n v="546178"/>
    <s v="2023-10-25"/>
    <x v="0"/>
    <n v="24.6"/>
    <s v="Hot"/>
    <s v="Deal done, site work ongoing"/>
  </r>
  <r>
    <s v="LD0377"/>
    <s v="Kavita Jadhav"/>
    <n v="9448126205"/>
    <x v="0"/>
    <x v="1"/>
    <s v="Justdial Premium Listing — Inbound"/>
    <x v="2"/>
    <s v="2023-09-04"/>
    <x v="8"/>
    <x v="8"/>
    <x v="1"/>
    <n v="3"/>
    <n v="6"/>
    <s v="2023-09-25"/>
    <x v="1"/>
    <n v="322719"/>
    <m/>
    <m/>
    <x v="2"/>
    <n v="52.5"/>
    <s v="Hot"/>
    <s v="Token amount discussed, decision this week"/>
  </r>
  <r>
    <s v="LD0378"/>
    <s v="Sunita Pawar"/>
    <n v="9695395166"/>
    <x v="2"/>
    <x v="4"/>
    <s v="99acres New Project Enquiry — Inbound"/>
    <x v="5"/>
    <s v="2023-09-05"/>
    <x v="8"/>
    <x v="8"/>
    <x v="1"/>
    <n v="3"/>
    <n v="4"/>
    <s v="2023-10-07"/>
    <x v="1"/>
    <n v="259745"/>
    <m/>
    <m/>
    <x v="2"/>
    <n v="23.3"/>
    <s v="Hot"/>
    <s v="Sample seen at showroom, liked veneer finish"/>
  </r>
  <r>
    <s v="LD0379"/>
    <s v="Anita Mane"/>
    <n v="9425623035"/>
    <x v="4"/>
    <x v="2"/>
    <s v="Client Referral"/>
    <x v="3"/>
    <s v="2023-09-06"/>
    <x v="8"/>
    <x v="8"/>
    <x v="1"/>
    <n v="3"/>
    <n v="1"/>
    <s v="2023-09-14"/>
    <x v="1"/>
    <n v="152922"/>
    <m/>
    <m/>
    <x v="0"/>
    <n v="6.7"/>
    <s v="Warm"/>
    <s v="Wants more design options before deciding"/>
  </r>
  <r>
    <s v="LD0380"/>
    <s v="Ravi Gaikwad"/>
    <n v="9157186389"/>
    <x v="1"/>
    <x v="2"/>
    <s v="Contractor Referral"/>
    <x v="3"/>
    <s v="2023-09-07"/>
    <x v="8"/>
    <x v="8"/>
    <x v="1"/>
    <n v="3"/>
    <n v="8"/>
    <s v="2023-10-12"/>
    <x v="0"/>
    <n v="169867"/>
    <m/>
    <m/>
    <x v="0"/>
    <n v="45.9"/>
    <s v="Warm"/>
    <s v="Budget mismatch - too low"/>
  </r>
  <r>
    <s v="LD0381"/>
    <s v="Pramod Bhalerao"/>
    <n v="9445554954"/>
    <x v="2"/>
    <x v="6"/>
    <s v="Facebook Gudi Padwa Offer"/>
    <x v="0"/>
    <s v="2023-09-07"/>
    <x v="8"/>
    <x v="8"/>
    <x v="1"/>
    <n v="3"/>
    <n v="5"/>
    <s v="2023-10-06"/>
    <x v="3"/>
    <n v="667511"/>
    <m/>
    <m/>
    <x v="0"/>
    <n v="64"/>
    <s v="Warm"/>
    <s v="Follow up after flat possession"/>
  </r>
  <r>
    <s v="LD0382"/>
    <s v="Kiran Gaikwad"/>
    <n v="9743722897"/>
    <x v="0"/>
    <x v="2"/>
    <s v="Contractor Referral"/>
    <x v="5"/>
    <s v="2023-09-07"/>
    <x v="8"/>
    <x v="8"/>
    <x v="1"/>
    <n v="3"/>
    <n v="10"/>
    <s v="2023-10-18"/>
    <x v="3"/>
    <m/>
    <m/>
    <m/>
    <x v="0"/>
    <n v="34.799999999999997"/>
    <s v="Warm"/>
    <s v="Follow up after Gudi Padwa"/>
  </r>
  <r>
    <s v="LD0383"/>
    <s v="Archana Yadav"/>
    <n v="9190224542"/>
    <x v="2"/>
    <x v="2"/>
    <s v="Client Referral"/>
    <x v="3"/>
    <s v="2023-09-09"/>
    <x v="8"/>
    <x v="8"/>
    <x v="1"/>
    <n v="3"/>
    <n v="9"/>
    <s v="2023-10-10"/>
    <x v="4"/>
    <n v="74262"/>
    <n v="71319"/>
    <s v="2023-10-23"/>
    <x v="2"/>
    <n v="24.8"/>
    <s v="Hot"/>
    <s v="Work order signed, production started"/>
  </r>
  <r>
    <s v="LD0384"/>
    <s v="Rajesh Londhe"/>
    <n v="9503632224"/>
    <x v="0"/>
    <x v="5"/>
    <s v="Showroom Walk-in"/>
    <x v="3"/>
    <s v="2023-09-11"/>
    <x v="8"/>
    <x v="8"/>
    <x v="1"/>
    <n v="3"/>
    <m/>
    <s v="2023-10-09"/>
    <x v="4"/>
    <n v="161725"/>
    <n v="158672"/>
    <s v="2023-10-18"/>
    <x v="0"/>
    <n v="19.2"/>
    <s v="Hot"/>
    <s v="Final payment received, project handed over"/>
  </r>
  <r>
    <s v="LD0385"/>
    <s v="Jyoti Phule"/>
    <n v="9462734944"/>
    <x v="0"/>
    <x v="3"/>
    <s v="MagicBricks Enquiry — Inbound"/>
    <x v="2"/>
    <s v="2023-09-11"/>
    <x v="8"/>
    <x v="8"/>
    <x v="1"/>
    <n v="3"/>
    <n v="7"/>
    <s v="2023-11-03"/>
    <x v="3"/>
    <n v="388917"/>
    <m/>
    <m/>
    <x v="0"/>
    <n v="63.2"/>
    <s v="Hot"/>
    <s v="Design presentation done, waiting for confirmation"/>
  </r>
  <r>
    <s v="LD0386"/>
    <s v="Anita Mane"/>
    <n v="9681048625"/>
    <x v="0"/>
    <x v="5"/>
    <s v="Site Visit Walk-in"/>
    <x v="5"/>
    <s v="2023-09-12"/>
    <x v="8"/>
    <x v="8"/>
    <x v="1"/>
    <n v="3"/>
    <n v="6"/>
    <s v="2023-10-30"/>
    <x v="1"/>
    <n v="247159"/>
    <m/>
    <m/>
    <x v="0"/>
    <n v="12.7"/>
    <s v="Hot"/>
    <s v="Token amount discussed, decision this week"/>
  </r>
  <r>
    <s v="LD0387"/>
    <s v="Nilesh Tupe"/>
    <n v="9693366110"/>
    <x v="4"/>
    <x v="2"/>
    <s v="Client Referral"/>
    <x v="6"/>
    <s v="2023-09-13"/>
    <x v="8"/>
    <x v="8"/>
    <x v="1"/>
    <n v="3"/>
    <n v="7"/>
    <s v="2023-10-12"/>
    <x v="0"/>
    <n v="169359"/>
    <m/>
    <m/>
    <x v="2"/>
    <n v="19.5"/>
    <s v="Cold"/>
    <s v="Customer got work done from relative"/>
  </r>
  <r>
    <s v="LD0388"/>
    <s v="Madhuri Gaikwad"/>
    <n v="9416236101"/>
    <x v="0"/>
    <x v="5"/>
    <s v="Exhibition Walk-in"/>
    <x v="5"/>
    <s v="2023-09-14"/>
    <x v="8"/>
    <x v="8"/>
    <x v="1"/>
    <n v="3"/>
    <n v="10"/>
    <s v="2023-10-10"/>
    <x v="0"/>
    <n v="299872"/>
    <m/>
    <m/>
    <x v="0"/>
    <n v="34"/>
    <s v="Warm"/>
    <s v="Project cancelled by customer"/>
  </r>
  <r>
    <s v="LD0389"/>
    <s v="Sonal Mohite"/>
    <n v="9464881354"/>
    <x v="2"/>
    <x v="7"/>
    <s v="Google My Business"/>
    <x v="7"/>
    <s v="2023-09-14"/>
    <x v="8"/>
    <x v="8"/>
    <x v="1"/>
    <n v="3"/>
    <n v="11"/>
    <s v="2023-10-09"/>
    <x v="0"/>
    <n v="1178409"/>
    <m/>
    <m/>
    <x v="0"/>
    <n v="63.4"/>
    <s v="Warm"/>
    <s v="Lost - no follow up done in time"/>
  </r>
  <r>
    <s v="LD0390"/>
    <s v="Suresh Kale"/>
    <n v="9729398143"/>
    <x v="2"/>
    <x v="2"/>
    <s v="Neighbour Referral"/>
    <x v="6"/>
    <s v="2023-09-16"/>
    <x v="8"/>
    <x v="8"/>
    <x v="1"/>
    <n v="3"/>
    <n v="6"/>
    <s v="2023-10-12"/>
    <x v="2"/>
    <n v="140533"/>
    <m/>
    <m/>
    <x v="0"/>
    <n v="8.5"/>
    <s v="Cold"/>
    <s v="Not responding to calls"/>
  </r>
  <r>
    <s v="LD0391"/>
    <s v="Deepak Patil"/>
    <n v="9170180435"/>
    <x v="4"/>
    <x v="6"/>
    <s v="Facebook Kitchen Showcase"/>
    <x v="7"/>
    <s v="2023-09-16"/>
    <x v="8"/>
    <x v="8"/>
    <x v="1"/>
    <n v="3"/>
    <n v="8"/>
    <s v="2023-10-16"/>
    <x v="4"/>
    <n v="1059439"/>
    <n v="1066089"/>
    <s v="2023-11-05"/>
    <x v="0"/>
    <n v="38"/>
    <s v="Hot"/>
    <s v="Customer happy with sample, deal closed"/>
  </r>
  <r>
    <s v="LD0392"/>
    <s v="Sunanda Pawar"/>
    <n v="9229153072"/>
    <x v="4"/>
    <x v="0"/>
    <s v="Colony Reference"/>
    <x v="0"/>
    <s v="2023-09-18"/>
    <x v="8"/>
    <x v="8"/>
    <x v="1"/>
    <n v="3"/>
    <n v="3"/>
    <s v="2023-10-13"/>
    <x v="1"/>
    <n v="592664"/>
    <m/>
    <m/>
    <x v="1"/>
    <n v="69.099999999999994"/>
    <s v="Warm"/>
    <s v="Follow up after flat possession"/>
  </r>
  <r>
    <s v="LD0393"/>
    <s v="Seema Sawant"/>
    <n v="9168407281"/>
    <x v="2"/>
    <x v="1"/>
    <s v="Justdial Free Listing — Inbound"/>
    <x v="4"/>
    <s v="2023-09-19"/>
    <x v="8"/>
    <x v="8"/>
    <x v="1"/>
    <n v="3"/>
    <n v="6"/>
    <s v="2023-10-30"/>
    <x v="3"/>
    <n v="293167"/>
    <m/>
    <m/>
    <x v="1"/>
    <n v="66.099999999999994"/>
    <s v="Warm"/>
    <s v="Call back after 1 month"/>
  </r>
  <r>
    <s v="LD0394"/>
    <s v="Nilesh Kakade"/>
    <n v="9696090185"/>
    <x v="4"/>
    <x v="5"/>
    <s v="Showroom Walk-in"/>
    <x v="5"/>
    <s v="2023-09-19"/>
    <x v="8"/>
    <x v="8"/>
    <x v="1"/>
    <n v="3"/>
    <n v="12"/>
    <s v="2023-10-30"/>
    <x v="3"/>
    <n v="240742"/>
    <m/>
    <m/>
    <x v="2"/>
    <m/>
    <s v="Hot"/>
    <s v="Customer visited showroom twice, very interested"/>
  </r>
  <r>
    <s v="LD0395"/>
    <s v="Smita Suryawanshi"/>
    <n v="9827529296"/>
    <x v="0"/>
    <x v="5"/>
    <s v="Showroom Walk-in"/>
    <x v="4"/>
    <s v="2023-09-21"/>
    <x v="8"/>
    <x v="8"/>
    <x v="1"/>
    <n v="3"/>
    <n v="0"/>
    <s v="2023-09-30"/>
    <x v="4"/>
    <n v="302324"/>
    <n v="291990"/>
    <s v="2023-10-03"/>
    <x v="0"/>
    <n v="51.1"/>
    <s v="Warm"/>
    <m/>
  </r>
  <r>
    <s v="LD0396"/>
    <s v="Vikas Bhosale"/>
    <n v="9769159960"/>
    <x v="4"/>
    <x v="1"/>
    <s v="Justdial Sponsored — Inbound"/>
    <x v="3"/>
    <s v="2023-09-22"/>
    <x v="8"/>
    <x v="8"/>
    <x v="1"/>
    <n v="3"/>
    <n v="10"/>
    <s v="2023-10-25"/>
    <x v="3"/>
    <n v="143383"/>
    <m/>
    <m/>
    <x v="2"/>
    <n v="20.3"/>
    <s v="Hot"/>
    <s v="Customer visited showroom twice, very interested"/>
  </r>
  <r>
    <s v="LD0397"/>
    <s v="Umesh Kulkarni"/>
    <n v="9793547595"/>
    <x v="0"/>
    <x v="5"/>
    <s v="Exhibition Walk-in"/>
    <x v="7"/>
    <s v="2023-09-25"/>
    <x v="8"/>
    <x v="8"/>
    <x v="1"/>
    <n v="3"/>
    <n v="6"/>
    <s v="2023-10-30"/>
    <x v="4"/>
    <n v="775660"/>
    <n v="688765"/>
    <s v="2023-11-18"/>
    <x v="2"/>
    <n v="31.9"/>
    <s v="Hot"/>
    <s v="Token received, design finalised"/>
  </r>
  <r>
    <s v="LD0398"/>
    <s v="Arun Sawant"/>
    <n v="9840397560"/>
    <x v="2"/>
    <x v="3"/>
    <s v="MagicBricks Property Enquiry — Inbound"/>
    <x v="0"/>
    <s v="2023-09-25"/>
    <x v="8"/>
    <x v="8"/>
    <x v="1"/>
    <n v="3"/>
    <n v="12"/>
    <s v="2023-10-24"/>
    <x v="3"/>
    <n v="421025"/>
    <m/>
    <m/>
    <x v="0"/>
    <n v="26.8"/>
    <s v="Warm"/>
    <s v="Waiting for interior budget approval from family"/>
  </r>
  <r>
    <s v="LD0399"/>
    <s v="Suresh Gaikwad"/>
    <n v="9376142554"/>
    <x v="1"/>
    <x v="6"/>
    <s v="Facebook Gudi Padwa Offer"/>
    <x v="4"/>
    <s v="2023-09-27"/>
    <x v="8"/>
    <x v="8"/>
    <x v="1"/>
    <n v="3"/>
    <n v="5"/>
    <s v="2023-10-20"/>
    <x v="4"/>
    <n v="113357"/>
    <n v="104698"/>
    <s v="2023-10-27"/>
    <x v="0"/>
    <n v="37.4"/>
    <s v="Hot"/>
    <s v="Deal done, site work ongoing"/>
  </r>
  <r>
    <s v="LD0400"/>
    <s v="Rohit Sawant"/>
    <n v="9215971195"/>
    <x v="2"/>
    <x v="2"/>
    <s v="Client Referral"/>
    <x v="7"/>
    <s v="2023-09-28"/>
    <x v="8"/>
    <x v="8"/>
    <x v="1"/>
    <n v="3"/>
    <n v="7"/>
    <s v="2023-11-14"/>
    <x v="0"/>
    <n v="857064"/>
    <m/>
    <m/>
    <x v="1"/>
    <n v="10.9"/>
    <s v="Cold"/>
    <s v="Project cancelled by customer"/>
  </r>
  <r>
    <s v="LD0401"/>
    <s v="Archana Suryawanshi"/>
    <n v="9479025201"/>
    <x v="4"/>
    <x v="1"/>
    <s v="Justdial Free Listing — Inbound"/>
    <x v="7"/>
    <s v="2023-09-29"/>
    <x v="8"/>
    <x v="8"/>
    <x v="1"/>
    <n v="3"/>
    <n v="8"/>
    <s v="2023-10-16"/>
    <x v="0"/>
    <n v="1036947"/>
    <m/>
    <m/>
    <x v="1"/>
    <n v="63.6"/>
    <s v="Warm"/>
    <s v="Lost - no follow up done in time"/>
  </r>
  <r>
    <s v="LD0402"/>
    <s v="Pravin Tupe"/>
    <n v="9536879666"/>
    <x v="3"/>
    <x v="2"/>
    <s v="Contractor Referral"/>
    <x v="7"/>
    <s v="2023-09-29"/>
    <x v="8"/>
    <x v="8"/>
    <x v="1"/>
    <n v="3"/>
    <n v="0"/>
    <s v="2023-10-09"/>
    <x v="4"/>
    <n v="805124"/>
    <n v="795985"/>
    <s v="2023-10-12"/>
    <x v="1"/>
    <n v="50.3"/>
    <s v="Hot"/>
    <s v="Final payment received, project handed over"/>
  </r>
  <r>
    <s v="LD0403"/>
    <s v="Kavita Gaikwad"/>
    <n v="9422807973"/>
    <x v="0"/>
    <x v="2"/>
    <s v="Contractor Referral"/>
    <x v="2"/>
    <s v="2023-09-30"/>
    <x v="8"/>
    <x v="8"/>
    <x v="1"/>
    <n v="3"/>
    <n v="0"/>
    <s v="2023-10-05"/>
    <x v="3"/>
    <n v="480907"/>
    <m/>
    <m/>
    <x v="2"/>
    <n v="61.2"/>
    <s v="Hot"/>
    <s v="Customer visited showroom twice, very interested"/>
  </r>
  <r>
    <s v="LD0404"/>
    <s v="Sanjay Mohite"/>
    <n v="9953866157"/>
    <x v="0"/>
    <x v="2"/>
    <s v="Neighbour Referral"/>
    <x v="4"/>
    <s v="2023-10-02"/>
    <x v="9"/>
    <x v="9"/>
    <x v="1"/>
    <n v="4"/>
    <n v="4"/>
    <s v="2023-10-31"/>
    <x v="4"/>
    <n v="121164"/>
    <n v="111211"/>
    <s v="2023-11-06"/>
    <x v="2"/>
    <n v="36.9"/>
    <s v="Hot"/>
    <s v="Work order signed, production started"/>
  </r>
  <r>
    <s v="LD0405"/>
    <s v="Suresh Salve"/>
    <n v="9167829864"/>
    <x v="3"/>
    <x v="1"/>
    <s v="Justdial Premium Listing — Inbound"/>
    <x v="6"/>
    <s v="2023-10-02"/>
    <x v="9"/>
    <x v="9"/>
    <x v="1"/>
    <n v="4"/>
    <n v="0"/>
    <s v="2023-10-09"/>
    <x v="3"/>
    <n v="277674"/>
    <m/>
    <m/>
    <x v="2"/>
    <n v="5.0999999999999996"/>
    <s v="Hot"/>
    <s v="Measurement done, quote pending approval"/>
  </r>
  <r>
    <s v="LD0406"/>
    <s v="Sunanda Kshirsagar"/>
    <n v="9415032444"/>
    <x v="2"/>
    <x v="2"/>
    <s v="Client Referral"/>
    <x v="2"/>
    <s v="2023-10-03"/>
    <x v="9"/>
    <x v="9"/>
    <x v="1"/>
    <n v="4"/>
    <n v="3"/>
    <s v="2023-10-18"/>
    <x v="4"/>
    <n v="404911"/>
    <n v="394370"/>
    <s v="2023-10-21"/>
    <x v="0"/>
    <n v="15.7"/>
    <s v="Warm"/>
    <s v="Deal done, site work ongoing"/>
  </r>
  <r>
    <s v="LD0407"/>
    <s v="Kiran Bhosale"/>
    <n v="9826680721"/>
    <x v="2"/>
    <x v="1"/>
    <s v="Justdial Free Listing — Inbound"/>
    <x v="4"/>
    <s v="2023-10-03"/>
    <x v="9"/>
    <x v="9"/>
    <x v="1"/>
    <n v="4"/>
    <n v="10"/>
    <s v="2023-11-27"/>
    <x v="4"/>
    <n v="294269"/>
    <n v="284155"/>
    <s v="2023-12-03"/>
    <x v="2"/>
    <n v="4.7"/>
    <s v="Warm"/>
    <s v="Deal done, site work ongoing"/>
  </r>
  <r>
    <s v="LD0408"/>
    <s v="Amit Londhe"/>
    <n v="9889913429"/>
    <x v="2"/>
    <x v="5"/>
    <s v="Showroom Walk-in"/>
    <x v="4"/>
    <s v="2023-10-04"/>
    <x v="9"/>
    <x v="9"/>
    <x v="1"/>
    <n v="4"/>
    <n v="10"/>
    <s v="2023-12-11"/>
    <x v="4"/>
    <n v="143764"/>
    <n v="147993"/>
    <s v="2023-12-24"/>
    <x v="1"/>
    <n v="27.7"/>
    <s v="Hot"/>
    <s v="Customer very satisfied, 5 star review given"/>
  </r>
  <r>
    <s v="LD0409"/>
    <s v="Dinesh More"/>
    <n v="9327247605"/>
    <x v="0"/>
    <x v="2"/>
    <s v="Client Referral"/>
    <x v="4"/>
    <s v="2023-10-05"/>
    <x v="9"/>
    <x v="9"/>
    <x v="1"/>
    <n v="4"/>
    <n v="2"/>
    <s v="2023-10-27"/>
    <x v="4"/>
    <n v="309529"/>
    <n v="287575"/>
    <s v="2023-11-01"/>
    <x v="0"/>
    <n v="41.3"/>
    <s v="Hot"/>
    <s v="Deal done, site work ongoing"/>
  </r>
  <r>
    <s v="LD0410"/>
    <s v="Dinesh Raut"/>
    <n v="9499584709"/>
    <x v="2"/>
    <x v="5"/>
    <s v="Showroom Walk-in"/>
    <x v="5"/>
    <s v="2023-10-06"/>
    <x v="9"/>
    <x v="9"/>
    <x v="1"/>
    <n v="4"/>
    <n v="10"/>
    <s v="2023-12-12"/>
    <x v="2"/>
    <n v="135919"/>
    <m/>
    <m/>
    <x v="2"/>
    <n v="17.899999999999999"/>
    <s v="Warm"/>
    <s v="Customer interested, flat handover next month"/>
  </r>
  <r>
    <s v="LD0411"/>
    <s v="Ritu Shelke"/>
    <n v="9880346808"/>
    <x v="2"/>
    <x v="2"/>
    <s v="Neighbour Referral"/>
    <x v="7"/>
    <s v="2023-10-06"/>
    <x v="9"/>
    <x v="9"/>
    <x v="1"/>
    <n v="4"/>
    <n v="12"/>
    <s v="2023-11-27"/>
    <x v="0"/>
    <n v="895526"/>
    <m/>
    <m/>
    <x v="1"/>
    <n v="50.1"/>
    <s v="Cold"/>
    <m/>
  </r>
  <r>
    <s v="LD0412"/>
    <s v="Anita Naik"/>
    <n v="9175145733"/>
    <x v="0"/>
    <x v="2"/>
    <s v="Architect Referral"/>
    <x v="0"/>
    <s v="2023-10-07"/>
    <x v="9"/>
    <x v="9"/>
    <x v="1"/>
    <n v="4"/>
    <n v="7"/>
    <s v="2023-10-23"/>
    <x v="3"/>
    <n v="501467"/>
    <m/>
    <m/>
    <x v="0"/>
    <n v="39.5"/>
    <s v="Cold"/>
    <s v="Went with local carpenter"/>
  </r>
  <r>
    <s v="LD0413"/>
    <s v="Nilesh Chavan"/>
    <m/>
    <x v="3"/>
    <x v="3"/>
    <s v="MagicBricks Enquiry — Inbound"/>
    <x v="0"/>
    <s v="2023-10-09"/>
    <x v="9"/>
    <x v="9"/>
    <x v="1"/>
    <n v="4"/>
    <n v="7"/>
    <s v="2023-11-24"/>
    <x v="0"/>
    <n v="439708"/>
    <m/>
    <m/>
    <x v="2"/>
    <n v="65.900000000000006"/>
    <s v="Cold"/>
    <s v="MagicBricks enquiry — number masked, customer did not unlock"/>
  </r>
  <r>
    <s v="LD0414"/>
    <s v="Meena Bhosale"/>
    <n v="9577942116"/>
    <x v="3"/>
    <x v="6"/>
    <s v="Facebook Kitchen Showcase"/>
    <x v="1"/>
    <s v="2023-10-10"/>
    <x v="9"/>
    <x v="9"/>
    <x v="1"/>
    <n v="4"/>
    <n v="10"/>
    <s v="2023-11-27"/>
    <x v="1"/>
    <n v="221867"/>
    <m/>
    <m/>
    <x v="1"/>
    <n v="48.8"/>
    <s v="Warm"/>
    <s v="Wants more design options before deciding"/>
  </r>
  <r>
    <s v="LD0415"/>
    <s v="Smita Kulkarni"/>
    <n v="9659282971"/>
    <x v="4"/>
    <x v="3"/>
    <s v="MagicBricks Property Enquiry — Inbound"/>
    <x v="0"/>
    <s v="2023-10-10"/>
    <x v="9"/>
    <x v="9"/>
    <x v="1"/>
    <n v="4"/>
    <n v="2"/>
    <s v="2023-10-24"/>
    <x v="0"/>
    <n v="417549"/>
    <m/>
    <m/>
    <x v="2"/>
    <n v="68.3"/>
    <s v="Cold"/>
    <s v="Project cancelled by customer"/>
  </r>
  <r>
    <s v="LD0416"/>
    <s v="Sachin Kale"/>
    <n v="9233204293"/>
    <x v="3"/>
    <x v="6"/>
    <s v="Facebook Home Decor Ads"/>
    <x v="5"/>
    <s v="2023-10-11"/>
    <x v="9"/>
    <x v="9"/>
    <x v="1"/>
    <n v="4"/>
    <n v="9"/>
    <s v="2023-12-18"/>
    <x v="0"/>
    <n v="102641"/>
    <m/>
    <m/>
    <x v="1"/>
    <n v="54.4"/>
    <s v="Cold"/>
    <s v="Lost to competitor - cheaper quote"/>
  </r>
  <r>
    <s v="LD0417"/>
    <s v="Seema Gaikwad"/>
    <n v="9777395712"/>
    <x v="3"/>
    <x v="1"/>
    <s v="Justdial Free Listing — Inbound"/>
    <x v="0"/>
    <s v="2023-10-12"/>
    <x v="9"/>
    <x v="9"/>
    <x v="1"/>
    <n v="4"/>
    <n v="2"/>
    <s v="2023-10-28"/>
    <x v="0"/>
    <n v="552525"/>
    <m/>
    <m/>
    <x v="2"/>
    <n v="40.5"/>
    <s v="Warm"/>
    <s v="Customer did not proceed with project"/>
  </r>
  <r>
    <s v="LD0418"/>
    <s v="Nikhil Kulkarni"/>
    <n v="9980926449"/>
    <x v="1"/>
    <x v="1"/>
    <s v="Justdial Premium Listing — Inbound"/>
    <x v="0"/>
    <s v="2023-10-13"/>
    <x v="9"/>
    <x v="9"/>
    <x v="1"/>
    <n v="4"/>
    <n v="8"/>
    <s v="2023-12-11"/>
    <x v="4"/>
    <n v="707585"/>
    <n v="686129"/>
    <s v="2023-12-20"/>
    <x v="1"/>
    <n v="35.4"/>
    <s v="Hot"/>
    <s v="Token received, design finalised"/>
  </r>
  <r>
    <s v="LD0419"/>
    <s v="Ravi Phule"/>
    <n v="9402791679"/>
    <x v="0"/>
    <x v="3"/>
    <s v="MagicBricks Enquiry — Inbound"/>
    <x v="3"/>
    <s v="2023-10-13"/>
    <x v="9"/>
    <x v="9"/>
    <x v="1"/>
    <n v="4"/>
    <n v="1"/>
    <s v="2023-10-26"/>
    <x v="3"/>
    <n v="211554"/>
    <m/>
    <m/>
    <x v="1"/>
    <n v="44"/>
    <s v="Cold"/>
    <s v="Wrong number provided"/>
  </r>
  <r>
    <s v="LD0420"/>
    <s v="Ganesh Nikalje"/>
    <n v="9896924722"/>
    <x v="2"/>
    <x v="2"/>
    <s v="Neighbour Referral"/>
    <x v="1"/>
    <s v="2023-10-13"/>
    <x v="9"/>
    <x v="9"/>
    <x v="1"/>
    <n v="4"/>
    <n v="8"/>
    <s v="2023-11-21"/>
    <x v="4"/>
    <n v="146225"/>
    <n v="149593"/>
    <s v="2023-12-08"/>
    <x v="1"/>
    <n v="16.899999999999999"/>
    <s v="Hot"/>
    <s v="Customer very satisfied, 5 star review given"/>
  </r>
  <r>
    <s v="LD0421"/>
    <s v="Alka Thorat"/>
    <n v="9813815668"/>
    <x v="2"/>
    <x v="1"/>
    <s v="Justdial Free Listing — Inbound"/>
    <x v="0"/>
    <s v="2023-10-13"/>
    <x v="9"/>
    <x v="9"/>
    <x v="1"/>
    <n v="4"/>
    <n v="3"/>
    <s v="2023-10-30"/>
    <x v="1"/>
    <n v="392534"/>
    <m/>
    <m/>
    <x v="0"/>
    <n v="62.9"/>
    <s v="Cold"/>
    <s v="Not interested anymore"/>
  </r>
  <r>
    <s v="LD0422"/>
    <s v="Hemant Tupe"/>
    <n v="9255371286"/>
    <x v="2"/>
    <x v="4"/>
    <s v="99acres Flat Owner Enquiry — Inbound"/>
    <x v="6"/>
    <s v="2023-10-14"/>
    <x v="9"/>
    <x v="9"/>
    <x v="1"/>
    <n v="4"/>
    <n v="0"/>
    <s v="2023-10-26"/>
    <x v="3"/>
    <n v="118475"/>
    <m/>
    <m/>
    <x v="1"/>
    <n v="19.100000000000001"/>
    <s v="Warm"/>
    <s v="New flat, moving in after 2 months"/>
  </r>
  <r>
    <s v="LD0423"/>
    <s v="Mahesh Mohite"/>
    <m/>
    <x v="2"/>
    <x v="3"/>
    <s v="MagicBricks Property Enquiry — Inbound"/>
    <x v="7"/>
    <s v="2023-10-14"/>
    <x v="9"/>
    <x v="9"/>
    <x v="1"/>
    <n v="4"/>
    <n v="1"/>
    <s v="2023-10-26"/>
    <x v="0"/>
    <m/>
    <m/>
    <m/>
    <x v="2"/>
    <n v="53.9"/>
    <s v="Cold"/>
    <s v="MagicBricks form submitted, customer unreachable"/>
  </r>
  <r>
    <s v="LD0424"/>
    <s v="Kavita Kshirsagar"/>
    <n v="9295404184"/>
    <x v="0"/>
    <x v="1"/>
    <s v="Justdial Free Listing — Inbound"/>
    <x v="0"/>
    <s v="2023-10-16"/>
    <x v="9"/>
    <x v="9"/>
    <x v="1"/>
    <n v="4"/>
    <n v="5"/>
    <s v="2023-11-01"/>
    <x v="3"/>
    <n v="703349"/>
    <m/>
    <m/>
    <x v="1"/>
    <n v="33.299999999999997"/>
    <s v="Hot"/>
    <s v="Sample seen at showroom, liked veneer finish"/>
  </r>
  <r>
    <s v="LD0425"/>
    <s v="Ashwini Kadam"/>
    <n v="9952508471"/>
    <x v="0"/>
    <x v="2"/>
    <s v="Architect Referral"/>
    <x v="3"/>
    <s v="2023-10-16"/>
    <x v="9"/>
    <x v="9"/>
    <x v="1"/>
    <n v="4"/>
    <n v="10"/>
    <s v="2023-12-05"/>
    <x v="4"/>
    <n v="148689"/>
    <n v="134358"/>
    <s v="2023-12-14"/>
    <x v="1"/>
    <n v="69.900000000000006"/>
    <s v="Warm"/>
    <s v="Customer very satisfied, 5 star review given"/>
  </r>
  <r>
    <s v="LD0426"/>
    <s v="Jyoti Pawar"/>
    <n v="9264066364"/>
    <x v="2"/>
    <x v="5"/>
    <s v="Site Visit Walk-in"/>
    <x v="5"/>
    <s v="2023-10-16"/>
    <x v="9"/>
    <x v="9"/>
    <x v="1"/>
    <n v="4"/>
    <n v="6"/>
    <s v="2023-11-06"/>
    <x v="1"/>
    <n v="105362"/>
    <m/>
    <m/>
    <x v="0"/>
    <n v="36.799999999999997"/>
    <s v="Cold"/>
    <s v="Project on hold"/>
  </r>
  <r>
    <s v="LD0427"/>
    <s v="Kiran Tupe"/>
    <n v="9178593060"/>
    <x v="0"/>
    <x v="5"/>
    <s v="Site Visit Walk-in"/>
    <x v="6"/>
    <s v="2023-10-16"/>
    <x v="9"/>
    <x v="9"/>
    <x v="1"/>
    <n v="4"/>
    <n v="7"/>
    <s v="2023-11-13"/>
    <x v="4"/>
    <n v="79629"/>
    <n v="70241"/>
    <s v="2023-11-23"/>
    <x v="1"/>
    <n v="57"/>
    <s v="Hot"/>
    <s v="Deal closed, advance received"/>
  </r>
  <r>
    <s v="LD0428"/>
    <s v="Varsha Bhosale"/>
    <n v="9846482380"/>
    <x v="0"/>
    <x v="2"/>
    <s v="Client Referral"/>
    <x v="5"/>
    <s v="2023-10-18"/>
    <x v="9"/>
    <x v="9"/>
    <x v="1"/>
    <n v="4"/>
    <n v="10"/>
    <s v="2023-11-15"/>
    <x v="1"/>
    <n v="176012"/>
    <m/>
    <m/>
    <x v="1"/>
    <n v="12.4"/>
    <s v="Warm"/>
    <s v="Interested but waiting for loan approval"/>
  </r>
  <r>
    <s v="LD0429"/>
    <s v="Alka Kadam"/>
    <n v="9109805961"/>
    <x v="2"/>
    <x v="1"/>
    <s v="Justdial Premium Listing — Inbound"/>
    <x v="7"/>
    <s v="2023-10-19"/>
    <x v="9"/>
    <x v="9"/>
    <x v="1"/>
    <n v="4"/>
    <n v="3"/>
    <s v="2023-11-01"/>
    <x v="0"/>
    <n v="667800"/>
    <m/>
    <m/>
    <x v="0"/>
    <n v="23.8"/>
    <s v="Cold"/>
    <s v="No response, marked as lost after 60 days"/>
  </r>
  <r>
    <s v="LD0430"/>
    <s v="Smita Patil"/>
    <n v="9774399203"/>
    <x v="4"/>
    <x v="3"/>
    <s v="MagicBricks Enquiry — Inbound"/>
    <x v="3"/>
    <s v="2023-10-20"/>
    <x v="9"/>
    <x v="9"/>
    <x v="1"/>
    <n v="4"/>
    <n v="6"/>
    <s v="2023-11-03"/>
    <x v="4"/>
    <n v="130331"/>
    <n v="120985"/>
    <s v="2023-11-12"/>
    <x v="0"/>
    <n v="51.5"/>
    <s v="Hot"/>
    <s v="Full payment cleared, delivery done"/>
  </r>
  <r>
    <s v="LD0431"/>
    <s v="Meena Bhalerao"/>
    <n v="9512690234"/>
    <x v="0"/>
    <x v="1"/>
    <s v="Justdial Sponsored — Inbound"/>
    <x v="2"/>
    <s v="2023-10-21"/>
    <x v="9"/>
    <x v="9"/>
    <x v="1"/>
    <n v="4"/>
    <n v="0"/>
    <s v="2023-10-25"/>
    <x v="0"/>
    <n v="256181"/>
    <m/>
    <m/>
    <x v="0"/>
    <n v="49.1"/>
    <s v="Cold"/>
    <s v="Customer did not proceed with project"/>
  </r>
  <r>
    <s v="LD0432"/>
    <s v="Varsha More"/>
    <n v="9536491927"/>
    <x v="2"/>
    <x v="5"/>
    <s v="Exhibition Walk-in"/>
    <x v="2"/>
    <s v="2023-10-23"/>
    <x v="9"/>
    <x v="9"/>
    <x v="1"/>
    <n v="4"/>
    <n v="4"/>
    <s v="2023-11-21"/>
    <x v="2"/>
    <n v="283364"/>
    <m/>
    <m/>
    <x v="0"/>
    <n v="39.4"/>
    <s v="Cold"/>
    <s v="Went with local carpenter"/>
  </r>
  <r>
    <s v="LD0433"/>
    <s v="Ashwini Aware"/>
    <n v="9467382830"/>
    <x v="2"/>
    <x v="3"/>
    <s v="MagicBricks Enquiry — Inbound"/>
    <x v="6"/>
    <s v="2023-10-24"/>
    <x v="9"/>
    <x v="9"/>
    <x v="1"/>
    <n v="4"/>
    <n v="1"/>
    <s v="2023-10-31"/>
    <x v="0"/>
    <n v="93046"/>
    <m/>
    <m/>
    <x v="1"/>
    <n v="11.4"/>
    <s v="Cold"/>
    <s v="Customer did not proceed with project"/>
  </r>
  <r>
    <s v="LD0434"/>
    <s v="Nanda Bhalerao"/>
    <n v="9280960216"/>
    <x v="1"/>
    <x v="1"/>
    <s v="Justdial Premium Listing — Inbound"/>
    <x v="7"/>
    <s v="2023-10-24"/>
    <x v="9"/>
    <x v="9"/>
    <x v="1"/>
    <n v="4"/>
    <n v="10"/>
    <s v="2023-12-25"/>
    <x v="1"/>
    <n v="863744"/>
    <m/>
    <m/>
    <x v="2"/>
    <n v="66.599999999999994"/>
    <s v="Warm"/>
    <s v="Follow up after Diwali"/>
  </r>
  <r>
    <s v="LD0435"/>
    <s v="Rajesh Thorat"/>
    <n v="9436480931"/>
    <x v="0"/>
    <x v="6"/>
    <s v="Facebook Gudi Padwa Offer"/>
    <x v="3"/>
    <s v="2023-10-24"/>
    <x v="9"/>
    <x v="9"/>
    <x v="1"/>
    <n v="4"/>
    <n v="3"/>
    <s v="2023-11-06"/>
    <x v="3"/>
    <n v="217784"/>
    <m/>
    <m/>
    <x v="0"/>
    <n v="10.1"/>
    <s v="Hot"/>
    <s v="Ready to proceed, discussing payment terms"/>
  </r>
  <r>
    <s v="LD0436"/>
    <s v="Pravin Kadam"/>
    <n v="9151277635"/>
    <x v="1"/>
    <x v="5"/>
    <s v="Showroom Walk-in"/>
    <x v="2"/>
    <s v="2023-10-24"/>
    <x v="9"/>
    <x v="9"/>
    <x v="1"/>
    <n v="4"/>
    <n v="10"/>
    <s v="2023-12-18"/>
    <x v="1"/>
    <n v="434959"/>
    <m/>
    <m/>
    <x v="0"/>
    <n v="16.100000000000001"/>
    <s v="Warm"/>
    <s v="Call back after 1 month"/>
  </r>
  <r>
    <s v="LD0437"/>
    <s v="Sachin Nimbalkar"/>
    <n v="9461883170"/>
    <x v="2"/>
    <x v="1"/>
    <s v="Justdial Sponsored — Inbound"/>
    <x v="7"/>
    <s v="2023-10-25"/>
    <x v="9"/>
    <x v="9"/>
    <x v="1"/>
    <n v="4"/>
    <n v="12"/>
    <s v="2023-12-11"/>
    <x v="3"/>
    <n v="1019353"/>
    <m/>
    <m/>
    <x v="0"/>
    <n v="29.5"/>
    <s v="Warm"/>
    <s v="Site visit to be scheduled"/>
  </r>
  <r>
    <s v="LD0438"/>
    <s v="Jyoti Londhe"/>
    <n v="9889653765"/>
    <x v="2"/>
    <x v="5"/>
    <s v="Exhibition Walk-in"/>
    <x v="2"/>
    <s v="2023-10-25"/>
    <x v="9"/>
    <x v="9"/>
    <x v="1"/>
    <n v="4"/>
    <n v="10"/>
    <s v="2023-11-23"/>
    <x v="3"/>
    <n v="239832"/>
    <m/>
    <m/>
    <x v="1"/>
    <n v="50.7"/>
    <s v="Hot"/>
    <s v="Sample seen at showroom, liked veneer finish"/>
  </r>
  <r>
    <s v="LD0439"/>
    <s v="Ravi Mane"/>
    <n v="9458111525"/>
    <x v="2"/>
    <x v="5"/>
    <s v="Showroom Walk-in"/>
    <x v="3"/>
    <s v="2023-10-26"/>
    <x v="9"/>
    <x v="9"/>
    <x v="1"/>
    <n v="4"/>
    <n v="1"/>
    <s v="2023-11-06"/>
    <x v="2"/>
    <n v="169830"/>
    <m/>
    <m/>
    <x v="0"/>
    <m/>
    <s v="Cold"/>
    <m/>
  </r>
  <r>
    <s v="LD0440"/>
    <s v="Ashwini More"/>
    <n v="9316252684"/>
    <x v="0"/>
    <x v="3"/>
    <s v="MagicBricks Enquiry — Inbound"/>
    <x v="2"/>
    <s v="2023-10-26"/>
    <x v="9"/>
    <x v="9"/>
    <x v="1"/>
    <n v="4"/>
    <n v="3"/>
    <s v="2023-11-14"/>
    <x v="0"/>
    <n v="488549"/>
    <m/>
    <m/>
    <x v="0"/>
    <n v="32.799999999999997"/>
    <s v="Cold"/>
    <s v="Went with local vendor"/>
  </r>
  <r>
    <s v="LD0441"/>
    <s v="Nanda Kale"/>
    <n v="9669758914"/>
    <x v="2"/>
    <x v="3"/>
    <s v="MagicBricks Property Enquiry — Inbound"/>
    <x v="3"/>
    <s v="2023-10-27"/>
    <x v="9"/>
    <x v="9"/>
    <x v="1"/>
    <n v="4"/>
    <n v="11"/>
    <s v="2024-01-13"/>
    <x v="0"/>
    <n v="67274"/>
    <m/>
    <m/>
    <x v="2"/>
    <n v="4.2"/>
    <s v="Cold"/>
    <m/>
  </r>
  <r>
    <s v="LD0442"/>
    <s v="Nilesh Yadav"/>
    <n v="9439560357"/>
    <x v="3"/>
    <x v="4"/>
    <s v="99acres New Project Enquiry — Inbound"/>
    <x v="3"/>
    <s v="2023-10-27"/>
    <x v="9"/>
    <x v="9"/>
    <x v="1"/>
    <n v="4"/>
    <n v="5"/>
    <s v="2023-11-14"/>
    <x v="1"/>
    <n v="237532"/>
    <m/>
    <m/>
    <x v="2"/>
    <n v="18.5"/>
    <s v="Hot"/>
    <s v="Site visit done, quotation shared"/>
  </r>
  <r>
    <s v="LD0443"/>
    <s v="Manoj Yadav"/>
    <n v="9263962774"/>
    <x v="2"/>
    <x v="6"/>
    <s v="Facebook Diwali Offer"/>
    <x v="0"/>
    <s v="2023-10-28"/>
    <x v="9"/>
    <x v="9"/>
    <x v="1"/>
    <n v="4"/>
    <n v="7"/>
    <s v="2023-12-01"/>
    <x v="0"/>
    <n v="655487"/>
    <m/>
    <m/>
    <x v="0"/>
    <n v="43"/>
    <s v="Cold"/>
    <m/>
  </r>
  <r>
    <s v="LD0444"/>
    <s v="Sachin Patil"/>
    <n v="9397851389"/>
    <x v="4"/>
    <x v="4"/>
    <s v="99acres New Project Enquiry — Inbound"/>
    <x v="1"/>
    <s v="2023-10-30"/>
    <x v="9"/>
    <x v="9"/>
    <x v="1"/>
    <n v="4"/>
    <n v="2"/>
    <s v="2023-11-21"/>
    <x v="1"/>
    <n v="256136"/>
    <m/>
    <m/>
    <x v="0"/>
    <n v="24.4"/>
    <s v="Hot"/>
    <s v="Measurement done, quote pending approval"/>
  </r>
  <r>
    <s v="LD0445"/>
    <s v="Pramod Bhalerao"/>
    <n v="9663065592"/>
    <x v="1"/>
    <x v="4"/>
    <s v="99acres New Project Enquiry — Inbound"/>
    <x v="0"/>
    <s v="2023-10-30"/>
    <x v="9"/>
    <x v="9"/>
    <x v="1"/>
    <n v="4"/>
    <m/>
    <s v="2023-11-08"/>
    <x v="4"/>
    <n v="542058"/>
    <n v="546647"/>
    <s v="2023-11-22"/>
    <x v="0"/>
    <n v="37.200000000000003"/>
    <s v="Hot"/>
    <s v="Customer referred 2 more leads after delivery"/>
  </r>
  <r>
    <s v="LD0446"/>
    <s v="Manisha Patil"/>
    <m/>
    <x v="0"/>
    <x v="4"/>
    <s v="99acres Flat Owner Enquiry — Inbound"/>
    <x v="3"/>
    <s v="2023-10-30"/>
    <x v="9"/>
    <x v="9"/>
    <x v="1"/>
    <n v="4"/>
    <n v="8"/>
    <s v="2023-12-26"/>
    <x v="0"/>
    <n v="232306"/>
    <m/>
    <m/>
    <x v="1"/>
    <n v="12.4"/>
    <s v="Cold"/>
    <s v="99acres portal lead — customer did not share direct contact"/>
  </r>
  <r>
    <s v="LD0447"/>
    <s v="Jyoti Mohite"/>
    <n v="9259524021"/>
    <x v="0"/>
    <x v="5"/>
    <s v="Showroom Walk-in"/>
    <x v="7"/>
    <s v="2023-10-31"/>
    <x v="9"/>
    <x v="9"/>
    <x v="1"/>
    <n v="4"/>
    <n v="10"/>
    <s v="2023-12-15"/>
    <x v="3"/>
    <n v="869963"/>
    <m/>
    <m/>
    <x v="2"/>
    <n v="7.6"/>
    <s v="Hot"/>
    <s v="Ready to proceed, discussing payment terms"/>
  </r>
  <r>
    <s v="LD0448"/>
    <s v="Bharati Deshmukh"/>
    <n v="9875840127"/>
    <x v="2"/>
    <x v="1"/>
    <s v="Justdial Free Listing — Inbound"/>
    <x v="3"/>
    <s v="2023-11-01"/>
    <x v="10"/>
    <x v="10"/>
    <x v="1"/>
    <n v="4"/>
    <n v="7"/>
    <s v="2023-11-24"/>
    <x v="4"/>
    <n v="117582"/>
    <n v="109433"/>
    <s v="2023-12-12"/>
    <x v="1"/>
    <n v="14.2"/>
    <s v="Warm"/>
    <s v="Token paid, measurement done, work started"/>
  </r>
  <r>
    <s v="LD0449"/>
    <s v="Vikas Salve"/>
    <n v="9671735145"/>
    <x v="1"/>
    <x v="1"/>
    <s v="Justdial Premium Listing — Inbound"/>
    <x v="1"/>
    <s v="2023-11-01"/>
    <x v="10"/>
    <x v="10"/>
    <x v="1"/>
    <n v="4"/>
    <n v="11"/>
    <s v="2024-01-15"/>
    <x v="1"/>
    <n v="103696"/>
    <m/>
    <m/>
    <x v="0"/>
    <n v="58"/>
    <s v="Warm"/>
    <s v="Budget discussion pending"/>
  </r>
  <r>
    <s v="LD0450"/>
    <s v="Sanjay Tupe"/>
    <n v="9490120758"/>
    <x v="3"/>
    <x v="1"/>
    <s v="Justdial Premium Listing — Inbound"/>
    <x v="6"/>
    <s v="2023-11-01"/>
    <x v="10"/>
    <x v="10"/>
    <x v="1"/>
    <n v="4"/>
    <n v="4"/>
    <s v="2023-11-15"/>
    <x v="1"/>
    <n v="156894"/>
    <m/>
    <m/>
    <x v="2"/>
    <n v="34.9"/>
    <s v="Warm"/>
    <s v="Under construction, possession in 3 months"/>
  </r>
  <r>
    <s v="LD0451"/>
    <s v="Sachin Salve"/>
    <n v="9638881430"/>
    <x v="2"/>
    <x v="2"/>
    <s v="Architect Referral"/>
    <x v="6"/>
    <s v="2023-11-02"/>
    <x v="10"/>
    <x v="10"/>
    <x v="1"/>
    <n v="4"/>
    <n v="11"/>
    <s v="2024-01-20"/>
    <x v="0"/>
    <n v="276405"/>
    <m/>
    <m/>
    <x v="2"/>
    <n v="63.6"/>
    <s v="Cold"/>
    <s v="Went with local vendor"/>
  </r>
  <r>
    <s v="LD0452"/>
    <s v="Amit Kale"/>
    <n v="9316601552"/>
    <x v="0"/>
    <x v="1"/>
    <s v="Justdial Premium Listing — Inbound"/>
    <x v="0"/>
    <s v="2023-11-04"/>
    <x v="10"/>
    <x v="10"/>
    <x v="1"/>
    <n v="4"/>
    <n v="9"/>
    <s v="2023-11-24"/>
    <x v="1"/>
    <n v="597697"/>
    <m/>
    <m/>
    <x v="0"/>
    <n v="11.2"/>
    <s v="Hot"/>
    <s v="Design presentation done, waiting for confirmation"/>
  </r>
  <r>
    <s v="LD0453"/>
    <s v="Deepak Gavhane"/>
    <n v="9832008973"/>
    <x v="0"/>
    <x v="3"/>
    <s v="MagicBricks Enquiry — Inbound"/>
    <x v="2"/>
    <s v="2023-11-04"/>
    <x v="10"/>
    <x v="10"/>
    <x v="1"/>
    <n v="4"/>
    <n v="10"/>
    <s v="2023-12-14"/>
    <x v="4"/>
    <n v="401927"/>
    <n v="358624"/>
    <s v="2023-12-19"/>
    <x v="0"/>
    <n v="49.3"/>
    <s v="Hot"/>
    <s v="Deal done, site work ongoing"/>
  </r>
  <r>
    <s v="LD0454"/>
    <s v="Archana Zende"/>
    <n v="9804674903"/>
    <x v="2"/>
    <x v="2"/>
    <s v="Architect Referral"/>
    <x v="0"/>
    <s v="2023-11-04"/>
    <x v="10"/>
    <x v="10"/>
    <x v="1"/>
    <n v="4"/>
    <m/>
    <s v="2023-12-09"/>
    <x v="3"/>
    <n v="576135"/>
    <m/>
    <m/>
    <x v="1"/>
    <n v="28.8"/>
    <s v="Warm"/>
    <s v="Under construction, possession in 3 months"/>
  </r>
  <r>
    <s v="LD0455"/>
    <s v="Vikas Mane"/>
    <n v="9755398297"/>
    <x v="0"/>
    <x v="2"/>
    <s v="Contractor Referral"/>
    <x v="4"/>
    <s v="2023-11-06"/>
    <x v="10"/>
    <x v="10"/>
    <x v="1"/>
    <n v="4"/>
    <n v="11"/>
    <s v="2024-01-16"/>
    <x v="0"/>
    <n v="238855"/>
    <m/>
    <m/>
    <x v="0"/>
    <n v="67.900000000000006"/>
    <s v="Cold"/>
    <s v="Customer chose readymade furniture"/>
  </r>
  <r>
    <s v="LD0456"/>
    <s v="Nikhil Jadhav"/>
    <n v="9789225036"/>
    <x v="4"/>
    <x v="7"/>
    <s v="Google My Business"/>
    <x v="2"/>
    <s v="2023-11-06"/>
    <x v="10"/>
    <x v="10"/>
    <x v="1"/>
    <n v="4"/>
    <n v="11"/>
    <s v="2023-12-27"/>
    <x v="1"/>
    <n v="401100"/>
    <m/>
    <m/>
    <x v="0"/>
    <n v="42"/>
    <s v="Warm"/>
    <s v="Site visit to be scheduled"/>
  </r>
  <r>
    <s v="LD0457"/>
    <s v="Rajesh Shinde"/>
    <n v="9505740335"/>
    <x v="3"/>
    <x v="5"/>
    <s v="Site Visit Walk-in"/>
    <x v="7"/>
    <s v="2023-11-06"/>
    <x v="10"/>
    <x v="10"/>
    <x v="1"/>
    <n v="4"/>
    <n v="1"/>
    <s v="2023-11-22"/>
    <x v="4"/>
    <n v="738024"/>
    <n v="672600"/>
    <s v="2023-12-10"/>
    <x v="1"/>
    <n v="47.9"/>
    <s v="Hot"/>
    <s v="Deal closed, advance received"/>
  </r>
  <r>
    <s v="LD0458"/>
    <s v="Ganesh Bhosale"/>
    <n v="9647461968"/>
    <x v="2"/>
    <x v="1"/>
    <s v="Justdial Free Listing — Inbound"/>
    <x v="5"/>
    <s v="2023-11-07"/>
    <x v="10"/>
    <x v="10"/>
    <x v="1"/>
    <n v="4"/>
    <n v="3"/>
    <s v="2023-11-24"/>
    <x v="1"/>
    <n v="194662"/>
    <m/>
    <m/>
    <x v="0"/>
    <n v="51.6"/>
    <s v="Warm"/>
    <s v="Budget discussion pending"/>
  </r>
  <r>
    <s v="LD0459"/>
    <s v="Prashant Mane"/>
    <n v="9302581790"/>
    <x v="0"/>
    <x v="3"/>
    <s v="MagicBricks Enquiry — Inbound"/>
    <x v="6"/>
    <s v="2023-11-08"/>
    <x v="10"/>
    <x v="10"/>
    <x v="1"/>
    <n v="4"/>
    <n v="11"/>
    <s v="2024-01-15"/>
    <x v="3"/>
    <n v="104781"/>
    <m/>
    <m/>
    <x v="1"/>
    <n v="36.200000000000003"/>
    <s v="Warm"/>
    <s v="Follow up after flat possession"/>
  </r>
  <r>
    <s v="LD0460"/>
    <s v="Sachin Chavan"/>
    <n v="9272538668"/>
    <x v="0"/>
    <x v="3"/>
    <s v="MagicBricks Enquiry — Inbound"/>
    <x v="0"/>
    <s v="2023-11-09"/>
    <x v="10"/>
    <x v="10"/>
    <x v="1"/>
    <n v="4"/>
    <n v="7"/>
    <s v="2023-12-27"/>
    <x v="3"/>
    <n v="686641"/>
    <m/>
    <m/>
    <x v="2"/>
    <n v="17.5"/>
    <s v="Hot"/>
    <s v="Customer visited showroom twice, very interested"/>
  </r>
  <r>
    <s v="LD0461"/>
    <s v="Ravi Aware"/>
    <n v="9408169864"/>
    <x v="3"/>
    <x v="4"/>
    <s v="99acres Flat Owner Enquiry — Inbound"/>
    <x v="0"/>
    <s v="2023-11-10"/>
    <x v="10"/>
    <x v="10"/>
    <x v="1"/>
    <n v="4"/>
    <n v="2"/>
    <s v="2023-12-01"/>
    <x v="4"/>
    <n v="601753"/>
    <n v="558872"/>
    <s v="2023-12-07"/>
    <x v="1"/>
    <n v="40.1"/>
    <s v="Hot"/>
    <s v="Token paid, measurement done, work started"/>
  </r>
  <r>
    <s v="LD0462"/>
    <s v="Ganesh Kshirsagar"/>
    <n v="9174366341"/>
    <x v="4"/>
    <x v="2"/>
    <s v="Neighbour Referral"/>
    <x v="0"/>
    <s v="2023-11-11"/>
    <x v="10"/>
    <x v="10"/>
    <x v="1"/>
    <n v="4"/>
    <n v="12"/>
    <s v="2024-01-17"/>
    <x v="4"/>
    <n v="652379"/>
    <n v="667598"/>
    <s v="2024-02-01"/>
    <x v="1"/>
    <n v="7.7"/>
    <s v="Hot"/>
    <m/>
  </r>
  <r>
    <s v="LD0463"/>
    <s v="Seema Deshpande"/>
    <n v="9900764212"/>
    <x v="2"/>
    <x v="1"/>
    <s v="Justdial Free Listing — Inbound"/>
    <x v="1"/>
    <s v="2023-11-11"/>
    <x v="10"/>
    <x v="10"/>
    <x v="1"/>
    <n v="4"/>
    <n v="10"/>
    <s v="2024-01-23"/>
    <x v="3"/>
    <n v="156585"/>
    <m/>
    <m/>
    <x v="2"/>
    <n v="70.099999999999994"/>
    <s v="Hot"/>
    <m/>
  </r>
  <r>
    <s v="LD0464"/>
    <s v="Kavita Salve"/>
    <n v="9388315411"/>
    <x v="4"/>
    <x v="5"/>
    <s v="Exhibition Walk-in"/>
    <x v="1"/>
    <s v="2023-11-13"/>
    <x v="10"/>
    <x v="10"/>
    <x v="1"/>
    <n v="4"/>
    <n v="7"/>
    <s v="2024-01-02"/>
    <x v="4"/>
    <n v="137492"/>
    <n v="127744"/>
    <s v="2024-01-20"/>
    <x v="1"/>
    <n v="4.5999999999999996"/>
    <s v="Hot"/>
    <s v="Customer referred 2 more leads after delivery"/>
  </r>
  <r>
    <s v="LD0465"/>
    <s v="Rekha Kadam"/>
    <n v="9977686393"/>
    <x v="0"/>
    <x v="6"/>
    <s v="Facebook Diwali Offer"/>
    <x v="3"/>
    <s v="2023-11-13"/>
    <x v="10"/>
    <x v="10"/>
    <x v="1"/>
    <n v="4"/>
    <n v="1"/>
    <s v="2023-11-20"/>
    <x v="0"/>
    <n v="165114"/>
    <m/>
    <m/>
    <x v="1"/>
    <n v="11.2"/>
    <s v="Warm"/>
    <s v="Lost to branded competitor"/>
  </r>
  <r>
    <s v="LD0466"/>
    <s v="Divya Suryawanshi"/>
    <n v="9671740071"/>
    <x v="1"/>
    <x v="2"/>
    <s v="Neighbour Referral"/>
    <x v="7"/>
    <s v="2023-11-14"/>
    <x v="10"/>
    <x v="10"/>
    <x v="1"/>
    <n v="4"/>
    <n v="6"/>
    <s v="2023-12-30"/>
    <x v="1"/>
    <n v="1107913"/>
    <m/>
    <m/>
    <x v="0"/>
    <n v="66.7"/>
    <s v="Cold"/>
    <s v="Customer relocated"/>
  </r>
  <r>
    <s v="LD0467"/>
    <s v="Suresh Deshmukh"/>
    <n v="9490392385"/>
    <x v="2"/>
    <x v="3"/>
    <s v="MagicBricks Enquiry — Inbound"/>
    <x v="3"/>
    <s v="2023-11-14"/>
    <x v="10"/>
    <x v="10"/>
    <x v="1"/>
    <n v="4"/>
    <n v="9"/>
    <s v="2023-12-11"/>
    <x v="0"/>
    <n v="78649"/>
    <m/>
    <m/>
    <x v="1"/>
    <n v="23.4"/>
    <s v="Cold"/>
    <s v="Customer chose readymade furniture"/>
  </r>
  <r>
    <s v="LD0468"/>
    <s v="Amit Gaikwad"/>
    <n v="9611336760"/>
    <x v="0"/>
    <x v="1"/>
    <s v="Justdial Free Listing — Inbound"/>
    <x v="0"/>
    <s v="2023-11-15"/>
    <x v="10"/>
    <x v="10"/>
    <x v="1"/>
    <n v="4"/>
    <n v="9"/>
    <s v="2024-01-05"/>
    <x v="1"/>
    <n v="680041"/>
    <m/>
    <m/>
    <x v="1"/>
    <n v="8.4"/>
    <s v="Warm"/>
    <s v="Call back after 1 month"/>
  </r>
  <r>
    <s v="LD0469"/>
    <s v="Divya Naik"/>
    <n v="9200170301"/>
    <x v="3"/>
    <x v="7"/>
    <s v="Google Ads"/>
    <x v="0"/>
    <s v="2023-11-17"/>
    <x v="10"/>
    <x v="10"/>
    <x v="1"/>
    <n v="4"/>
    <n v="10"/>
    <s v="2024-01-06"/>
    <x v="1"/>
    <n v="443698"/>
    <m/>
    <m/>
    <x v="1"/>
    <n v="23.7"/>
    <s v="Cold"/>
    <s v="Went with local carpenter"/>
  </r>
  <r>
    <s v="LD0470"/>
    <s v="Manoj Thorat"/>
    <n v="9384273996"/>
    <x v="3"/>
    <x v="4"/>
    <s v="99acres Flat Owner Enquiry — Inbound"/>
    <x v="0"/>
    <s v="2023-11-17"/>
    <x v="10"/>
    <x v="10"/>
    <x v="1"/>
    <n v="4"/>
    <n v="12"/>
    <s v="2024-02-07"/>
    <x v="0"/>
    <n v="438422"/>
    <m/>
    <m/>
    <x v="2"/>
    <n v="50.2"/>
    <s v="Cold"/>
    <s v="Customer did not proceed with project"/>
  </r>
  <r>
    <s v="LD0471"/>
    <s v="Seema Bhosale"/>
    <n v="9342541514"/>
    <x v="2"/>
    <x v="1"/>
    <s v="Justdial Free Listing — Inbound"/>
    <x v="0"/>
    <s v="2023-11-18"/>
    <x v="10"/>
    <x v="10"/>
    <x v="1"/>
    <n v="4"/>
    <n v="0"/>
    <s v="2023-11-24"/>
    <x v="4"/>
    <n v="527347"/>
    <n v="519398"/>
    <s v="2023-12-09"/>
    <x v="1"/>
    <n v="13.6"/>
    <s v="Warm"/>
    <s v="Final payment received, project handed over"/>
  </r>
  <r>
    <s v="LD0472"/>
    <s v="Sonal Bansode"/>
    <n v="9636275696"/>
    <x v="2"/>
    <x v="2"/>
    <s v="Client Referral"/>
    <x v="2"/>
    <s v="2023-11-18"/>
    <x v="10"/>
    <x v="10"/>
    <x v="1"/>
    <n v="4"/>
    <n v="0"/>
    <s v="2023-11-23"/>
    <x v="1"/>
    <n v="272059"/>
    <m/>
    <m/>
    <x v="1"/>
    <n v="53.9"/>
    <s v="Cold"/>
    <s v="Duplicate enquiry"/>
  </r>
  <r>
    <s v="LD0473"/>
    <s v="Sonal Kadam"/>
    <n v="9239067697"/>
    <x v="1"/>
    <x v="2"/>
    <s v="Client Referral"/>
    <x v="0"/>
    <s v="2023-11-20"/>
    <x v="10"/>
    <x v="10"/>
    <x v="1"/>
    <n v="4"/>
    <n v="3"/>
    <s v="2023-12-11"/>
    <x v="0"/>
    <n v="634217"/>
    <m/>
    <m/>
    <x v="2"/>
    <n v="69.2"/>
    <s v="Cold"/>
    <s v="Customer chose readymade furniture"/>
  </r>
  <r>
    <s v="LD0474"/>
    <s v="Ashwini Mane"/>
    <n v="9975598792"/>
    <x v="2"/>
    <x v="2"/>
    <s v="Client Referral"/>
    <x v="0"/>
    <s v="2023-11-21"/>
    <x v="10"/>
    <x v="10"/>
    <x v="1"/>
    <n v="4"/>
    <n v="2"/>
    <s v="2023-12-11"/>
    <x v="2"/>
    <n v="691695"/>
    <m/>
    <m/>
    <x v="1"/>
    <n v="52.1"/>
    <s v="Cold"/>
    <s v="No call back after site visit"/>
  </r>
  <r>
    <s v="LD0475"/>
    <s v="Devendra Deshpande"/>
    <n v="9448495661"/>
    <x v="0"/>
    <x v="1"/>
    <s v="Justdial Free Listing — Inbound"/>
    <x v="2"/>
    <s v="2023-11-21"/>
    <x v="10"/>
    <x v="10"/>
    <x v="1"/>
    <n v="4"/>
    <n v="0"/>
    <s v="2023-11-27"/>
    <x v="0"/>
    <n v="307530"/>
    <m/>
    <m/>
    <x v="2"/>
    <n v="18.3"/>
    <s v="Cold"/>
    <s v="Lost to branded competitor"/>
  </r>
  <r>
    <s v="LD0476"/>
    <s v="Meena Chavan"/>
    <n v="9596367839"/>
    <x v="0"/>
    <x v="1"/>
    <s v="Justdial Sponsored — Inbound"/>
    <x v="1"/>
    <s v="2023-11-22"/>
    <x v="10"/>
    <x v="10"/>
    <x v="1"/>
    <n v="4"/>
    <n v="4"/>
    <s v="2023-12-12"/>
    <x v="4"/>
    <n v="138434"/>
    <n v="136122"/>
    <s v="2023-12-19"/>
    <x v="1"/>
    <n v="14.5"/>
    <s v="Hot"/>
    <s v="Work order signed, production started"/>
  </r>
  <r>
    <s v="LD0477"/>
    <s v="Varsha Gaikwad"/>
    <n v="9880296481"/>
    <x v="1"/>
    <x v="1"/>
    <s v="Justdial Free Listing — Inbound"/>
    <x v="0"/>
    <s v="2023-11-23"/>
    <x v="10"/>
    <x v="10"/>
    <x v="1"/>
    <n v="4"/>
    <n v="1"/>
    <s v="2023-11-30"/>
    <x v="3"/>
    <n v="722277"/>
    <m/>
    <m/>
    <x v="0"/>
    <n v="58.2"/>
    <s v="Warm"/>
    <s v="Follow up after Akshaya Tritiya"/>
  </r>
  <r>
    <s v="LD0478"/>
    <s v="Nanda Zende"/>
    <n v="9410812427"/>
    <x v="2"/>
    <x v="6"/>
    <s v="Facebook Kitchen Showcase"/>
    <x v="3"/>
    <s v="2023-11-24"/>
    <x v="10"/>
    <x v="10"/>
    <x v="1"/>
    <n v="4"/>
    <n v="0"/>
    <s v="2023-12-01"/>
    <x v="4"/>
    <n v="117627"/>
    <n v="113627"/>
    <s v="2023-12-16"/>
    <x v="0"/>
    <n v="38"/>
    <s v="Hot"/>
    <s v="Deal closed, advance received"/>
  </r>
  <r>
    <s v="LD0479"/>
    <s v="Vikas Holkar"/>
    <n v="9870222796"/>
    <x v="2"/>
    <x v="5"/>
    <s v="Showroom Walk-in"/>
    <x v="6"/>
    <s v="2023-11-24"/>
    <x v="10"/>
    <x v="10"/>
    <x v="1"/>
    <n v="4"/>
    <n v="5"/>
    <s v="2024-01-05"/>
    <x v="1"/>
    <n v="259325"/>
    <m/>
    <m/>
    <x v="0"/>
    <n v="52.4"/>
    <s v="Warm"/>
    <s v="Follow up after Gudi Padwa"/>
  </r>
  <r>
    <s v="LD0480"/>
    <s v="Deepak Wagh"/>
    <n v="9475109063"/>
    <x v="4"/>
    <x v="6"/>
    <s v="Facebook Kitchen Showcase"/>
    <x v="6"/>
    <s v="2023-11-25"/>
    <x v="10"/>
    <x v="10"/>
    <x v="1"/>
    <n v="4"/>
    <n v="7"/>
    <s v="2023-12-21"/>
    <x v="1"/>
    <n v="131200"/>
    <m/>
    <m/>
    <x v="0"/>
    <n v="5.2"/>
    <s v="Cold"/>
    <m/>
  </r>
  <r>
    <s v="LD0481"/>
    <s v="Sonal Sonawane"/>
    <n v="9473754019"/>
    <x v="0"/>
    <x v="1"/>
    <s v="Justdial Premium Listing — Inbound"/>
    <x v="1"/>
    <s v="2023-11-27"/>
    <x v="10"/>
    <x v="10"/>
    <x v="1"/>
    <n v="4"/>
    <n v="12"/>
    <s v="2024-01-04"/>
    <x v="1"/>
    <n v="161992"/>
    <m/>
    <m/>
    <x v="0"/>
    <n v="16.8"/>
    <s v="Warm"/>
    <s v="Follow up after Akshaya Tritiya"/>
  </r>
  <r>
    <s v="LD0482"/>
    <s v="Hemant Pawar"/>
    <n v="9298672324"/>
    <x v="4"/>
    <x v="5"/>
    <s v="Exhibition Walk-in"/>
    <x v="2"/>
    <s v="2023-11-27"/>
    <x v="10"/>
    <x v="10"/>
    <x v="1"/>
    <n v="4"/>
    <n v="7"/>
    <s v="2023-12-18"/>
    <x v="0"/>
    <n v="241805"/>
    <m/>
    <m/>
    <x v="1"/>
    <n v="33.5"/>
    <s v="Cold"/>
    <s v="Lost - no follow up done in time"/>
  </r>
  <r>
    <s v="LD0483"/>
    <s v="Hemant Sawant"/>
    <n v="9480676189"/>
    <x v="1"/>
    <x v="1"/>
    <s v="Justdial Sponsored — Inbound"/>
    <x v="5"/>
    <s v="2023-11-29"/>
    <x v="10"/>
    <x v="10"/>
    <x v="1"/>
    <n v="4"/>
    <n v="0"/>
    <s v="2023-12-05"/>
    <x v="3"/>
    <n v="102157"/>
    <m/>
    <m/>
    <x v="0"/>
    <n v="24.3"/>
    <s v="Warm"/>
    <s v="Waiting for interior budget approval from family"/>
  </r>
  <r>
    <s v="LD0484"/>
    <s v="Sonal Bansode"/>
    <n v="9770693402"/>
    <x v="0"/>
    <x v="5"/>
    <s v="Showroom Walk-in"/>
    <x v="1"/>
    <s v="2023-11-29"/>
    <x v="10"/>
    <x v="10"/>
    <x v="1"/>
    <n v="4"/>
    <n v="10"/>
    <s v="2024-01-01"/>
    <x v="2"/>
    <n v="226421"/>
    <m/>
    <m/>
    <x v="0"/>
    <n v="31.3"/>
    <s v="Cold"/>
    <s v="Duplicate enquiry"/>
  </r>
  <r>
    <s v="LD0485"/>
    <s v="Dinesh Nikalje"/>
    <n v="9499092905"/>
    <x v="1"/>
    <x v="5"/>
    <s v="Showroom Walk-in"/>
    <x v="2"/>
    <s v="2023-11-30"/>
    <x v="10"/>
    <x v="10"/>
    <x v="1"/>
    <n v="4"/>
    <n v="11"/>
    <s v="2023-12-27"/>
    <x v="3"/>
    <n v="459491"/>
    <m/>
    <m/>
    <x v="0"/>
    <n v="51.9"/>
    <s v="Cold"/>
    <s v="Price too high as per customer"/>
  </r>
  <r>
    <s v="LD0486"/>
    <s v="Suresh Joshi"/>
    <n v="9505636313"/>
    <x v="1"/>
    <x v="1"/>
    <s v="Justdial Free Listing — Inbound"/>
    <x v="3"/>
    <s v="2023-12-01"/>
    <x v="11"/>
    <x v="11"/>
    <x v="1"/>
    <n v="4"/>
    <n v="5"/>
    <s v="2023-12-20"/>
    <x v="1"/>
    <n v="229702"/>
    <m/>
    <m/>
    <x v="1"/>
    <n v="54.4"/>
    <s v="Hot"/>
    <s v="Very interested, finalising design"/>
  </r>
  <r>
    <s v="LD0487"/>
    <s v="Nikhil Mane"/>
    <n v="9412092259"/>
    <x v="0"/>
    <x v="3"/>
    <s v="MagicBricks Enquiry — Inbound"/>
    <x v="2"/>
    <s v="2023-12-01"/>
    <x v="11"/>
    <x v="11"/>
    <x v="1"/>
    <n v="4"/>
    <n v="7"/>
    <s v="2023-12-23"/>
    <x v="4"/>
    <n v="203132"/>
    <n v="187175"/>
    <s v="2023-12-26"/>
    <x v="0"/>
    <n v="4.0999999999999996"/>
    <s v="Hot"/>
    <s v="Customer happy with sample, deal closed"/>
  </r>
  <r>
    <s v="LD0488"/>
    <s v="Deepak Sawant"/>
    <n v="9828988247"/>
    <x v="2"/>
    <x v="4"/>
    <s v="99acres New Project Enquiry — Inbound"/>
    <x v="2"/>
    <s v="2023-12-04"/>
    <x v="11"/>
    <x v="11"/>
    <x v="1"/>
    <n v="4"/>
    <n v="4"/>
    <s v="2023-12-21"/>
    <x v="0"/>
    <n v="259314"/>
    <m/>
    <m/>
    <x v="2"/>
    <n v="32.700000000000003"/>
    <s v="Cold"/>
    <s v="Lost to branded competitor"/>
  </r>
  <r>
    <s v="LD0489"/>
    <s v="Bharati Wagh"/>
    <n v="9198751865"/>
    <x v="0"/>
    <x v="3"/>
    <s v="MagicBricks Enquiry — Inbound"/>
    <x v="3"/>
    <s v="2023-12-05"/>
    <x v="11"/>
    <x v="11"/>
    <x v="1"/>
    <n v="4"/>
    <n v="4"/>
    <s v="2023-12-22"/>
    <x v="3"/>
    <n v="100013"/>
    <m/>
    <m/>
    <x v="0"/>
    <n v="51"/>
    <s v="Hot"/>
    <s v="Final quote shared, awaiting approval"/>
  </r>
  <r>
    <s v="LD0490"/>
    <s v="Prashant Kshirsagar"/>
    <n v="9550871833"/>
    <x v="0"/>
    <x v="3"/>
    <s v="MagicBricks Enquiry — Inbound"/>
    <x v="2"/>
    <s v="2023-12-05"/>
    <x v="11"/>
    <x v="11"/>
    <x v="1"/>
    <n v="4"/>
    <n v="6"/>
    <s v="2023-12-21"/>
    <x v="4"/>
    <n v="146030"/>
    <n v="133221"/>
    <s v="2024-01-07"/>
    <x v="2"/>
    <m/>
    <s v="Hot"/>
    <s v="Work order signed, production started"/>
  </r>
  <r>
    <s v="LD0491"/>
    <s v="Ritu Phule"/>
    <n v="9896390906"/>
    <x v="2"/>
    <x v="0"/>
    <s v="Colony Reference"/>
    <x v="4"/>
    <s v="2023-12-06"/>
    <x v="11"/>
    <x v="11"/>
    <x v="1"/>
    <n v="4"/>
    <n v="9"/>
    <s v="2024-02-01"/>
    <x v="1"/>
    <n v="82308"/>
    <m/>
    <m/>
    <x v="2"/>
    <n v="36.9"/>
    <s v="Cold"/>
    <s v="Not responding to calls"/>
  </r>
  <r>
    <s v="LD0492"/>
    <s v="Rekha Kakade"/>
    <n v="9334918423"/>
    <x v="4"/>
    <x v="2"/>
    <s v="Contractor Referral"/>
    <x v="0"/>
    <s v="2023-12-07"/>
    <x v="11"/>
    <x v="11"/>
    <x v="1"/>
    <n v="4"/>
    <n v="11"/>
    <s v="2024-01-29"/>
    <x v="4"/>
    <n v="524244"/>
    <n v="500022"/>
    <s v="2024-02-04"/>
    <x v="1"/>
    <n v="55.7"/>
    <s v="Warm"/>
    <s v="Work order signed, production started"/>
  </r>
  <r>
    <s v="LD0493"/>
    <s v="Suresh Gaikwad"/>
    <n v="9655422035"/>
    <x v="3"/>
    <x v="2"/>
    <s v="Architect Referral"/>
    <x v="3"/>
    <s v="2023-12-08"/>
    <x v="11"/>
    <x v="11"/>
    <x v="1"/>
    <n v="4"/>
    <n v="11"/>
    <s v="2024-01-13"/>
    <x v="1"/>
    <n v="93460"/>
    <m/>
    <m/>
    <x v="2"/>
    <n v="12.8"/>
    <s v="Warm"/>
    <s v="Budget discussion pending"/>
  </r>
  <r>
    <s v="LD0494"/>
    <s v="Manisha Gavhane"/>
    <n v="9657232542"/>
    <x v="0"/>
    <x v="0"/>
    <s v="Family Reference"/>
    <x v="2"/>
    <s v="2023-12-09"/>
    <x v="11"/>
    <x v="11"/>
    <x v="1"/>
    <n v="4"/>
    <n v="0"/>
    <s v="2023-12-12"/>
    <x v="3"/>
    <n v="402918"/>
    <m/>
    <m/>
    <x v="0"/>
    <n v="32.200000000000003"/>
    <s v="Cold"/>
    <s v="Wrong number provided"/>
  </r>
  <r>
    <s v="LD0495"/>
    <s v="Rekha Chavan"/>
    <n v="9810694145"/>
    <x v="2"/>
    <x v="5"/>
    <s v="Site Visit Walk-in"/>
    <x v="2"/>
    <s v="2023-12-09"/>
    <x v="11"/>
    <x v="11"/>
    <x v="1"/>
    <n v="4"/>
    <n v="7"/>
    <s v="2024-01-03"/>
    <x v="0"/>
    <n v="240047"/>
    <m/>
    <m/>
    <x v="1"/>
    <n v="11.5"/>
    <s v="Warm"/>
    <m/>
  </r>
  <r>
    <s v="LD0496"/>
    <s v="Rekha Bhosale"/>
    <n v="9543770966"/>
    <x v="4"/>
    <x v="1"/>
    <s v="Justdial Premium Listing — Inbound"/>
    <x v="2"/>
    <s v="2023-12-11"/>
    <x v="11"/>
    <x v="11"/>
    <x v="1"/>
    <n v="4"/>
    <n v="2"/>
    <s v="2023-12-25"/>
    <x v="1"/>
    <n v="160675"/>
    <m/>
    <m/>
    <x v="1"/>
    <n v="43.7"/>
    <s v="Cold"/>
    <s v="Budget too low for our range"/>
  </r>
  <r>
    <s v="LD0497"/>
    <s v="Ravi Mane"/>
    <n v="9192345517"/>
    <x v="2"/>
    <x v="1"/>
    <s v="Justdial Premium Listing — Inbound"/>
    <x v="5"/>
    <s v="2023-12-11"/>
    <x v="11"/>
    <x v="11"/>
    <x v="1"/>
    <n v="4"/>
    <n v="10"/>
    <s v="2024-02-22"/>
    <x v="1"/>
    <n v="281961"/>
    <m/>
    <m/>
    <x v="0"/>
    <n v="23.3"/>
    <s v="Warm"/>
    <s v="Follow up after flat possession"/>
  </r>
  <r>
    <s v="LD0498"/>
    <s v="Manisha Holkar"/>
    <n v="9931641272"/>
    <x v="1"/>
    <x v="5"/>
    <s v="Site Visit Walk-in"/>
    <x v="5"/>
    <s v="2023-12-11"/>
    <x v="11"/>
    <x v="11"/>
    <x v="1"/>
    <n v="4"/>
    <n v="4"/>
    <s v="2024-01-12"/>
    <x v="0"/>
    <n v="256305"/>
    <m/>
    <m/>
    <x v="1"/>
    <n v="35.200000000000003"/>
    <s v="Cold"/>
    <s v="Project cancelled by customer"/>
  </r>
  <r>
    <s v="LD0499"/>
    <s v="Nilesh Mane"/>
    <n v="9174576347"/>
    <x v="2"/>
    <x v="6"/>
    <s v="Facebook Diwali Offer"/>
    <x v="1"/>
    <s v="2023-12-11"/>
    <x v="11"/>
    <x v="11"/>
    <x v="1"/>
    <n v="4"/>
    <n v="11"/>
    <s v="2024-01-19"/>
    <x v="1"/>
    <n v="317241"/>
    <m/>
    <m/>
    <x v="1"/>
    <n v="36.4"/>
    <s v="Warm"/>
    <s v="Interested but waiting for loan approval"/>
  </r>
  <r>
    <s v="LD0500"/>
    <s v="Umesh Chavan"/>
    <n v="9640967416"/>
    <x v="2"/>
    <x v="1"/>
    <s v="Justdial Sponsored — Inbound"/>
    <x v="2"/>
    <s v="2023-12-11"/>
    <x v="11"/>
    <x v="11"/>
    <x v="1"/>
    <n v="4"/>
    <n v="2"/>
    <s v="2024-01-01"/>
    <x v="3"/>
    <n v="355888"/>
    <m/>
    <m/>
    <x v="0"/>
    <n v="60.7"/>
    <s v="Warm"/>
    <s v="Site visit to be scheduled"/>
  </r>
  <r>
    <s v="LD0501"/>
    <s v="Dinesh Patil"/>
    <n v="9869084355"/>
    <x v="2"/>
    <x v="6"/>
    <s v="Facebook Diwali Offer"/>
    <x v="0"/>
    <s v="2023-12-11"/>
    <x v="11"/>
    <x v="11"/>
    <x v="1"/>
    <n v="4"/>
    <n v="9"/>
    <s v="2024-01-13"/>
    <x v="0"/>
    <n v="418485"/>
    <m/>
    <m/>
    <x v="0"/>
    <n v="8.5"/>
    <s v="Cold"/>
    <s v="Customer got work done from relative"/>
  </r>
  <r>
    <s v="LD0502"/>
    <s v="Amit Naik"/>
    <n v="9958762678"/>
    <x v="2"/>
    <x v="3"/>
    <s v="MagicBricks Enquiry — Inbound"/>
    <x v="0"/>
    <s v="2023-12-12"/>
    <x v="11"/>
    <x v="11"/>
    <x v="1"/>
    <n v="4"/>
    <n v="8"/>
    <s v="2024-02-12"/>
    <x v="0"/>
    <n v="681014"/>
    <m/>
    <m/>
    <x v="1"/>
    <n v="69.7"/>
    <s v="Warm"/>
    <s v="Budget mismatch - too low"/>
  </r>
  <r>
    <s v="LD0503"/>
    <s v="Manoj Londhe"/>
    <n v="9299624593"/>
    <x v="4"/>
    <x v="0"/>
    <s v="Family Reference"/>
    <x v="0"/>
    <s v="2023-12-12"/>
    <x v="11"/>
    <x v="11"/>
    <x v="1"/>
    <n v="4"/>
    <n v="5"/>
    <s v="2024-01-08"/>
    <x v="4"/>
    <n v="563732"/>
    <n v="505277"/>
    <s v="2024-01-10"/>
    <x v="0"/>
    <n v="45.1"/>
    <s v="Hot"/>
    <s v="Final payment received, project handed over"/>
  </r>
  <r>
    <s v="LD0504"/>
    <s v="Pooja Mohite"/>
    <n v="9630233687"/>
    <x v="2"/>
    <x v="1"/>
    <s v="Justdial Sponsored — Inbound"/>
    <x v="4"/>
    <s v="2023-12-13"/>
    <x v="11"/>
    <x v="11"/>
    <x v="1"/>
    <n v="4"/>
    <n v="4"/>
    <s v="2024-01-02"/>
    <x v="4"/>
    <n v="132319"/>
    <n v="116922"/>
    <s v="2024-01-15"/>
    <x v="0"/>
    <n v="58.6"/>
    <s v="Hot"/>
    <s v="Deal done, site work ongoing"/>
  </r>
  <r>
    <s v="LD0505"/>
    <s v="Alka Deshmukh"/>
    <n v="9406056061"/>
    <x v="2"/>
    <x v="4"/>
    <s v="99acres New Project Enquiry — Inbound"/>
    <x v="3"/>
    <s v="2023-12-14"/>
    <x v="11"/>
    <x v="11"/>
    <x v="1"/>
    <n v="4"/>
    <n v="2"/>
    <s v="2024-01-01"/>
    <x v="0"/>
    <n v="65201"/>
    <m/>
    <m/>
    <x v="0"/>
    <n v="12.1"/>
    <s v="Cold"/>
    <s v="Lost to branded competitor"/>
  </r>
  <r>
    <s v="LD0506"/>
    <s v="Vijay Gaikwad"/>
    <n v="9414974851"/>
    <x v="1"/>
    <x v="5"/>
    <s v="Site Visit Walk-in"/>
    <x v="0"/>
    <s v="2023-12-14"/>
    <x v="11"/>
    <x v="11"/>
    <x v="1"/>
    <n v="4"/>
    <n v="9"/>
    <s v="2024-02-03"/>
    <x v="4"/>
    <m/>
    <n v="293509"/>
    <s v="2024-02-16"/>
    <x v="1"/>
    <n v="24.6"/>
    <s v="Hot"/>
    <s v="Deal done, site work ongoing"/>
  </r>
  <r>
    <s v="LD0507"/>
    <s v="Hemant Bhalerao"/>
    <n v="9737855436"/>
    <x v="4"/>
    <x v="3"/>
    <s v="MagicBricks Property Enquiry — Inbound"/>
    <x v="0"/>
    <s v="2023-12-14"/>
    <x v="11"/>
    <x v="11"/>
    <x v="1"/>
    <n v="4"/>
    <n v="11"/>
    <s v="2024-02-05"/>
    <x v="0"/>
    <n v="744638"/>
    <m/>
    <m/>
    <x v="0"/>
    <n v="10.7"/>
    <s v="Cold"/>
    <s v="No response, marked as lost after 60 days"/>
  </r>
  <r>
    <s v="LD0508"/>
    <s v="Kavita Zende"/>
    <n v="9468588126"/>
    <x v="1"/>
    <x v="2"/>
    <s v="Contractor Referral"/>
    <x v="2"/>
    <s v="2023-12-15"/>
    <x v="11"/>
    <x v="11"/>
    <x v="1"/>
    <n v="4"/>
    <n v="3"/>
    <s v="2023-12-25"/>
    <x v="3"/>
    <n v="486011"/>
    <m/>
    <m/>
    <x v="1"/>
    <n v="71.599999999999994"/>
    <s v="Warm"/>
    <s v="Follow up after Akshaya Tritiya"/>
  </r>
  <r>
    <s v="LD0509"/>
    <s v="Pooja Naik"/>
    <m/>
    <x v="1"/>
    <x v="3"/>
    <s v="MagicBricks Property Enquiry — Inbound"/>
    <x v="3"/>
    <s v="2023-12-16"/>
    <x v="11"/>
    <x v="11"/>
    <x v="1"/>
    <n v="4"/>
    <n v="10"/>
    <s v="2024-02-17"/>
    <x v="0"/>
    <n v="92506"/>
    <m/>
    <m/>
    <x v="0"/>
    <n v="42"/>
    <s v="Warm"/>
    <s v="MagicBricks enquiry — number masked, customer did not unlock"/>
  </r>
  <r>
    <s v="LD0510"/>
    <s v="Pooja Deshpande"/>
    <n v="9677198900"/>
    <x v="2"/>
    <x v="1"/>
    <s v="Justdial Sponsored — Inbound"/>
    <x v="3"/>
    <s v="2023-12-21"/>
    <x v="11"/>
    <x v="11"/>
    <x v="1"/>
    <n v="4"/>
    <n v="3"/>
    <s v="2024-01-05"/>
    <x v="4"/>
    <n v="55417"/>
    <n v="56357"/>
    <s v="2024-01-09"/>
    <x v="2"/>
    <n v="71.599999999999994"/>
    <s v="Hot"/>
    <s v="Final payment received, project handed over"/>
  </r>
  <r>
    <s v="LD0511"/>
    <s v="Rohit Kadam"/>
    <n v="9773706432"/>
    <x v="0"/>
    <x v="7"/>
    <s v="SEO Organic"/>
    <x v="3"/>
    <s v="2023-12-21"/>
    <x v="11"/>
    <x v="11"/>
    <x v="1"/>
    <n v="4"/>
    <n v="12"/>
    <s v="2024-02-03"/>
    <x v="0"/>
    <n v="156574"/>
    <m/>
    <m/>
    <x v="0"/>
    <n v="53.4"/>
    <s v="Cold"/>
    <s v="Lost to competitor - cheaper quote"/>
  </r>
  <r>
    <s v="LD0512"/>
    <s v="Sunanda Kadam"/>
    <n v="9907160462"/>
    <x v="3"/>
    <x v="6"/>
    <s v="Facebook Gudi Padwa Offer"/>
    <x v="7"/>
    <s v="2023-12-22"/>
    <x v="11"/>
    <x v="11"/>
    <x v="1"/>
    <n v="4"/>
    <n v="9"/>
    <s v="2024-02-05"/>
    <x v="1"/>
    <n v="1172166"/>
    <m/>
    <m/>
    <x v="2"/>
    <n v="11.1"/>
    <s v="Cold"/>
    <s v="Went with local carpenter"/>
  </r>
  <r>
    <s v="LD0513"/>
    <s v="Vijay Deshmukh"/>
    <n v="9855737029"/>
    <x v="4"/>
    <x v="4"/>
    <s v="99acres New Project Enquiry — Inbound"/>
    <x v="3"/>
    <s v="2023-12-22"/>
    <x v="11"/>
    <x v="11"/>
    <x v="1"/>
    <n v="4"/>
    <n v="5"/>
    <s v="2024-01-31"/>
    <x v="0"/>
    <n v="182790"/>
    <m/>
    <m/>
    <x v="0"/>
    <n v="35.9"/>
    <s v="Cold"/>
    <s v="Lost - no follow up done in time"/>
  </r>
  <r>
    <s v="LD0514"/>
    <s v="Seema Kulkarni"/>
    <n v="9184581329"/>
    <x v="0"/>
    <x v="7"/>
    <s v="Website Chat Enquiry"/>
    <x v="1"/>
    <s v="2023-12-27"/>
    <x v="11"/>
    <x v="11"/>
    <x v="1"/>
    <n v="4"/>
    <n v="2"/>
    <s v="2024-01-05"/>
    <x v="3"/>
    <n v="313422"/>
    <m/>
    <m/>
    <x v="0"/>
    <n v="33.700000000000003"/>
    <s v="Hot"/>
    <s v="Ready to proceed, discussing payment terms"/>
  </r>
  <r>
    <s v="LD0515"/>
    <s v="Devendra Phule"/>
    <n v="9592658048"/>
    <x v="2"/>
    <x v="4"/>
    <s v="99acres New Project Enquiry — Inbound"/>
    <x v="5"/>
    <s v="2023-12-29"/>
    <x v="11"/>
    <x v="11"/>
    <x v="1"/>
    <n v="4"/>
    <n v="8"/>
    <s v="2024-02-07"/>
    <x v="1"/>
    <n v="71874"/>
    <m/>
    <m/>
    <x v="1"/>
    <n v="60.3"/>
    <s v="Warm"/>
    <s v="Under construction, possession in 3 months"/>
  </r>
  <r>
    <s v="LD0516"/>
    <s v="Ravi Aware"/>
    <n v="9984836978"/>
    <x v="2"/>
    <x v="1"/>
    <s v="Justdial Free Listing — Inbound"/>
    <x v="2"/>
    <s v="2024-01-01"/>
    <x v="0"/>
    <x v="0"/>
    <x v="2"/>
    <n v="1"/>
    <n v="9"/>
    <s v="2024-03-04"/>
    <x v="4"/>
    <n v="544415"/>
    <n v="482400"/>
    <s v="2024-03-18"/>
    <x v="0"/>
    <n v="10.9"/>
    <s v="Hot"/>
    <s v="Work order signed, production started"/>
  </r>
  <r>
    <s v="LD0517"/>
    <s v="Varsha Raut"/>
    <n v="9127418311"/>
    <x v="0"/>
    <x v="2"/>
    <s v="Contractor Referral"/>
    <x v="8"/>
    <s v="2024-01-01"/>
    <x v="0"/>
    <x v="0"/>
    <x v="2"/>
    <n v="1"/>
    <n v="2"/>
    <s v="2024-01-16"/>
    <x v="4"/>
    <n v="542468"/>
    <n v="484217"/>
    <s v="2024-01-19"/>
    <x v="0"/>
    <n v="14.8"/>
    <s v="Warm"/>
    <s v="Full payment cleared, delivery done"/>
  </r>
  <r>
    <s v="LD0518"/>
    <s v="Sunil Kadam"/>
    <n v="9902170256"/>
    <x v="2"/>
    <x v="5"/>
    <s v="Exhibition Walk-in"/>
    <x v="2"/>
    <s v="2024-01-01"/>
    <x v="0"/>
    <x v="0"/>
    <x v="2"/>
    <n v="1"/>
    <n v="12"/>
    <s v="2024-02-08"/>
    <x v="4"/>
    <n v="201835"/>
    <n v="180446"/>
    <s v="2024-02-25"/>
    <x v="0"/>
    <n v="44"/>
    <s v="Hot"/>
    <s v="Token received, design finalised"/>
  </r>
  <r>
    <s v="LD0519"/>
    <s v="Madhuri Naik"/>
    <n v="9269988928"/>
    <x v="2"/>
    <x v="7"/>
    <s v="Google Ads"/>
    <x v="5"/>
    <s v="2024-01-01"/>
    <x v="0"/>
    <x v="0"/>
    <x v="2"/>
    <n v="1"/>
    <n v="7"/>
    <s v="2024-02-14"/>
    <x v="1"/>
    <n v="254709"/>
    <m/>
    <m/>
    <x v="1"/>
    <n v="43.6"/>
    <s v="Hot"/>
    <m/>
  </r>
  <r>
    <s v="LD0520"/>
    <s v="Sachin Nikalje"/>
    <n v="9115171420"/>
    <x v="2"/>
    <x v="2"/>
    <s v="Architect Referral"/>
    <x v="9"/>
    <s v="2024-01-01"/>
    <x v="0"/>
    <x v="0"/>
    <x v="2"/>
    <n v="1"/>
    <n v="2"/>
    <s v="2024-01-11"/>
    <x v="4"/>
    <n v="505314"/>
    <n v="449510"/>
    <s v="2024-01-24"/>
    <x v="1"/>
    <n v="30.4"/>
    <s v="Hot"/>
    <s v="Customer referred 2 more leads after delivery"/>
  </r>
  <r>
    <s v="LD0521"/>
    <s v="Sunita Kshirsagar"/>
    <n v="9291907920"/>
    <x v="3"/>
    <x v="6"/>
    <s v="Facebook Home Decor Ads"/>
    <x v="5"/>
    <s v="2024-01-02"/>
    <x v="0"/>
    <x v="0"/>
    <x v="2"/>
    <n v="1"/>
    <n v="6"/>
    <s v="2024-02-06"/>
    <x v="4"/>
    <n v="309911"/>
    <n v="280684"/>
    <s v="2024-02-17"/>
    <x v="0"/>
    <n v="33.299999999999997"/>
    <s v="Warm"/>
    <s v="Deal closed, advance received"/>
  </r>
  <r>
    <s v="LD0522"/>
    <s v="Ravi Bhalerao"/>
    <n v="9873032900"/>
    <x v="2"/>
    <x v="0"/>
    <s v="Friend Reference"/>
    <x v="7"/>
    <s v="2024-01-02"/>
    <x v="0"/>
    <x v="0"/>
    <x v="2"/>
    <n v="1"/>
    <n v="4"/>
    <s v="2024-01-13"/>
    <x v="1"/>
    <n v="959948"/>
    <m/>
    <m/>
    <x v="0"/>
    <n v="20.7"/>
    <s v="Cold"/>
    <s v="Not interested anymore"/>
  </r>
  <r>
    <s v="LD0523"/>
    <s v="Ganesh Kakade"/>
    <n v="9225010851"/>
    <x v="4"/>
    <x v="4"/>
    <s v="99acres New Project Enquiry — Inbound"/>
    <x v="8"/>
    <s v="2024-01-02"/>
    <x v="0"/>
    <x v="0"/>
    <x v="2"/>
    <n v="1"/>
    <n v="2"/>
    <s v="2024-01-15"/>
    <x v="0"/>
    <n v="909205"/>
    <m/>
    <m/>
    <x v="2"/>
    <n v="20.9"/>
    <s v="Cold"/>
    <s v="Customer did not proceed with project"/>
  </r>
  <r>
    <s v="LD0524"/>
    <s v="Ashwini Suryawanshi"/>
    <n v="9358227947"/>
    <x v="4"/>
    <x v="4"/>
    <s v="99acres New Project Enquiry — Inbound"/>
    <x v="10"/>
    <s v="2024-01-03"/>
    <x v="0"/>
    <x v="0"/>
    <x v="2"/>
    <n v="1"/>
    <n v="12"/>
    <s v="2024-03-18"/>
    <x v="0"/>
    <n v="593015"/>
    <m/>
    <m/>
    <x v="0"/>
    <n v="38"/>
    <s v="Cold"/>
    <s v="Went with local vendor"/>
  </r>
  <r>
    <s v="LD0525"/>
    <s v="Ritu Gaikwad"/>
    <n v="9831100711"/>
    <x v="0"/>
    <x v="4"/>
    <s v="99acres New Project Enquiry — Inbound"/>
    <x v="11"/>
    <s v="2024-01-03"/>
    <x v="0"/>
    <x v="0"/>
    <x v="2"/>
    <n v="1"/>
    <n v="10"/>
    <s v="2024-02-16"/>
    <x v="4"/>
    <n v="349503"/>
    <n v="332437"/>
    <s v="2024-03-03"/>
    <x v="2"/>
    <n v="38.1"/>
    <s v="Hot"/>
    <s v="Customer referred 2 more leads after delivery"/>
  </r>
  <r>
    <s v="LD0526"/>
    <s v="Ritu Nimbalkar"/>
    <n v="9134654722"/>
    <x v="3"/>
    <x v="6"/>
    <s v="Facebook Kitchen Showcase"/>
    <x v="8"/>
    <s v="2024-01-03"/>
    <x v="0"/>
    <x v="0"/>
    <x v="2"/>
    <n v="1"/>
    <n v="9"/>
    <s v="2024-02-20"/>
    <x v="3"/>
    <n v="488737"/>
    <m/>
    <m/>
    <x v="1"/>
    <n v="33.799999999999997"/>
    <s v="Hot"/>
    <s v="Design presentation done, waiting for confirmation"/>
  </r>
  <r>
    <s v="LD0527"/>
    <s v="Dinesh Gaikwad"/>
    <n v="9823814870"/>
    <x v="0"/>
    <x v="2"/>
    <s v="Client Referral"/>
    <x v="8"/>
    <s v="2024-01-03"/>
    <x v="0"/>
    <x v="0"/>
    <x v="2"/>
    <n v="1"/>
    <n v="8"/>
    <s v="2024-02-05"/>
    <x v="3"/>
    <n v="640315"/>
    <m/>
    <m/>
    <x v="0"/>
    <n v="11.8"/>
    <s v="Warm"/>
    <s v="Follow up after Dussehra"/>
  </r>
  <r>
    <s v="LD0528"/>
    <s v="Prashant Kadam"/>
    <n v="9306476061"/>
    <x v="0"/>
    <x v="8"/>
    <s v="Instagram Wardrobe Showcase"/>
    <x v="7"/>
    <s v="2024-01-04"/>
    <x v="0"/>
    <x v="0"/>
    <x v="2"/>
    <n v="1"/>
    <n v="3"/>
    <s v="2024-01-18"/>
    <x v="4"/>
    <n v="887060"/>
    <n v="894768"/>
    <s v="2024-01-25"/>
    <x v="1"/>
    <n v="24.1"/>
    <s v="Hot"/>
    <s v="Deal done, site work ongoing"/>
  </r>
  <r>
    <s v="LD0529"/>
    <s v="Ritu Deshmukh"/>
    <n v="9487611538"/>
    <x v="2"/>
    <x v="7"/>
    <s v="Website Chat Enquiry"/>
    <x v="7"/>
    <s v="2024-01-04"/>
    <x v="0"/>
    <x v="0"/>
    <x v="2"/>
    <n v="1"/>
    <n v="8"/>
    <s v="2024-02-05"/>
    <x v="4"/>
    <n v="993376"/>
    <n v="964931"/>
    <s v="2024-02-19"/>
    <x v="1"/>
    <n v="20.9"/>
    <s v="Hot"/>
    <s v="Deal closed, advance received"/>
  </r>
  <r>
    <s v="LD0530"/>
    <s v="Ashwini Kadam"/>
    <m/>
    <x v="0"/>
    <x v="3"/>
    <s v="MagicBricks Property Enquiry — Inbound"/>
    <x v="1"/>
    <s v="2024-01-04"/>
    <x v="0"/>
    <x v="0"/>
    <x v="2"/>
    <n v="1"/>
    <n v="7"/>
    <s v="2024-01-19"/>
    <x v="0"/>
    <n v="364783"/>
    <m/>
    <m/>
    <x v="1"/>
    <n v="10.3"/>
    <s v="Cold"/>
    <s v="MagicBricks portal lead — masked number, no response"/>
  </r>
  <r>
    <s v="LD0531"/>
    <s v="Kavita Bhalerao"/>
    <n v="9100038346"/>
    <x v="0"/>
    <x v="5"/>
    <s v="Site Visit Walk-in"/>
    <x v="9"/>
    <s v="2024-01-05"/>
    <x v="0"/>
    <x v="0"/>
    <x v="2"/>
    <n v="1"/>
    <n v="9"/>
    <s v="2024-03-11"/>
    <x v="3"/>
    <n v="190140"/>
    <m/>
    <m/>
    <x v="0"/>
    <n v="1.3"/>
    <s v="Cold"/>
    <s v="No response after 4 follow ups"/>
  </r>
  <r>
    <s v="LD0532"/>
    <s v="Manisha Bansode"/>
    <n v="9839805543"/>
    <x v="4"/>
    <x v="2"/>
    <s v="Neighbour Referral"/>
    <x v="10"/>
    <s v="2024-01-05"/>
    <x v="0"/>
    <x v="0"/>
    <x v="2"/>
    <n v="1"/>
    <n v="11"/>
    <s v="2024-02-20"/>
    <x v="0"/>
    <n v="348260"/>
    <m/>
    <m/>
    <x v="0"/>
    <n v="12.8"/>
    <s v="Cold"/>
    <m/>
  </r>
  <r>
    <s v="LD0533"/>
    <s v="Sonal Kulkarni"/>
    <n v="9507365179"/>
    <x v="3"/>
    <x v="2"/>
    <s v="Client Referral"/>
    <x v="11"/>
    <s v="2024-01-05"/>
    <x v="0"/>
    <x v="0"/>
    <x v="2"/>
    <n v="1"/>
    <n v="0"/>
    <s v="2024-01-08"/>
    <x v="4"/>
    <n v="387852"/>
    <n v="386439"/>
    <s v="2024-01-10"/>
    <x v="0"/>
    <n v="23.4"/>
    <s v="Hot"/>
    <s v="Customer referred 2 more leads after delivery"/>
  </r>
  <r>
    <s v="LD0534"/>
    <s v="Rajesh Gavhane"/>
    <n v="9867812836"/>
    <x v="0"/>
    <x v="4"/>
    <s v="99acres New Project Enquiry — Inbound"/>
    <x v="5"/>
    <s v="2024-01-06"/>
    <x v="0"/>
    <x v="0"/>
    <x v="2"/>
    <n v="1"/>
    <n v="11"/>
    <s v="2024-03-16"/>
    <x v="3"/>
    <n v="261628"/>
    <m/>
    <m/>
    <x v="1"/>
    <n v="22.8"/>
    <s v="Hot"/>
    <s v="Sample seen at showroom, liked veneer finish"/>
  </r>
  <r>
    <s v="LD0535"/>
    <s v="Sonal Bhalerao"/>
    <n v="9552836541"/>
    <x v="0"/>
    <x v="1"/>
    <s v="Justdial Premium Listing — Inbound"/>
    <x v="3"/>
    <s v="2024-01-08"/>
    <x v="0"/>
    <x v="0"/>
    <x v="2"/>
    <n v="1"/>
    <n v="10"/>
    <s v="2024-03-01"/>
    <x v="0"/>
    <n v="140534"/>
    <m/>
    <m/>
    <x v="1"/>
    <n v="14.4"/>
    <s v="Cold"/>
    <s v="Lost to competitor - cheaper quote"/>
  </r>
  <r>
    <s v="LD0536"/>
    <s v="Deepak Tupe"/>
    <n v="9577626860"/>
    <x v="0"/>
    <x v="7"/>
    <s v="SEO Organic"/>
    <x v="6"/>
    <s v="2024-01-08"/>
    <x v="0"/>
    <x v="0"/>
    <x v="2"/>
    <n v="1"/>
    <n v="5"/>
    <s v="2024-01-24"/>
    <x v="4"/>
    <n v="211984"/>
    <n v="199698"/>
    <s v="2024-02-04"/>
    <x v="1"/>
    <n v="24"/>
    <s v="Hot"/>
    <s v="Customer happy with sample, deal closed"/>
  </r>
  <r>
    <s v="LD0537"/>
    <s v="Sonal Bansode"/>
    <n v="9712425712"/>
    <x v="3"/>
    <x v="1"/>
    <s v="Justdial Premium Listing — Inbound"/>
    <x v="9"/>
    <s v="2024-01-09"/>
    <x v="0"/>
    <x v="0"/>
    <x v="2"/>
    <n v="1"/>
    <n v="8"/>
    <s v="2024-01-29"/>
    <x v="0"/>
    <n v="288498"/>
    <m/>
    <m/>
    <x v="0"/>
    <n v="24.8"/>
    <s v="Warm"/>
    <s v="No response, marked as lost after 60 days"/>
  </r>
  <r>
    <s v="LD0538"/>
    <s v="Pravin Kshirsagar"/>
    <n v="9929326555"/>
    <x v="0"/>
    <x v="3"/>
    <s v="MagicBricks Property Enquiry — Inbound"/>
    <x v="8"/>
    <s v="2024-01-09"/>
    <x v="0"/>
    <x v="0"/>
    <x v="2"/>
    <n v="1"/>
    <n v="4"/>
    <s v="2024-01-22"/>
    <x v="0"/>
    <n v="548319"/>
    <m/>
    <m/>
    <x v="2"/>
    <n v="14.9"/>
    <s v="Warm"/>
    <s v="Lost - no follow up done in time"/>
  </r>
  <r>
    <s v="LD0539"/>
    <s v="Pooja Gaikwad"/>
    <n v="9100265072"/>
    <x v="1"/>
    <x v="8"/>
    <s v="Instagram Gudi Padwa Special"/>
    <x v="10"/>
    <s v="2024-01-09"/>
    <x v="0"/>
    <x v="0"/>
    <x v="2"/>
    <n v="1"/>
    <n v="2"/>
    <s v="2024-01-22"/>
    <x v="3"/>
    <n v="490062"/>
    <m/>
    <m/>
    <x v="0"/>
    <n v="11.2"/>
    <s v="Hot"/>
    <s v="Sample seen at showroom, liked veneer finish"/>
  </r>
  <r>
    <s v="LD0540"/>
    <s v="Kiran Kale"/>
    <m/>
    <x v="1"/>
    <x v="4"/>
    <s v="99acres Flat Owner Enquiry — Inbound"/>
    <x v="1"/>
    <s v="2024-01-10"/>
    <x v="0"/>
    <x v="0"/>
    <x v="2"/>
    <n v="1"/>
    <n v="8"/>
    <s v="2024-02-20"/>
    <x v="0"/>
    <n v="91433"/>
    <m/>
    <m/>
    <x v="0"/>
    <n v="45.2"/>
    <s v="Warm"/>
    <s v="99acres form submitted, no direct phone available"/>
  </r>
  <r>
    <s v="LD0541"/>
    <s v="Vijay Thorat"/>
    <n v="9745256477"/>
    <x v="2"/>
    <x v="4"/>
    <s v="99acres New Project Enquiry — Inbound"/>
    <x v="7"/>
    <s v="2024-01-10"/>
    <x v="0"/>
    <x v="0"/>
    <x v="2"/>
    <n v="1"/>
    <n v="7"/>
    <s v="2024-02-12"/>
    <x v="1"/>
    <n v="1196253"/>
    <m/>
    <m/>
    <x v="1"/>
    <n v="33.6"/>
    <s v="Warm"/>
    <s v="Wants more design options before deciding"/>
  </r>
  <r>
    <s v="LD0542"/>
    <s v="Hemant Tupe"/>
    <n v="9341698434"/>
    <x v="4"/>
    <x v="4"/>
    <s v="99acres Flat Owner Enquiry — Inbound"/>
    <x v="2"/>
    <s v="2024-01-10"/>
    <x v="0"/>
    <x v="0"/>
    <x v="2"/>
    <n v="1"/>
    <n v="10"/>
    <s v="2024-02-07"/>
    <x v="0"/>
    <n v="247342"/>
    <m/>
    <m/>
    <x v="0"/>
    <n v="14.1"/>
    <s v="Cold"/>
    <s v="Project cancelled by customer"/>
  </r>
  <r>
    <s v="LD0543"/>
    <s v="Sachin Shelke"/>
    <n v="9780505229"/>
    <x v="3"/>
    <x v="2"/>
    <s v="Client Referral"/>
    <x v="7"/>
    <s v="2024-01-11"/>
    <x v="0"/>
    <x v="0"/>
    <x v="2"/>
    <n v="1"/>
    <n v="5"/>
    <s v="2024-02-10"/>
    <x v="4"/>
    <n v="892028"/>
    <n v="804249"/>
    <s v="2024-02-14"/>
    <x v="1"/>
    <n v="17.7"/>
    <s v="Hot"/>
    <s v="Customer referred 2 more leads after delivery"/>
  </r>
  <r>
    <s v="LD0544"/>
    <s v="Varsha Pawar"/>
    <n v="9558154399"/>
    <x v="4"/>
    <x v="0"/>
    <s v="Colony Reference"/>
    <x v="2"/>
    <s v="2024-01-11"/>
    <x v="0"/>
    <x v="0"/>
    <x v="2"/>
    <n v="1"/>
    <n v="8"/>
    <s v="2024-03-04"/>
    <x v="1"/>
    <n v="276183"/>
    <m/>
    <m/>
    <x v="0"/>
    <n v="17"/>
    <s v="Hot"/>
    <s v="Ready to proceed, discussing payment terms"/>
  </r>
  <r>
    <s v="LD0545"/>
    <s v="Sunanda Raut"/>
    <n v="9618992599"/>
    <x v="0"/>
    <x v="0"/>
    <s v="Colony Reference"/>
    <x v="6"/>
    <s v="2024-01-11"/>
    <x v="0"/>
    <x v="0"/>
    <x v="2"/>
    <n v="1"/>
    <n v="6"/>
    <s v="2024-02-14"/>
    <x v="4"/>
    <n v="167097"/>
    <n v="162466"/>
    <s v="2024-02-29"/>
    <x v="0"/>
    <n v="31.8"/>
    <s v="Hot"/>
    <s v="Customer very satisfied, 5 star review given"/>
  </r>
  <r>
    <s v="LD0546"/>
    <s v="Manoj Bhosale"/>
    <n v="9278815751"/>
    <x v="4"/>
    <x v="2"/>
    <s v="Neighbour Referral"/>
    <x v="1"/>
    <s v="2024-01-11"/>
    <x v="0"/>
    <x v="0"/>
    <x v="2"/>
    <n v="1"/>
    <n v="4"/>
    <s v="2024-02-02"/>
    <x v="0"/>
    <n v="90694"/>
    <m/>
    <m/>
    <x v="0"/>
    <n v="17"/>
    <s v="Cold"/>
    <s v="Customer chose readymade furniture"/>
  </r>
  <r>
    <s v="LD0547"/>
    <s v="Sachin Sonawane"/>
    <n v="9674195660"/>
    <x v="4"/>
    <x v="5"/>
    <s v="Site Visit Walk-in"/>
    <x v="12"/>
    <s v="2024-01-11"/>
    <x v="0"/>
    <x v="0"/>
    <x v="2"/>
    <n v="1"/>
    <n v="12"/>
    <s v="2024-02-10"/>
    <x v="4"/>
    <n v="1610596"/>
    <n v="1527930"/>
    <s v="2024-02-29"/>
    <x v="1"/>
    <n v="41.7"/>
    <s v="Hot"/>
    <s v="Token paid, measurement done, work started"/>
  </r>
  <r>
    <s v="LD0548"/>
    <s v="Santosh Salve"/>
    <n v="9219354239"/>
    <x v="1"/>
    <x v="3"/>
    <s v="MagicBricks Enquiry — Inbound"/>
    <x v="5"/>
    <s v="2024-01-11"/>
    <x v="0"/>
    <x v="0"/>
    <x v="2"/>
    <n v="1"/>
    <n v="12"/>
    <s v="2024-02-16"/>
    <x v="3"/>
    <n v="237178"/>
    <m/>
    <m/>
    <x v="1"/>
    <n v="29.4"/>
    <s v="Hot"/>
    <s v="Final quote shared, awaiting approval"/>
  </r>
  <r>
    <s v="LD0549"/>
    <s v="Arun Bhalerao"/>
    <n v="9839799487"/>
    <x v="4"/>
    <x v="8"/>
    <s v="Instagram Diwali Campaign"/>
    <x v="0"/>
    <s v="2024-01-12"/>
    <x v="0"/>
    <x v="0"/>
    <x v="2"/>
    <n v="1"/>
    <n v="6"/>
    <s v="2024-02-13"/>
    <x v="1"/>
    <n v="400811"/>
    <m/>
    <m/>
    <x v="0"/>
    <n v="35.200000000000003"/>
    <s v="Hot"/>
    <s v="Token amount discussed, decision this week"/>
  </r>
  <r>
    <s v="LD0550"/>
    <s v="Devendra Gaikwad"/>
    <m/>
    <x v="0"/>
    <x v="8"/>
    <s v="Instagram Diwali Campaign"/>
    <x v="1"/>
    <s v="2024-01-12"/>
    <x v="0"/>
    <x v="0"/>
    <x v="2"/>
    <n v="1"/>
    <n v="7"/>
    <s v="2024-02-12"/>
    <x v="0"/>
    <n v="159201"/>
    <m/>
    <m/>
    <x v="0"/>
    <n v="43.8"/>
    <s v="Cold"/>
    <s v="Customer messaged on Instagram, did not share contact"/>
  </r>
  <r>
    <s v="LD0551"/>
    <s v="Nanda Wagh"/>
    <n v="9335074866"/>
    <x v="3"/>
    <x v="6"/>
    <s v="Facebook Kitchen Showcase"/>
    <x v="6"/>
    <s v="2024-01-12"/>
    <x v="0"/>
    <x v="0"/>
    <x v="2"/>
    <n v="1"/>
    <n v="5"/>
    <s v="2024-02-12"/>
    <x v="3"/>
    <n v="331403"/>
    <m/>
    <m/>
    <x v="1"/>
    <n v="30.6"/>
    <s v="Warm"/>
    <s v="Site visit to be scheduled"/>
  </r>
  <r>
    <s v="LD0552"/>
    <s v="Nanda Mohite"/>
    <n v="9307371948"/>
    <x v="3"/>
    <x v="6"/>
    <s v="Facebook Diwali Offer"/>
    <x v="0"/>
    <s v="2024-01-13"/>
    <x v="0"/>
    <x v="0"/>
    <x v="2"/>
    <n v="1"/>
    <n v="5"/>
    <s v="2024-02-05"/>
    <x v="0"/>
    <n v="667846"/>
    <m/>
    <m/>
    <x v="0"/>
    <n v="9.4"/>
    <s v="Cold"/>
    <s v="Project cancelled by customer"/>
  </r>
  <r>
    <s v="LD0553"/>
    <s v="Nikhil Naik"/>
    <n v="9776364820"/>
    <x v="0"/>
    <x v="2"/>
    <s v="Client Referral"/>
    <x v="12"/>
    <s v="2024-01-13"/>
    <x v="0"/>
    <x v="0"/>
    <x v="2"/>
    <n v="1"/>
    <n v="10"/>
    <s v="2024-02-21"/>
    <x v="0"/>
    <n v="1531702"/>
    <m/>
    <m/>
    <x v="1"/>
    <n v="23.4"/>
    <s v="Cold"/>
    <s v="Project cancelled by customer"/>
  </r>
  <r>
    <s v="LD0554"/>
    <s v="Rohit Mohite"/>
    <n v="9749476211"/>
    <x v="1"/>
    <x v="8"/>
    <s v="Instagram Before-After Posts"/>
    <x v="1"/>
    <s v="2024-01-13"/>
    <x v="0"/>
    <x v="0"/>
    <x v="2"/>
    <n v="1"/>
    <n v="0"/>
    <s v="2024-01-17"/>
    <x v="3"/>
    <n v="247907"/>
    <m/>
    <m/>
    <x v="0"/>
    <n v="34.1"/>
    <s v="Warm"/>
    <s v="Waiting for interior budget approval from family"/>
  </r>
  <r>
    <s v="LD0555"/>
    <s v="Pravin Londhe"/>
    <m/>
    <x v="2"/>
    <x v="8"/>
    <s v="Instagram Before-After Posts"/>
    <x v="7"/>
    <s v="2024-01-15"/>
    <x v="0"/>
    <x v="0"/>
    <x v="2"/>
    <n v="1"/>
    <n v="1"/>
    <s v="2024-01-31"/>
    <x v="0"/>
    <n v="869185"/>
    <m/>
    <m/>
    <x v="1"/>
    <n v="32.1"/>
    <s v="Cold"/>
    <s v="DM received on Instagram, no phone shared"/>
  </r>
  <r>
    <s v="LD0556"/>
    <s v="Kavita Kadam"/>
    <n v="9677235776"/>
    <x v="2"/>
    <x v="1"/>
    <s v="Justdial Sponsored — Inbound"/>
    <x v="2"/>
    <s v="2024-01-15"/>
    <x v="0"/>
    <x v="0"/>
    <x v="2"/>
    <n v="1"/>
    <n v="8"/>
    <s v="2024-03-04"/>
    <x v="0"/>
    <n v="488534"/>
    <m/>
    <m/>
    <x v="1"/>
    <n v="37"/>
    <s v="Cold"/>
    <s v="No response, marked as lost after 60 days"/>
  </r>
  <r>
    <s v="LD0557"/>
    <s v="Manoj Bansode"/>
    <n v="9131098297"/>
    <x v="2"/>
    <x v="3"/>
    <s v="MagicBricks Property Enquiry — Inbound"/>
    <x v="2"/>
    <s v="2024-01-15"/>
    <x v="0"/>
    <x v="0"/>
    <x v="2"/>
    <n v="1"/>
    <n v="12"/>
    <s v="2024-04-06"/>
    <x v="2"/>
    <n v="154697"/>
    <m/>
    <m/>
    <x v="1"/>
    <n v="37.4"/>
    <s v="Cold"/>
    <s v="Duplicate enquiry"/>
  </r>
  <r>
    <s v="LD0558"/>
    <s v="Pooja Naik"/>
    <n v="9893885429"/>
    <x v="0"/>
    <x v="6"/>
    <s v="Facebook Home Decor Ads"/>
    <x v="0"/>
    <s v="2024-01-17"/>
    <x v="0"/>
    <x v="0"/>
    <x v="2"/>
    <n v="1"/>
    <n v="7"/>
    <s v="2024-02-26"/>
    <x v="4"/>
    <n v="672921"/>
    <n v="596675"/>
    <s v="2024-02-29"/>
    <x v="0"/>
    <n v="39.6"/>
    <s v="Hot"/>
    <s v="Customer happy with sample, deal closed"/>
  </r>
  <r>
    <s v="LD0559"/>
    <s v="Santosh Nimbalkar"/>
    <n v="9108480736"/>
    <x v="2"/>
    <x v="8"/>
    <s v="Instagram Before-After Posts"/>
    <x v="10"/>
    <s v="2024-01-17"/>
    <x v="0"/>
    <x v="0"/>
    <x v="2"/>
    <n v="1"/>
    <n v="5"/>
    <s v="2024-02-19"/>
    <x v="0"/>
    <n v="414796"/>
    <m/>
    <m/>
    <x v="0"/>
    <n v="31.9"/>
    <s v="Cold"/>
    <s v="Customer did not proceed with project"/>
  </r>
  <r>
    <s v="LD0560"/>
    <s v="Sachin Mane"/>
    <n v="9598177231"/>
    <x v="4"/>
    <x v="8"/>
    <s v="Instagram Diwali Campaign"/>
    <x v="9"/>
    <s v="2024-01-17"/>
    <x v="0"/>
    <x v="0"/>
    <x v="2"/>
    <n v="1"/>
    <n v="10"/>
    <s v="2024-02-26"/>
    <x v="0"/>
    <n v="280701"/>
    <m/>
    <m/>
    <x v="0"/>
    <n v="28.7"/>
    <s v="Warm"/>
    <s v="Customer chose readymade furniture"/>
  </r>
  <r>
    <s v="LD0561"/>
    <s v="Mahesh Bhosale"/>
    <n v="9274046155"/>
    <x v="0"/>
    <x v="6"/>
    <s v="Facebook Gudi Padwa Offer"/>
    <x v="6"/>
    <s v="2024-01-18"/>
    <x v="0"/>
    <x v="0"/>
    <x v="2"/>
    <n v="1"/>
    <n v="1"/>
    <s v="2024-01-26"/>
    <x v="0"/>
    <n v="335871"/>
    <m/>
    <m/>
    <x v="1"/>
    <n v="27.1"/>
    <s v="Cold"/>
    <s v="Customer did not proceed with project"/>
  </r>
  <r>
    <s v="LD0562"/>
    <s v="Vijay Holkar"/>
    <n v="9362255365"/>
    <x v="0"/>
    <x v="7"/>
    <s v="Google Ads"/>
    <x v="0"/>
    <s v="2024-01-18"/>
    <x v="0"/>
    <x v="0"/>
    <x v="2"/>
    <n v="1"/>
    <n v="5"/>
    <s v="2024-02-08"/>
    <x v="3"/>
    <n v="509338"/>
    <m/>
    <m/>
    <x v="0"/>
    <n v="9.5"/>
    <s v="Hot"/>
    <s v="Ready to proceed, discussing payment terms"/>
  </r>
  <r>
    <s v="LD0563"/>
    <s v="Nanda Chavan"/>
    <n v="9809101742"/>
    <x v="2"/>
    <x v="2"/>
    <s v="Client Referral"/>
    <x v="5"/>
    <s v="2024-01-19"/>
    <x v="0"/>
    <x v="0"/>
    <x v="2"/>
    <n v="1"/>
    <n v="0"/>
    <s v="2024-01-26"/>
    <x v="4"/>
    <n v="215803"/>
    <n v="215389"/>
    <s v="2024-02-03"/>
    <x v="0"/>
    <n v="19"/>
    <s v="Hot"/>
    <s v="Customer very satisfied, 5 star review given"/>
  </r>
  <r>
    <s v="LD0564"/>
    <s v="Pramod Kale"/>
    <n v="9273279673"/>
    <x v="2"/>
    <x v="8"/>
    <s v="Instagram Kitchen Reels"/>
    <x v="1"/>
    <s v="2024-01-19"/>
    <x v="0"/>
    <x v="0"/>
    <x v="2"/>
    <n v="1"/>
    <n v="0"/>
    <s v="2024-02-01"/>
    <x v="0"/>
    <n v="324613"/>
    <m/>
    <m/>
    <x v="1"/>
    <n v="5.3"/>
    <s v="Cold"/>
    <s v="Customer chose readymade furniture"/>
  </r>
  <r>
    <s v="LD0565"/>
    <s v="Nilesh Bhosale"/>
    <n v="9797833491"/>
    <x v="4"/>
    <x v="6"/>
    <s v="Facebook Home Decor Ads"/>
    <x v="5"/>
    <s v="2024-01-20"/>
    <x v="0"/>
    <x v="0"/>
    <x v="2"/>
    <n v="1"/>
    <n v="11"/>
    <s v="2024-04-05"/>
    <x v="4"/>
    <n v="177149"/>
    <n v="182215"/>
    <s v="2024-04-11"/>
    <x v="0"/>
    <n v="10.9"/>
    <s v="Hot"/>
    <s v="Customer referred 2 more leads after delivery"/>
  </r>
  <r>
    <s v="LD0566"/>
    <s v="Ritu Salve"/>
    <n v="9488799500"/>
    <x v="2"/>
    <x v="6"/>
    <s v="Facebook Home Decor Ads"/>
    <x v="0"/>
    <s v="2024-01-20"/>
    <x v="0"/>
    <x v="0"/>
    <x v="2"/>
    <n v="1"/>
    <n v="1"/>
    <s v="2024-02-05"/>
    <x v="3"/>
    <n v="691985"/>
    <m/>
    <m/>
    <x v="1"/>
    <n v="37"/>
    <s v="Cold"/>
    <s v="Not responding to calls"/>
  </r>
  <r>
    <s v="LD0567"/>
    <s v="Pooja Thorat"/>
    <n v="9531325735"/>
    <x v="0"/>
    <x v="8"/>
    <s v="Instagram Gudi Padwa Special"/>
    <x v="2"/>
    <s v="2024-01-22"/>
    <x v="0"/>
    <x v="0"/>
    <x v="2"/>
    <n v="1"/>
    <n v="0"/>
    <s v="2024-02-02"/>
    <x v="3"/>
    <n v="428264"/>
    <m/>
    <m/>
    <x v="0"/>
    <n v="19"/>
    <s v="Warm"/>
    <s v="Customer interested, flat handover next month"/>
  </r>
  <r>
    <s v="LD0568"/>
    <s v="Varsha Wagh"/>
    <n v="9243372740"/>
    <x v="1"/>
    <x v="2"/>
    <s v="Architect Referral"/>
    <x v="9"/>
    <s v="2024-01-22"/>
    <x v="0"/>
    <x v="0"/>
    <x v="2"/>
    <n v="1"/>
    <n v="6"/>
    <s v="2024-02-12"/>
    <x v="3"/>
    <n v="280719"/>
    <m/>
    <m/>
    <x v="2"/>
    <n v="36.9"/>
    <s v="Warm"/>
    <s v="Follow up after Gudi Padwa"/>
  </r>
  <r>
    <s v="LD0569"/>
    <s v="Rajesh Yadav"/>
    <n v="9198774376"/>
    <x v="4"/>
    <x v="3"/>
    <s v="MagicBricks Property Enquiry — Inbound"/>
    <x v="7"/>
    <s v="2024-01-23"/>
    <x v="0"/>
    <x v="0"/>
    <x v="2"/>
    <n v="1"/>
    <n v="3"/>
    <s v="2024-02-10"/>
    <x v="0"/>
    <n v="878013"/>
    <m/>
    <m/>
    <x v="0"/>
    <n v="43.5"/>
    <s v="Cold"/>
    <s v="Customer chose readymade furniture"/>
  </r>
  <r>
    <s v="LD0570"/>
    <s v="Manisha Kakade"/>
    <n v="9461464967"/>
    <x v="2"/>
    <x v="4"/>
    <s v="99acres New Project Enquiry — Inbound"/>
    <x v="0"/>
    <s v="2024-01-23"/>
    <x v="0"/>
    <x v="0"/>
    <x v="2"/>
    <n v="1"/>
    <n v="3"/>
    <s v="2024-02-24"/>
    <x v="0"/>
    <n v="370835"/>
    <m/>
    <m/>
    <x v="2"/>
    <n v="19.899999999999999"/>
    <s v="Cold"/>
    <s v="Went with local vendor"/>
  </r>
  <r>
    <s v="LD0571"/>
    <s v="Sonal Holkar"/>
    <n v="9814318528"/>
    <x v="1"/>
    <x v="6"/>
    <s v="Facebook Diwali Offer"/>
    <x v="13"/>
    <s v="2024-01-23"/>
    <x v="0"/>
    <x v="0"/>
    <x v="2"/>
    <n v="1"/>
    <n v="1"/>
    <s v="2024-01-29"/>
    <x v="4"/>
    <n v="1330142"/>
    <n v="1190327"/>
    <s v="2024-01-31"/>
    <x v="2"/>
    <n v="30"/>
    <s v="Hot"/>
    <s v="Full payment cleared, delivery done"/>
  </r>
  <r>
    <s v="LD0572"/>
    <s v="Devendra Bansode"/>
    <n v="9716799441"/>
    <x v="0"/>
    <x v="2"/>
    <s v="Neighbour Referral"/>
    <x v="3"/>
    <s v="2024-01-23"/>
    <x v="0"/>
    <x v="0"/>
    <x v="2"/>
    <n v="1"/>
    <n v="1"/>
    <s v="2024-02-08"/>
    <x v="3"/>
    <n v="57970"/>
    <m/>
    <m/>
    <x v="1"/>
    <n v="47.9"/>
    <s v="Warm"/>
    <s v="Call back after 1 month"/>
  </r>
  <r>
    <s v="LD0573"/>
    <s v="Alka More"/>
    <n v="9466631819"/>
    <x v="0"/>
    <x v="2"/>
    <s v="Architect Referral"/>
    <x v="0"/>
    <s v="2024-01-24"/>
    <x v="0"/>
    <x v="0"/>
    <x v="2"/>
    <n v="1"/>
    <n v="4"/>
    <s v="2024-02-09"/>
    <x v="0"/>
    <n v="739030"/>
    <m/>
    <m/>
    <x v="0"/>
    <n v="9.1"/>
    <s v="Cold"/>
    <s v="Customer got work done from relative"/>
  </r>
  <r>
    <s v="LD0574"/>
    <s v="Kiran Deshpande"/>
    <n v="9141674854"/>
    <x v="3"/>
    <x v="6"/>
    <s v="Facebook Kitchen Showcase"/>
    <x v="5"/>
    <s v="2024-01-24"/>
    <x v="0"/>
    <x v="0"/>
    <x v="2"/>
    <n v="1"/>
    <n v="6"/>
    <s v="2024-02-09"/>
    <x v="4"/>
    <n v="230700"/>
    <n v="207903"/>
    <s v="2024-02-26"/>
    <x v="2"/>
    <n v="36.200000000000003"/>
    <s v="Warm"/>
    <s v="Customer referred 2 more leads after delivery"/>
  </r>
  <r>
    <s v="LD0575"/>
    <s v="Sunita Bansode"/>
    <n v="9392787282"/>
    <x v="2"/>
    <x v="1"/>
    <s v="Justdial Sponsored — Inbound"/>
    <x v="1"/>
    <s v="2024-01-26"/>
    <x v="0"/>
    <x v="0"/>
    <x v="2"/>
    <n v="1"/>
    <n v="9"/>
    <s v="2024-03-09"/>
    <x v="0"/>
    <n v="227676"/>
    <m/>
    <m/>
    <x v="1"/>
    <n v="14"/>
    <s v="Cold"/>
    <s v="Budget mismatch - too low"/>
  </r>
  <r>
    <s v="LD0576"/>
    <s v="Rajesh Nimbalkar"/>
    <n v="9610674706"/>
    <x v="4"/>
    <x v="7"/>
    <s v="Google Ads"/>
    <x v="4"/>
    <s v="2024-01-26"/>
    <x v="0"/>
    <x v="0"/>
    <x v="2"/>
    <n v="1"/>
    <n v="7"/>
    <s v="2024-03-21"/>
    <x v="4"/>
    <n v="363665"/>
    <n v="363635"/>
    <s v="2024-04-05"/>
    <x v="0"/>
    <n v="14.5"/>
    <s v="Hot"/>
    <s v="Final payment received, project handed over"/>
  </r>
  <r>
    <s v="LD0577"/>
    <s v="Kavita Kale"/>
    <n v="9438031505"/>
    <x v="0"/>
    <x v="1"/>
    <s v="Justdial Premium Listing — Inbound"/>
    <x v="8"/>
    <s v="2024-01-26"/>
    <x v="0"/>
    <x v="0"/>
    <x v="2"/>
    <n v="1"/>
    <n v="5"/>
    <s v="2024-02-13"/>
    <x v="1"/>
    <n v="685328"/>
    <m/>
    <m/>
    <x v="0"/>
    <n v="28"/>
    <s v="Hot"/>
    <s v="Token amount discussed, decision this week"/>
  </r>
  <r>
    <s v="LD0578"/>
    <s v="Ritu Raut"/>
    <n v="9185909132"/>
    <x v="0"/>
    <x v="0"/>
    <s v="Family Reference"/>
    <x v="7"/>
    <s v="2024-01-26"/>
    <x v="0"/>
    <x v="0"/>
    <x v="2"/>
    <n v="1"/>
    <n v="6"/>
    <s v="2024-03-13"/>
    <x v="1"/>
    <n v="1269880"/>
    <m/>
    <m/>
    <x v="2"/>
    <n v="6.2"/>
    <s v="Cold"/>
    <s v="Not interested anymore"/>
  </r>
  <r>
    <s v="LD0579"/>
    <s v="Pramod Deshmukh"/>
    <n v="9696300619"/>
    <x v="3"/>
    <x v="2"/>
    <s v="Neighbour Referral"/>
    <x v="7"/>
    <s v="2024-01-26"/>
    <x v="0"/>
    <x v="0"/>
    <x v="2"/>
    <n v="1"/>
    <n v="2"/>
    <s v="2024-02-06"/>
    <x v="4"/>
    <n v="865279"/>
    <n v="878629"/>
    <s v="2024-02-14"/>
    <x v="0"/>
    <n v="15.2"/>
    <s v="Warm"/>
    <s v="Customer referred 2 more leads after delivery"/>
  </r>
  <r>
    <s v="LD0580"/>
    <s v="Umesh Yadav"/>
    <n v="9145049471"/>
    <x v="2"/>
    <x v="2"/>
    <s v="Neighbour Referral"/>
    <x v="5"/>
    <s v="2024-01-26"/>
    <x v="0"/>
    <x v="0"/>
    <x v="2"/>
    <n v="1"/>
    <n v="10"/>
    <s v="2024-02-17"/>
    <x v="4"/>
    <n v="275873"/>
    <n v="243629"/>
    <s v="2024-02-24"/>
    <x v="0"/>
    <n v="3.3"/>
    <s v="Hot"/>
    <s v="Token received, design finalised"/>
  </r>
  <r>
    <s v="LD0581"/>
    <s v="Manisha Kakade"/>
    <n v="9175981291"/>
    <x v="3"/>
    <x v="8"/>
    <s v="Instagram Gudi Padwa Special"/>
    <x v="4"/>
    <s v="2024-01-27"/>
    <x v="0"/>
    <x v="0"/>
    <x v="2"/>
    <n v="1"/>
    <n v="11"/>
    <s v="2024-04-15"/>
    <x v="3"/>
    <n v="217073"/>
    <m/>
    <m/>
    <x v="1"/>
    <n v="27.5"/>
    <s v="Cold"/>
    <s v="Not responding to calls"/>
  </r>
  <r>
    <s v="LD0582"/>
    <s v="Devendra Gavhane"/>
    <n v="9185412831"/>
    <x v="0"/>
    <x v="5"/>
    <s v="Exhibition Walk-in"/>
    <x v="2"/>
    <s v="2024-01-27"/>
    <x v="0"/>
    <x v="0"/>
    <x v="2"/>
    <n v="1"/>
    <n v="3"/>
    <s v="2024-02-19"/>
    <x v="0"/>
    <n v="409971"/>
    <m/>
    <m/>
    <x v="1"/>
    <n v="23.6"/>
    <s v="Cold"/>
    <s v="Lost to competitor - cheaper quote"/>
  </r>
  <r>
    <s v="LD0583"/>
    <s v="Sunita Pawar"/>
    <n v="9257030842"/>
    <x v="3"/>
    <x v="6"/>
    <s v="Facebook Gudi Padwa Offer"/>
    <x v="7"/>
    <s v="2024-01-27"/>
    <x v="0"/>
    <x v="0"/>
    <x v="2"/>
    <n v="1"/>
    <n v="4"/>
    <s v="2024-03-05"/>
    <x v="4"/>
    <n v="886274"/>
    <n v="866992"/>
    <s v="2024-03-26"/>
    <x v="1"/>
    <n v="39.6"/>
    <s v="Warm"/>
    <s v="Customer happy with sample, deal closed"/>
  </r>
  <r>
    <s v="LD0584"/>
    <s v="Umesh Jadhav"/>
    <n v="9228233515"/>
    <x v="2"/>
    <x v="8"/>
    <s v="Instagram Diwali Campaign"/>
    <x v="12"/>
    <s v="2024-01-29"/>
    <x v="0"/>
    <x v="0"/>
    <x v="2"/>
    <n v="1"/>
    <n v="2"/>
    <s v="2024-02-05"/>
    <x v="3"/>
    <n v="946009"/>
    <m/>
    <m/>
    <x v="0"/>
    <n v="8.1999999999999993"/>
    <s v="Cold"/>
    <s v="Not interested anymore"/>
  </r>
  <r>
    <s v="LD0585"/>
    <s v="Umesh Chavan"/>
    <n v="9369919207"/>
    <x v="2"/>
    <x v="1"/>
    <s v="Justdial Free Listing — Inbound"/>
    <x v="8"/>
    <s v="2024-01-29"/>
    <x v="0"/>
    <x v="0"/>
    <x v="2"/>
    <n v="1"/>
    <n v="5"/>
    <s v="2024-02-12"/>
    <x v="4"/>
    <n v="491669"/>
    <n v="473011"/>
    <s v="2024-02-21"/>
    <x v="0"/>
    <n v="3.4"/>
    <s v="Hot"/>
    <s v="Token paid, measurement done, work started"/>
  </r>
  <r>
    <s v="LD0586"/>
    <s v="Divya Sawant"/>
    <n v="9729581402"/>
    <x v="2"/>
    <x v="1"/>
    <s v="Justdial Free Listing — Inbound"/>
    <x v="7"/>
    <s v="2024-01-29"/>
    <x v="0"/>
    <x v="0"/>
    <x v="2"/>
    <n v="1"/>
    <n v="10"/>
    <s v="2024-03-29"/>
    <x v="3"/>
    <n v="1039951"/>
    <m/>
    <m/>
    <x v="0"/>
    <n v="32.1"/>
    <s v="Cold"/>
    <s v="Not responding to calls"/>
  </r>
  <r>
    <s v="LD0587"/>
    <s v="Prashant Raut"/>
    <n v="9644451715"/>
    <x v="2"/>
    <x v="3"/>
    <s v="MagicBricks Property Enquiry — Inbound"/>
    <x v="7"/>
    <s v="2024-01-29"/>
    <x v="0"/>
    <x v="0"/>
    <x v="2"/>
    <n v="1"/>
    <n v="12"/>
    <s v="2024-02-29"/>
    <x v="0"/>
    <n v="1305816"/>
    <m/>
    <m/>
    <x v="2"/>
    <n v="6.5"/>
    <s v="Cold"/>
    <s v="No response, marked as lost after 60 days"/>
  </r>
  <r>
    <s v="LD0588"/>
    <s v="Nanda Kadam"/>
    <m/>
    <x v="2"/>
    <x v="8"/>
    <s v="Instagram Wardrobe Showcase"/>
    <x v="3"/>
    <s v="2024-01-29"/>
    <x v="0"/>
    <x v="0"/>
    <x v="2"/>
    <n v="1"/>
    <n v="4"/>
    <s v="2024-02-23"/>
    <x v="0"/>
    <n v="200007"/>
    <m/>
    <m/>
    <x v="0"/>
    <n v="8.8000000000000007"/>
    <s v="Cold"/>
    <s v="Instagram story enquiry, no contact details given"/>
  </r>
  <r>
    <s v="LD0589"/>
    <s v="Divya Gaikwad"/>
    <n v="9131182529"/>
    <x v="0"/>
    <x v="4"/>
    <s v="99acres Flat Owner Enquiry — Inbound"/>
    <x v="1"/>
    <s v="2024-01-29"/>
    <x v="0"/>
    <x v="0"/>
    <x v="2"/>
    <n v="1"/>
    <n v="9"/>
    <s v="2024-04-01"/>
    <x v="4"/>
    <n v="75749"/>
    <n v="74619"/>
    <s v="2024-04-16"/>
    <x v="1"/>
    <n v="43.6"/>
    <s v="Hot"/>
    <s v="Customer very satisfied, 5 star review given"/>
  </r>
  <r>
    <s v="LD0590"/>
    <s v="Lata Jadhav"/>
    <n v="9813496434"/>
    <x v="3"/>
    <x v="5"/>
    <s v="Site Visit Walk-in"/>
    <x v="10"/>
    <s v="2024-01-29"/>
    <x v="0"/>
    <x v="0"/>
    <x v="2"/>
    <n v="1"/>
    <n v="11"/>
    <s v="2024-03-18"/>
    <x v="1"/>
    <n v="379119"/>
    <m/>
    <m/>
    <x v="2"/>
    <n v="34.299999999999997"/>
    <s v="Hot"/>
    <m/>
  </r>
  <r>
    <s v="LD0591"/>
    <s v="Ashwini Phule"/>
    <n v="9984039248"/>
    <x v="1"/>
    <x v="5"/>
    <s v="Showroom Walk-in"/>
    <x v="7"/>
    <s v="2024-01-30"/>
    <x v="0"/>
    <x v="0"/>
    <x v="2"/>
    <n v="1"/>
    <n v="4"/>
    <s v="2024-02-29"/>
    <x v="1"/>
    <n v="932987"/>
    <m/>
    <m/>
    <x v="0"/>
    <n v="3.1"/>
    <s v="Warm"/>
    <s v="Follow up after Diwali"/>
  </r>
  <r>
    <s v="LD0592"/>
    <s v="Bharati Suryawanshi"/>
    <n v="9660834469"/>
    <x v="2"/>
    <x v="5"/>
    <s v="Site Visit Walk-in"/>
    <x v="8"/>
    <s v="2024-01-30"/>
    <x v="0"/>
    <x v="0"/>
    <x v="2"/>
    <n v="1"/>
    <n v="4"/>
    <s v="2024-02-26"/>
    <x v="1"/>
    <n v="979202"/>
    <m/>
    <m/>
    <x v="1"/>
    <n v="11.2"/>
    <s v="Hot"/>
    <s v="Very interested, finalising design"/>
  </r>
  <r>
    <s v="LD0593"/>
    <s v="Rajesh Nikalje"/>
    <n v="9646936159"/>
    <x v="2"/>
    <x v="2"/>
    <s v="Neighbour Referral"/>
    <x v="7"/>
    <s v="2024-01-30"/>
    <x v="0"/>
    <x v="0"/>
    <x v="2"/>
    <n v="1"/>
    <n v="11"/>
    <s v="2024-04-11"/>
    <x v="1"/>
    <n v="752800"/>
    <m/>
    <m/>
    <x v="0"/>
    <n v="7.3"/>
    <s v="Warm"/>
    <s v="Follow up after Akshaya Tritiya"/>
  </r>
  <r>
    <s v="LD0594"/>
    <s v="Pramod Phule"/>
    <n v="9905236512"/>
    <x v="0"/>
    <x v="8"/>
    <s v="Instagram Kitchen Reels"/>
    <x v="3"/>
    <s v="2024-01-30"/>
    <x v="0"/>
    <x v="0"/>
    <x v="2"/>
    <n v="1"/>
    <n v="0"/>
    <s v="2024-02-09"/>
    <x v="3"/>
    <n v="176666"/>
    <m/>
    <m/>
    <x v="2"/>
    <n v="20.7"/>
    <s v="Warm"/>
    <s v="Wants more design options before deciding"/>
  </r>
  <r>
    <s v="LD0595"/>
    <s v="Santosh Jadhav"/>
    <n v="9907292889"/>
    <x v="3"/>
    <x v="6"/>
    <s v="Facebook Gudi Padwa Offer"/>
    <x v="2"/>
    <s v="2024-01-30"/>
    <x v="0"/>
    <x v="0"/>
    <x v="2"/>
    <n v="1"/>
    <n v="9"/>
    <s v="2024-04-03"/>
    <x v="0"/>
    <n v="214407"/>
    <m/>
    <m/>
    <x v="1"/>
    <n v="25.1"/>
    <s v="Warm"/>
    <s v="Customer got work done from relative"/>
  </r>
  <r>
    <s v="LD0596"/>
    <s v="Shweta Phule"/>
    <n v="9394495044"/>
    <x v="4"/>
    <x v="2"/>
    <s v="Architect Referral"/>
    <x v="7"/>
    <s v="2024-01-31"/>
    <x v="0"/>
    <x v="0"/>
    <x v="2"/>
    <n v="1"/>
    <n v="12"/>
    <s v="2024-03-30"/>
    <x v="4"/>
    <n v="797943"/>
    <n v="705553"/>
    <s v="2024-04-10"/>
    <x v="2"/>
    <n v="5"/>
    <s v="Warm"/>
    <m/>
  </r>
  <r>
    <s v="LD0597"/>
    <s v="Madhuri Kadam"/>
    <n v="9387263790"/>
    <x v="0"/>
    <x v="6"/>
    <s v="Facebook Gudi Padwa Offer"/>
    <x v="3"/>
    <s v="2024-01-31"/>
    <x v="0"/>
    <x v="0"/>
    <x v="2"/>
    <n v="1"/>
    <n v="4"/>
    <s v="2024-03-04"/>
    <x v="1"/>
    <n v="178231"/>
    <m/>
    <m/>
    <x v="1"/>
    <n v="18.2"/>
    <s v="Hot"/>
    <s v="Measurement done, quote pending approval"/>
  </r>
  <r>
    <s v="LD0598"/>
    <s v="Manoj Deshpande"/>
    <n v="9388782987"/>
    <x v="2"/>
    <x v="7"/>
    <s v="SEO Organic"/>
    <x v="1"/>
    <s v="2024-01-31"/>
    <x v="0"/>
    <x v="0"/>
    <x v="2"/>
    <n v="1"/>
    <n v="3"/>
    <s v="2024-02-19"/>
    <x v="0"/>
    <n v="172657"/>
    <m/>
    <m/>
    <x v="1"/>
    <n v="33.1"/>
    <s v="Cold"/>
    <s v="Customer got work done from relative"/>
  </r>
  <r>
    <s v="LD0599"/>
    <s v="Manoj Chavan"/>
    <n v="9555571081"/>
    <x v="2"/>
    <x v="6"/>
    <s v="Facebook Home Decor Ads"/>
    <x v="8"/>
    <s v="2024-02-01"/>
    <x v="1"/>
    <x v="1"/>
    <x v="2"/>
    <n v="1"/>
    <n v="10"/>
    <s v="2024-03-06"/>
    <x v="1"/>
    <n v="677056"/>
    <m/>
    <m/>
    <x v="3"/>
    <n v="15.8"/>
    <s v="Hot"/>
    <s v="Measurement done, quote pending approval"/>
  </r>
  <r>
    <s v="LD0600"/>
    <s v="Madhuri Thorat"/>
    <n v="9827827896"/>
    <x v="4"/>
    <x v="5"/>
    <s v="Exhibition Walk-in"/>
    <x v="12"/>
    <s v="2024-02-01"/>
    <x v="1"/>
    <x v="1"/>
    <x v="2"/>
    <n v="1"/>
    <n v="4"/>
    <s v="2024-02-28"/>
    <x v="1"/>
    <n v="998575"/>
    <m/>
    <m/>
    <x v="0"/>
    <n v="25.2"/>
    <s v="Warm"/>
    <s v="Call back after 1 month"/>
  </r>
  <r>
    <s v="LD0601"/>
    <s v="Bharati Salve"/>
    <n v="9505851578"/>
    <x v="2"/>
    <x v="5"/>
    <s v="Site Visit Walk-in"/>
    <x v="4"/>
    <s v="2024-02-01"/>
    <x v="1"/>
    <x v="1"/>
    <x v="2"/>
    <n v="1"/>
    <n v="9"/>
    <s v="2024-03-23"/>
    <x v="0"/>
    <n v="157266"/>
    <m/>
    <m/>
    <x v="1"/>
    <n v="46.7"/>
    <s v="Cold"/>
    <s v="Project cancelled by customer"/>
  </r>
  <r>
    <s v="LD0602"/>
    <s v="Ashwini Nimbalkar"/>
    <n v="9989331508"/>
    <x v="4"/>
    <x v="1"/>
    <s v="Justdial Free Listing — Inbound"/>
    <x v="4"/>
    <s v="2024-02-01"/>
    <x v="1"/>
    <x v="1"/>
    <x v="2"/>
    <n v="1"/>
    <n v="5"/>
    <s v="2024-03-01"/>
    <x v="0"/>
    <n v="167440"/>
    <m/>
    <m/>
    <x v="2"/>
    <n v="15.5"/>
    <s v="Cold"/>
    <s v="Project cancelled by customer"/>
  </r>
  <r>
    <s v="LD0603"/>
    <s v="Kavita Salve"/>
    <n v="9817976597"/>
    <x v="0"/>
    <x v="1"/>
    <s v="Justdial Free Listing — Inbound"/>
    <x v="8"/>
    <s v="2024-02-02"/>
    <x v="1"/>
    <x v="1"/>
    <x v="2"/>
    <n v="1"/>
    <n v="8"/>
    <s v="2024-02-28"/>
    <x v="3"/>
    <n v="910658"/>
    <m/>
    <m/>
    <x v="1"/>
    <n v="20.7"/>
    <s v="Cold"/>
    <s v="Price too high as per customer"/>
  </r>
  <r>
    <s v="LD0604"/>
    <s v="Mahesh Pawar"/>
    <n v="9661511992"/>
    <x v="0"/>
    <x v="2"/>
    <s v="Client Referral"/>
    <x v="10"/>
    <s v="2024-02-02"/>
    <x v="1"/>
    <x v="1"/>
    <x v="2"/>
    <n v="1"/>
    <n v="1"/>
    <s v="2024-02-20"/>
    <x v="2"/>
    <n v="255154"/>
    <m/>
    <m/>
    <x v="0"/>
    <n v="40.799999999999997"/>
    <s v="Cold"/>
    <s v="Not responding to calls"/>
  </r>
  <r>
    <s v="LD0605"/>
    <s v="Deepak Patil"/>
    <n v="9570432459"/>
    <x v="2"/>
    <x v="8"/>
    <s v="Instagram Wardrobe Showcase"/>
    <x v="9"/>
    <s v="2024-02-02"/>
    <x v="1"/>
    <x v="1"/>
    <x v="2"/>
    <n v="1"/>
    <n v="0"/>
    <s v="2024-02-08"/>
    <x v="1"/>
    <n v="392361"/>
    <m/>
    <m/>
    <x v="0"/>
    <n v="18.600000000000001"/>
    <s v="Warm"/>
    <s v="Wants more design options before deciding"/>
  </r>
  <r>
    <s v="LD0606"/>
    <s v="Sunita Kshirsagar"/>
    <n v="9673561540"/>
    <x v="2"/>
    <x v="8"/>
    <s v="Instagram Wardrobe Showcase"/>
    <x v="9"/>
    <s v="2024-02-02"/>
    <x v="1"/>
    <x v="1"/>
    <x v="2"/>
    <n v="1"/>
    <n v="1"/>
    <s v="2024-02-19"/>
    <x v="3"/>
    <n v="375527"/>
    <m/>
    <m/>
    <x v="0"/>
    <n v="13.2"/>
    <s v="Warm"/>
    <s v="Follow up after Dussehra"/>
  </r>
  <r>
    <s v="LD0607"/>
    <s v="Sunita Kakade"/>
    <n v="9974413971"/>
    <x v="4"/>
    <x v="4"/>
    <s v="99acres Flat Owner Enquiry — Inbound"/>
    <x v="3"/>
    <s v="2024-02-03"/>
    <x v="1"/>
    <x v="1"/>
    <x v="2"/>
    <n v="1"/>
    <n v="9"/>
    <s v="2024-03-05"/>
    <x v="4"/>
    <n v="194404"/>
    <n v="178701"/>
    <s v="2024-03-21"/>
    <x v="0"/>
    <n v="8.3000000000000007"/>
    <s v="Hot"/>
    <s v="Full payment cleared, delivery done"/>
  </r>
  <r>
    <s v="LD0608"/>
    <s v="Meena Patil"/>
    <n v="9354418108"/>
    <x v="2"/>
    <x v="8"/>
    <s v="Instagram Diwali Campaign"/>
    <x v="4"/>
    <s v="2024-02-03"/>
    <x v="1"/>
    <x v="1"/>
    <x v="2"/>
    <n v="1"/>
    <m/>
    <s v="2024-02-17"/>
    <x v="3"/>
    <n v="149334"/>
    <m/>
    <m/>
    <x v="0"/>
    <n v="12.4"/>
    <s v="Warm"/>
    <s v="Interested but waiting for loan approval"/>
  </r>
  <r>
    <s v="LD0609"/>
    <s v="Nikhil Bansode"/>
    <n v="9920975401"/>
    <x v="3"/>
    <x v="5"/>
    <s v="Site Visit Walk-in"/>
    <x v="11"/>
    <s v="2024-02-03"/>
    <x v="1"/>
    <x v="1"/>
    <x v="2"/>
    <n v="1"/>
    <n v="2"/>
    <s v="2024-02-14"/>
    <x v="1"/>
    <n v="310429"/>
    <m/>
    <m/>
    <x v="1"/>
    <n v="3.8"/>
    <s v="Cold"/>
    <s v="Duplicate enquiry"/>
  </r>
  <r>
    <s v="LD0610"/>
    <s v="Ganesh Bhalerao"/>
    <n v="9225941338"/>
    <x v="4"/>
    <x v="5"/>
    <s v="Showroom Walk-in"/>
    <x v="5"/>
    <s v="2024-02-03"/>
    <x v="1"/>
    <x v="1"/>
    <x v="2"/>
    <n v="1"/>
    <n v="2"/>
    <s v="2024-02-19"/>
    <x v="3"/>
    <n v="80411"/>
    <m/>
    <m/>
    <x v="2"/>
    <n v="8.1"/>
    <s v="Cold"/>
    <m/>
  </r>
  <r>
    <s v="LD0611"/>
    <s v="Dinesh Deshpande"/>
    <n v="9364326419"/>
    <x v="0"/>
    <x v="2"/>
    <s v="Architect Referral"/>
    <x v="0"/>
    <s v="2024-02-05"/>
    <x v="1"/>
    <x v="1"/>
    <x v="2"/>
    <n v="1"/>
    <n v="6"/>
    <s v="2024-02-21"/>
    <x v="1"/>
    <n v="504731"/>
    <m/>
    <m/>
    <x v="3"/>
    <n v="39.799999999999997"/>
    <s v="Cold"/>
    <s v="Budget too low for our range"/>
  </r>
  <r>
    <s v="LD0612"/>
    <s v="Ritu Raut"/>
    <m/>
    <x v="0"/>
    <x v="3"/>
    <s v="MagicBricks Enquiry — Inbound"/>
    <x v="9"/>
    <s v="2024-02-05"/>
    <x v="1"/>
    <x v="1"/>
    <x v="2"/>
    <n v="1"/>
    <n v="12"/>
    <s v="2024-04-04"/>
    <x v="2"/>
    <n v="375898"/>
    <m/>
    <m/>
    <x v="2"/>
    <n v="4.9000000000000004"/>
    <s v="Cold"/>
    <s v="MagicBricks form submitted, customer unreachable"/>
  </r>
  <r>
    <s v="LD0613"/>
    <s v="Kavita Shelke"/>
    <n v="9941880862"/>
    <x v="4"/>
    <x v="2"/>
    <s v="Client Referral"/>
    <x v="5"/>
    <s v="2024-02-05"/>
    <x v="1"/>
    <x v="1"/>
    <x v="2"/>
    <n v="1"/>
    <n v="2"/>
    <s v="2024-02-23"/>
    <x v="4"/>
    <n v="219230"/>
    <n v="194165"/>
    <s v="2024-03-10"/>
    <x v="1"/>
    <n v="24.4"/>
    <s v="Warm"/>
    <s v="Deal done, site work ongoing"/>
  </r>
  <r>
    <s v="LD0614"/>
    <s v="Rohit Bhalerao"/>
    <n v="9199698872"/>
    <x v="2"/>
    <x v="2"/>
    <s v="Neighbour Referral"/>
    <x v="0"/>
    <s v="2024-02-05"/>
    <x v="1"/>
    <x v="1"/>
    <x v="2"/>
    <n v="1"/>
    <n v="3"/>
    <s v="2024-02-24"/>
    <x v="3"/>
    <n v="795314"/>
    <m/>
    <m/>
    <x v="0"/>
    <n v="21.6"/>
    <s v="Hot"/>
    <s v="Ready to proceed, discussing payment terms"/>
  </r>
  <r>
    <s v="LD0615"/>
    <s v="Pravin Shinde"/>
    <n v="9919686587"/>
    <x v="0"/>
    <x v="8"/>
    <s v="Instagram Diwali Campaign"/>
    <x v="1"/>
    <s v="2024-02-05"/>
    <x v="1"/>
    <x v="1"/>
    <x v="2"/>
    <n v="1"/>
    <n v="12"/>
    <s v="2024-04-01"/>
    <x v="1"/>
    <n v="112076"/>
    <m/>
    <m/>
    <x v="1"/>
    <n v="41.8"/>
    <s v="Warm"/>
    <s v="Follow up after Gudi Padwa"/>
  </r>
  <r>
    <s v="LD0616"/>
    <s v="Nanda Gaikwad"/>
    <n v="9710133596"/>
    <x v="1"/>
    <x v="2"/>
    <s v="Client Referral"/>
    <x v="10"/>
    <s v="2024-02-05"/>
    <x v="1"/>
    <x v="1"/>
    <x v="2"/>
    <n v="1"/>
    <n v="5"/>
    <s v="2024-03-14"/>
    <x v="0"/>
    <n v="310192"/>
    <m/>
    <m/>
    <x v="2"/>
    <n v="17.100000000000001"/>
    <s v="Cold"/>
    <s v="Lost - no follow up done in time"/>
  </r>
  <r>
    <s v="LD0617"/>
    <s v="Rohit Bhalerao"/>
    <n v="9596228880"/>
    <x v="2"/>
    <x v="5"/>
    <s v="Showroom Walk-in"/>
    <x v="9"/>
    <s v="2024-02-05"/>
    <x v="1"/>
    <x v="1"/>
    <x v="2"/>
    <n v="1"/>
    <n v="11"/>
    <s v="2024-04-10"/>
    <x v="1"/>
    <n v="214400"/>
    <m/>
    <m/>
    <x v="3"/>
    <n v="11.6"/>
    <s v="Hot"/>
    <s v="Design presentation done, waiting for confirmation"/>
  </r>
  <r>
    <s v="LD0618"/>
    <s v="Kiran Gavhane"/>
    <n v="9926680147"/>
    <x v="3"/>
    <x v="4"/>
    <s v="99acres Flat Owner Enquiry — Inbound"/>
    <x v="8"/>
    <s v="2024-02-05"/>
    <x v="1"/>
    <x v="1"/>
    <x v="2"/>
    <n v="1"/>
    <n v="8"/>
    <s v="2024-03-27"/>
    <x v="0"/>
    <n v="662255"/>
    <m/>
    <m/>
    <x v="1"/>
    <n v="26.7"/>
    <s v="Cold"/>
    <s v="Went with local vendor"/>
  </r>
  <r>
    <s v="LD0619"/>
    <s v="Pravin Shinde"/>
    <n v="9594718999"/>
    <x v="2"/>
    <x v="7"/>
    <s v="Google Ads"/>
    <x v="2"/>
    <s v="2024-02-05"/>
    <x v="1"/>
    <x v="1"/>
    <x v="2"/>
    <n v="1"/>
    <n v="11"/>
    <s v="2024-04-17"/>
    <x v="2"/>
    <n v="256805"/>
    <m/>
    <m/>
    <x v="1"/>
    <n v="29.4"/>
    <s v="Cold"/>
    <s v="Not responding to calls"/>
  </r>
  <r>
    <s v="LD0620"/>
    <s v="Vikas Pawar"/>
    <n v="9191279339"/>
    <x v="0"/>
    <x v="8"/>
    <s v="Instagram Diwali Campaign"/>
    <x v="0"/>
    <s v="2024-02-06"/>
    <x v="1"/>
    <x v="1"/>
    <x v="2"/>
    <n v="1"/>
    <n v="7"/>
    <s v="2024-03-27"/>
    <x v="1"/>
    <n v="750432"/>
    <m/>
    <m/>
    <x v="3"/>
    <n v="9.5"/>
    <s v="Warm"/>
    <s v="Follow up after Gudi Padwa"/>
  </r>
  <r>
    <s v="LD0621"/>
    <s v="Sanjay Sawant"/>
    <n v="9837616532"/>
    <x v="0"/>
    <x v="6"/>
    <s v="Facebook Diwali Offer"/>
    <x v="0"/>
    <s v="2024-02-06"/>
    <x v="1"/>
    <x v="1"/>
    <x v="2"/>
    <n v="1"/>
    <n v="1"/>
    <s v="2024-02-24"/>
    <x v="3"/>
    <n v="583134"/>
    <m/>
    <m/>
    <x v="1"/>
    <n v="36.700000000000003"/>
    <s v="Hot"/>
    <s v="Final quote shared, awaiting approval"/>
  </r>
  <r>
    <s v="LD0622"/>
    <s v="Nikhil Gavhane"/>
    <n v="9394165554"/>
    <x v="0"/>
    <x v="8"/>
    <s v="Instagram Story Ads"/>
    <x v="11"/>
    <s v="2024-02-07"/>
    <x v="1"/>
    <x v="1"/>
    <x v="2"/>
    <n v="1"/>
    <n v="11"/>
    <s v="2024-03-18"/>
    <x v="0"/>
    <n v="372060"/>
    <m/>
    <m/>
    <x v="0"/>
    <n v="16.3"/>
    <s v="Cold"/>
    <s v="No response, marked as lost after 60 days"/>
  </r>
  <r>
    <s v="LD0623"/>
    <s v="Alka Suryawanshi"/>
    <n v="9984761546"/>
    <x v="0"/>
    <x v="1"/>
    <s v="Justdial Free Listing — Inbound"/>
    <x v="1"/>
    <s v="2024-02-08"/>
    <x v="1"/>
    <x v="1"/>
    <x v="2"/>
    <n v="1"/>
    <n v="9"/>
    <s v="2024-04-01"/>
    <x v="0"/>
    <n v="229813"/>
    <m/>
    <m/>
    <x v="1"/>
    <n v="36.799999999999997"/>
    <s v="Cold"/>
    <m/>
  </r>
  <r>
    <s v="LD0624"/>
    <s v="Kavita Mohite"/>
    <n v="9712149161"/>
    <x v="4"/>
    <x v="1"/>
    <s v="Justdial Free Listing — Inbound"/>
    <x v="10"/>
    <s v="2024-02-08"/>
    <x v="1"/>
    <x v="1"/>
    <x v="2"/>
    <n v="1"/>
    <n v="10"/>
    <s v="2024-04-15"/>
    <x v="4"/>
    <n v="481242"/>
    <n v="424871"/>
    <s v="2024-04-29"/>
    <x v="0"/>
    <n v="8.9"/>
    <s v="Hot"/>
    <s v="Token paid, measurement done, work started"/>
  </r>
  <r>
    <s v="LD0625"/>
    <s v="Anita Patil"/>
    <n v="9611773745"/>
    <x v="4"/>
    <x v="6"/>
    <s v="Facebook Home Decor Ads"/>
    <x v="5"/>
    <s v="2024-02-08"/>
    <x v="1"/>
    <x v="1"/>
    <x v="2"/>
    <n v="1"/>
    <n v="8"/>
    <s v="2024-03-23"/>
    <x v="0"/>
    <n v="232443"/>
    <m/>
    <m/>
    <x v="1"/>
    <n v="47.8"/>
    <s v="Warm"/>
    <s v="Customer got work done from relative"/>
  </r>
  <r>
    <s v="LD0626"/>
    <s v="Sunita Kakade"/>
    <n v="9331893977"/>
    <x v="0"/>
    <x v="0"/>
    <s v="Friend Reference"/>
    <x v="0"/>
    <s v="2024-02-08"/>
    <x v="1"/>
    <x v="1"/>
    <x v="2"/>
    <n v="1"/>
    <n v="3"/>
    <s v="2024-02-22"/>
    <x v="0"/>
    <n v="789031"/>
    <m/>
    <m/>
    <x v="0"/>
    <n v="33.700000000000003"/>
    <s v="Cold"/>
    <s v="Lost - no follow up done in time"/>
  </r>
  <r>
    <s v="LD0627"/>
    <s v="Deepak Tupe"/>
    <n v="9538932531"/>
    <x v="0"/>
    <x v="6"/>
    <s v="Facebook Diwali Offer"/>
    <x v="5"/>
    <s v="2024-02-09"/>
    <x v="1"/>
    <x v="1"/>
    <x v="2"/>
    <n v="1"/>
    <n v="9"/>
    <s v="2024-03-26"/>
    <x v="4"/>
    <n v="194069"/>
    <n v="195607"/>
    <s v="2024-04-10"/>
    <x v="1"/>
    <n v="22.1"/>
    <s v="Hot"/>
    <m/>
  </r>
  <r>
    <s v="LD0628"/>
    <s v="Ganesh Aware"/>
    <n v="9754620914"/>
    <x v="0"/>
    <x v="2"/>
    <s v="Neighbour Referral"/>
    <x v="2"/>
    <s v="2024-02-10"/>
    <x v="1"/>
    <x v="1"/>
    <x v="2"/>
    <n v="1"/>
    <n v="7"/>
    <s v="2024-03-01"/>
    <x v="1"/>
    <n v="316877"/>
    <m/>
    <m/>
    <x v="1"/>
    <n v="4.9000000000000004"/>
    <s v="Warm"/>
    <s v="Follow up after Gudi Padwa"/>
  </r>
  <r>
    <s v="LD0629"/>
    <s v="Archana Yadav"/>
    <n v="9282257190"/>
    <x v="2"/>
    <x v="5"/>
    <s v="Exhibition Walk-in"/>
    <x v="10"/>
    <s v="2024-02-12"/>
    <x v="1"/>
    <x v="1"/>
    <x v="2"/>
    <n v="1"/>
    <n v="6"/>
    <s v="2024-02-27"/>
    <x v="4"/>
    <n v="350690"/>
    <n v="358800"/>
    <s v="2024-03-17"/>
    <x v="0"/>
    <n v="35.5"/>
    <s v="Hot"/>
    <s v="Customer happy with sample, deal closed"/>
  </r>
  <r>
    <s v="LD0630"/>
    <s v="Divya Kulkarni"/>
    <n v="9376279955"/>
    <x v="3"/>
    <x v="7"/>
    <s v="Website Chat Enquiry"/>
    <x v="4"/>
    <s v="2024-02-12"/>
    <x v="1"/>
    <x v="1"/>
    <x v="2"/>
    <n v="1"/>
    <n v="2"/>
    <s v="2024-02-22"/>
    <x v="0"/>
    <n v="253234"/>
    <m/>
    <m/>
    <x v="1"/>
    <n v="21.7"/>
    <s v="Cold"/>
    <s v="Budget mismatch - too low"/>
  </r>
  <r>
    <s v="LD0631"/>
    <s v="Nikhil Gavhane"/>
    <n v="9673672094"/>
    <x v="0"/>
    <x v="8"/>
    <s v="Instagram Wardrobe Showcase"/>
    <x v="11"/>
    <s v="2024-02-12"/>
    <x v="1"/>
    <x v="1"/>
    <x v="2"/>
    <n v="1"/>
    <n v="2"/>
    <s v="2024-03-05"/>
    <x v="4"/>
    <n v="202240"/>
    <n v="179326"/>
    <s v="2024-03-17"/>
    <x v="2"/>
    <n v="14.5"/>
    <s v="Hot"/>
    <s v="Work order signed, production started"/>
  </r>
  <r>
    <s v="LD0632"/>
    <s v="Ganesh Kulkarni"/>
    <m/>
    <x v="0"/>
    <x v="8"/>
    <s v="Instagram Kitchen Reels"/>
    <x v="10"/>
    <s v="2024-02-12"/>
    <x v="1"/>
    <x v="1"/>
    <x v="2"/>
    <n v="1"/>
    <n v="0"/>
    <s v="2024-02-22"/>
    <x v="0"/>
    <n v="301971"/>
    <m/>
    <m/>
    <x v="1"/>
    <n v="29.5"/>
    <s v="Warm"/>
    <s v="Customer messaged on Instagram, did not share contact"/>
  </r>
  <r>
    <s v="LD0633"/>
    <s v="Divya Chavan"/>
    <n v="9966781918"/>
    <x v="2"/>
    <x v="1"/>
    <s v="Justdial Free Listing — Inbound"/>
    <x v="9"/>
    <s v="2024-02-12"/>
    <x v="1"/>
    <x v="1"/>
    <x v="2"/>
    <n v="1"/>
    <n v="11"/>
    <s v="2024-04-08"/>
    <x v="0"/>
    <n v="270243"/>
    <m/>
    <m/>
    <x v="2"/>
    <n v="5.5"/>
    <s v="Cold"/>
    <s v="Customer got work done from relative"/>
  </r>
  <r>
    <s v="LD0634"/>
    <s v="Rajesh Bhalerao"/>
    <n v="9711397169"/>
    <x v="4"/>
    <x v="1"/>
    <s v="Justdial Free Listing — Inbound"/>
    <x v="9"/>
    <s v="2024-02-13"/>
    <x v="1"/>
    <x v="1"/>
    <x v="2"/>
    <n v="1"/>
    <n v="10"/>
    <s v="2024-03-16"/>
    <x v="0"/>
    <n v="279015"/>
    <m/>
    <m/>
    <x v="0"/>
    <n v="37.6"/>
    <s v="Cold"/>
    <s v="Project cancelled by customer"/>
  </r>
  <r>
    <s v="LD0635"/>
    <s v="Santosh Mane"/>
    <n v="9281412406"/>
    <x v="0"/>
    <x v="8"/>
    <s v="Instagram Kitchen Reels"/>
    <x v="13"/>
    <s v="2024-02-13"/>
    <x v="1"/>
    <x v="1"/>
    <x v="2"/>
    <n v="1"/>
    <n v="2"/>
    <s v="2024-02-26"/>
    <x v="0"/>
    <n v="1615253"/>
    <m/>
    <m/>
    <x v="1"/>
    <n v="38"/>
    <s v="Cold"/>
    <s v="Lost to branded competitor"/>
  </r>
  <r>
    <s v="LD0636"/>
    <s v="Hemant Wagh"/>
    <n v="9872146119"/>
    <x v="0"/>
    <x v="2"/>
    <s v="Contractor Referral"/>
    <x v="0"/>
    <s v="2024-02-13"/>
    <x v="1"/>
    <x v="1"/>
    <x v="2"/>
    <n v="1"/>
    <n v="11"/>
    <s v="2024-03-30"/>
    <x v="1"/>
    <n v="745224"/>
    <m/>
    <m/>
    <x v="2"/>
    <n v="37.9"/>
    <s v="Cold"/>
    <s v="Budget too low for our range"/>
  </r>
  <r>
    <s v="LD0637"/>
    <s v="Rajesh Gaikwad"/>
    <n v="9290437112"/>
    <x v="3"/>
    <x v="8"/>
    <s v="Instagram Before-After Posts"/>
    <x v="5"/>
    <s v="2024-02-14"/>
    <x v="1"/>
    <x v="1"/>
    <x v="2"/>
    <n v="1"/>
    <n v="11"/>
    <s v="2024-04-19"/>
    <x v="2"/>
    <n v="184526"/>
    <m/>
    <m/>
    <x v="1"/>
    <n v="23.2"/>
    <s v="Cold"/>
    <m/>
  </r>
  <r>
    <s v="LD0638"/>
    <s v="Rajesh Sonawane"/>
    <n v="9240284211"/>
    <x v="0"/>
    <x v="2"/>
    <s v="Client Referral"/>
    <x v="2"/>
    <s v="2024-02-16"/>
    <x v="1"/>
    <x v="1"/>
    <x v="2"/>
    <n v="1"/>
    <n v="10"/>
    <s v="2024-03-15"/>
    <x v="1"/>
    <n v="330307"/>
    <m/>
    <m/>
    <x v="1"/>
    <n v="2.9"/>
    <s v="Warm"/>
    <s v="Follow up after Gudi Padwa"/>
  </r>
  <r>
    <s v="LD0639"/>
    <s v="Vijay Kadam"/>
    <n v="9590650359"/>
    <x v="2"/>
    <x v="8"/>
    <s v="Instagram Story Ads"/>
    <x v="8"/>
    <s v="2024-02-16"/>
    <x v="1"/>
    <x v="1"/>
    <x v="2"/>
    <n v="1"/>
    <n v="7"/>
    <s v="2024-03-20"/>
    <x v="1"/>
    <n v="817760"/>
    <m/>
    <m/>
    <x v="0"/>
    <n v="38.6"/>
    <s v="Cold"/>
    <s v="Customer relocated"/>
  </r>
  <r>
    <s v="LD0640"/>
    <s v="Hemant Sonawane"/>
    <n v="9203506874"/>
    <x v="4"/>
    <x v="6"/>
    <s v="Facebook Gudi Padwa Offer"/>
    <x v="7"/>
    <s v="2024-02-16"/>
    <x v="1"/>
    <x v="1"/>
    <x v="2"/>
    <n v="1"/>
    <n v="2"/>
    <s v="2024-03-04"/>
    <x v="4"/>
    <n v="1375018"/>
    <n v="1383492"/>
    <s v="2024-03-23"/>
    <x v="1"/>
    <n v="23.1"/>
    <s v="Hot"/>
    <s v="Customer happy with sample, deal closed"/>
  </r>
  <r>
    <s v="LD0641"/>
    <s v="Jyoti Joshi"/>
    <n v="9926722781"/>
    <x v="0"/>
    <x v="8"/>
    <s v="Instagram Before-After Posts"/>
    <x v="5"/>
    <s v="2024-02-16"/>
    <x v="1"/>
    <x v="1"/>
    <x v="2"/>
    <n v="1"/>
    <n v="11"/>
    <s v="2024-04-08"/>
    <x v="0"/>
    <n v="153682"/>
    <m/>
    <m/>
    <x v="1"/>
    <n v="18"/>
    <s v="Cold"/>
    <m/>
  </r>
  <r>
    <s v="LD0642"/>
    <s v="Hemant Shelke"/>
    <n v="9462124359"/>
    <x v="1"/>
    <x v="2"/>
    <s v="Neighbour Referral"/>
    <x v="3"/>
    <s v="2024-02-16"/>
    <x v="1"/>
    <x v="1"/>
    <x v="2"/>
    <n v="1"/>
    <n v="10"/>
    <s v="2024-04-29"/>
    <x v="0"/>
    <n v="210502"/>
    <m/>
    <m/>
    <x v="1"/>
    <n v="6.5"/>
    <s v="Cold"/>
    <s v="Customer got work done from relative"/>
  </r>
  <r>
    <s v="LD0643"/>
    <s v="Kiran Bhalerao"/>
    <n v="9672472174"/>
    <x v="3"/>
    <x v="4"/>
    <s v="99acres New Project Enquiry — Inbound"/>
    <x v="1"/>
    <s v="2024-02-17"/>
    <x v="1"/>
    <x v="1"/>
    <x v="2"/>
    <n v="1"/>
    <n v="12"/>
    <s v="2024-03-25"/>
    <x v="4"/>
    <n v="336657"/>
    <n v="320308"/>
    <s v="2024-04-14"/>
    <x v="0"/>
    <n v="17.600000000000001"/>
    <s v="Hot"/>
    <m/>
  </r>
  <r>
    <s v="LD0644"/>
    <s v="Ashwini Phule"/>
    <n v="9449697588"/>
    <x v="4"/>
    <x v="2"/>
    <s v="Neighbour Referral"/>
    <x v="4"/>
    <s v="2024-02-17"/>
    <x v="1"/>
    <x v="1"/>
    <x v="2"/>
    <n v="1"/>
    <n v="12"/>
    <s v="2024-04-08"/>
    <x v="4"/>
    <n v="117562"/>
    <n v="109262"/>
    <s v="2024-04-15"/>
    <x v="0"/>
    <n v="16.2"/>
    <s v="Hot"/>
    <s v="Customer happy with sample, deal closed"/>
  </r>
  <r>
    <s v="LD0645"/>
    <s v="Kavita Gaikwad"/>
    <n v="9198938348"/>
    <x v="1"/>
    <x v="2"/>
    <s v="Neighbour Referral"/>
    <x v="0"/>
    <s v="2024-02-17"/>
    <x v="1"/>
    <x v="1"/>
    <x v="2"/>
    <n v="1"/>
    <n v="10"/>
    <s v="2024-03-14"/>
    <x v="2"/>
    <n v="314991"/>
    <m/>
    <m/>
    <x v="0"/>
    <n v="14.3"/>
    <s v="Cold"/>
    <m/>
  </r>
  <r>
    <s v="LD0646"/>
    <s v="Sunil Deshmukh"/>
    <n v="9713262627"/>
    <x v="3"/>
    <x v="6"/>
    <s v="Facebook Diwali Offer"/>
    <x v="2"/>
    <s v="2024-02-17"/>
    <x v="1"/>
    <x v="1"/>
    <x v="2"/>
    <n v="1"/>
    <n v="1"/>
    <s v="2024-03-04"/>
    <x v="1"/>
    <n v="499917"/>
    <m/>
    <m/>
    <x v="0"/>
    <n v="42.9"/>
    <s v="Cold"/>
    <s v="No response after 4 follow ups"/>
  </r>
  <r>
    <s v="LD0647"/>
    <s v="Pramod Londhe"/>
    <n v="9382992538"/>
    <x v="0"/>
    <x v="5"/>
    <s v="Showroom Walk-in"/>
    <x v="1"/>
    <s v="2024-02-19"/>
    <x v="1"/>
    <x v="1"/>
    <x v="2"/>
    <n v="1"/>
    <n v="11"/>
    <s v="2024-05-03"/>
    <x v="3"/>
    <n v="101357"/>
    <m/>
    <m/>
    <x v="1"/>
    <n v="19.2"/>
    <s v="Cold"/>
    <s v="Wrong number provided"/>
  </r>
  <r>
    <s v="LD0648"/>
    <s v="Anita Kshirsagar"/>
    <n v="9570415484"/>
    <x v="0"/>
    <x v="6"/>
    <s v="Facebook Kitchen Showcase"/>
    <x v="3"/>
    <s v="2024-02-19"/>
    <x v="1"/>
    <x v="1"/>
    <x v="2"/>
    <n v="1"/>
    <n v="2"/>
    <s v="2024-02-28"/>
    <x v="0"/>
    <n v="142667"/>
    <m/>
    <m/>
    <x v="1"/>
    <n v="2.8"/>
    <s v="Warm"/>
    <s v="Customer did not proceed with project"/>
  </r>
  <r>
    <s v="LD0649"/>
    <s v="Kiran Zende"/>
    <n v="9717641820"/>
    <x v="2"/>
    <x v="6"/>
    <s v="Facebook Kitchen Showcase"/>
    <x v="10"/>
    <s v="2024-02-19"/>
    <x v="1"/>
    <x v="1"/>
    <x v="2"/>
    <n v="1"/>
    <n v="10"/>
    <s v="2024-04-01"/>
    <x v="1"/>
    <n v="203485"/>
    <m/>
    <m/>
    <x v="1"/>
    <n v="22.2"/>
    <s v="Hot"/>
    <s v="Very interested, finalising design"/>
  </r>
  <r>
    <s v="LD0650"/>
    <s v="Alka Raut"/>
    <n v="9824418845"/>
    <x v="0"/>
    <x v="5"/>
    <s v="Showroom Walk-in"/>
    <x v="11"/>
    <s v="2024-02-19"/>
    <x v="1"/>
    <x v="1"/>
    <x v="2"/>
    <n v="1"/>
    <n v="10"/>
    <s v="2024-04-08"/>
    <x v="1"/>
    <n v="271522"/>
    <m/>
    <m/>
    <x v="2"/>
    <n v="47.4"/>
    <s v="Cold"/>
    <s v="Project on hold"/>
  </r>
  <r>
    <s v="LD0651"/>
    <s v="Suresh Shinde"/>
    <n v="9257460250"/>
    <x v="4"/>
    <x v="4"/>
    <s v="99acres New Project Enquiry — Inbound"/>
    <x v="2"/>
    <s v="2024-02-19"/>
    <x v="1"/>
    <x v="1"/>
    <x v="2"/>
    <n v="1"/>
    <n v="11"/>
    <s v="2024-05-07"/>
    <x v="0"/>
    <n v="469673"/>
    <m/>
    <m/>
    <x v="1"/>
    <n v="30.5"/>
    <s v="Cold"/>
    <s v="No response, marked as lost after 60 days"/>
  </r>
  <r>
    <s v="LD0652"/>
    <s v="Rohit Thorat"/>
    <n v="9446560674"/>
    <x v="4"/>
    <x v="6"/>
    <s v="Facebook Kitchen Showcase"/>
    <x v="10"/>
    <s v="2024-02-20"/>
    <x v="1"/>
    <x v="1"/>
    <x v="2"/>
    <n v="1"/>
    <n v="5"/>
    <s v="2024-03-28"/>
    <x v="1"/>
    <n v="589326"/>
    <m/>
    <m/>
    <x v="2"/>
    <n v="16.8"/>
    <s v="Warm"/>
    <s v="Interested but waiting for loan approval"/>
  </r>
  <r>
    <s v="LD0653"/>
    <s v="Anita Sawant"/>
    <n v="9867622823"/>
    <x v="2"/>
    <x v="2"/>
    <s v="Client Referral"/>
    <x v="0"/>
    <s v="2024-02-20"/>
    <x v="1"/>
    <x v="1"/>
    <x v="2"/>
    <n v="1"/>
    <n v="8"/>
    <s v="2024-04-08"/>
    <x v="4"/>
    <n v="759674"/>
    <n v="717419"/>
    <s v="2024-04-16"/>
    <x v="0"/>
    <n v="32.700000000000003"/>
    <s v="Hot"/>
    <s v="Customer happy with sample, deal closed"/>
  </r>
  <r>
    <s v="LD0654"/>
    <s v="Alka Pawar"/>
    <n v="9321677524"/>
    <x v="2"/>
    <x v="0"/>
    <s v="Colony Reference"/>
    <x v="5"/>
    <s v="2024-02-21"/>
    <x v="1"/>
    <x v="1"/>
    <x v="2"/>
    <n v="1"/>
    <n v="6"/>
    <s v="2024-03-20"/>
    <x v="0"/>
    <n v="295568"/>
    <m/>
    <m/>
    <x v="1"/>
    <n v="32"/>
    <s v="Cold"/>
    <m/>
  </r>
  <r>
    <s v="LD0655"/>
    <s v="Ashwini Tupe"/>
    <n v="9660223249"/>
    <x v="1"/>
    <x v="7"/>
    <s v="SEO Organic"/>
    <x v="10"/>
    <s v="2024-02-21"/>
    <x v="1"/>
    <x v="1"/>
    <x v="2"/>
    <n v="1"/>
    <n v="4"/>
    <s v="2024-03-02"/>
    <x v="3"/>
    <n v="305428"/>
    <m/>
    <m/>
    <x v="0"/>
    <n v="29.7"/>
    <s v="Cold"/>
    <s v="Not interested anymore"/>
  </r>
  <r>
    <s v="LD0656"/>
    <s v="Ganesh Kadam"/>
    <n v="9997901191"/>
    <x v="2"/>
    <x v="5"/>
    <s v="Showroom Walk-in"/>
    <x v="13"/>
    <s v="2024-02-21"/>
    <x v="1"/>
    <x v="1"/>
    <x v="2"/>
    <n v="1"/>
    <n v="7"/>
    <s v="2024-03-12"/>
    <x v="4"/>
    <n v="1731001"/>
    <n v="1532788"/>
    <s v="2024-03-24"/>
    <x v="1"/>
    <n v="36.4"/>
    <s v="Hot"/>
    <s v="Deal done, site work ongoing"/>
  </r>
  <r>
    <s v="LD0657"/>
    <s v="Sachin Nikalje"/>
    <n v="9374289896"/>
    <x v="0"/>
    <x v="0"/>
    <s v="Friend Reference"/>
    <x v="5"/>
    <s v="2024-02-22"/>
    <x v="1"/>
    <x v="1"/>
    <x v="2"/>
    <n v="1"/>
    <n v="4"/>
    <s v="2024-03-04"/>
    <x v="0"/>
    <n v="113241"/>
    <m/>
    <m/>
    <x v="0"/>
    <n v="36.4"/>
    <s v="Cold"/>
    <s v="Customer chose readymade furniture"/>
  </r>
  <r>
    <s v="LD0658"/>
    <s v="Nanda Pawar"/>
    <n v="9308970522"/>
    <x v="2"/>
    <x v="7"/>
    <s v="Google Ads"/>
    <x v="4"/>
    <s v="2024-02-22"/>
    <x v="1"/>
    <x v="1"/>
    <x v="2"/>
    <n v="1"/>
    <n v="9"/>
    <s v="2024-03-15"/>
    <x v="2"/>
    <n v="294312"/>
    <m/>
    <m/>
    <x v="2"/>
    <n v="37.4"/>
    <s v="Cold"/>
    <s v="Customer relocated"/>
  </r>
  <r>
    <s v="LD0659"/>
    <s v="Seema Shinde"/>
    <n v="9657236343"/>
    <x v="1"/>
    <x v="5"/>
    <s v="Showroom Walk-in"/>
    <x v="4"/>
    <s v="2024-02-22"/>
    <x v="1"/>
    <x v="1"/>
    <x v="2"/>
    <n v="1"/>
    <n v="1"/>
    <s v="2024-03-09"/>
    <x v="4"/>
    <n v="112408"/>
    <n v="109404"/>
    <s v="2024-03-26"/>
    <x v="1"/>
    <n v="21.4"/>
    <s v="Hot"/>
    <s v="Customer happy with sample, deal closed"/>
  </r>
  <r>
    <s v="LD0660"/>
    <s v="Sunanda Jadhav"/>
    <n v="9513284726"/>
    <x v="0"/>
    <x v="1"/>
    <s v="Justdial Free Listing — Inbound"/>
    <x v="6"/>
    <s v="2024-02-23"/>
    <x v="1"/>
    <x v="1"/>
    <x v="2"/>
    <n v="1"/>
    <n v="10"/>
    <s v="2024-04-04"/>
    <x v="4"/>
    <n v="306894"/>
    <n v="307836"/>
    <s v="2024-04-07"/>
    <x v="3"/>
    <n v="27.8"/>
    <s v="Hot"/>
    <s v="Deal closed, advance received"/>
  </r>
  <r>
    <s v="LD0661"/>
    <s v="Ashwini Tupe"/>
    <n v="9917848203"/>
    <x v="0"/>
    <x v="8"/>
    <s v="Instagram Before-After Posts"/>
    <x v="7"/>
    <s v="2024-02-23"/>
    <x v="1"/>
    <x v="1"/>
    <x v="2"/>
    <n v="1"/>
    <n v="2"/>
    <s v="2024-03-14"/>
    <x v="4"/>
    <n v="974364"/>
    <n v="924228"/>
    <s v="2024-03-25"/>
    <x v="1"/>
    <n v="9.9"/>
    <s v="Hot"/>
    <s v="Customer referred 2 more leads after delivery"/>
  </r>
  <r>
    <s v="LD0662"/>
    <s v="Bharati Thorat"/>
    <n v="9538310099"/>
    <x v="0"/>
    <x v="6"/>
    <s v="Facebook Kitchen Showcase"/>
    <x v="3"/>
    <s v="2024-02-24"/>
    <x v="1"/>
    <x v="1"/>
    <x v="2"/>
    <n v="1"/>
    <n v="5"/>
    <s v="2024-04-06"/>
    <x v="0"/>
    <n v="92918"/>
    <m/>
    <m/>
    <x v="0"/>
    <n v="32"/>
    <s v="Cold"/>
    <s v="Lost - no follow up done in time"/>
  </r>
  <r>
    <s v="LD0663"/>
    <s v="Shweta Aware"/>
    <n v="9481346877"/>
    <x v="2"/>
    <x v="3"/>
    <s v="MagicBricks Enquiry — Inbound"/>
    <x v="4"/>
    <s v="2024-02-24"/>
    <x v="1"/>
    <x v="1"/>
    <x v="2"/>
    <n v="1"/>
    <n v="11"/>
    <s v="2024-04-19"/>
    <x v="4"/>
    <n v="268296"/>
    <n v="249741"/>
    <s v="2024-04-25"/>
    <x v="2"/>
    <n v="38.799999999999997"/>
    <s v="Hot"/>
    <m/>
  </r>
  <r>
    <s v="LD0664"/>
    <s v="Vijay Aware"/>
    <n v="9541070542"/>
    <x v="0"/>
    <x v="5"/>
    <s v="Exhibition Walk-in"/>
    <x v="2"/>
    <s v="2024-02-24"/>
    <x v="1"/>
    <x v="1"/>
    <x v="2"/>
    <n v="1"/>
    <n v="9"/>
    <s v="2024-03-16"/>
    <x v="0"/>
    <n v="492154"/>
    <m/>
    <m/>
    <x v="0"/>
    <n v="34.1"/>
    <s v="Cold"/>
    <s v="Budget mismatch - too low"/>
  </r>
  <r>
    <s v="LD0665"/>
    <s v="Seema Deshpande"/>
    <n v="9884882225"/>
    <x v="0"/>
    <x v="5"/>
    <s v="Exhibition Walk-in"/>
    <x v="9"/>
    <s v="2024-02-24"/>
    <x v="1"/>
    <x v="1"/>
    <x v="2"/>
    <n v="1"/>
    <n v="5"/>
    <s v="2024-03-16"/>
    <x v="1"/>
    <n v="209986"/>
    <m/>
    <m/>
    <x v="1"/>
    <n v="8.1999999999999993"/>
    <s v="Cold"/>
    <s v="Budget too low for our range"/>
  </r>
  <r>
    <s v="LD0666"/>
    <s v="Rekha Sawant"/>
    <n v="9219747878"/>
    <x v="4"/>
    <x v="7"/>
    <s v="SEO Organic"/>
    <x v="0"/>
    <s v="2024-02-26"/>
    <x v="1"/>
    <x v="1"/>
    <x v="2"/>
    <n v="1"/>
    <n v="7"/>
    <s v="2024-04-03"/>
    <x v="0"/>
    <n v="595515"/>
    <m/>
    <m/>
    <x v="1"/>
    <n v="28.7"/>
    <s v="Warm"/>
    <m/>
  </r>
  <r>
    <s v="LD0667"/>
    <s v="Sachin Shelke"/>
    <n v="9235612785"/>
    <x v="2"/>
    <x v="6"/>
    <s v="Facebook Home Decor Ads"/>
    <x v="5"/>
    <s v="2024-02-26"/>
    <x v="1"/>
    <x v="1"/>
    <x v="2"/>
    <n v="1"/>
    <n v="1"/>
    <s v="2024-03-04"/>
    <x v="1"/>
    <n v="182758"/>
    <m/>
    <m/>
    <x v="0"/>
    <n v="5.4"/>
    <s v="Warm"/>
    <s v="Follow up after flat possession"/>
  </r>
  <r>
    <s v="LD0668"/>
    <s v="Anita Wagh"/>
    <n v="9791634879"/>
    <x v="0"/>
    <x v="5"/>
    <s v="Showroom Walk-in"/>
    <x v="13"/>
    <s v="2024-02-26"/>
    <x v="1"/>
    <x v="1"/>
    <x v="2"/>
    <n v="1"/>
    <n v="2"/>
    <s v="2024-03-14"/>
    <x v="1"/>
    <n v="1332942"/>
    <m/>
    <m/>
    <x v="0"/>
    <n v="41.4"/>
    <s v="Hot"/>
    <s v="Final quote shared, awaiting approval"/>
  </r>
  <r>
    <s v="LD0669"/>
    <s v="Arun Joshi"/>
    <n v="9833378225"/>
    <x v="0"/>
    <x v="0"/>
    <s v="Friend Reference"/>
    <x v="9"/>
    <s v="2024-02-26"/>
    <x v="1"/>
    <x v="1"/>
    <x v="2"/>
    <n v="1"/>
    <n v="12"/>
    <s v="2024-03-25"/>
    <x v="4"/>
    <n v="256947"/>
    <n v="229925"/>
    <s v="2024-04-10"/>
    <x v="1"/>
    <n v="14.7"/>
    <s v="Hot"/>
    <s v="Token paid, measurement done, work started"/>
  </r>
  <r>
    <s v="LD0670"/>
    <s v="Mahesh Wagh"/>
    <n v="9513648472"/>
    <x v="0"/>
    <x v="7"/>
    <s v="SEO Organic"/>
    <x v="6"/>
    <s v="2024-02-26"/>
    <x v="1"/>
    <x v="1"/>
    <x v="2"/>
    <n v="1"/>
    <n v="4"/>
    <s v="2024-03-12"/>
    <x v="0"/>
    <n v="277233"/>
    <m/>
    <m/>
    <x v="0"/>
    <n v="44"/>
    <s v="Cold"/>
    <s v="Project cancelled by customer"/>
  </r>
  <r>
    <s v="LD0671"/>
    <s v="Seema Tupe"/>
    <n v="9585666104"/>
    <x v="0"/>
    <x v="2"/>
    <s v="Client Referral"/>
    <x v="2"/>
    <s v="2024-02-26"/>
    <x v="1"/>
    <x v="1"/>
    <x v="2"/>
    <n v="1"/>
    <n v="6"/>
    <s v="2024-04-05"/>
    <x v="0"/>
    <n v="205365"/>
    <m/>
    <m/>
    <x v="3"/>
    <n v="30.4"/>
    <s v="Warm"/>
    <s v="Customer chose readymade furniture"/>
  </r>
  <r>
    <s v="LD0672"/>
    <s v="Kiran Gaikwad"/>
    <n v="9704513096"/>
    <x v="0"/>
    <x v="6"/>
    <s v="Facebook Gudi Padwa Offer"/>
    <x v="3"/>
    <s v="2024-02-27"/>
    <x v="1"/>
    <x v="1"/>
    <x v="2"/>
    <n v="1"/>
    <n v="1"/>
    <s v="2024-03-18"/>
    <x v="4"/>
    <n v="200634"/>
    <n v="202645"/>
    <s v="2024-04-05"/>
    <x v="2"/>
    <n v="34.299999999999997"/>
    <s v="Warm"/>
    <s v="Final payment received, project handed over"/>
  </r>
  <r>
    <s v="LD0673"/>
    <s v="Vijay Shinde"/>
    <n v="9744384283"/>
    <x v="0"/>
    <x v="7"/>
    <s v="SEO Organic"/>
    <x v="5"/>
    <s v="2024-02-28"/>
    <x v="1"/>
    <x v="1"/>
    <x v="2"/>
    <n v="1"/>
    <n v="6"/>
    <s v="2024-04-01"/>
    <x v="2"/>
    <n v="241566"/>
    <m/>
    <m/>
    <x v="3"/>
    <n v="1.5"/>
    <s v="Cold"/>
    <s v="No response after 4 follow ups"/>
  </r>
  <r>
    <s v="LD0674"/>
    <s v="Amit Kale"/>
    <m/>
    <x v="3"/>
    <x v="3"/>
    <s v="MagicBricks Property Enquiry — Inbound"/>
    <x v="4"/>
    <s v="2024-02-29"/>
    <x v="1"/>
    <x v="1"/>
    <x v="2"/>
    <n v="1"/>
    <n v="10"/>
    <s v="2024-03-27"/>
    <x v="0"/>
    <n v="297727"/>
    <m/>
    <m/>
    <x v="2"/>
    <n v="36.200000000000003"/>
    <s v="Cold"/>
    <s v="MagicBricks portal lead — masked number, no response"/>
  </r>
  <r>
    <s v="LD0675"/>
    <s v="Rohit More"/>
    <n v="9232850821"/>
    <x v="1"/>
    <x v="2"/>
    <s v="Architect Referral"/>
    <x v="4"/>
    <s v="2024-03-01"/>
    <x v="2"/>
    <x v="2"/>
    <x v="2"/>
    <n v="1"/>
    <n v="4"/>
    <s v="2024-04-02"/>
    <x v="1"/>
    <n v="262355"/>
    <m/>
    <m/>
    <x v="1"/>
    <n v="18"/>
    <s v="Cold"/>
    <s v="Wrong number provided"/>
  </r>
  <r>
    <s v="LD0676"/>
    <s v="Varsha Sonawane"/>
    <n v="9916614487"/>
    <x v="1"/>
    <x v="3"/>
    <s v="MagicBricks Property Enquiry — Inbound"/>
    <x v="0"/>
    <s v="2024-03-01"/>
    <x v="2"/>
    <x v="2"/>
    <x v="2"/>
    <n v="1"/>
    <n v="10"/>
    <s v="2024-04-13"/>
    <x v="0"/>
    <n v="679758"/>
    <m/>
    <m/>
    <x v="0"/>
    <n v="26.9"/>
    <s v="Cold"/>
    <s v="Customer chose readymade furniture"/>
  </r>
  <r>
    <s v="LD0677"/>
    <s v="Manisha Jadhav"/>
    <n v="9428784175"/>
    <x v="4"/>
    <x v="0"/>
    <s v="Friend Reference"/>
    <x v="0"/>
    <s v="2024-03-01"/>
    <x v="2"/>
    <x v="2"/>
    <x v="2"/>
    <n v="1"/>
    <n v="11"/>
    <s v="2024-05-16"/>
    <x v="3"/>
    <n v="784519"/>
    <m/>
    <m/>
    <x v="2"/>
    <n v="20.6"/>
    <s v="Warm"/>
    <s v="Follow up after Dussehra"/>
  </r>
  <r>
    <s v="LD0678"/>
    <s v="Manisha Tupe"/>
    <n v="9312365395"/>
    <x v="0"/>
    <x v="8"/>
    <s v="Instagram Wardrobe Showcase"/>
    <x v="10"/>
    <s v="2024-03-01"/>
    <x v="2"/>
    <x v="2"/>
    <x v="2"/>
    <n v="1"/>
    <n v="2"/>
    <s v="2024-03-23"/>
    <x v="4"/>
    <n v="547460"/>
    <n v="494823"/>
    <s v="2024-04-04"/>
    <x v="3"/>
    <n v="30.4"/>
    <s v="Hot"/>
    <s v="Token paid, measurement done, work started"/>
  </r>
  <r>
    <s v="LD0679"/>
    <s v="Archana Tupe"/>
    <n v="9208753775"/>
    <x v="4"/>
    <x v="5"/>
    <s v="Exhibition Walk-in"/>
    <x v="7"/>
    <s v="2024-03-01"/>
    <x v="2"/>
    <x v="2"/>
    <x v="2"/>
    <n v="1"/>
    <n v="0"/>
    <s v="2024-03-08"/>
    <x v="0"/>
    <n v="1244757"/>
    <m/>
    <m/>
    <x v="1"/>
    <n v="22.8"/>
    <s v="Cold"/>
    <s v="Budget mismatch - too low"/>
  </r>
  <r>
    <s v="LD0680"/>
    <s v="Sachin Shelke"/>
    <n v="9798127845"/>
    <x v="2"/>
    <x v="8"/>
    <s v="Instagram Story Ads"/>
    <x v="0"/>
    <s v="2024-03-02"/>
    <x v="2"/>
    <x v="2"/>
    <x v="2"/>
    <n v="1"/>
    <n v="3"/>
    <s v="2024-04-01"/>
    <x v="1"/>
    <n v="717496"/>
    <m/>
    <m/>
    <x v="0"/>
    <n v="32.5"/>
    <s v="Hot"/>
    <s v="Final quote shared, awaiting approval"/>
  </r>
  <r>
    <s v="LD0681"/>
    <s v="Deepak Deshmukh"/>
    <n v="9145390869"/>
    <x v="3"/>
    <x v="6"/>
    <s v="Facebook Kitchen Showcase"/>
    <x v="2"/>
    <s v="2024-03-02"/>
    <x v="2"/>
    <x v="2"/>
    <x v="2"/>
    <n v="1"/>
    <n v="11"/>
    <s v="2024-04-02"/>
    <x v="0"/>
    <n v="427681"/>
    <m/>
    <m/>
    <x v="1"/>
    <n v="12.6"/>
    <s v="Cold"/>
    <s v="No response, marked as lost after 60 days"/>
  </r>
  <r>
    <s v="LD0682"/>
    <s v="Manisha Deshpande"/>
    <n v="9405420337"/>
    <x v="0"/>
    <x v="7"/>
    <s v="SEO Organic"/>
    <x v="0"/>
    <s v="2024-03-02"/>
    <x v="2"/>
    <x v="2"/>
    <x v="2"/>
    <n v="1"/>
    <n v="9"/>
    <s v="2024-04-24"/>
    <x v="1"/>
    <n v="760267"/>
    <m/>
    <m/>
    <x v="2"/>
    <n v="13.6"/>
    <s v="Warm"/>
    <s v="Under construction, possession in 3 months"/>
  </r>
  <r>
    <s v="LD0683"/>
    <s v="Ganesh Kakade"/>
    <n v="9778077202"/>
    <x v="3"/>
    <x v="2"/>
    <s v="Client Referral"/>
    <x v="2"/>
    <s v="2024-03-02"/>
    <x v="2"/>
    <x v="2"/>
    <x v="2"/>
    <n v="1"/>
    <n v="6"/>
    <s v="2024-04-16"/>
    <x v="2"/>
    <n v="432159"/>
    <m/>
    <m/>
    <x v="0"/>
    <n v="45.3"/>
    <s v="Cold"/>
    <s v="Not responding to calls"/>
  </r>
  <r>
    <s v="LD0684"/>
    <s v="Pramod Patil"/>
    <n v="9542413659"/>
    <x v="0"/>
    <x v="7"/>
    <s v="SEO Organic"/>
    <x v="4"/>
    <s v="2024-03-02"/>
    <x v="2"/>
    <x v="2"/>
    <x v="2"/>
    <n v="1"/>
    <n v="11"/>
    <s v="2024-04-11"/>
    <x v="0"/>
    <n v="315425"/>
    <m/>
    <m/>
    <x v="0"/>
    <n v="45.1"/>
    <s v="Warm"/>
    <s v="Customer chose readymade furniture"/>
  </r>
  <r>
    <s v="LD0685"/>
    <s v="Anita Bhosale"/>
    <n v="9466529273"/>
    <x v="0"/>
    <x v="5"/>
    <s v="Site Visit Walk-in"/>
    <x v="3"/>
    <s v="2024-03-02"/>
    <x v="2"/>
    <x v="2"/>
    <x v="2"/>
    <n v="1"/>
    <n v="9"/>
    <s v="2024-03-20"/>
    <x v="4"/>
    <n v="96471"/>
    <n v="85165"/>
    <s v="2024-03-28"/>
    <x v="1"/>
    <n v="14"/>
    <s v="Warm"/>
    <s v="Deal closed, advance received"/>
  </r>
  <r>
    <s v="LD0686"/>
    <s v="Kiran Zende"/>
    <n v="9136009935"/>
    <x v="2"/>
    <x v="3"/>
    <s v="MagicBricks Enquiry — Inbound"/>
    <x v="2"/>
    <s v="2024-03-04"/>
    <x v="2"/>
    <x v="2"/>
    <x v="2"/>
    <n v="1"/>
    <n v="0"/>
    <s v="2024-03-16"/>
    <x v="4"/>
    <n v="275677"/>
    <n v="258685"/>
    <s v="2024-03-29"/>
    <x v="0"/>
    <n v="38.299999999999997"/>
    <s v="Hot"/>
    <s v="Work order signed, production started"/>
  </r>
  <r>
    <s v="LD0687"/>
    <s v="Devendra Nikalje"/>
    <n v="9817548742"/>
    <x v="0"/>
    <x v="1"/>
    <s v="Justdial Free Listing — Inbound"/>
    <x v="8"/>
    <s v="2024-03-04"/>
    <x v="2"/>
    <x v="2"/>
    <x v="2"/>
    <n v="1"/>
    <n v="9"/>
    <s v="2024-04-08"/>
    <x v="4"/>
    <n v="927094"/>
    <n v="946561"/>
    <s v="2024-04-25"/>
    <x v="0"/>
    <n v="37.200000000000003"/>
    <s v="Hot"/>
    <s v="Work order signed, production started"/>
  </r>
  <r>
    <s v="LD0688"/>
    <s v="Sachin Tupe"/>
    <n v="9505257036"/>
    <x v="4"/>
    <x v="3"/>
    <s v="MagicBricks Enquiry — Inbound"/>
    <x v="11"/>
    <s v="2024-03-04"/>
    <x v="2"/>
    <x v="2"/>
    <x v="2"/>
    <n v="1"/>
    <n v="1"/>
    <s v="2024-03-20"/>
    <x v="0"/>
    <n v="192521"/>
    <m/>
    <m/>
    <x v="1"/>
    <n v="34"/>
    <s v="Cold"/>
    <s v="Budget mismatch - too low"/>
  </r>
  <r>
    <s v="LD0689"/>
    <s v="Shweta Holkar"/>
    <n v="9388967162"/>
    <x v="4"/>
    <x v="0"/>
    <s v="Friend Reference"/>
    <x v="11"/>
    <s v="2024-03-04"/>
    <x v="2"/>
    <x v="2"/>
    <x v="2"/>
    <n v="1"/>
    <n v="1"/>
    <s v="2024-03-15"/>
    <x v="0"/>
    <n v="394585"/>
    <m/>
    <m/>
    <x v="1"/>
    <n v="35"/>
    <s v="Cold"/>
    <s v="Went with local vendor"/>
  </r>
  <r>
    <s v="LD0690"/>
    <s v="Shweta Nimbalkar"/>
    <n v="9909785449"/>
    <x v="4"/>
    <x v="7"/>
    <s v="SEO Organic"/>
    <x v="1"/>
    <s v="2024-03-04"/>
    <x v="2"/>
    <x v="2"/>
    <x v="2"/>
    <n v="1"/>
    <n v="8"/>
    <s v="2024-04-15"/>
    <x v="0"/>
    <n v="336635"/>
    <m/>
    <m/>
    <x v="0"/>
    <n v="30.3"/>
    <s v="Cold"/>
    <s v="Customer got work done from relative"/>
  </r>
  <r>
    <s v="LD0691"/>
    <s v="Alka Kadam"/>
    <n v="9280796443"/>
    <x v="0"/>
    <x v="3"/>
    <s v="MagicBricks Enquiry — Inbound"/>
    <x v="8"/>
    <s v="2024-03-04"/>
    <x v="2"/>
    <x v="2"/>
    <x v="2"/>
    <n v="1"/>
    <n v="2"/>
    <s v="2024-03-28"/>
    <x v="4"/>
    <n v="808797"/>
    <n v="714532"/>
    <s v="2024-04-16"/>
    <x v="1"/>
    <n v="26.5"/>
    <s v="Hot"/>
    <m/>
  </r>
  <r>
    <s v="LD0692"/>
    <s v="Anita Shelke"/>
    <n v="9644083832"/>
    <x v="2"/>
    <x v="7"/>
    <s v="Website Chat Enquiry"/>
    <x v="5"/>
    <s v="2024-03-04"/>
    <x v="2"/>
    <x v="2"/>
    <x v="2"/>
    <n v="1"/>
    <n v="5"/>
    <s v="2024-03-25"/>
    <x v="3"/>
    <n v="289293"/>
    <m/>
    <m/>
    <x v="0"/>
    <n v="40.799999999999997"/>
    <s v="Cold"/>
    <s v="No response after 4 follow ups"/>
  </r>
  <r>
    <s v="LD0693"/>
    <s v="Ashwini Kakade"/>
    <n v="9764922971"/>
    <x v="2"/>
    <x v="1"/>
    <s v="Justdial Premium Listing — Inbound"/>
    <x v="5"/>
    <s v="2024-03-04"/>
    <x v="2"/>
    <x v="2"/>
    <x v="2"/>
    <n v="1"/>
    <n v="6"/>
    <s v="2024-04-10"/>
    <x v="2"/>
    <n v="332314"/>
    <m/>
    <m/>
    <x v="1"/>
    <n v="29.1"/>
    <s v="Warm"/>
    <s v="Call back after 1 month"/>
  </r>
  <r>
    <s v="LD0694"/>
    <s v="Shweta Chavan"/>
    <n v="9787833622"/>
    <x v="2"/>
    <x v="6"/>
    <s v="Facebook Kitchen Showcase"/>
    <x v="8"/>
    <s v="2024-03-05"/>
    <x v="2"/>
    <x v="2"/>
    <x v="2"/>
    <n v="1"/>
    <n v="6"/>
    <s v="2024-04-05"/>
    <x v="1"/>
    <n v="769405"/>
    <m/>
    <m/>
    <x v="0"/>
    <n v="47.6"/>
    <s v="Hot"/>
    <s v="Ready to proceed, discussing payment terms"/>
  </r>
  <r>
    <s v="LD0695"/>
    <s v="Pooja Deshmukh"/>
    <n v="9808988450"/>
    <x v="3"/>
    <x v="4"/>
    <s v="99acres Flat Owner Enquiry — Inbound"/>
    <x v="2"/>
    <s v="2024-03-05"/>
    <x v="2"/>
    <x v="2"/>
    <x v="2"/>
    <n v="1"/>
    <n v="2"/>
    <s v="2024-03-14"/>
    <x v="1"/>
    <n v="428249"/>
    <m/>
    <m/>
    <x v="2"/>
    <n v="26.8"/>
    <s v="Hot"/>
    <s v="Customer comparing 1-2 vendors only"/>
  </r>
  <r>
    <s v="LD0696"/>
    <s v="Sunanda Phule"/>
    <n v="9798111347"/>
    <x v="0"/>
    <x v="5"/>
    <s v="Site Visit Walk-in"/>
    <x v="8"/>
    <s v="2024-03-06"/>
    <x v="2"/>
    <x v="2"/>
    <x v="2"/>
    <n v="1"/>
    <n v="12"/>
    <s v="2024-05-11"/>
    <x v="4"/>
    <n v="462019"/>
    <n v="410059"/>
    <s v="2024-05-14"/>
    <x v="1"/>
    <n v="27.4"/>
    <s v="Hot"/>
    <s v="Customer very satisfied, 5 star review given"/>
  </r>
  <r>
    <s v="LD0697"/>
    <s v="Sonal Londhe"/>
    <n v="9839091049"/>
    <x v="2"/>
    <x v="2"/>
    <s v="Architect Referral"/>
    <x v="5"/>
    <s v="2024-03-07"/>
    <x v="2"/>
    <x v="2"/>
    <x v="2"/>
    <n v="1"/>
    <n v="12"/>
    <s v="2024-05-10"/>
    <x v="3"/>
    <n v="267181"/>
    <m/>
    <m/>
    <x v="1"/>
    <n v="20.9"/>
    <s v="Hot"/>
    <s v="Sample seen at showroom, liked veneer finish"/>
  </r>
  <r>
    <s v="LD0698"/>
    <s v="Arun Holkar"/>
    <n v="9425713292"/>
    <x v="0"/>
    <x v="4"/>
    <s v="99acres New Project Enquiry — Inbound"/>
    <x v="5"/>
    <s v="2024-03-07"/>
    <x v="2"/>
    <x v="2"/>
    <x v="2"/>
    <n v="1"/>
    <n v="10"/>
    <s v="2024-04-17"/>
    <x v="1"/>
    <n v="163181"/>
    <m/>
    <m/>
    <x v="1"/>
    <n v="1.6"/>
    <s v="Warm"/>
    <s v="Follow up after Akshaya Tritiya"/>
  </r>
  <r>
    <s v="LD0699"/>
    <s v="Ritu Gaikwad"/>
    <m/>
    <x v="2"/>
    <x v="4"/>
    <s v="99acres Flat Owner Enquiry — Inbound"/>
    <x v="2"/>
    <s v="2024-03-09"/>
    <x v="2"/>
    <x v="2"/>
    <x v="2"/>
    <n v="1"/>
    <n v="10"/>
    <s v="2024-05-10"/>
    <x v="0"/>
    <n v="526254"/>
    <m/>
    <m/>
    <x v="2"/>
    <n v="25"/>
    <s v="Cold"/>
    <s v="99acres form submitted, no direct phone available"/>
  </r>
  <r>
    <s v="LD0700"/>
    <s v="Varsha Holkar"/>
    <n v="9839036931"/>
    <x v="2"/>
    <x v="2"/>
    <s v="Contractor Referral"/>
    <x v="11"/>
    <s v="2024-03-11"/>
    <x v="2"/>
    <x v="2"/>
    <x v="2"/>
    <n v="1"/>
    <n v="6"/>
    <s v="2024-04-09"/>
    <x v="3"/>
    <n v="379650"/>
    <m/>
    <m/>
    <x v="1"/>
    <n v="1.8"/>
    <s v="Warm"/>
    <s v="Call back after 1 month"/>
  </r>
  <r>
    <s v="LD0701"/>
    <s v="Manoj Gaikwad"/>
    <n v="9985965177"/>
    <x v="0"/>
    <x v="0"/>
    <s v="Friend Reference"/>
    <x v="3"/>
    <s v="2024-03-11"/>
    <x v="2"/>
    <x v="2"/>
    <x v="2"/>
    <n v="1"/>
    <n v="2"/>
    <s v="2024-03-16"/>
    <x v="4"/>
    <n v="81549"/>
    <n v="77075"/>
    <s v="2024-04-04"/>
    <x v="2"/>
    <n v="17.600000000000001"/>
    <s v="Warm"/>
    <s v="Customer referred 2 more leads after delivery"/>
  </r>
  <r>
    <s v="LD0702"/>
    <s v="Kiran Deshmukh"/>
    <n v="9503736493"/>
    <x v="2"/>
    <x v="7"/>
    <s v="SEO Organic"/>
    <x v="6"/>
    <s v="2024-03-11"/>
    <x v="2"/>
    <x v="2"/>
    <x v="2"/>
    <n v="1"/>
    <n v="8"/>
    <s v="2024-04-29"/>
    <x v="3"/>
    <n v="120843"/>
    <m/>
    <m/>
    <x v="1"/>
    <n v="3.8"/>
    <s v="Hot"/>
    <s v="Design presentation done, waiting for confirmation"/>
  </r>
  <r>
    <s v="LD0703"/>
    <s v="Kavita Thorat"/>
    <n v="9132851685"/>
    <x v="0"/>
    <x v="3"/>
    <s v="MagicBricks Enquiry — Inbound"/>
    <x v="3"/>
    <s v="2024-03-11"/>
    <x v="2"/>
    <x v="2"/>
    <x v="2"/>
    <n v="1"/>
    <n v="6"/>
    <s v="2024-04-04"/>
    <x v="1"/>
    <n v="225143"/>
    <m/>
    <m/>
    <x v="2"/>
    <n v="3.7"/>
    <s v="Cold"/>
    <s v="Not interested anymore"/>
  </r>
  <r>
    <s v="LD0704"/>
    <s v="Sunanda Salve"/>
    <n v="9584009254"/>
    <x v="2"/>
    <x v="4"/>
    <s v="99acres Flat Owner Enquiry — Inbound"/>
    <x v="9"/>
    <s v="2024-03-11"/>
    <x v="2"/>
    <x v="2"/>
    <x v="2"/>
    <n v="1"/>
    <n v="5"/>
    <s v="2024-04-20"/>
    <x v="1"/>
    <n v="304219"/>
    <m/>
    <m/>
    <x v="3"/>
    <n v="12.9"/>
    <s v="Hot"/>
    <s v="Token amount discussed, decision this week"/>
  </r>
  <r>
    <s v="LD0705"/>
    <s v="Rajesh Zende"/>
    <n v="9778812108"/>
    <x v="0"/>
    <x v="2"/>
    <s v="Neighbour Referral"/>
    <x v="7"/>
    <s v="2024-03-11"/>
    <x v="2"/>
    <x v="2"/>
    <x v="2"/>
    <n v="1"/>
    <n v="12"/>
    <s v="2024-04-25"/>
    <x v="0"/>
    <n v="1116363"/>
    <m/>
    <m/>
    <x v="2"/>
    <n v="2.2000000000000002"/>
    <s v="Cold"/>
    <s v="Customer chose readymade furniture"/>
  </r>
  <r>
    <s v="LD0706"/>
    <s v="Suresh Suryawanshi"/>
    <n v="9223547463"/>
    <x v="2"/>
    <x v="8"/>
    <s v="Instagram Before-After Posts"/>
    <x v="3"/>
    <s v="2024-03-11"/>
    <x v="2"/>
    <x v="2"/>
    <x v="2"/>
    <n v="1"/>
    <n v="3"/>
    <s v="2024-04-02"/>
    <x v="2"/>
    <n v="145509"/>
    <m/>
    <m/>
    <x v="3"/>
    <n v="28.9"/>
    <s v="Cold"/>
    <s v="No call back after site visit"/>
  </r>
  <r>
    <s v="LD0707"/>
    <s v="Mahesh Gaikwad"/>
    <n v="9948819004"/>
    <x v="1"/>
    <x v="2"/>
    <s v="Neighbour Referral"/>
    <x v="2"/>
    <s v="2024-03-12"/>
    <x v="2"/>
    <x v="2"/>
    <x v="2"/>
    <n v="1"/>
    <n v="6"/>
    <s v="2024-04-03"/>
    <x v="0"/>
    <n v="282423"/>
    <m/>
    <m/>
    <x v="0"/>
    <n v="36.299999999999997"/>
    <s v="Cold"/>
    <s v="Lost - no follow up done in time"/>
  </r>
  <r>
    <s v="LD0708"/>
    <s v="Devendra Shelke"/>
    <n v="9608341388"/>
    <x v="3"/>
    <x v="8"/>
    <s v="Instagram Wardrobe Showcase"/>
    <x v="4"/>
    <s v="2024-03-12"/>
    <x v="2"/>
    <x v="2"/>
    <x v="2"/>
    <n v="1"/>
    <n v="8"/>
    <s v="2024-05-06"/>
    <x v="1"/>
    <n v="245831"/>
    <m/>
    <m/>
    <x v="3"/>
    <n v="40.6"/>
    <s v="Hot"/>
    <s v="Very interested, finalising design"/>
  </r>
  <r>
    <s v="LD0709"/>
    <s v="Kiran Yadav"/>
    <n v="9126011615"/>
    <x v="0"/>
    <x v="8"/>
    <s v="Instagram Diwali Campaign"/>
    <x v="2"/>
    <s v="2024-03-13"/>
    <x v="2"/>
    <x v="2"/>
    <x v="2"/>
    <n v="1"/>
    <n v="3"/>
    <s v="2024-03-21"/>
    <x v="3"/>
    <n v="462106"/>
    <m/>
    <m/>
    <x v="0"/>
    <n v="41.8"/>
    <s v="Warm"/>
    <s v="Customer interested, flat handover next month"/>
  </r>
  <r>
    <s v="LD0710"/>
    <s v="Hemant Joshi"/>
    <n v="9250689986"/>
    <x v="0"/>
    <x v="8"/>
    <s v="Instagram Diwali Campaign"/>
    <x v="4"/>
    <s v="2024-03-14"/>
    <x v="2"/>
    <x v="2"/>
    <x v="2"/>
    <n v="1"/>
    <n v="7"/>
    <s v="2024-04-18"/>
    <x v="3"/>
    <n v="284054"/>
    <m/>
    <m/>
    <x v="3"/>
    <n v="12.8"/>
    <s v="Hot"/>
    <m/>
  </r>
  <r>
    <s v="LD0711"/>
    <s v="Sanjay Nikalje"/>
    <n v="9237644075"/>
    <x v="1"/>
    <x v="7"/>
    <s v="Website Chat Enquiry"/>
    <x v="5"/>
    <s v="2024-03-14"/>
    <x v="2"/>
    <x v="2"/>
    <x v="2"/>
    <n v="1"/>
    <n v="1"/>
    <s v="2024-03-22"/>
    <x v="0"/>
    <n v="302332"/>
    <m/>
    <m/>
    <x v="2"/>
    <n v="29.4"/>
    <s v="Cold"/>
    <s v="Lost to branded competitor"/>
  </r>
  <r>
    <s v="LD0712"/>
    <s v="Sunanda Nimbalkar"/>
    <n v="9710088706"/>
    <x v="1"/>
    <x v="7"/>
    <s v="SEO Organic"/>
    <x v="6"/>
    <s v="2024-03-15"/>
    <x v="2"/>
    <x v="2"/>
    <x v="2"/>
    <n v="1"/>
    <n v="2"/>
    <s v="2024-04-06"/>
    <x v="4"/>
    <n v="359886"/>
    <n v="323153"/>
    <s v="2024-04-19"/>
    <x v="0"/>
    <n v="30.8"/>
    <s v="Hot"/>
    <s v="Token received, design finalised"/>
  </r>
  <r>
    <s v="LD0713"/>
    <s v="Smita Salve"/>
    <n v="9627313543"/>
    <x v="4"/>
    <x v="1"/>
    <s v="Justdial Free Listing — Inbound"/>
    <x v="7"/>
    <s v="2024-03-15"/>
    <x v="2"/>
    <x v="2"/>
    <x v="2"/>
    <n v="1"/>
    <n v="4"/>
    <s v="2024-04-10"/>
    <x v="0"/>
    <n v="1001344"/>
    <m/>
    <m/>
    <x v="1"/>
    <n v="31.7"/>
    <s v="Cold"/>
    <s v="Customer did not proceed with project"/>
  </r>
  <r>
    <s v="LD0714"/>
    <s v="Sunil Suryawanshi"/>
    <n v="9635831691"/>
    <x v="4"/>
    <x v="0"/>
    <s v="Colony Reference"/>
    <x v="2"/>
    <s v="2024-03-15"/>
    <x v="2"/>
    <x v="2"/>
    <x v="2"/>
    <n v="1"/>
    <n v="6"/>
    <s v="2024-05-02"/>
    <x v="3"/>
    <n v="153349"/>
    <m/>
    <m/>
    <x v="1"/>
    <n v="13.8"/>
    <s v="Warm"/>
    <s v="Follow up after Gudi Padwa"/>
  </r>
  <r>
    <s v="LD0715"/>
    <s v="Varsha Naik"/>
    <n v="9432136364"/>
    <x v="2"/>
    <x v="7"/>
    <s v="Website Chat Enquiry"/>
    <x v="3"/>
    <s v="2024-03-16"/>
    <x v="2"/>
    <x v="2"/>
    <x v="2"/>
    <n v="1"/>
    <n v="4"/>
    <s v="2024-04-06"/>
    <x v="4"/>
    <n v="70221"/>
    <n v="67900"/>
    <s v="2024-04-20"/>
    <x v="0"/>
    <n v="22.3"/>
    <s v="Hot"/>
    <s v="Customer referred 2 more leads after delivery"/>
  </r>
  <r>
    <s v="LD0716"/>
    <s v="Ashwini Shelke"/>
    <n v="9985661745"/>
    <x v="0"/>
    <x v="6"/>
    <s v="Facebook Diwali Offer"/>
    <x v="8"/>
    <s v="2024-03-16"/>
    <x v="2"/>
    <x v="2"/>
    <x v="2"/>
    <n v="1"/>
    <n v="12"/>
    <s v="2024-04-15"/>
    <x v="4"/>
    <n v="645172"/>
    <n v="576089"/>
    <s v="2024-05-02"/>
    <x v="0"/>
    <n v="34.5"/>
    <s v="Hot"/>
    <s v="Deal closed, advance received"/>
  </r>
  <r>
    <s v="LD0717"/>
    <s v="Meena Holkar"/>
    <n v="9623393732"/>
    <x v="4"/>
    <x v="2"/>
    <s v="Client Referral"/>
    <x v="4"/>
    <s v="2024-03-16"/>
    <x v="2"/>
    <x v="2"/>
    <x v="2"/>
    <n v="1"/>
    <n v="9"/>
    <s v="2024-04-29"/>
    <x v="4"/>
    <n v="76483"/>
    <n v="71107"/>
    <s v="2024-05-16"/>
    <x v="1"/>
    <n v="5.6"/>
    <s v="Hot"/>
    <m/>
  </r>
  <r>
    <s v="LD0718"/>
    <s v="Nikhil Kale"/>
    <n v="9177943017"/>
    <x v="3"/>
    <x v="5"/>
    <s v="Showroom Walk-in"/>
    <x v="2"/>
    <s v="2024-03-16"/>
    <x v="2"/>
    <x v="2"/>
    <x v="2"/>
    <n v="1"/>
    <n v="8"/>
    <s v="2024-04-12"/>
    <x v="0"/>
    <n v="366352"/>
    <m/>
    <m/>
    <x v="1"/>
    <n v="7.9"/>
    <s v="Cold"/>
    <s v="Customer did not proceed with project"/>
  </r>
  <r>
    <s v="LD0719"/>
    <s v="Shweta Kshirsagar"/>
    <n v="9185099798"/>
    <x v="2"/>
    <x v="7"/>
    <s v="SEO Organic"/>
    <x v="6"/>
    <s v="2024-03-18"/>
    <x v="2"/>
    <x v="2"/>
    <x v="2"/>
    <n v="1"/>
    <n v="1"/>
    <s v="2024-03-30"/>
    <x v="3"/>
    <n v="262448"/>
    <m/>
    <m/>
    <x v="0"/>
    <n v="34.200000000000003"/>
    <s v="Hot"/>
    <m/>
  </r>
  <r>
    <s v="LD0720"/>
    <s v="Sunita Kadam"/>
    <n v="9363707031"/>
    <x v="0"/>
    <x v="2"/>
    <s v="Client Referral"/>
    <x v="13"/>
    <s v="2024-03-18"/>
    <x v="2"/>
    <x v="2"/>
    <x v="2"/>
    <n v="1"/>
    <n v="10"/>
    <s v="2024-05-04"/>
    <x v="3"/>
    <n v="1364894"/>
    <m/>
    <m/>
    <x v="2"/>
    <n v="31.8"/>
    <s v="Hot"/>
    <s v="Very interested, finalising design"/>
  </r>
  <r>
    <s v="LD0721"/>
    <s v="Divya Gavhane"/>
    <n v="9738268451"/>
    <x v="0"/>
    <x v="6"/>
    <s v="Facebook Kitchen Showcase"/>
    <x v="1"/>
    <s v="2024-03-18"/>
    <x v="2"/>
    <x v="2"/>
    <x v="2"/>
    <n v="1"/>
    <n v="4"/>
    <s v="2024-04-15"/>
    <x v="0"/>
    <n v="267025"/>
    <m/>
    <m/>
    <x v="1"/>
    <n v="25.3"/>
    <s v="Cold"/>
    <s v="Went with local vendor"/>
  </r>
  <r>
    <s v="LD0722"/>
    <s v="Hemant Zende"/>
    <n v="9570726097"/>
    <x v="0"/>
    <x v="2"/>
    <s v="Neighbour Referral"/>
    <x v="0"/>
    <s v="2024-03-18"/>
    <x v="2"/>
    <x v="2"/>
    <x v="2"/>
    <n v="1"/>
    <n v="12"/>
    <s v="2024-05-14"/>
    <x v="0"/>
    <n v="536204"/>
    <m/>
    <m/>
    <x v="1"/>
    <n v="14.4"/>
    <s v="Cold"/>
    <s v="Lost to branded competitor"/>
  </r>
  <r>
    <s v="LD0723"/>
    <s v="Lata More"/>
    <n v="9143741483"/>
    <x v="2"/>
    <x v="8"/>
    <s v="Instagram Kitchen Reels"/>
    <x v="6"/>
    <s v="2024-03-18"/>
    <x v="2"/>
    <x v="2"/>
    <x v="2"/>
    <n v="1"/>
    <n v="1"/>
    <s v="2024-04-05"/>
    <x v="3"/>
    <n v="230604"/>
    <m/>
    <m/>
    <x v="3"/>
    <n v="43.6"/>
    <s v="Warm"/>
    <s v="Budget discussion pending"/>
  </r>
  <r>
    <s v="LD0724"/>
    <s v="Sachin Zende"/>
    <n v="9877098316"/>
    <x v="0"/>
    <x v="4"/>
    <s v="99acres New Project Enquiry — Inbound"/>
    <x v="3"/>
    <s v="2024-03-19"/>
    <x v="2"/>
    <x v="2"/>
    <x v="2"/>
    <n v="1"/>
    <n v="4"/>
    <s v="2024-04-23"/>
    <x v="4"/>
    <n v="141868"/>
    <n v="128838"/>
    <s v="2024-05-12"/>
    <x v="0"/>
    <n v="24.4"/>
    <s v="Hot"/>
    <s v="Customer referred 2 more leads after delivery"/>
  </r>
  <r>
    <s v="LD0725"/>
    <s v="Prashant Patil"/>
    <m/>
    <x v="3"/>
    <x v="7"/>
    <s v="SEO Organic"/>
    <x v="10"/>
    <s v="2024-03-19"/>
    <x v="2"/>
    <x v="2"/>
    <x v="2"/>
    <n v="1"/>
    <n v="8"/>
    <s v="2024-05-06"/>
    <x v="0"/>
    <n v="445098"/>
    <m/>
    <m/>
    <x v="0"/>
    <n v="28.8"/>
    <s v="Cold"/>
    <s v="Website form — phone field skipped by customer"/>
  </r>
  <r>
    <s v="LD0726"/>
    <s v="Ritu Deshmukh"/>
    <n v="9139062171"/>
    <x v="2"/>
    <x v="8"/>
    <s v="Instagram Kitchen Reels"/>
    <x v="9"/>
    <s v="2024-03-19"/>
    <x v="2"/>
    <x v="2"/>
    <x v="2"/>
    <n v="1"/>
    <n v="6"/>
    <s v="2024-04-23"/>
    <x v="2"/>
    <n v="225766"/>
    <m/>
    <m/>
    <x v="3"/>
    <n v="27.2"/>
    <s v="Cold"/>
    <s v="Just enquiring, no serious intent"/>
  </r>
  <r>
    <s v="LD0727"/>
    <s v="Vijay Naik"/>
    <n v="9650206515"/>
    <x v="2"/>
    <x v="8"/>
    <s v="Instagram Kitchen Reels"/>
    <x v="0"/>
    <s v="2024-03-20"/>
    <x v="2"/>
    <x v="2"/>
    <x v="2"/>
    <n v="1"/>
    <n v="0"/>
    <s v="2024-03-28"/>
    <x v="4"/>
    <n v="444497"/>
    <n v="392270"/>
    <s v="2024-04-11"/>
    <x v="1"/>
    <n v="10.1"/>
    <s v="Hot"/>
    <m/>
  </r>
  <r>
    <s v="LD0728"/>
    <s v="Mahesh Thorat"/>
    <n v="9712255073"/>
    <x v="3"/>
    <x v="2"/>
    <s v="Client Referral"/>
    <x v="7"/>
    <s v="2024-03-21"/>
    <x v="2"/>
    <x v="2"/>
    <x v="2"/>
    <n v="1"/>
    <n v="6"/>
    <s v="2024-04-08"/>
    <x v="0"/>
    <n v="1341272"/>
    <m/>
    <m/>
    <x v="1"/>
    <n v="9.6999999999999993"/>
    <s v="Cold"/>
    <s v="No response, marked as lost after 60 days"/>
  </r>
  <r>
    <s v="LD0729"/>
    <s v="Alka Deshmukh"/>
    <m/>
    <x v="0"/>
    <x v="4"/>
    <s v="99acres Flat Owner Enquiry — Inbound"/>
    <x v="8"/>
    <s v="2024-03-21"/>
    <x v="2"/>
    <x v="2"/>
    <x v="2"/>
    <n v="1"/>
    <n v="1"/>
    <s v="2024-04-09"/>
    <x v="0"/>
    <n v="484727"/>
    <m/>
    <m/>
    <x v="1"/>
    <n v="38.200000000000003"/>
    <s v="Cold"/>
    <s v="99acres portal lead — customer did not share direct contact"/>
  </r>
  <r>
    <s v="LD0730"/>
    <s v="Prashant Kulkarni"/>
    <n v="9959591246"/>
    <x v="0"/>
    <x v="5"/>
    <s v="Site Visit Walk-in"/>
    <x v="7"/>
    <s v="2024-03-21"/>
    <x v="2"/>
    <x v="2"/>
    <x v="2"/>
    <n v="1"/>
    <n v="4"/>
    <s v="2024-04-02"/>
    <x v="3"/>
    <n v="1329108"/>
    <m/>
    <m/>
    <x v="1"/>
    <n v="37.200000000000003"/>
    <s v="Hot"/>
    <s v="Design presentation done, waiting for confirmation"/>
  </r>
  <r>
    <s v="LD0731"/>
    <s v="Varsha Kshirsagar"/>
    <n v="9526801240"/>
    <x v="4"/>
    <x v="1"/>
    <s v="Justdial Free Listing — Inbound"/>
    <x v="4"/>
    <s v="2024-03-21"/>
    <x v="2"/>
    <x v="2"/>
    <x v="2"/>
    <n v="1"/>
    <n v="2"/>
    <s v="2024-04-13"/>
    <x v="0"/>
    <n v="238535"/>
    <m/>
    <m/>
    <x v="0"/>
    <n v="38.799999999999997"/>
    <s v="Cold"/>
    <s v="Lost - no follow up done in time"/>
  </r>
  <r>
    <s v="LD0732"/>
    <s v="Rajesh Kale"/>
    <n v="9181846798"/>
    <x v="0"/>
    <x v="2"/>
    <s v="Contractor Referral"/>
    <x v="9"/>
    <s v="2024-03-22"/>
    <x v="2"/>
    <x v="2"/>
    <x v="2"/>
    <n v="1"/>
    <n v="4"/>
    <s v="2024-04-19"/>
    <x v="0"/>
    <n v="363936"/>
    <m/>
    <m/>
    <x v="2"/>
    <n v="37"/>
    <s v="Cold"/>
    <s v="Customer got work done from relative"/>
  </r>
  <r>
    <s v="LD0733"/>
    <s v="Dinesh Pawar"/>
    <n v="9613119468"/>
    <x v="2"/>
    <x v="2"/>
    <s v="Neighbour Referral"/>
    <x v="7"/>
    <s v="2024-03-22"/>
    <x v="2"/>
    <x v="2"/>
    <x v="2"/>
    <n v="1"/>
    <n v="7"/>
    <s v="2024-05-10"/>
    <x v="0"/>
    <n v="676831"/>
    <m/>
    <m/>
    <x v="0"/>
    <n v="27.8"/>
    <s v="Warm"/>
    <s v="Project cancelled by customer"/>
  </r>
  <r>
    <s v="LD0734"/>
    <s v="Hemant Yadav"/>
    <m/>
    <x v="2"/>
    <x v="4"/>
    <s v="99acres New Project Enquiry — Inbound"/>
    <x v="0"/>
    <s v="2024-03-22"/>
    <x v="2"/>
    <x v="2"/>
    <x v="2"/>
    <n v="1"/>
    <n v="12"/>
    <s v="2024-05-10"/>
    <x v="0"/>
    <n v="787545"/>
    <m/>
    <m/>
    <x v="1"/>
    <n v="31.7"/>
    <s v="Cold"/>
    <s v="99acres form submitted, no direct phone available"/>
  </r>
  <r>
    <s v="LD0735"/>
    <s v="Sanjay Raut"/>
    <n v="9165784237"/>
    <x v="2"/>
    <x v="3"/>
    <s v="MagicBricks Property Enquiry — Inbound"/>
    <x v="1"/>
    <s v="2024-03-23"/>
    <x v="2"/>
    <x v="2"/>
    <x v="2"/>
    <n v="1"/>
    <m/>
    <s v="2024-04-26"/>
    <x v="1"/>
    <n v="243674"/>
    <m/>
    <m/>
    <x v="2"/>
    <n v="24.3"/>
    <s v="Warm"/>
    <s v="Waiting for interior budget approval from family"/>
  </r>
  <r>
    <s v="LD0736"/>
    <s v="Ritu Bhalerao"/>
    <n v="9816059404"/>
    <x v="0"/>
    <x v="3"/>
    <s v="MagicBricks Enquiry — Inbound"/>
    <x v="2"/>
    <s v="2024-03-23"/>
    <x v="2"/>
    <x v="2"/>
    <x v="2"/>
    <n v="1"/>
    <n v="7"/>
    <s v="2024-05-13"/>
    <x v="2"/>
    <n v="329732"/>
    <m/>
    <m/>
    <x v="1"/>
    <n v="38.299999999999997"/>
    <s v="Cold"/>
    <m/>
  </r>
  <r>
    <s v="LD0737"/>
    <s v="Sunita Wagh"/>
    <n v="9974556653"/>
    <x v="0"/>
    <x v="8"/>
    <s v="Instagram Gudi Padwa Special"/>
    <x v="3"/>
    <s v="2024-03-23"/>
    <x v="2"/>
    <x v="2"/>
    <x v="2"/>
    <n v="1"/>
    <n v="3"/>
    <s v="2024-04-12"/>
    <x v="4"/>
    <n v="239504"/>
    <n v="228210"/>
    <s v="2024-04-23"/>
    <x v="0"/>
    <n v="4.4000000000000004"/>
    <s v="Hot"/>
    <s v="Deal done, site work ongoing"/>
  </r>
  <r>
    <s v="LD0738"/>
    <s v="Ashwini Kulkarni"/>
    <n v="9507424954"/>
    <x v="2"/>
    <x v="1"/>
    <s v="Justdial Sponsored — Inbound"/>
    <x v="8"/>
    <s v="2024-03-23"/>
    <x v="2"/>
    <x v="2"/>
    <x v="2"/>
    <n v="1"/>
    <n v="3"/>
    <s v="2024-04-22"/>
    <x v="1"/>
    <n v="438597"/>
    <m/>
    <m/>
    <x v="1"/>
    <n v="17.600000000000001"/>
    <s v="Hot"/>
    <s v="Design presentation done, waiting for confirmation"/>
  </r>
  <r>
    <s v="LD0739"/>
    <s v="Lata Kadam"/>
    <n v="9477027645"/>
    <x v="0"/>
    <x v="5"/>
    <s v="Site Visit Walk-in"/>
    <x v="9"/>
    <s v="2024-03-25"/>
    <x v="2"/>
    <x v="2"/>
    <x v="2"/>
    <n v="1"/>
    <n v="8"/>
    <s v="2024-05-25"/>
    <x v="1"/>
    <n v="189954"/>
    <m/>
    <m/>
    <x v="0"/>
    <n v="18.5"/>
    <s v="Cold"/>
    <s v="Not interested anymore"/>
  </r>
  <r>
    <s v="LD0740"/>
    <s v="Nikhil Shinde"/>
    <n v="9899904758"/>
    <x v="3"/>
    <x v="2"/>
    <s v="Client Referral"/>
    <x v="9"/>
    <s v="2024-03-25"/>
    <x v="2"/>
    <x v="2"/>
    <x v="2"/>
    <n v="1"/>
    <n v="12"/>
    <s v="2024-05-21"/>
    <x v="0"/>
    <n v="417978"/>
    <m/>
    <m/>
    <x v="1"/>
    <n v="18.399999999999999"/>
    <s v="Cold"/>
    <s v="Project cancelled by customer"/>
  </r>
  <r>
    <s v="LD0741"/>
    <s v="Sachin Holkar"/>
    <n v="9363385154"/>
    <x v="2"/>
    <x v="2"/>
    <s v="Contractor Referral"/>
    <x v="7"/>
    <s v="2024-03-25"/>
    <x v="2"/>
    <x v="2"/>
    <x v="2"/>
    <n v="1"/>
    <n v="8"/>
    <s v="2024-05-01"/>
    <x v="0"/>
    <n v="1055873"/>
    <m/>
    <m/>
    <x v="0"/>
    <n v="25.8"/>
    <s v="Cold"/>
    <s v="Lost to branded competitor"/>
  </r>
  <r>
    <s v="LD0742"/>
    <s v="Madhuri Londhe"/>
    <n v="9848807927"/>
    <x v="3"/>
    <x v="2"/>
    <s v="Contractor Referral"/>
    <x v="0"/>
    <s v="2024-03-25"/>
    <x v="2"/>
    <x v="2"/>
    <x v="2"/>
    <n v="1"/>
    <n v="3"/>
    <s v="2024-04-15"/>
    <x v="3"/>
    <n v="337070"/>
    <m/>
    <m/>
    <x v="2"/>
    <n v="40.700000000000003"/>
    <s v="Warm"/>
    <s v="Interested but waiting for loan approval"/>
  </r>
  <r>
    <s v="LD0743"/>
    <s v="Rajesh Gaikwad"/>
    <n v="9336478266"/>
    <x v="3"/>
    <x v="8"/>
    <s v="Instagram Diwali Campaign"/>
    <x v="8"/>
    <s v="2024-03-25"/>
    <x v="2"/>
    <x v="2"/>
    <x v="2"/>
    <n v="1"/>
    <n v="2"/>
    <s v="2024-04-04"/>
    <x v="4"/>
    <n v="785625"/>
    <n v="703324"/>
    <s v="2024-04-12"/>
    <x v="0"/>
    <n v="35.4"/>
    <s v="Hot"/>
    <s v="Customer very satisfied, 5 star review given"/>
  </r>
  <r>
    <s v="LD0744"/>
    <s v="Hemant Mohite"/>
    <n v="9543070745"/>
    <x v="2"/>
    <x v="8"/>
    <s v="Instagram Before-After Posts"/>
    <x v="11"/>
    <s v="2024-03-25"/>
    <x v="2"/>
    <x v="2"/>
    <x v="2"/>
    <n v="1"/>
    <n v="1"/>
    <s v="2024-04-09"/>
    <x v="0"/>
    <n v="455447"/>
    <m/>
    <m/>
    <x v="0"/>
    <n v="45.2"/>
    <s v="Cold"/>
    <s v="Project cancelled by customer"/>
  </r>
  <r>
    <s v="LD0745"/>
    <s v="Mahesh Raut"/>
    <n v="9807236841"/>
    <x v="1"/>
    <x v="1"/>
    <s v="Justdial Premium Listing — Inbound"/>
    <x v="10"/>
    <s v="2024-03-25"/>
    <x v="2"/>
    <x v="2"/>
    <x v="2"/>
    <n v="1"/>
    <n v="3"/>
    <s v="2024-04-10"/>
    <x v="1"/>
    <n v="499567"/>
    <m/>
    <m/>
    <x v="1"/>
    <n v="23.7"/>
    <s v="Hot"/>
    <s v="Sample seen at showroom, liked veneer finish"/>
  </r>
  <r>
    <s v="LD0746"/>
    <s v="Hemant Gaikwad"/>
    <n v="9279202708"/>
    <x v="0"/>
    <x v="2"/>
    <s v="Neighbour Referral"/>
    <x v="6"/>
    <s v="2024-03-25"/>
    <x v="2"/>
    <x v="2"/>
    <x v="2"/>
    <n v="1"/>
    <n v="12"/>
    <s v="2024-05-07"/>
    <x v="3"/>
    <n v="248339"/>
    <m/>
    <m/>
    <x v="3"/>
    <n v="29.5"/>
    <s v="Warm"/>
    <s v="Follow up after flat possession"/>
  </r>
  <r>
    <s v="LD0747"/>
    <s v="Rekha Naik"/>
    <n v="9743940505"/>
    <x v="3"/>
    <x v="7"/>
    <s v="Google My Business"/>
    <x v="5"/>
    <s v="2024-03-25"/>
    <x v="2"/>
    <x v="2"/>
    <x v="2"/>
    <n v="1"/>
    <n v="3"/>
    <s v="2024-04-09"/>
    <x v="4"/>
    <n v="252093"/>
    <n v="227769"/>
    <s v="2024-04-14"/>
    <x v="0"/>
    <n v="8.8000000000000007"/>
    <s v="Hot"/>
    <s v="Token paid, measurement done, work started"/>
  </r>
  <r>
    <s v="LD0748"/>
    <s v="Deepak Nikalje"/>
    <n v="9611355336"/>
    <x v="2"/>
    <x v="8"/>
    <s v="Instagram Kitchen Reels"/>
    <x v="10"/>
    <s v="2024-03-27"/>
    <x v="2"/>
    <x v="2"/>
    <x v="2"/>
    <n v="1"/>
    <n v="8"/>
    <s v="2024-05-13"/>
    <x v="0"/>
    <n v="566147"/>
    <m/>
    <m/>
    <x v="0"/>
    <n v="2.6"/>
    <s v="Cold"/>
    <s v="No response, marked as lost after 60 days"/>
  </r>
  <r>
    <s v="LD0749"/>
    <s v="Kavita More"/>
    <m/>
    <x v="0"/>
    <x v="4"/>
    <s v="99acres Flat Owner Enquiry — Inbound"/>
    <x v="7"/>
    <s v="2024-03-27"/>
    <x v="2"/>
    <x v="2"/>
    <x v="2"/>
    <n v="1"/>
    <n v="12"/>
    <s v="2024-04-27"/>
    <x v="2"/>
    <n v="813656"/>
    <m/>
    <m/>
    <x v="3"/>
    <n v="2.8"/>
    <s v="Warm"/>
    <s v="99acres form submitted, no direct phone available"/>
  </r>
  <r>
    <s v="LD0750"/>
    <s v="Jyoti Gavhane"/>
    <n v="9873031951"/>
    <x v="2"/>
    <x v="2"/>
    <s v="Neighbour Referral"/>
    <x v="4"/>
    <s v="2024-03-27"/>
    <x v="2"/>
    <x v="2"/>
    <x v="2"/>
    <n v="1"/>
    <n v="4"/>
    <s v="2024-04-04"/>
    <x v="4"/>
    <n v="229456"/>
    <n v="230823"/>
    <s v="2024-04-12"/>
    <x v="3"/>
    <n v="11.2"/>
    <s v="Warm"/>
    <s v="Final payment received, project handed over"/>
  </r>
  <r>
    <s v="LD0751"/>
    <s v="Sunita Raut"/>
    <n v="9922861654"/>
    <x v="0"/>
    <x v="4"/>
    <s v="99acres New Project Enquiry — Inbound"/>
    <x v="6"/>
    <s v="2024-03-27"/>
    <x v="2"/>
    <x v="2"/>
    <x v="2"/>
    <n v="1"/>
    <n v="3"/>
    <s v="2024-04-03"/>
    <x v="1"/>
    <n v="340037"/>
    <m/>
    <m/>
    <x v="1"/>
    <n v="26.1"/>
    <s v="Hot"/>
    <s v="Token amount discussed, decision this week"/>
  </r>
  <r>
    <s v="LD0752"/>
    <s v="Sanjay Nikalje"/>
    <n v="9472360508"/>
    <x v="0"/>
    <x v="8"/>
    <s v="Instagram Story Ads"/>
    <x v="0"/>
    <s v="2024-03-28"/>
    <x v="2"/>
    <x v="2"/>
    <x v="2"/>
    <n v="1"/>
    <n v="11"/>
    <s v="2024-05-27"/>
    <x v="0"/>
    <n v="517747"/>
    <m/>
    <m/>
    <x v="1"/>
    <n v="8.6999999999999993"/>
    <s v="Cold"/>
    <s v="Customer got work done from relative"/>
  </r>
  <r>
    <s v="LD0753"/>
    <s v="Ritu Phule"/>
    <n v="9353666379"/>
    <x v="2"/>
    <x v="4"/>
    <s v="99acres Flat Owner Enquiry — Inbound"/>
    <x v="3"/>
    <s v="2024-03-28"/>
    <x v="2"/>
    <x v="2"/>
    <x v="2"/>
    <n v="1"/>
    <n v="4"/>
    <s v="2024-04-23"/>
    <x v="0"/>
    <n v="213887"/>
    <m/>
    <m/>
    <x v="0"/>
    <n v="3.5"/>
    <s v="Warm"/>
    <s v="Lost - no follow up done in time"/>
  </r>
  <r>
    <s v="LD0754"/>
    <s v="Jyoti Sonawane"/>
    <n v="9100010183"/>
    <x v="4"/>
    <x v="6"/>
    <s v="Facebook Diwali Offer"/>
    <x v="7"/>
    <s v="2024-03-30"/>
    <x v="2"/>
    <x v="2"/>
    <x v="2"/>
    <n v="1"/>
    <n v="9"/>
    <s v="2024-04-20"/>
    <x v="3"/>
    <n v="1153064"/>
    <m/>
    <m/>
    <x v="0"/>
    <n v="1"/>
    <s v="Hot"/>
    <s v="Site visit done, quotation shared"/>
  </r>
  <r>
    <s v="LD0755"/>
    <s v="Ganesh Nimbalkar"/>
    <n v="9193974088"/>
    <x v="4"/>
    <x v="8"/>
    <s v="Instagram Before-After Posts"/>
    <x v="10"/>
    <s v="2024-03-30"/>
    <x v="2"/>
    <x v="2"/>
    <x v="2"/>
    <n v="1"/>
    <n v="10"/>
    <s v="2024-06-03"/>
    <x v="2"/>
    <n v="364618"/>
    <m/>
    <m/>
    <x v="0"/>
    <n v="47.2"/>
    <s v="Warm"/>
    <s v="New flat, moving in after 2 months"/>
  </r>
  <r>
    <s v="LD0756"/>
    <s v="Meena Deshmukh"/>
    <n v="9187140166"/>
    <x v="3"/>
    <x v="7"/>
    <s v="SEO Organic"/>
    <x v="0"/>
    <s v="2024-03-30"/>
    <x v="2"/>
    <x v="2"/>
    <x v="2"/>
    <n v="1"/>
    <n v="1"/>
    <s v="2024-04-05"/>
    <x v="0"/>
    <n v="413369"/>
    <m/>
    <m/>
    <x v="1"/>
    <n v="32.299999999999997"/>
    <s v="Cold"/>
    <s v="Budget mismatch - too low"/>
  </r>
  <r>
    <s v="LD0757"/>
    <s v="Divya Shinde"/>
    <n v="9104601001"/>
    <x v="0"/>
    <x v="7"/>
    <s v="SEO Organic"/>
    <x v="8"/>
    <s v="2024-03-30"/>
    <x v="2"/>
    <x v="2"/>
    <x v="2"/>
    <n v="1"/>
    <n v="10"/>
    <s v="2024-05-28"/>
    <x v="3"/>
    <n v="991733"/>
    <m/>
    <m/>
    <x v="0"/>
    <n v="41.1"/>
    <s v="Cold"/>
    <s v="Project on hold"/>
  </r>
  <r>
    <s v="LD0758"/>
    <s v="Pooja Bansode"/>
    <n v="9705499264"/>
    <x v="3"/>
    <x v="8"/>
    <s v="Instagram Story Ads"/>
    <x v="7"/>
    <s v="2024-04-01"/>
    <x v="3"/>
    <x v="3"/>
    <x v="2"/>
    <n v="2"/>
    <n v="4"/>
    <s v="2024-05-04"/>
    <x v="0"/>
    <n v="676922"/>
    <m/>
    <m/>
    <x v="3"/>
    <n v="6.1"/>
    <s v="Cold"/>
    <s v="Budget mismatch - too low"/>
  </r>
  <r>
    <s v="LD0759"/>
    <s v="Ashwini Wagh"/>
    <n v="9718888688"/>
    <x v="2"/>
    <x v="8"/>
    <s v="Instagram Story Ads"/>
    <x v="2"/>
    <s v="2024-04-01"/>
    <x v="3"/>
    <x v="3"/>
    <x v="2"/>
    <n v="2"/>
    <n v="2"/>
    <s v="2024-04-09"/>
    <x v="0"/>
    <n v="443542"/>
    <m/>
    <m/>
    <x v="3"/>
    <n v="36.4"/>
    <s v="Cold"/>
    <s v="Customer got work done from relative"/>
  </r>
  <r>
    <s v="LD0760"/>
    <s v="Sunanda Londhe"/>
    <n v="9964762970"/>
    <x v="0"/>
    <x v="1"/>
    <s v="Justdial Free Listing — Inbound"/>
    <x v="12"/>
    <s v="2024-04-01"/>
    <x v="3"/>
    <x v="3"/>
    <x v="2"/>
    <n v="2"/>
    <n v="1"/>
    <s v="2024-04-08"/>
    <x v="1"/>
    <n v="1359950"/>
    <m/>
    <m/>
    <x v="2"/>
    <n v="8.8000000000000007"/>
    <s v="Hot"/>
    <s v="Measurement done, quote pending approval"/>
  </r>
  <r>
    <s v="LD0761"/>
    <s v="Rekha Deshmukh"/>
    <n v="9920804546"/>
    <x v="0"/>
    <x v="8"/>
    <s v="Instagram Story Ads"/>
    <x v="5"/>
    <s v="2024-04-01"/>
    <x v="3"/>
    <x v="3"/>
    <x v="2"/>
    <n v="2"/>
    <n v="12"/>
    <s v="2024-06-20"/>
    <x v="1"/>
    <n v="113340"/>
    <m/>
    <m/>
    <x v="0"/>
    <n v="35.4"/>
    <s v="Hot"/>
    <m/>
  </r>
  <r>
    <s v="LD0762"/>
    <s v="Amit Naik"/>
    <n v="9699034903"/>
    <x v="2"/>
    <x v="4"/>
    <s v="99acres Flat Owner Enquiry — Inbound"/>
    <x v="2"/>
    <s v="2024-04-01"/>
    <x v="3"/>
    <x v="3"/>
    <x v="2"/>
    <n v="2"/>
    <n v="10"/>
    <s v="2024-06-05"/>
    <x v="0"/>
    <n v="414631"/>
    <m/>
    <m/>
    <x v="1"/>
    <n v="14.6"/>
    <s v="Cold"/>
    <s v="Customer chose readymade furniture"/>
  </r>
  <r>
    <s v="LD0763"/>
    <s v="Varsha Nimbalkar"/>
    <n v="9440780867"/>
    <x v="2"/>
    <x v="1"/>
    <s v="Justdial Free Listing — Inbound"/>
    <x v="0"/>
    <s v="2024-04-01"/>
    <x v="3"/>
    <x v="3"/>
    <x v="2"/>
    <n v="2"/>
    <n v="2"/>
    <s v="2024-04-09"/>
    <x v="3"/>
    <n v="574120"/>
    <m/>
    <m/>
    <x v="0"/>
    <n v="11.9"/>
    <s v="Warm"/>
    <s v="Follow up after Dussehra"/>
  </r>
  <r>
    <s v="LD0764"/>
    <s v="Mahesh Deshmukh"/>
    <n v="9208082677"/>
    <x v="2"/>
    <x v="2"/>
    <s v="Architect Referral"/>
    <x v="8"/>
    <s v="2024-04-01"/>
    <x v="3"/>
    <x v="3"/>
    <x v="2"/>
    <n v="2"/>
    <n v="5"/>
    <s v="2024-05-03"/>
    <x v="0"/>
    <n v="767603"/>
    <m/>
    <m/>
    <x v="0"/>
    <n v="16.8"/>
    <s v="Cold"/>
    <s v="Customer chose readymade furniture"/>
  </r>
  <r>
    <s v="LD0765"/>
    <s v="Sunil Raut"/>
    <n v="9236715628"/>
    <x v="2"/>
    <x v="5"/>
    <s v="Exhibition Walk-in"/>
    <x v="5"/>
    <s v="2024-04-01"/>
    <x v="3"/>
    <x v="3"/>
    <x v="2"/>
    <n v="2"/>
    <n v="6"/>
    <s v="2024-05-13"/>
    <x v="4"/>
    <n v="212642"/>
    <n v="207351"/>
    <s v="2024-06-03"/>
    <x v="3"/>
    <n v="2.2999999999999998"/>
    <s v="Hot"/>
    <s v="Customer referred 2 more leads after delivery"/>
  </r>
  <r>
    <s v="LD0766"/>
    <s v="Hemant Phule"/>
    <n v="9559247215"/>
    <x v="0"/>
    <x v="2"/>
    <s v="Neighbour Referral"/>
    <x v="6"/>
    <s v="2024-04-01"/>
    <x v="3"/>
    <x v="3"/>
    <x v="2"/>
    <n v="2"/>
    <n v="9"/>
    <s v="2024-05-10"/>
    <x v="4"/>
    <n v="202289"/>
    <n v="184534"/>
    <s v="2024-05-28"/>
    <x v="3"/>
    <n v="22.4"/>
    <s v="Warm"/>
    <s v="Customer referred 2 more leads after delivery"/>
  </r>
  <r>
    <s v="LD0767"/>
    <s v="Sunita Shinde"/>
    <n v="9557968054"/>
    <x v="4"/>
    <x v="2"/>
    <s v="Client Referral"/>
    <x v="10"/>
    <s v="2024-04-02"/>
    <x v="3"/>
    <x v="3"/>
    <x v="2"/>
    <n v="2"/>
    <n v="8"/>
    <s v="2024-04-24"/>
    <x v="1"/>
    <n v="477858"/>
    <m/>
    <m/>
    <x v="1"/>
    <n v="21.5"/>
    <s v="Warm"/>
    <s v="Under construction, possession in 3 months"/>
  </r>
  <r>
    <s v="LD0768"/>
    <s v="Ritu Kale"/>
    <n v="9606649882"/>
    <x v="0"/>
    <x v="8"/>
    <s v="Instagram Gudi Padwa Special"/>
    <x v="5"/>
    <s v="2024-04-04"/>
    <x v="3"/>
    <x v="3"/>
    <x v="2"/>
    <n v="2"/>
    <n v="9"/>
    <s v="2024-06-01"/>
    <x v="1"/>
    <n v="200007"/>
    <m/>
    <m/>
    <x v="2"/>
    <n v="30.6"/>
    <s v="Warm"/>
    <m/>
  </r>
  <r>
    <s v="LD0769"/>
    <s v="Sanjay Kale"/>
    <m/>
    <x v="1"/>
    <x v="7"/>
    <s v="Google My Business"/>
    <x v="8"/>
    <s v="2024-04-05"/>
    <x v="3"/>
    <x v="3"/>
    <x v="2"/>
    <n v="2"/>
    <n v="12"/>
    <s v="2024-06-10"/>
    <x v="0"/>
    <n v="444701"/>
    <m/>
    <m/>
    <x v="0"/>
    <n v="24.2"/>
    <s v="Cold"/>
    <s v="Website contact form submitted, no phone given"/>
  </r>
  <r>
    <s v="LD0770"/>
    <s v="Dinesh Phule"/>
    <n v="9449801553"/>
    <x v="4"/>
    <x v="2"/>
    <s v="Client Referral"/>
    <x v="10"/>
    <s v="2024-04-05"/>
    <x v="3"/>
    <x v="3"/>
    <x v="2"/>
    <n v="2"/>
    <n v="11"/>
    <s v="2024-05-15"/>
    <x v="0"/>
    <n v="453046"/>
    <m/>
    <m/>
    <x v="1"/>
    <n v="11.1"/>
    <s v="Warm"/>
    <s v="Customer got work done from relative"/>
  </r>
  <r>
    <s v="LD0771"/>
    <s v="Pravin Deshpande"/>
    <n v="9921462344"/>
    <x v="0"/>
    <x v="6"/>
    <s v="Facebook Home Decor Ads"/>
    <x v="10"/>
    <s v="2024-04-05"/>
    <x v="3"/>
    <x v="3"/>
    <x v="2"/>
    <n v="2"/>
    <n v="3"/>
    <s v="2024-04-20"/>
    <x v="1"/>
    <n v="255984"/>
    <m/>
    <m/>
    <x v="0"/>
    <n v="47.7"/>
    <s v="Warm"/>
    <s v="Call back after 1 month"/>
  </r>
  <r>
    <s v="LD0772"/>
    <s v="Umesh Gaikwad"/>
    <n v="9550756507"/>
    <x v="0"/>
    <x v="8"/>
    <s v="Instagram Diwali Campaign"/>
    <x v="1"/>
    <s v="2024-04-05"/>
    <x v="3"/>
    <x v="3"/>
    <x v="2"/>
    <n v="2"/>
    <n v="4"/>
    <s v="2024-04-22"/>
    <x v="1"/>
    <n v="115572"/>
    <m/>
    <m/>
    <x v="1"/>
    <n v="35.299999999999997"/>
    <s v="Warm"/>
    <s v="Follow up after Diwali"/>
  </r>
  <r>
    <s v="LD0773"/>
    <s v="Amit Holkar"/>
    <n v="9693288872"/>
    <x v="0"/>
    <x v="2"/>
    <s v="Client Referral"/>
    <x v="1"/>
    <s v="2024-04-05"/>
    <x v="3"/>
    <x v="3"/>
    <x v="2"/>
    <n v="2"/>
    <n v="5"/>
    <s v="2024-04-24"/>
    <x v="4"/>
    <n v="130572"/>
    <n v="128554"/>
    <s v="2024-05-01"/>
    <x v="0"/>
    <n v="16.100000000000001"/>
    <s v="Hot"/>
    <s v="Customer very satisfied, 5 star review given"/>
  </r>
  <r>
    <s v="LD0774"/>
    <s v="Dinesh Sonawane"/>
    <n v="9738092118"/>
    <x v="2"/>
    <x v="2"/>
    <s v="Neighbour Referral"/>
    <x v="2"/>
    <s v="2024-04-05"/>
    <x v="3"/>
    <x v="3"/>
    <x v="2"/>
    <n v="2"/>
    <n v="9"/>
    <s v="2024-06-03"/>
    <x v="4"/>
    <n v="504780"/>
    <n v="491062"/>
    <s v="2024-06-15"/>
    <x v="2"/>
    <n v="42.5"/>
    <s v="Hot"/>
    <s v="Full payment cleared, delivery done"/>
  </r>
  <r>
    <s v="LD0775"/>
    <s v="Prashant Nimbalkar"/>
    <n v="9380552950"/>
    <x v="2"/>
    <x v="8"/>
    <s v="Instagram Diwali Campaign"/>
    <x v="5"/>
    <s v="2024-04-06"/>
    <x v="3"/>
    <x v="3"/>
    <x v="2"/>
    <n v="2"/>
    <n v="0"/>
    <s v="2024-04-16"/>
    <x v="1"/>
    <n v="188334"/>
    <m/>
    <m/>
    <x v="1"/>
    <n v="21.4"/>
    <s v="Hot"/>
    <m/>
  </r>
  <r>
    <s v="LD0776"/>
    <s v="Divya Deshmukh"/>
    <n v="9830255110"/>
    <x v="0"/>
    <x v="6"/>
    <s v="Facebook Gudi Padwa Offer"/>
    <x v="2"/>
    <s v="2024-04-08"/>
    <x v="3"/>
    <x v="3"/>
    <x v="2"/>
    <n v="2"/>
    <n v="5"/>
    <s v="2024-04-22"/>
    <x v="0"/>
    <n v="156989"/>
    <m/>
    <m/>
    <x v="1"/>
    <n v="19.2"/>
    <s v="Cold"/>
    <s v="Lost to branded competitor"/>
  </r>
  <r>
    <s v="LD0777"/>
    <s v="Pramod Nimbalkar"/>
    <n v="9946816175"/>
    <x v="4"/>
    <x v="3"/>
    <s v="MagicBricks Property Enquiry — Inbound"/>
    <x v="5"/>
    <s v="2024-04-08"/>
    <x v="3"/>
    <x v="3"/>
    <x v="2"/>
    <n v="2"/>
    <n v="2"/>
    <s v="2024-04-26"/>
    <x v="4"/>
    <n v="319139"/>
    <n v="303796"/>
    <s v="2024-05-09"/>
    <x v="2"/>
    <n v="47.2"/>
    <s v="Hot"/>
    <s v="Deal closed, advance received"/>
  </r>
  <r>
    <s v="LD0778"/>
    <s v="Amit Kadam"/>
    <n v="9415697820"/>
    <x v="0"/>
    <x v="0"/>
    <s v="Colony Reference"/>
    <x v="0"/>
    <s v="2024-04-08"/>
    <x v="3"/>
    <x v="3"/>
    <x v="2"/>
    <n v="2"/>
    <n v="5"/>
    <s v="2024-04-23"/>
    <x v="0"/>
    <n v="628429"/>
    <m/>
    <m/>
    <x v="1"/>
    <n v="8.9"/>
    <s v="Cold"/>
    <s v="Budget mismatch - too low"/>
  </r>
  <r>
    <s v="LD0779"/>
    <s v="Hemant Holkar"/>
    <n v="9957562163"/>
    <x v="2"/>
    <x v="2"/>
    <s v="Client Referral"/>
    <x v="2"/>
    <s v="2024-04-10"/>
    <x v="3"/>
    <x v="3"/>
    <x v="2"/>
    <n v="2"/>
    <n v="9"/>
    <s v="2024-05-07"/>
    <x v="1"/>
    <n v="158870"/>
    <m/>
    <m/>
    <x v="2"/>
    <n v="20.3"/>
    <s v="Warm"/>
    <m/>
  </r>
  <r>
    <s v="LD0780"/>
    <s v="Varsha Tupe"/>
    <n v="9687042874"/>
    <x v="2"/>
    <x v="7"/>
    <s v="SEO Organic"/>
    <x v="2"/>
    <s v="2024-04-11"/>
    <x v="3"/>
    <x v="3"/>
    <x v="2"/>
    <n v="2"/>
    <n v="8"/>
    <s v="2024-05-06"/>
    <x v="4"/>
    <n v="431096"/>
    <n v="435135"/>
    <s v="2024-05-27"/>
    <x v="0"/>
    <n v="33.799999999999997"/>
    <s v="Hot"/>
    <s v="Customer very satisfied, 5 star review given"/>
  </r>
  <r>
    <s v="LD0781"/>
    <s v="Divya Deshmukh"/>
    <n v="9993922237"/>
    <x v="0"/>
    <x v="8"/>
    <s v="Instagram Story Ads"/>
    <x v="2"/>
    <s v="2024-04-11"/>
    <x v="3"/>
    <x v="3"/>
    <x v="2"/>
    <n v="2"/>
    <m/>
    <s v="2024-05-16"/>
    <x v="3"/>
    <n v="526808"/>
    <m/>
    <m/>
    <x v="1"/>
    <n v="38.4"/>
    <s v="Hot"/>
    <s v="Site visit done, quotation shared"/>
  </r>
  <r>
    <s v="LD0782"/>
    <s v="Rekha Kulkarni"/>
    <n v="9157338177"/>
    <x v="2"/>
    <x v="2"/>
    <s v="Neighbour Referral"/>
    <x v="3"/>
    <s v="2024-04-11"/>
    <x v="3"/>
    <x v="3"/>
    <x v="2"/>
    <n v="2"/>
    <n v="10"/>
    <s v="2024-05-25"/>
    <x v="3"/>
    <n v="173310"/>
    <m/>
    <m/>
    <x v="3"/>
    <n v="3.2"/>
    <s v="Hot"/>
    <s v="Ready to proceed, discussing payment terms"/>
  </r>
  <r>
    <s v="LD0783"/>
    <s v="Sunil Joshi"/>
    <n v="9440720011"/>
    <x v="4"/>
    <x v="5"/>
    <s v="Showroom Walk-in"/>
    <x v="2"/>
    <s v="2024-04-11"/>
    <x v="3"/>
    <x v="3"/>
    <x v="2"/>
    <n v="2"/>
    <n v="1"/>
    <s v="2024-04-20"/>
    <x v="1"/>
    <n v="379914"/>
    <m/>
    <m/>
    <x v="3"/>
    <n v="23.4"/>
    <s v="Cold"/>
    <s v="Not interested anymore"/>
  </r>
  <r>
    <s v="LD0784"/>
    <s v="Divya Nimbalkar"/>
    <n v="9732567335"/>
    <x v="4"/>
    <x v="2"/>
    <s v="Contractor Referral"/>
    <x v="2"/>
    <s v="2024-04-11"/>
    <x v="3"/>
    <x v="3"/>
    <x v="2"/>
    <n v="2"/>
    <n v="2"/>
    <s v="2024-04-29"/>
    <x v="4"/>
    <n v="181752"/>
    <n v="180308"/>
    <s v="2024-05-13"/>
    <x v="1"/>
    <n v="47.5"/>
    <s v="Hot"/>
    <s v="Customer happy with sample, deal closed"/>
  </r>
  <r>
    <s v="LD0785"/>
    <s v="Hemant Kale"/>
    <n v="9851739050"/>
    <x v="1"/>
    <x v="2"/>
    <s v="Contractor Referral"/>
    <x v="0"/>
    <s v="2024-04-11"/>
    <x v="3"/>
    <x v="3"/>
    <x v="2"/>
    <n v="2"/>
    <n v="8"/>
    <s v="2024-06-10"/>
    <x v="4"/>
    <n v="621095"/>
    <n v="549769"/>
    <s v="2024-06-25"/>
    <x v="3"/>
    <n v="37.9"/>
    <s v="Hot"/>
    <s v="Work order signed, production started"/>
  </r>
  <r>
    <s v="LD0786"/>
    <s v="Hemant Gaikwad"/>
    <n v="9819012830"/>
    <x v="0"/>
    <x v="3"/>
    <s v="MagicBricks Enquiry — Inbound"/>
    <x v="7"/>
    <s v="2024-04-13"/>
    <x v="3"/>
    <x v="3"/>
    <x v="2"/>
    <n v="2"/>
    <n v="1"/>
    <s v="2024-04-22"/>
    <x v="0"/>
    <n v="629331"/>
    <m/>
    <m/>
    <x v="2"/>
    <n v="8.6999999999999993"/>
    <s v="Warm"/>
    <s v="Customer chose readymade furniture"/>
  </r>
  <r>
    <s v="LD0787"/>
    <s v="Ritu Gaikwad"/>
    <n v="9991536817"/>
    <x v="0"/>
    <x v="5"/>
    <s v="Exhibition Walk-in"/>
    <x v="2"/>
    <s v="2024-04-13"/>
    <x v="3"/>
    <x v="3"/>
    <x v="2"/>
    <n v="2"/>
    <n v="11"/>
    <s v="2024-06-14"/>
    <x v="3"/>
    <n v="167982"/>
    <m/>
    <m/>
    <x v="0"/>
    <n v="45.7"/>
    <s v="Hot"/>
    <s v="Design presentation done, waiting for confirmation"/>
  </r>
  <r>
    <s v="LD0788"/>
    <s v="Pravin Holkar"/>
    <n v="9348409642"/>
    <x v="0"/>
    <x v="2"/>
    <s v="Contractor Referral"/>
    <x v="10"/>
    <s v="2024-04-13"/>
    <x v="3"/>
    <x v="3"/>
    <x v="2"/>
    <n v="2"/>
    <n v="10"/>
    <s v="2024-06-25"/>
    <x v="4"/>
    <n v="337671"/>
    <n v="328956"/>
    <s v="2024-07-15"/>
    <x v="0"/>
    <n v="6.8"/>
    <s v="Hot"/>
    <s v="Deal done, site work ongoing"/>
  </r>
  <r>
    <s v="LD0789"/>
    <s v="Bharati Joshi"/>
    <n v="9160114780"/>
    <x v="2"/>
    <x v="2"/>
    <s v="Client Referral"/>
    <x v="0"/>
    <s v="2024-04-13"/>
    <x v="3"/>
    <x v="3"/>
    <x v="2"/>
    <n v="2"/>
    <n v="5"/>
    <s v="2024-05-23"/>
    <x v="4"/>
    <n v="382611"/>
    <n v="369973"/>
    <s v="2024-05-25"/>
    <x v="1"/>
    <n v="32.4"/>
    <s v="Hot"/>
    <s v="Work order signed, production started"/>
  </r>
  <r>
    <s v="LD0790"/>
    <s v="Devendra Deshmukh"/>
    <n v="9143316721"/>
    <x v="0"/>
    <x v="7"/>
    <s v="Google My Business"/>
    <x v="2"/>
    <s v="2024-04-15"/>
    <x v="3"/>
    <x v="3"/>
    <x v="2"/>
    <n v="2"/>
    <n v="8"/>
    <s v="2024-05-18"/>
    <x v="1"/>
    <n v="270889"/>
    <m/>
    <m/>
    <x v="2"/>
    <n v="7.7"/>
    <s v="Warm"/>
    <s v="Wants more design options before deciding"/>
  </r>
  <r>
    <s v="LD0791"/>
    <s v="Prashant More"/>
    <n v="9180722375"/>
    <x v="2"/>
    <x v="5"/>
    <s v="Exhibition Walk-in"/>
    <x v="9"/>
    <s v="2024-04-15"/>
    <x v="3"/>
    <x v="3"/>
    <x v="2"/>
    <n v="2"/>
    <n v="10"/>
    <s v="2024-06-10"/>
    <x v="3"/>
    <n v="346337"/>
    <m/>
    <m/>
    <x v="1"/>
    <n v="43.5"/>
    <s v="Cold"/>
    <s v="Budget too low for our range"/>
  </r>
  <r>
    <s v="LD0792"/>
    <s v="Jyoti Phule"/>
    <n v="9682271212"/>
    <x v="4"/>
    <x v="7"/>
    <s v="Website Chat Enquiry"/>
    <x v="8"/>
    <s v="2024-04-15"/>
    <x v="3"/>
    <x v="3"/>
    <x v="2"/>
    <n v="2"/>
    <n v="9"/>
    <s v="2024-06-17"/>
    <x v="1"/>
    <n v="1000397"/>
    <m/>
    <m/>
    <x v="0"/>
    <n v="41"/>
    <s v="Cold"/>
    <s v="Price too high as per customer"/>
  </r>
  <r>
    <s v="LD0793"/>
    <s v="Sonal Mane"/>
    <n v="9205498113"/>
    <x v="0"/>
    <x v="8"/>
    <s v="Instagram Kitchen Reels"/>
    <x v="5"/>
    <s v="2024-04-15"/>
    <x v="3"/>
    <x v="3"/>
    <x v="2"/>
    <n v="2"/>
    <n v="0"/>
    <s v="2024-04-25"/>
    <x v="1"/>
    <n v="218910"/>
    <m/>
    <m/>
    <x v="1"/>
    <n v="4.4000000000000004"/>
    <s v="Warm"/>
    <s v="Site visit to be scheduled"/>
  </r>
  <r>
    <s v="LD0794"/>
    <s v="Pooja Kshirsagar"/>
    <n v="9416753801"/>
    <x v="1"/>
    <x v="7"/>
    <s v="SEO Organic"/>
    <x v="9"/>
    <s v="2024-04-15"/>
    <x v="3"/>
    <x v="3"/>
    <x v="2"/>
    <n v="2"/>
    <n v="3"/>
    <s v="2024-04-23"/>
    <x v="4"/>
    <n v="398746"/>
    <n v="374717"/>
    <s v="2024-04-30"/>
    <x v="1"/>
    <n v="10"/>
    <s v="Hot"/>
    <s v="Customer referred 2 more leads after delivery"/>
  </r>
  <r>
    <s v="LD0795"/>
    <s v="Divya Zende"/>
    <n v="9636424728"/>
    <x v="1"/>
    <x v="7"/>
    <s v="SEO Organic"/>
    <x v="12"/>
    <s v="2024-04-15"/>
    <x v="3"/>
    <x v="3"/>
    <x v="2"/>
    <n v="2"/>
    <n v="9"/>
    <s v="2024-06-14"/>
    <x v="1"/>
    <n v="1161281"/>
    <m/>
    <m/>
    <x v="0"/>
    <n v="30"/>
    <s v="Warm"/>
    <s v="Waiting for interior budget approval from family"/>
  </r>
  <r>
    <s v="LD0796"/>
    <s v="Jyoti Wagh"/>
    <n v="9846698400"/>
    <x v="2"/>
    <x v="5"/>
    <s v="Site Visit Walk-in"/>
    <x v="2"/>
    <s v="2024-04-15"/>
    <x v="3"/>
    <x v="3"/>
    <x v="2"/>
    <n v="2"/>
    <n v="5"/>
    <s v="2024-05-07"/>
    <x v="4"/>
    <n v="223547"/>
    <n v="223457"/>
    <s v="2024-05-22"/>
    <x v="1"/>
    <n v="12.3"/>
    <s v="Hot"/>
    <s v="Token paid, measurement done, work started"/>
  </r>
  <r>
    <s v="LD0797"/>
    <s v="Dinesh Bhalerao"/>
    <n v="9840782918"/>
    <x v="0"/>
    <x v="5"/>
    <s v="Showroom Walk-in"/>
    <x v="7"/>
    <s v="2024-04-16"/>
    <x v="3"/>
    <x v="3"/>
    <x v="2"/>
    <n v="2"/>
    <n v="10"/>
    <s v="2024-05-20"/>
    <x v="4"/>
    <n v="853159"/>
    <n v="781197"/>
    <s v="2024-05-25"/>
    <x v="1"/>
    <n v="45.6"/>
    <s v="Hot"/>
    <s v="Final payment received, project handed over"/>
  </r>
  <r>
    <s v="LD0798"/>
    <s v="Nikhil Jadhav"/>
    <n v="9370702411"/>
    <x v="2"/>
    <x v="8"/>
    <s v="Instagram Wardrobe Showcase"/>
    <x v="5"/>
    <s v="2024-04-17"/>
    <x v="3"/>
    <x v="3"/>
    <x v="2"/>
    <n v="2"/>
    <n v="7"/>
    <s v="2024-06-03"/>
    <x v="1"/>
    <n v="115938"/>
    <m/>
    <m/>
    <x v="0"/>
    <n v="9.8000000000000007"/>
    <s v="Warm"/>
    <s v="Wants more design options before deciding"/>
  </r>
  <r>
    <s v="LD0799"/>
    <s v="Anita Mohite"/>
    <n v="9132147715"/>
    <x v="4"/>
    <x v="3"/>
    <s v="MagicBricks Enquiry — Inbound"/>
    <x v="9"/>
    <s v="2024-04-17"/>
    <x v="3"/>
    <x v="3"/>
    <x v="2"/>
    <n v="2"/>
    <n v="2"/>
    <s v="2024-05-09"/>
    <x v="3"/>
    <n v="213542"/>
    <m/>
    <m/>
    <x v="3"/>
    <n v="42.7"/>
    <s v="Cold"/>
    <s v="No call back after site visit"/>
  </r>
  <r>
    <s v="LD0800"/>
    <s v="Bharati Patil"/>
    <n v="9301524161"/>
    <x v="2"/>
    <x v="8"/>
    <s v="Instagram Story Ads"/>
    <x v="0"/>
    <s v="2024-04-17"/>
    <x v="3"/>
    <x v="3"/>
    <x v="2"/>
    <n v="2"/>
    <n v="8"/>
    <s v="2024-05-16"/>
    <x v="1"/>
    <n v="784622"/>
    <m/>
    <m/>
    <x v="0"/>
    <n v="24.4"/>
    <s v="Cold"/>
    <s v="Not interested anymore"/>
  </r>
  <r>
    <s v="LD0801"/>
    <s v="Kiran Joshi"/>
    <n v="9791758190"/>
    <x v="3"/>
    <x v="2"/>
    <s v="Neighbour Referral"/>
    <x v="3"/>
    <s v="2024-04-17"/>
    <x v="3"/>
    <x v="3"/>
    <x v="2"/>
    <n v="2"/>
    <n v="12"/>
    <s v="2024-07-01"/>
    <x v="4"/>
    <n v="228806"/>
    <n v="226220"/>
    <s v="2024-07-19"/>
    <x v="0"/>
    <n v="37.1"/>
    <s v="Hot"/>
    <s v="Token received, design finalised"/>
  </r>
  <r>
    <s v="LD0802"/>
    <s v="Deepak Aware"/>
    <n v="9400151735"/>
    <x v="1"/>
    <x v="8"/>
    <s v="Instagram Wardrobe Showcase"/>
    <x v="4"/>
    <s v="2024-04-18"/>
    <x v="3"/>
    <x v="3"/>
    <x v="2"/>
    <n v="2"/>
    <n v="0"/>
    <s v="2024-04-29"/>
    <x v="4"/>
    <n v="144873"/>
    <n v="139661"/>
    <s v="2024-05-19"/>
    <x v="1"/>
    <n v="37.5"/>
    <s v="Warm"/>
    <s v="Token received, design finalised"/>
  </r>
  <r>
    <s v="LD0803"/>
    <s v="Prashant Tupe"/>
    <n v="9168162300"/>
    <x v="0"/>
    <x v="2"/>
    <s v="Neighbour Referral"/>
    <x v="7"/>
    <s v="2024-04-18"/>
    <x v="3"/>
    <x v="3"/>
    <x v="2"/>
    <n v="2"/>
    <n v="4"/>
    <s v="2024-05-13"/>
    <x v="0"/>
    <n v="1030113"/>
    <m/>
    <m/>
    <x v="3"/>
    <n v="44.9"/>
    <s v="Cold"/>
    <s v="Customer did not proceed with project"/>
  </r>
  <r>
    <s v="LD0804"/>
    <s v="Sunil Bansode"/>
    <n v="9858235280"/>
    <x v="2"/>
    <x v="7"/>
    <s v="Google Ads"/>
    <x v="11"/>
    <s v="2024-04-19"/>
    <x v="3"/>
    <x v="3"/>
    <x v="2"/>
    <n v="2"/>
    <n v="9"/>
    <s v="2024-05-20"/>
    <x v="3"/>
    <n v="348507"/>
    <m/>
    <m/>
    <x v="0"/>
    <n v="47.8"/>
    <s v="Hot"/>
    <s v="Customer comparing 1-2 vendors only"/>
  </r>
  <r>
    <s v="LD0805"/>
    <s v="Devendra Bansode"/>
    <n v="9121013174"/>
    <x v="0"/>
    <x v="3"/>
    <s v="MagicBricks Property Enquiry — Inbound"/>
    <x v="3"/>
    <s v="2024-04-19"/>
    <x v="3"/>
    <x v="3"/>
    <x v="2"/>
    <n v="2"/>
    <n v="12"/>
    <s v="2024-06-19"/>
    <x v="4"/>
    <m/>
    <n v="128081"/>
    <s v="2024-06-26"/>
    <x v="3"/>
    <n v="41.2"/>
    <s v="Warm"/>
    <m/>
  </r>
  <r>
    <s v="LD0806"/>
    <s v="Varsha Chavan"/>
    <n v="9195763645"/>
    <x v="3"/>
    <x v="8"/>
    <s v="Instagram Kitchen Reels"/>
    <x v="8"/>
    <s v="2024-04-19"/>
    <x v="3"/>
    <x v="3"/>
    <x v="2"/>
    <n v="2"/>
    <n v="3"/>
    <s v="2024-05-01"/>
    <x v="1"/>
    <n v="559209"/>
    <m/>
    <m/>
    <x v="1"/>
    <n v="26.1"/>
    <s v="Warm"/>
    <s v="Call back after 1 month"/>
  </r>
  <r>
    <s v="LD0807"/>
    <s v="Ravi Deshmukh"/>
    <n v="9346240377"/>
    <x v="4"/>
    <x v="8"/>
    <s v="Instagram Kitchen Reels"/>
    <x v="3"/>
    <s v="2024-04-22"/>
    <x v="3"/>
    <x v="3"/>
    <x v="2"/>
    <n v="2"/>
    <n v="3"/>
    <s v="2024-05-14"/>
    <x v="0"/>
    <n v="231740"/>
    <m/>
    <m/>
    <x v="0"/>
    <n v="35.200000000000003"/>
    <s v="Cold"/>
    <m/>
  </r>
  <r>
    <s v="LD0808"/>
    <s v="Ganesh More"/>
    <n v="9192352716"/>
    <x v="2"/>
    <x v="6"/>
    <s v="Facebook Home Decor Ads"/>
    <x v="8"/>
    <s v="2024-04-22"/>
    <x v="3"/>
    <x v="3"/>
    <x v="2"/>
    <n v="2"/>
    <n v="9"/>
    <s v="2024-05-27"/>
    <x v="3"/>
    <n v="939866"/>
    <m/>
    <m/>
    <x v="1"/>
    <n v="10.4"/>
    <s v="Hot"/>
    <s v="Design presentation done, waiting for confirmation"/>
  </r>
  <r>
    <s v="LD0809"/>
    <s v="Ravi Deshpande"/>
    <n v="9467897759"/>
    <x v="3"/>
    <x v="2"/>
    <s v="Neighbour Referral"/>
    <x v="12"/>
    <s v="2024-04-22"/>
    <x v="3"/>
    <x v="3"/>
    <x v="2"/>
    <n v="2"/>
    <n v="4"/>
    <s v="2024-05-18"/>
    <x v="0"/>
    <n v="1421845"/>
    <m/>
    <m/>
    <x v="1"/>
    <n v="32.6"/>
    <s v="Warm"/>
    <s v="Budget mismatch - too low"/>
  </r>
  <r>
    <s v="LD0810"/>
    <s v="Amit Kshirsagar"/>
    <n v="9970009392"/>
    <x v="0"/>
    <x v="3"/>
    <s v="MagicBricks Property Enquiry — Inbound"/>
    <x v="5"/>
    <s v="2024-04-22"/>
    <x v="3"/>
    <x v="3"/>
    <x v="2"/>
    <n v="2"/>
    <n v="7"/>
    <s v="2024-06-11"/>
    <x v="3"/>
    <n v="274555"/>
    <m/>
    <m/>
    <x v="1"/>
    <n v="4.9000000000000004"/>
    <s v="Hot"/>
    <s v="Customer visited showroom twice, very interested"/>
  </r>
  <r>
    <s v="LD0811"/>
    <s v="Kavita More"/>
    <n v="9354164898"/>
    <x v="4"/>
    <x v="3"/>
    <s v="MagicBricks Enquiry — Inbound"/>
    <x v="3"/>
    <s v="2024-04-23"/>
    <x v="3"/>
    <x v="3"/>
    <x v="2"/>
    <n v="2"/>
    <n v="10"/>
    <s v="2024-06-21"/>
    <x v="4"/>
    <n v="55053"/>
    <n v="55109"/>
    <s v="2024-07-07"/>
    <x v="0"/>
    <n v="20.2"/>
    <s v="Warm"/>
    <s v="Work order signed, production started"/>
  </r>
  <r>
    <s v="LD0812"/>
    <s v="Ravi Joshi"/>
    <n v="9336771632"/>
    <x v="0"/>
    <x v="2"/>
    <s v="Neighbour Referral"/>
    <x v="0"/>
    <s v="2024-04-24"/>
    <x v="3"/>
    <x v="3"/>
    <x v="2"/>
    <n v="2"/>
    <n v="10"/>
    <s v="2024-05-27"/>
    <x v="0"/>
    <n v="577945"/>
    <m/>
    <m/>
    <x v="1"/>
    <n v="45.6"/>
    <s v="Cold"/>
    <s v="Lost to competitor - cheaper quote"/>
  </r>
  <r>
    <s v="LD0813"/>
    <s v="Manoj Gaikwad"/>
    <n v="9312590309"/>
    <x v="0"/>
    <x v="5"/>
    <s v="Showroom Walk-in"/>
    <x v="2"/>
    <s v="2024-04-24"/>
    <x v="3"/>
    <x v="3"/>
    <x v="2"/>
    <n v="2"/>
    <n v="0"/>
    <s v="2024-05-09"/>
    <x v="4"/>
    <n v="362546"/>
    <n v="369843"/>
    <s v="2024-05-17"/>
    <x v="1"/>
    <n v="38"/>
    <s v="Hot"/>
    <s v="Work order signed, production started"/>
  </r>
  <r>
    <s v="LD0814"/>
    <s v="Prashant Sonawane"/>
    <n v="9674735990"/>
    <x v="2"/>
    <x v="8"/>
    <s v="Instagram Diwali Campaign"/>
    <x v="5"/>
    <s v="2024-04-25"/>
    <x v="3"/>
    <x v="3"/>
    <x v="2"/>
    <n v="2"/>
    <n v="1"/>
    <s v="2024-05-15"/>
    <x v="1"/>
    <n v="249857"/>
    <m/>
    <m/>
    <x v="2"/>
    <n v="36.799999999999997"/>
    <s v="Warm"/>
    <s v="Follow up after flat possession"/>
  </r>
  <r>
    <s v="LD0815"/>
    <s v="Mahesh Patil"/>
    <n v="9542768047"/>
    <x v="0"/>
    <x v="5"/>
    <s v="Exhibition Walk-in"/>
    <x v="6"/>
    <s v="2024-04-25"/>
    <x v="3"/>
    <x v="3"/>
    <x v="2"/>
    <n v="2"/>
    <n v="3"/>
    <s v="2024-05-15"/>
    <x v="0"/>
    <n v="324820"/>
    <m/>
    <m/>
    <x v="0"/>
    <n v="27.6"/>
    <s v="Warm"/>
    <s v="Lost to competitor - cheaper quote"/>
  </r>
  <r>
    <s v="LD0816"/>
    <s v="Rajesh Joshi"/>
    <n v="9996480096"/>
    <x v="1"/>
    <x v="3"/>
    <s v="MagicBricks Enquiry — Inbound"/>
    <x v="5"/>
    <s v="2024-04-26"/>
    <x v="3"/>
    <x v="3"/>
    <x v="2"/>
    <n v="2"/>
    <n v="11"/>
    <s v="2024-06-24"/>
    <x v="4"/>
    <n v="223695"/>
    <n v="220826"/>
    <s v="2024-07-12"/>
    <x v="1"/>
    <n v="45.6"/>
    <s v="Hot"/>
    <s v="Deal closed, advance received"/>
  </r>
  <r>
    <s v="LD0817"/>
    <s v="Divya Gaikwad"/>
    <n v="9845732616"/>
    <x v="2"/>
    <x v="0"/>
    <s v="Family Reference"/>
    <x v="5"/>
    <s v="2024-04-27"/>
    <x v="3"/>
    <x v="3"/>
    <x v="2"/>
    <n v="2"/>
    <n v="6"/>
    <s v="2024-06-14"/>
    <x v="4"/>
    <n v="278783"/>
    <n v="281042"/>
    <s v="2024-06-30"/>
    <x v="2"/>
    <n v="10.199999999999999"/>
    <s v="Warm"/>
    <s v="Customer happy with sample, deal closed"/>
  </r>
  <r>
    <s v="LD0818"/>
    <s v="Kavita Bansode"/>
    <n v="9404565986"/>
    <x v="4"/>
    <x v="1"/>
    <s v="Justdial Sponsored — Inbound"/>
    <x v="0"/>
    <s v="2024-04-27"/>
    <x v="3"/>
    <x v="3"/>
    <x v="2"/>
    <n v="2"/>
    <n v="3"/>
    <s v="2024-05-25"/>
    <x v="4"/>
    <n v="489416"/>
    <n v="453266"/>
    <s v="2024-06-08"/>
    <x v="0"/>
    <n v="29.1"/>
    <s v="Hot"/>
    <s v="Token received, design finalised"/>
  </r>
  <r>
    <s v="LD0819"/>
    <s v="Arun Bhosale"/>
    <n v="9983200030"/>
    <x v="0"/>
    <x v="4"/>
    <s v="99acres New Project Enquiry — Inbound"/>
    <x v="2"/>
    <s v="2024-04-27"/>
    <x v="3"/>
    <x v="3"/>
    <x v="2"/>
    <n v="2"/>
    <n v="7"/>
    <s v="2024-05-29"/>
    <x v="0"/>
    <n v="329982"/>
    <m/>
    <m/>
    <x v="1"/>
    <n v="40"/>
    <s v="Cold"/>
    <s v="Customer chose readymade furniture"/>
  </r>
  <r>
    <s v="LD0820"/>
    <s v="Kiran Zende"/>
    <n v="9759688210"/>
    <x v="4"/>
    <x v="8"/>
    <s v="Instagram Diwali Campaign"/>
    <x v="5"/>
    <s v="2024-04-29"/>
    <x v="3"/>
    <x v="3"/>
    <x v="2"/>
    <n v="2"/>
    <n v="4"/>
    <s v="2024-05-16"/>
    <x v="1"/>
    <n v="126229"/>
    <m/>
    <m/>
    <x v="1"/>
    <n v="41.7"/>
    <s v="Warm"/>
    <s v="Follow up after flat possession"/>
  </r>
  <r>
    <s v="LD0821"/>
    <s v="Dinesh Londhe"/>
    <n v="9522363610"/>
    <x v="2"/>
    <x v="1"/>
    <s v="Justdial Free Listing — Inbound"/>
    <x v="4"/>
    <s v="2024-04-29"/>
    <x v="3"/>
    <x v="3"/>
    <x v="2"/>
    <n v="2"/>
    <n v="5"/>
    <s v="2024-06-01"/>
    <x v="0"/>
    <n v="268145"/>
    <m/>
    <m/>
    <x v="1"/>
    <n v="11.5"/>
    <s v="Warm"/>
    <m/>
  </r>
  <r>
    <s v="LD0822"/>
    <s v="Madhuri Bhalerao"/>
    <n v="9697097434"/>
    <x v="4"/>
    <x v="8"/>
    <s v="Instagram Gudi Padwa Special"/>
    <x v="0"/>
    <s v="2024-04-29"/>
    <x v="3"/>
    <x v="3"/>
    <x v="2"/>
    <n v="2"/>
    <n v="8"/>
    <s v="2024-06-20"/>
    <x v="4"/>
    <n v="634700"/>
    <n v="566198"/>
    <s v="2024-06-22"/>
    <x v="1"/>
    <n v="14.7"/>
    <s v="Hot"/>
    <s v="Work order signed, production started"/>
  </r>
  <r>
    <s v="LD0823"/>
    <s v="Devendra Bhalerao"/>
    <n v="9537224982"/>
    <x v="2"/>
    <x v="2"/>
    <s v="Client Referral"/>
    <x v="0"/>
    <s v="2024-04-29"/>
    <x v="3"/>
    <x v="3"/>
    <x v="2"/>
    <n v="2"/>
    <n v="6"/>
    <s v="2024-05-20"/>
    <x v="2"/>
    <m/>
    <m/>
    <m/>
    <x v="1"/>
    <n v="36.6"/>
    <s v="Cold"/>
    <s v="Duplicate enquiry"/>
  </r>
  <r>
    <s v="LD0824"/>
    <s v="Vijay Deshpande"/>
    <n v="9961134201"/>
    <x v="3"/>
    <x v="7"/>
    <s v="Google My Business"/>
    <x v="8"/>
    <s v="2024-04-29"/>
    <x v="3"/>
    <x v="3"/>
    <x v="2"/>
    <n v="2"/>
    <n v="2"/>
    <s v="2024-05-11"/>
    <x v="1"/>
    <n v="947565"/>
    <m/>
    <m/>
    <x v="1"/>
    <n v="45.1"/>
    <s v="Warm"/>
    <m/>
  </r>
  <r>
    <s v="LD0825"/>
    <s v="Santosh Chavan"/>
    <n v="9924198469"/>
    <x v="1"/>
    <x v="5"/>
    <s v="Exhibition Walk-in"/>
    <x v="4"/>
    <s v="2024-04-29"/>
    <x v="3"/>
    <x v="3"/>
    <x v="2"/>
    <n v="2"/>
    <n v="11"/>
    <s v="2024-06-05"/>
    <x v="0"/>
    <n v="226378"/>
    <m/>
    <m/>
    <x v="0"/>
    <n v="22.4"/>
    <s v="Warm"/>
    <s v="Customer did not proceed with project"/>
  </r>
  <r>
    <s v="LD0826"/>
    <s v="Amit Shelke"/>
    <m/>
    <x v="4"/>
    <x v="3"/>
    <s v="MagicBricks Property Enquiry — Inbound"/>
    <x v="9"/>
    <s v="2024-04-30"/>
    <x v="3"/>
    <x v="3"/>
    <x v="2"/>
    <n v="2"/>
    <n v="9"/>
    <s v="2024-05-27"/>
    <x v="0"/>
    <n v="397261"/>
    <m/>
    <m/>
    <x v="0"/>
    <n v="45"/>
    <s v="Cold"/>
    <s v="MagicBricks form submitted, customer unreachable"/>
  </r>
  <r>
    <s v="LD0827"/>
    <s v="Devendra More"/>
    <n v="9683761760"/>
    <x v="1"/>
    <x v="8"/>
    <s v="Instagram Gudi Padwa Special"/>
    <x v="8"/>
    <s v="2024-04-30"/>
    <x v="3"/>
    <x v="3"/>
    <x v="2"/>
    <n v="2"/>
    <n v="3"/>
    <s v="2024-05-08"/>
    <x v="1"/>
    <n v="471676"/>
    <m/>
    <m/>
    <x v="1"/>
    <n v="11.9"/>
    <s v="Warm"/>
    <s v="Follow up after flat possession"/>
  </r>
  <r>
    <s v="LD0828"/>
    <s v="Sanjay Bansode"/>
    <n v="9137720016"/>
    <x v="4"/>
    <x v="8"/>
    <s v="Instagram Story Ads"/>
    <x v="3"/>
    <s v="2024-04-30"/>
    <x v="3"/>
    <x v="3"/>
    <x v="2"/>
    <n v="2"/>
    <n v="7"/>
    <s v="2024-06-08"/>
    <x v="1"/>
    <n v="79072"/>
    <m/>
    <m/>
    <x v="1"/>
    <n v="40.200000000000003"/>
    <s v="Warm"/>
    <s v="Follow up after Diwali"/>
  </r>
  <r>
    <s v="LD0829"/>
    <s v="Nikhil Deshmukh"/>
    <n v="9467638808"/>
    <x v="0"/>
    <x v="4"/>
    <s v="99acres New Project Enquiry — Inbound"/>
    <x v="8"/>
    <s v="2024-05-02"/>
    <x v="4"/>
    <x v="4"/>
    <x v="2"/>
    <n v="2"/>
    <n v="2"/>
    <s v="2024-05-16"/>
    <x v="0"/>
    <n v="512776"/>
    <m/>
    <m/>
    <x v="1"/>
    <n v="20.399999999999999"/>
    <s v="Cold"/>
    <s v="Customer got work done from relative"/>
  </r>
  <r>
    <s v="LD0830"/>
    <s v="Rajesh Pawar"/>
    <n v="9508326415"/>
    <x v="3"/>
    <x v="0"/>
    <s v="Colony Reference"/>
    <x v="2"/>
    <s v="2024-05-02"/>
    <x v="4"/>
    <x v="4"/>
    <x v="2"/>
    <n v="2"/>
    <n v="0"/>
    <s v="2024-05-08"/>
    <x v="0"/>
    <n v="439978"/>
    <m/>
    <m/>
    <x v="1"/>
    <n v="44.5"/>
    <s v="Cold"/>
    <s v="Lost to branded competitor"/>
  </r>
  <r>
    <s v="LD0831"/>
    <s v="Suresh Gaikwad"/>
    <n v="9510794353"/>
    <x v="2"/>
    <x v="7"/>
    <s v="SEO Organic"/>
    <x v="2"/>
    <s v="2024-05-02"/>
    <x v="4"/>
    <x v="4"/>
    <x v="2"/>
    <n v="2"/>
    <n v="7"/>
    <s v="2024-05-28"/>
    <x v="4"/>
    <n v="502036"/>
    <n v="479664"/>
    <s v="2024-05-31"/>
    <x v="3"/>
    <n v="46.1"/>
    <s v="Warm"/>
    <s v="Work order signed, production started"/>
  </r>
  <r>
    <s v="LD0832"/>
    <s v="Pooja Tupe"/>
    <m/>
    <x v="2"/>
    <x v="6"/>
    <s v="Facebook Gudi Padwa Offer"/>
    <x v="2"/>
    <s v="2024-05-03"/>
    <x v="4"/>
    <x v="4"/>
    <x v="2"/>
    <n v="2"/>
    <n v="1"/>
    <s v="2024-05-10"/>
    <x v="0"/>
    <n v="255245"/>
    <m/>
    <m/>
    <x v="1"/>
    <n v="32.5"/>
    <s v="Cold"/>
    <s v="Facebook form filled, number not provided"/>
  </r>
  <r>
    <s v="LD0833"/>
    <s v="Ritu Kulkarni"/>
    <n v="9530159369"/>
    <x v="2"/>
    <x v="5"/>
    <s v="Exhibition Walk-in"/>
    <x v="0"/>
    <s v="2024-05-04"/>
    <x v="4"/>
    <x v="4"/>
    <x v="2"/>
    <n v="2"/>
    <n v="4"/>
    <s v="2024-05-31"/>
    <x v="1"/>
    <n v="821730"/>
    <m/>
    <m/>
    <x v="3"/>
    <n v="14.5"/>
    <s v="Cold"/>
    <s v="Project on hold"/>
  </r>
  <r>
    <s v="LD0834"/>
    <s v="Sanjay Mane"/>
    <n v="9299875360"/>
    <x v="0"/>
    <x v="2"/>
    <s v="Architect Referral"/>
    <x v="0"/>
    <s v="2024-05-04"/>
    <x v="4"/>
    <x v="4"/>
    <x v="2"/>
    <n v="2"/>
    <n v="7"/>
    <s v="2024-06-03"/>
    <x v="1"/>
    <n v="512523"/>
    <m/>
    <m/>
    <x v="1"/>
    <n v="33.299999999999997"/>
    <s v="Hot"/>
    <s v="Ready to proceed, discussing payment terms"/>
  </r>
  <r>
    <s v="LD0835"/>
    <s v="Mahesh Tupe"/>
    <n v="9932706150"/>
    <x v="4"/>
    <x v="2"/>
    <s v="Neighbour Referral"/>
    <x v="7"/>
    <s v="2024-05-06"/>
    <x v="4"/>
    <x v="4"/>
    <x v="2"/>
    <n v="2"/>
    <n v="9"/>
    <s v="2024-05-27"/>
    <x v="4"/>
    <n v="1295137"/>
    <n v="1150452"/>
    <s v="2024-06-08"/>
    <x v="1"/>
    <n v="7.4"/>
    <s v="Hot"/>
    <s v="Work order signed, production started"/>
  </r>
  <r>
    <s v="LD0836"/>
    <s v="Kiran Nikalje"/>
    <n v="9740167827"/>
    <x v="4"/>
    <x v="1"/>
    <s v="Justdial Free Listing — Inbound"/>
    <x v="8"/>
    <s v="2024-05-06"/>
    <x v="4"/>
    <x v="4"/>
    <x v="2"/>
    <n v="2"/>
    <n v="12"/>
    <s v="2024-06-12"/>
    <x v="1"/>
    <n v="547213"/>
    <m/>
    <m/>
    <x v="2"/>
    <n v="4.0999999999999996"/>
    <s v="Cold"/>
    <s v="Price too high as per customer"/>
  </r>
  <r>
    <s v="LD0837"/>
    <s v="Anita Tupe"/>
    <n v="9700961387"/>
    <x v="4"/>
    <x v="2"/>
    <s v="Client Referral"/>
    <x v="8"/>
    <s v="2024-05-07"/>
    <x v="4"/>
    <x v="4"/>
    <x v="2"/>
    <n v="2"/>
    <n v="7"/>
    <s v="2024-07-01"/>
    <x v="4"/>
    <n v="834937"/>
    <n v="826880"/>
    <s v="2024-07-11"/>
    <x v="2"/>
    <n v="44.9"/>
    <s v="Hot"/>
    <s v="Customer happy with sample, deal closed"/>
  </r>
  <r>
    <s v="LD0838"/>
    <s v="Devendra Yadav"/>
    <n v="9891007412"/>
    <x v="1"/>
    <x v="5"/>
    <s v="Showroom Walk-in"/>
    <x v="7"/>
    <s v="2024-05-08"/>
    <x v="4"/>
    <x v="4"/>
    <x v="2"/>
    <n v="2"/>
    <n v="12"/>
    <s v="2024-06-08"/>
    <x v="4"/>
    <n v="689924"/>
    <n v="672752"/>
    <s v="2024-06-26"/>
    <x v="1"/>
    <n v="3.1"/>
    <s v="Hot"/>
    <m/>
  </r>
  <r>
    <s v="LD0839"/>
    <s v="Sonal Chavan"/>
    <n v="9575466049"/>
    <x v="0"/>
    <x v="1"/>
    <s v="Justdial Free Listing — Inbound"/>
    <x v="2"/>
    <s v="2024-05-08"/>
    <x v="4"/>
    <x v="4"/>
    <x v="2"/>
    <n v="2"/>
    <n v="12"/>
    <s v="2024-06-24"/>
    <x v="1"/>
    <n v="151021"/>
    <m/>
    <m/>
    <x v="1"/>
    <n v="22.2"/>
    <s v="Warm"/>
    <m/>
  </r>
  <r>
    <s v="LD0840"/>
    <s v="Kiran Raut"/>
    <m/>
    <x v="3"/>
    <x v="3"/>
    <s v="MagicBricks Property Enquiry — Inbound"/>
    <x v="1"/>
    <s v="2024-05-10"/>
    <x v="4"/>
    <x v="4"/>
    <x v="2"/>
    <n v="2"/>
    <n v="4"/>
    <s v="2024-05-29"/>
    <x v="2"/>
    <n v="317388"/>
    <m/>
    <m/>
    <x v="1"/>
    <n v="23.8"/>
    <s v="Cold"/>
    <s v="MagicBricks portal lead — masked number, no response"/>
  </r>
  <r>
    <s v="LD0841"/>
    <s v="Shweta Sonawane"/>
    <n v="9756413880"/>
    <x v="1"/>
    <x v="7"/>
    <s v="Website Chat Enquiry"/>
    <x v="5"/>
    <s v="2024-05-11"/>
    <x v="4"/>
    <x v="4"/>
    <x v="2"/>
    <n v="2"/>
    <n v="2"/>
    <s v="2024-05-29"/>
    <x v="0"/>
    <n v="253416"/>
    <m/>
    <m/>
    <x v="1"/>
    <n v="42.5"/>
    <s v="Cold"/>
    <s v="Went with local vendor"/>
  </r>
  <r>
    <s v="LD0842"/>
    <s v="Alka Salve"/>
    <n v="9260218791"/>
    <x v="1"/>
    <x v="8"/>
    <s v="Instagram Diwali Campaign"/>
    <x v="0"/>
    <s v="2024-05-13"/>
    <x v="4"/>
    <x v="4"/>
    <x v="2"/>
    <n v="2"/>
    <n v="3"/>
    <s v="2024-06-07"/>
    <x v="3"/>
    <n v="746137"/>
    <m/>
    <m/>
    <x v="0"/>
    <n v="40.299999999999997"/>
    <s v="Hot"/>
    <m/>
  </r>
  <r>
    <s v="LD0843"/>
    <s v="Rohit Aware"/>
    <n v="9325933645"/>
    <x v="0"/>
    <x v="8"/>
    <s v="Instagram Kitchen Reels"/>
    <x v="0"/>
    <s v="2024-05-13"/>
    <x v="4"/>
    <x v="4"/>
    <x v="2"/>
    <n v="2"/>
    <n v="3"/>
    <s v="2024-05-23"/>
    <x v="0"/>
    <n v="635834"/>
    <m/>
    <m/>
    <x v="1"/>
    <n v="10.1"/>
    <s v="Cold"/>
    <s v="Lost to branded competitor"/>
  </r>
  <r>
    <s v="LD0844"/>
    <s v="Rohit Kulkarni"/>
    <n v="9454691010"/>
    <x v="0"/>
    <x v="4"/>
    <s v="99acres Flat Owner Enquiry — Inbound"/>
    <x v="0"/>
    <s v="2024-05-14"/>
    <x v="4"/>
    <x v="4"/>
    <x v="2"/>
    <n v="2"/>
    <n v="0"/>
    <s v="2024-05-20"/>
    <x v="0"/>
    <n v="311427"/>
    <m/>
    <m/>
    <x v="2"/>
    <n v="23.3"/>
    <s v="Cold"/>
    <s v="Customer chose readymade furniture"/>
  </r>
  <r>
    <s v="LD0845"/>
    <s v="Pramod Kakade"/>
    <n v="9617385129"/>
    <x v="3"/>
    <x v="3"/>
    <s v="MagicBricks Property Enquiry — Inbound"/>
    <x v="2"/>
    <s v="2024-05-15"/>
    <x v="4"/>
    <x v="4"/>
    <x v="2"/>
    <n v="2"/>
    <n v="3"/>
    <s v="2024-05-22"/>
    <x v="4"/>
    <n v="222407"/>
    <n v="209145"/>
    <s v="2024-06-01"/>
    <x v="0"/>
    <n v="15.4"/>
    <s v="Hot"/>
    <m/>
  </r>
  <r>
    <s v="LD0846"/>
    <s v="Amit Sawant"/>
    <n v="9165370487"/>
    <x v="0"/>
    <x v="6"/>
    <s v="Facebook Gudi Padwa Offer"/>
    <x v="7"/>
    <s v="2024-05-17"/>
    <x v="4"/>
    <x v="4"/>
    <x v="2"/>
    <n v="2"/>
    <n v="5"/>
    <s v="2024-06-05"/>
    <x v="0"/>
    <n v="1251302"/>
    <m/>
    <m/>
    <x v="2"/>
    <n v="18.5"/>
    <s v="Cold"/>
    <s v="No response, marked as lost after 60 days"/>
  </r>
  <r>
    <s v="LD0847"/>
    <s v="Vijay Bhalerao"/>
    <n v="9671781603"/>
    <x v="0"/>
    <x v="3"/>
    <s v="MagicBricks Property Enquiry — Inbound"/>
    <x v="0"/>
    <s v="2024-05-20"/>
    <x v="4"/>
    <x v="4"/>
    <x v="2"/>
    <n v="2"/>
    <n v="11"/>
    <s v="2024-07-17"/>
    <x v="1"/>
    <n v="832514"/>
    <m/>
    <m/>
    <x v="1"/>
    <n v="24"/>
    <s v="Warm"/>
    <s v="Site visit to be scheduled"/>
  </r>
  <r>
    <s v="LD0848"/>
    <s v="Kiran Joshi"/>
    <n v="9859680301"/>
    <x v="2"/>
    <x v="6"/>
    <s v="Facebook Gudi Padwa Offer"/>
    <x v="9"/>
    <s v="2024-05-20"/>
    <x v="4"/>
    <x v="4"/>
    <x v="2"/>
    <n v="2"/>
    <n v="12"/>
    <s v="2024-07-22"/>
    <x v="4"/>
    <n v="347021"/>
    <n v="351701"/>
    <s v="2024-07-26"/>
    <x v="0"/>
    <n v="28.5"/>
    <s v="Hot"/>
    <s v="Customer happy with sample, deal closed"/>
  </r>
  <r>
    <s v="LD0849"/>
    <s v="Manisha Mane"/>
    <n v="9304465908"/>
    <x v="2"/>
    <x v="2"/>
    <s v="Client Referral"/>
    <x v="2"/>
    <s v="2024-05-21"/>
    <x v="4"/>
    <x v="4"/>
    <x v="2"/>
    <n v="2"/>
    <n v="8"/>
    <s v="2024-06-19"/>
    <x v="4"/>
    <n v="540009"/>
    <n v="528012"/>
    <s v="2024-06-26"/>
    <x v="2"/>
    <n v="14.5"/>
    <s v="Warm"/>
    <s v="Work order signed, production started"/>
  </r>
  <r>
    <s v="LD0850"/>
    <s v="Madhuri Phule"/>
    <n v="9760576146"/>
    <x v="1"/>
    <x v="8"/>
    <s v="Instagram Gudi Padwa Special"/>
    <x v="0"/>
    <s v="2024-05-22"/>
    <x v="4"/>
    <x v="4"/>
    <x v="2"/>
    <n v="2"/>
    <n v="3"/>
    <s v="2024-06-08"/>
    <x v="3"/>
    <n v="661354"/>
    <m/>
    <m/>
    <x v="0"/>
    <n v="45"/>
    <s v="Cold"/>
    <s v="Just enquiring, no serious intent"/>
  </r>
  <r>
    <s v="LD0851"/>
    <s v="Bharati Kale"/>
    <m/>
    <x v="3"/>
    <x v="6"/>
    <s v="Facebook Home Decor Ads"/>
    <x v="9"/>
    <s v="2024-05-22"/>
    <x v="4"/>
    <x v="4"/>
    <x v="2"/>
    <n v="2"/>
    <n v="12"/>
    <s v="2024-07-22"/>
    <x v="0"/>
    <n v="219069"/>
    <m/>
    <m/>
    <x v="0"/>
    <n v="43.5"/>
    <s v="Warm"/>
    <s v="Facebook form filled, number not provided"/>
  </r>
  <r>
    <s v="LD0852"/>
    <s v="Devendra Aware"/>
    <n v="9384876123"/>
    <x v="2"/>
    <x v="2"/>
    <s v="Architect Referral"/>
    <x v="2"/>
    <s v="2024-05-23"/>
    <x v="4"/>
    <x v="4"/>
    <x v="2"/>
    <n v="2"/>
    <n v="6"/>
    <s v="2024-06-10"/>
    <x v="4"/>
    <n v="201635"/>
    <n v="202320"/>
    <s v="2024-06-29"/>
    <x v="2"/>
    <n v="7.3"/>
    <s v="Warm"/>
    <s v="Deal closed, advance received"/>
  </r>
  <r>
    <s v="LD0853"/>
    <s v="Sonal Bhosale"/>
    <n v="9733848221"/>
    <x v="0"/>
    <x v="1"/>
    <s v="Justdial Free Listing — Inbound"/>
    <x v="4"/>
    <s v="2024-05-23"/>
    <x v="4"/>
    <x v="4"/>
    <x v="2"/>
    <n v="2"/>
    <n v="6"/>
    <s v="2024-07-11"/>
    <x v="4"/>
    <n v="285368"/>
    <n v="287415"/>
    <s v="2024-07-28"/>
    <x v="2"/>
    <n v="40"/>
    <s v="Hot"/>
    <s v="Work order signed, production started"/>
  </r>
  <r>
    <s v="LD0854"/>
    <s v="Smita Kakade"/>
    <n v="9853778605"/>
    <x v="0"/>
    <x v="7"/>
    <s v="SEO Organic"/>
    <x v="8"/>
    <s v="2024-05-23"/>
    <x v="4"/>
    <x v="4"/>
    <x v="2"/>
    <n v="2"/>
    <n v="2"/>
    <s v="2024-06-10"/>
    <x v="0"/>
    <n v="524826"/>
    <m/>
    <m/>
    <x v="0"/>
    <n v="28.3"/>
    <s v="Cold"/>
    <s v="Lost to competitor - cheaper quote"/>
  </r>
  <r>
    <s v="LD0855"/>
    <s v="Nanda Bhalerao"/>
    <n v="9739838225"/>
    <x v="1"/>
    <x v="3"/>
    <s v="MagicBricks Property Enquiry — Inbound"/>
    <x v="2"/>
    <s v="2024-05-24"/>
    <x v="4"/>
    <x v="4"/>
    <x v="2"/>
    <n v="2"/>
    <n v="0"/>
    <s v="2024-05-31"/>
    <x v="1"/>
    <n v="236578"/>
    <m/>
    <m/>
    <x v="0"/>
    <n v="21.7"/>
    <s v="Warm"/>
    <s v="Call back after 1 month"/>
  </r>
  <r>
    <s v="LD0856"/>
    <s v="Pramod Kale"/>
    <n v="9449076166"/>
    <x v="4"/>
    <x v="2"/>
    <s v="Client Referral"/>
    <x v="2"/>
    <s v="2024-05-24"/>
    <x v="4"/>
    <x v="4"/>
    <x v="2"/>
    <n v="2"/>
    <n v="8"/>
    <s v="2024-06-22"/>
    <x v="1"/>
    <n v="220889"/>
    <m/>
    <m/>
    <x v="2"/>
    <n v="15.3"/>
    <s v="Hot"/>
    <s v="Measurement done, quote pending approval"/>
  </r>
  <r>
    <s v="LD0857"/>
    <s v="Dinesh Gavhane"/>
    <n v="9109386819"/>
    <x v="2"/>
    <x v="6"/>
    <s v="Facebook Kitchen Showcase"/>
    <x v="2"/>
    <s v="2024-05-25"/>
    <x v="4"/>
    <x v="4"/>
    <x v="2"/>
    <n v="2"/>
    <n v="10"/>
    <s v="2024-07-20"/>
    <x v="1"/>
    <n v="292403"/>
    <m/>
    <m/>
    <x v="0"/>
    <n v="38.1"/>
    <s v="Hot"/>
    <s v="Sample seen at showroom, liked veneer finish"/>
  </r>
  <r>
    <s v="LD0858"/>
    <s v="Nikhil Kshirsagar"/>
    <n v="9934302577"/>
    <x v="2"/>
    <x v="6"/>
    <s v="Facebook Diwali Offer"/>
    <x v="9"/>
    <s v="2024-05-28"/>
    <x v="4"/>
    <x v="4"/>
    <x v="2"/>
    <n v="2"/>
    <n v="0"/>
    <s v="2024-06-07"/>
    <x v="0"/>
    <n v="333342"/>
    <m/>
    <m/>
    <x v="1"/>
    <n v="10.6"/>
    <s v="Cold"/>
    <s v="No response, marked as lost after 60 days"/>
  </r>
  <r>
    <s v="LD0859"/>
    <s v="Shweta Thorat"/>
    <n v="9686926776"/>
    <x v="3"/>
    <x v="4"/>
    <s v="99acres New Project Enquiry — Inbound"/>
    <x v="2"/>
    <s v="2024-05-29"/>
    <x v="4"/>
    <x v="4"/>
    <x v="2"/>
    <n v="2"/>
    <n v="10"/>
    <s v="2024-07-22"/>
    <x v="2"/>
    <n v="381969"/>
    <m/>
    <m/>
    <x v="2"/>
    <n v="28.6"/>
    <s v="Cold"/>
    <s v="Not responding to calls"/>
  </r>
  <r>
    <s v="LD0860"/>
    <s v="Arun Bansode"/>
    <n v="9722767457"/>
    <x v="3"/>
    <x v="7"/>
    <s v="Google Ads"/>
    <x v="7"/>
    <s v="2024-05-30"/>
    <x v="4"/>
    <x v="4"/>
    <x v="2"/>
    <n v="2"/>
    <n v="1"/>
    <s v="2024-06-10"/>
    <x v="0"/>
    <n v="1209730"/>
    <m/>
    <m/>
    <x v="0"/>
    <m/>
    <s v="Cold"/>
    <s v="Budget mismatch - too low"/>
  </r>
  <r>
    <s v="LD0861"/>
    <s v="Nikhil Kadam"/>
    <n v="9594717731"/>
    <x v="4"/>
    <x v="3"/>
    <s v="MagicBricks Property Enquiry — Inbound"/>
    <x v="10"/>
    <s v="2024-05-30"/>
    <x v="4"/>
    <x v="4"/>
    <x v="2"/>
    <n v="2"/>
    <n v="0"/>
    <s v="2024-06-04"/>
    <x v="3"/>
    <n v="324123"/>
    <m/>
    <m/>
    <x v="2"/>
    <n v="42.5"/>
    <s v="Hot"/>
    <m/>
  </r>
  <r>
    <s v="LD0862"/>
    <s v="Varsha Holkar"/>
    <n v="9549669742"/>
    <x v="4"/>
    <x v="2"/>
    <s v="Architect Referral"/>
    <x v="6"/>
    <s v="2024-05-31"/>
    <x v="4"/>
    <x v="4"/>
    <x v="2"/>
    <n v="2"/>
    <n v="12"/>
    <s v="2024-06-25"/>
    <x v="0"/>
    <n v="124436"/>
    <m/>
    <m/>
    <x v="1"/>
    <n v="26.3"/>
    <s v="Cold"/>
    <s v="Went with local vendor"/>
  </r>
  <r>
    <s v="LD0863"/>
    <s v="Sachin Gavhane"/>
    <n v="9381516573"/>
    <x v="0"/>
    <x v="5"/>
    <s v="Site Visit Walk-in"/>
    <x v="4"/>
    <s v="2024-06-03"/>
    <x v="5"/>
    <x v="5"/>
    <x v="2"/>
    <n v="2"/>
    <n v="4"/>
    <s v="2024-07-08"/>
    <x v="0"/>
    <n v="139948"/>
    <m/>
    <m/>
    <x v="2"/>
    <n v="43.8"/>
    <s v="Cold"/>
    <s v="Went with local vendor"/>
  </r>
  <r>
    <s v="LD0864"/>
    <s v="Deepak Patil"/>
    <n v="9713793422"/>
    <x v="0"/>
    <x v="3"/>
    <s v="MagicBricks Property Enquiry — Inbound"/>
    <x v="7"/>
    <s v="2024-06-03"/>
    <x v="5"/>
    <x v="5"/>
    <x v="2"/>
    <n v="2"/>
    <n v="4"/>
    <s v="2024-06-13"/>
    <x v="0"/>
    <n v="794145"/>
    <m/>
    <m/>
    <x v="1"/>
    <n v="9.8000000000000007"/>
    <s v="Cold"/>
    <s v="Customer got work done from relative"/>
  </r>
  <r>
    <s v="LD0865"/>
    <s v="Jyoti Bansode"/>
    <n v="9215921670"/>
    <x v="2"/>
    <x v="2"/>
    <s v="Architect Referral"/>
    <x v="0"/>
    <s v="2024-06-03"/>
    <x v="5"/>
    <x v="5"/>
    <x v="2"/>
    <n v="2"/>
    <n v="10"/>
    <s v="2024-07-08"/>
    <x v="2"/>
    <n v="449919"/>
    <m/>
    <m/>
    <x v="3"/>
    <n v="12.7"/>
    <s v="Cold"/>
    <s v="No response after 4 follow ups"/>
  </r>
  <r>
    <s v="LD0866"/>
    <s v="Anita Joshi"/>
    <n v="9792543112"/>
    <x v="3"/>
    <x v="6"/>
    <s v="Facebook Gudi Padwa Offer"/>
    <x v="7"/>
    <s v="2024-06-04"/>
    <x v="5"/>
    <x v="5"/>
    <x v="2"/>
    <n v="2"/>
    <n v="12"/>
    <s v="2024-07-03"/>
    <x v="0"/>
    <n v="864853"/>
    <m/>
    <m/>
    <x v="2"/>
    <n v="19.100000000000001"/>
    <s v="Cold"/>
    <s v="Customer did not proceed with project"/>
  </r>
  <r>
    <s v="LD0867"/>
    <s v="Pramod Aware"/>
    <n v="9694372055"/>
    <x v="2"/>
    <x v="0"/>
    <s v="Friend Reference"/>
    <x v="5"/>
    <s v="2024-06-05"/>
    <x v="5"/>
    <x v="5"/>
    <x v="2"/>
    <n v="2"/>
    <n v="11"/>
    <s v="2024-08-14"/>
    <x v="4"/>
    <n v="282684"/>
    <n v="289139"/>
    <s v="2024-08-27"/>
    <x v="1"/>
    <n v="22.1"/>
    <s v="Hot"/>
    <m/>
  </r>
  <r>
    <s v="LD0868"/>
    <s v="Manisha Gaikwad"/>
    <n v="9881896279"/>
    <x v="4"/>
    <x v="1"/>
    <s v="Justdial Premium Listing — Inbound"/>
    <x v="9"/>
    <s v="2024-06-06"/>
    <x v="5"/>
    <x v="5"/>
    <x v="2"/>
    <n v="2"/>
    <n v="1"/>
    <s v="2024-06-15"/>
    <x v="2"/>
    <n v="367472"/>
    <m/>
    <m/>
    <x v="3"/>
    <n v="3.1"/>
    <s v="Cold"/>
    <s v="Went with local carpenter"/>
  </r>
  <r>
    <s v="LD0869"/>
    <s v="Smita Pawar"/>
    <n v="9300508459"/>
    <x v="4"/>
    <x v="8"/>
    <s v="Instagram Story Ads"/>
    <x v="7"/>
    <s v="2024-06-06"/>
    <x v="5"/>
    <x v="5"/>
    <x v="2"/>
    <n v="2"/>
    <n v="0"/>
    <s v="2024-06-08"/>
    <x v="1"/>
    <n v="1314853"/>
    <m/>
    <m/>
    <x v="1"/>
    <n v="29.6"/>
    <s v="Hot"/>
    <s v="Customer comparing 1-2 vendors only"/>
  </r>
  <r>
    <s v="LD0870"/>
    <s v="Amit Zende"/>
    <n v="9455846034"/>
    <x v="0"/>
    <x v="8"/>
    <s v="Instagram Kitchen Reels"/>
    <x v="13"/>
    <s v="2024-06-07"/>
    <x v="5"/>
    <x v="5"/>
    <x v="2"/>
    <n v="2"/>
    <n v="5"/>
    <s v="2024-07-20"/>
    <x v="0"/>
    <n v="1515211"/>
    <m/>
    <m/>
    <x v="3"/>
    <n v="39.4"/>
    <s v="Warm"/>
    <s v="Lost to branded competitor"/>
  </r>
  <r>
    <s v="LD0871"/>
    <s v="Arun Sonawane"/>
    <n v="9582679659"/>
    <x v="3"/>
    <x v="1"/>
    <s v="Justdial Sponsored — Inbound"/>
    <x v="0"/>
    <s v="2024-06-08"/>
    <x v="5"/>
    <x v="5"/>
    <x v="2"/>
    <n v="2"/>
    <n v="3"/>
    <s v="2024-07-03"/>
    <x v="2"/>
    <n v="727348"/>
    <m/>
    <m/>
    <x v="3"/>
    <n v="9.1999999999999993"/>
    <s v="Cold"/>
    <s v="Just enquiring, no serious intent"/>
  </r>
  <r>
    <s v="LD0872"/>
    <s v="Alka Gaikwad"/>
    <n v="9738390187"/>
    <x v="0"/>
    <x v="1"/>
    <s v="Justdial Premium Listing — Inbound"/>
    <x v="8"/>
    <s v="2024-06-10"/>
    <x v="5"/>
    <x v="5"/>
    <x v="2"/>
    <n v="2"/>
    <n v="12"/>
    <s v="2024-08-06"/>
    <x v="0"/>
    <n v="821882"/>
    <m/>
    <m/>
    <x v="2"/>
    <n v="43.8"/>
    <s v="Cold"/>
    <s v="Budget mismatch - too low"/>
  </r>
  <r>
    <s v="LD0873"/>
    <s v="Sunil Nikalje"/>
    <n v="9207987918"/>
    <x v="2"/>
    <x v="3"/>
    <s v="MagicBricks Enquiry — Inbound"/>
    <x v="0"/>
    <s v="2024-06-10"/>
    <x v="5"/>
    <x v="5"/>
    <x v="2"/>
    <n v="2"/>
    <n v="4"/>
    <s v="2024-06-19"/>
    <x v="3"/>
    <n v="719475"/>
    <m/>
    <m/>
    <x v="0"/>
    <n v="5.2"/>
    <s v="Hot"/>
    <s v="Final quote shared, awaiting approval"/>
  </r>
  <r>
    <s v="LD0874"/>
    <s v="Seema Gaikwad"/>
    <n v="9732157125"/>
    <x v="0"/>
    <x v="4"/>
    <s v="99acres Flat Owner Enquiry — Inbound"/>
    <x v="10"/>
    <s v="2024-06-10"/>
    <x v="5"/>
    <x v="5"/>
    <x v="2"/>
    <n v="2"/>
    <n v="11"/>
    <s v="2024-08-20"/>
    <x v="4"/>
    <n v="303966"/>
    <n v="306019"/>
    <s v="2024-09-06"/>
    <x v="3"/>
    <n v="25.9"/>
    <s v="Hot"/>
    <s v="Customer very satisfied, 5 star review given"/>
  </r>
  <r>
    <s v="LD0875"/>
    <s v="Shweta Mohite"/>
    <n v="9939913662"/>
    <x v="2"/>
    <x v="6"/>
    <s v="Facebook Gudi Padwa Offer"/>
    <x v="0"/>
    <s v="2024-06-11"/>
    <x v="5"/>
    <x v="5"/>
    <x v="2"/>
    <n v="2"/>
    <n v="0"/>
    <s v="2024-06-22"/>
    <x v="1"/>
    <n v="501019"/>
    <m/>
    <m/>
    <x v="0"/>
    <n v="37.700000000000003"/>
    <s v="Hot"/>
    <s v="Sample seen at showroom, liked veneer finish"/>
  </r>
  <r>
    <s v="LD0876"/>
    <s v="Hemant Kakade"/>
    <n v="9890788287"/>
    <x v="4"/>
    <x v="8"/>
    <s v="Instagram Before-After Posts"/>
    <x v="2"/>
    <s v="2024-06-11"/>
    <x v="5"/>
    <x v="5"/>
    <x v="2"/>
    <n v="2"/>
    <n v="4"/>
    <s v="2024-07-16"/>
    <x v="3"/>
    <n v="298526"/>
    <m/>
    <m/>
    <x v="0"/>
    <n v="44.9"/>
    <s v="Hot"/>
    <s v="Customer visited showroom twice, very interested"/>
  </r>
  <r>
    <s v="LD0877"/>
    <s v="Seema More"/>
    <n v="9303313908"/>
    <x v="0"/>
    <x v="6"/>
    <s v="Facebook Gudi Padwa Offer"/>
    <x v="7"/>
    <s v="2024-06-13"/>
    <x v="5"/>
    <x v="5"/>
    <x v="2"/>
    <n v="2"/>
    <n v="11"/>
    <s v="2024-08-02"/>
    <x v="4"/>
    <n v="872488"/>
    <n v="862727"/>
    <s v="2024-08-07"/>
    <x v="2"/>
    <n v="41.8"/>
    <s v="Hot"/>
    <s v="Work order signed, production started"/>
  </r>
  <r>
    <s v="LD0878"/>
    <s v="Bharati Sonawane"/>
    <n v="9126600019"/>
    <x v="3"/>
    <x v="2"/>
    <s v="Neighbour Referral"/>
    <x v="3"/>
    <s v="2024-06-14"/>
    <x v="5"/>
    <x v="5"/>
    <x v="2"/>
    <n v="2"/>
    <n v="0"/>
    <s v="2024-06-25"/>
    <x v="2"/>
    <n v="193798"/>
    <m/>
    <m/>
    <x v="0"/>
    <n v="16.399999999999999"/>
    <s v="Cold"/>
    <m/>
  </r>
  <r>
    <s v="LD0879"/>
    <s v="Nikhil Naik"/>
    <n v="9156737741"/>
    <x v="3"/>
    <x v="3"/>
    <s v="MagicBricks Enquiry — Inbound"/>
    <x v="0"/>
    <s v="2024-06-17"/>
    <x v="5"/>
    <x v="5"/>
    <x v="2"/>
    <n v="2"/>
    <n v="1"/>
    <s v="2024-06-29"/>
    <x v="4"/>
    <n v="424640"/>
    <n v="376023"/>
    <s v="2024-07-13"/>
    <x v="1"/>
    <n v="28"/>
    <s v="Hot"/>
    <s v="Final payment received, project handed over"/>
  </r>
  <r>
    <s v="LD0880"/>
    <s v="Rohit Gavhane"/>
    <n v="9309366141"/>
    <x v="3"/>
    <x v="2"/>
    <s v="Architect Referral"/>
    <x v="4"/>
    <s v="2024-06-18"/>
    <x v="5"/>
    <x v="5"/>
    <x v="2"/>
    <n v="2"/>
    <n v="12"/>
    <s v="2024-09-02"/>
    <x v="1"/>
    <n v="143444"/>
    <m/>
    <m/>
    <x v="1"/>
    <n v="23.7"/>
    <s v="Hot"/>
    <s v="Customer visited showroom twice, very interested"/>
  </r>
  <r>
    <s v="LD0881"/>
    <s v="Pooja Bhosale"/>
    <n v="9436677834"/>
    <x v="0"/>
    <x v="7"/>
    <s v="Google My Business"/>
    <x v="3"/>
    <s v="2024-06-18"/>
    <x v="5"/>
    <x v="5"/>
    <x v="2"/>
    <n v="2"/>
    <n v="5"/>
    <s v="2024-07-08"/>
    <x v="1"/>
    <n v="215753"/>
    <m/>
    <m/>
    <x v="0"/>
    <n v="27.7"/>
    <s v="Warm"/>
    <s v="Follow up after Akshaya Tritiya"/>
  </r>
  <r>
    <s v="LD0882"/>
    <s v="Rajesh Joshi"/>
    <n v="9484791405"/>
    <x v="0"/>
    <x v="1"/>
    <s v="Justdial Premium Listing — Inbound"/>
    <x v="2"/>
    <s v="2024-06-18"/>
    <x v="5"/>
    <x v="5"/>
    <x v="2"/>
    <n v="2"/>
    <n v="2"/>
    <s v="2024-07-10"/>
    <x v="0"/>
    <n v="324539"/>
    <m/>
    <m/>
    <x v="2"/>
    <n v="7"/>
    <s v="Cold"/>
    <s v="Lost to branded competitor"/>
  </r>
  <r>
    <s v="LD0883"/>
    <s v="Seema Kulkarni"/>
    <n v="9355347107"/>
    <x v="3"/>
    <x v="7"/>
    <s v="Google Ads"/>
    <x v="6"/>
    <s v="2024-06-18"/>
    <x v="5"/>
    <x v="5"/>
    <x v="2"/>
    <n v="2"/>
    <n v="6"/>
    <s v="2024-07-15"/>
    <x v="0"/>
    <n v="348668"/>
    <m/>
    <m/>
    <x v="1"/>
    <n v="18.399999999999999"/>
    <s v="Cold"/>
    <s v="Project cancelled by customer"/>
  </r>
  <r>
    <s v="LD0884"/>
    <s v="Ganesh Gavhane"/>
    <n v="9567940971"/>
    <x v="2"/>
    <x v="5"/>
    <s v="Showroom Walk-in"/>
    <x v="2"/>
    <s v="2024-06-19"/>
    <x v="5"/>
    <x v="5"/>
    <x v="2"/>
    <n v="2"/>
    <n v="9"/>
    <s v="2024-08-08"/>
    <x v="4"/>
    <n v="237197"/>
    <n v="235875"/>
    <s v="2024-08-23"/>
    <x v="2"/>
    <n v="43.4"/>
    <s v="Hot"/>
    <s v="Deal closed, advance received"/>
  </r>
  <r>
    <s v="LD0885"/>
    <s v="Manisha Tupe"/>
    <n v="9271053100"/>
    <x v="2"/>
    <x v="1"/>
    <s v="Justdial Sponsored — Inbound"/>
    <x v="1"/>
    <s v="2024-06-20"/>
    <x v="5"/>
    <x v="5"/>
    <x v="2"/>
    <n v="2"/>
    <n v="11"/>
    <s v="2024-08-21"/>
    <x v="1"/>
    <n v="250183"/>
    <m/>
    <m/>
    <x v="1"/>
    <n v="7.6"/>
    <s v="Hot"/>
    <s v="Ready to proceed, discussing payment terms"/>
  </r>
  <r>
    <s v="LD0886"/>
    <s v="Madhuri Raut"/>
    <n v="9676203014"/>
    <x v="0"/>
    <x v="5"/>
    <s v="Site Visit Walk-in"/>
    <x v="7"/>
    <s v="2024-06-20"/>
    <x v="5"/>
    <x v="5"/>
    <x v="2"/>
    <n v="2"/>
    <n v="3"/>
    <s v="2024-07-18"/>
    <x v="1"/>
    <n v="1290630"/>
    <m/>
    <m/>
    <x v="1"/>
    <n v="43.8"/>
    <s v="Warm"/>
    <s v="Follow up after Akshaya Tritiya"/>
  </r>
  <r>
    <s v="LD0887"/>
    <s v="Ganesh Deshmukh"/>
    <n v="9346356379"/>
    <x v="0"/>
    <x v="2"/>
    <s v="Client Referral"/>
    <x v="3"/>
    <s v="2024-06-20"/>
    <x v="5"/>
    <x v="5"/>
    <x v="2"/>
    <n v="2"/>
    <n v="5"/>
    <s v="2024-07-24"/>
    <x v="4"/>
    <n v="241974"/>
    <n v="217815"/>
    <s v="2024-08-12"/>
    <x v="0"/>
    <n v="38.299999999999997"/>
    <s v="Hot"/>
    <s v="Full payment cleared, delivery done"/>
  </r>
  <r>
    <s v="LD0888"/>
    <s v="Divya Pawar"/>
    <n v="9148084413"/>
    <x v="4"/>
    <x v="8"/>
    <s v="Instagram Wardrobe Showcase"/>
    <x v="6"/>
    <s v="2024-06-21"/>
    <x v="5"/>
    <x v="5"/>
    <x v="2"/>
    <n v="2"/>
    <n v="11"/>
    <s v="2024-08-19"/>
    <x v="4"/>
    <n v="172628"/>
    <n v="166862"/>
    <s v="2024-09-07"/>
    <x v="0"/>
    <n v="41.7"/>
    <s v="Hot"/>
    <s v="Full payment cleared, delivery done"/>
  </r>
  <r>
    <s v="LD0889"/>
    <s v="Manoj Gaikwad"/>
    <n v="9559021927"/>
    <x v="0"/>
    <x v="8"/>
    <s v="Instagram Diwali Campaign"/>
    <x v="2"/>
    <s v="2024-06-21"/>
    <x v="5"/>
    <x v="5"/>
    <x v="2"/>
    <n v="2"/>
    <n v="5"/>
    <s v="2024-07-09"/>
    <x v="4"/>
    <n v="323460"/>
    <n v="314739"/>
    <s v="2024-07-19"/>
    <x v="1"/>
    <n v="43.5"/>
    <s v="Hot"/>
    <s v="Final payment received, project handed over"/>
  </r>
  <r>
    <s v="LD0890"/>
    <s v="Sachin Deshpande"/>
    <n v="9388143722"/>
    <x v="0"/>
    <x v="4"/>
    <s v="99acres Flat Owner Enquiry — Inbound"/>
    <x v="1"/>
    <s v="2024-06-21"/>
    <x v="5"/>
    <x v="5"/>
    <x v="2"/>
    <n v="2"/>
    <n v="8"/>
    <s v="2024-07-29"/>
    <x v="2"/>
    <n v="160937"/>
    <m/>
    <m/>
    <x v="0"/>
    <n v="33.700000000000003"/>
    <s v="Cold"/>
    <s v="Project on hold"/>
  </r>
  <r>
    <s v="LD0891"/>
    <s v="Prashant Suryawanshi"/>
    <n v="9298328666"/>
    <x v="0"/>
    <x v="1"/>
    <s v="Justdial Premium Listing — Inbound"/>
    <x v="1"/>
    <s v="2024-06-24"/>
    <x v="5"/>
    <x v="5"/>
    <x v="2"/>
    <n v="2"/>
    <n v="12"/>
    <s v="2024-08-01"/>
    <x v="3"/>
    <n v="334173"/>
    <m/>
    <m/>
    <x v="0"/>
    <n v="20.399999999999999"/>
    <s v="Warm"/>
    <s v="New flat, moving in after 2 months"/>
  </r>
  <r>
    <s v="LD0892"/>
    <s v="Suresh Joshi"/>
    <n v="9999269991"/>
    <x v="4"/>
    <x v="7"/>
    <s v="Google My Business"/>
    <x v="8"/>
    <s v="2024-06-26"/>
    <x v="5"/>
    <x v="5"/>
    <x v="2"/>
    <n v="2"/>
    <n v="0"/>
    <s v="2024-07-06"/>
    <x v="2"/>
    <n v="694171"/>
    <m/>
    <m/>
    <x v="2"/>
    <n v="36.9"/>
    <s v="Cold"/>
    <s v="Wrong number provided"/>
  </r>
  <r>
    <s v="LD0893"/>
    <s v="Manisha Sonawane"/>
    <n v="9666086673"/>
    <x v="0"/>
    <x v="8"/>
    <s v="Instagram Story Ads"/>
    <x v="3"/>
    <s v="2024-06-26"/>
    <x v="5"/>
    <x v="5"/>
    <x v="2"/>
    <n v="2"/>
    <n v="4"/>
    <s v="2024-07-17"/>
    <x v="0"/>
    <n v="149693"/>
    <m/>
    <m/>
    <x v="1"/>
    <n v="42.4"/>
    <s v="Cold"/>
    <s v="Lost - no follow up done in time"/>
  </r>
  <r>
    <s v="LD0894"/>
    <s v="Archana Deshmukh"/>
    <n v="9178142594"/>
    <x v="2"/>
    <x v="8"/>
    <s v="Instagram Before-After Posts"/>
    <x v="1"/>
    <s v="2024-06-29"/>
    <x v="5"/>
    <x v="5"/>
    <x v="2"/>
    <n v="2"/>
    <n v="3"/>
    <s v="2024-07-22"/>
    <x v="0"/>
    <n v="129466"/>
    <m/>
    <m/>
    <x v="1"/>
    <n v="24"/>
    <s v="Cold"/>
    <s v="Customer got work done from relative"/>
  </r>
  <r>
    <s v="LD0895"/>
    <s v="Pravin Suryawanshi"/>
    <n v="9640479208"/>
    <x v="0"/>
    <x v="6"/>
    <s v="Facebook Gudi Padwa Offer"/>
    <x v="9"/>
    <s v="2024-06-29"/>
    <x v="5"/>
    <x v="5"/>
    <x v="2"/>
    <n v="2"/>
    <n v="2"/>
    <s v="2024-07-11"/>
    <x v="0"/>
    <m/>
    <m/>
    <m/>
    <x v="0"/>
    <n v="2.2999999999999998"/>
    <s v="Warm"/>
    <m/>
  </r>
  <r>
    <s v="LD0896"/>
    <s v="Shweta More"/>
    <n v="9104942961"/>
    <x v="0"/>
    <x v="8"/>
    <s v="Instagram Before-After Posts"/>
    <x v="4"/>
    <s v="2024-07-02"/>
    <x v="6"/>
    <x v="6"/>
    <x v="2"/>
    <n v="3"/>
    <n v="1"/>
    <s v="2024-07-19"/>
    <x v="2"/>
    <n v="338656"/>
    <m/>
    <m/>
    <x v="2"/>
    <n v="3.1"/>
    <s v="Warm"/>
    <s v="Budget discussion pending"/>
  </r>
  <r>
    <s v="LD0897"/>
    <s v="Divya Kulkarni"/>
    <n v="9850426644"/>
    <x v="0"/>
    <x v="8"/>
    <s v="Instagram Before-After Posts"/>
    <x v="9"/>
    <s v="2024-07-02"/>
    <x v="6"/>
    <x v="6"/>
    <x v="2"/>
    <n v="3"/>
    <m/>
    <s v="2024-08-05"/>
    <x v="2"/>
    <n v="330183"/>
    <m/>
    <m/>
    <x v="2"/>
    <n v="42.8"/>
    <s v="Warm"/>
    <s v="Follow up after Akshaya Tritiya"/>
  </r>
  <r>
    <s v="LD0898"/>
    <s v="Nilesh Kshirsagar"/>
    <n v="9338976699"/>
    <x v="2"/>
    <x v="3"/>
    <s v="MagicBricks Enquiry — Inbound"/>
    <x v="7"/>
    <s v="2024-07-02"/>
    <x v="6"/>
    <x v="6"/>
    <x v="2"/>
    <n v="3"/>
    <n v="12"/>
    <s v="2024-08-19"/>
    <x v="1"/>
    <n v="910004"/>
    <m/>
    <m/>
    <x v="3"/>
    <n v="33.5"/>
    <s v="Warm"/>
    <s v="Waiting for interior budget approval from family"/>
  </r>
  <r>
    <s v="LD0899"/>
    <s v="Suresh Yadav"/>
    <n v="9815200536"/>
    <x v="0"/>
    <x v="2"/>
    <s v="Architect Referral"/>
    <x v="1"/>
    <s v="2024-07-03"/>
    <x v="6"/>
    <x v="6"/>
    <x v="2"/>
    <n v="3"/>
    <n v="12"/>
    <s v="2024-08-19"/>
    <x v="4"/>
    <n v="196430"/>
    <n v="179134"/>
    <s v="2024-08-24"/>
    <x v="2"/>
    <n v="26.4"/>
    <s v="Hot"/>
    <s v="Token paid, measurement done, work started"/>
  </r>
  <r>
    <s v="LD0900"/>
    <s v="Rohit Nikalje"/>
    <n v="9707301562"/>
    <x v="3"/>
    <x v="2"/>
    <s v="Neighbour Referral"/>
    <x v="1"/>
    <s v="2024-07-03"/>
    <x v="6"/>
    <x v="6"/>
    <x v="2"/>
    <n v="3"/>
    <n v="5"/>
    <s v="2024-08-09"/>
    <x v="4"/>
    <n v="135217"/>
    <n v="136777"/>
    <s v="2024-08-29"/>
    <x v="3"/>
    <n v="32.9"/>
    <s v="Hot"/>
    <s v="Deal done, site work ongoing"/>
  </r>
  <r>
    <s v="LD0901"/>
    <s v="Ravi Joshi"/>
    <n v="9266952965"/>
    <x v="0"/>
    <x v="6"/>
    <s v="Facebook Kitchen Showcase"/>
    <x v="2"/>
    <s v="2024-07-04"/>
    <x v="6"/>
    <x v="6"/>
    <x v="2"/>
    <n v="3"/>
    <n v="8"/>
    <s v="2024-07-30"/>
    <x v="1"/>
    <n v="184099"/>
    <m/>
    <m/>
    <x v="0"/>
    <n v="11"/>
    <s v="Hot"/>
    <s v="Measurement done, quote pending approval"/>
  </r>
  <r>
    <s v="LD0902"/>
    <s v="Kiran Mane"/>
    <n v="9397424571"/>
    <x v="3"/>
    <x v="8"/>
    <s v="Instagram Gudi Padwa Special"/>
    <x v="6"/>
    <s v="2024-07-05"/>
    <x v="6"/>
    <x v="6"/>
    <x v="2"/>
    <n v="3"/>
    <n v="11"/>
    <s v="2024-09-06"/>
    <x v="4"/>
    <n v="256320"/>
    <n v="254285"/>
    <s v="2024-09-08"/>
    <x v="1"/>
    <n v="34"/>
    <s v="Hot"/>
    <s v="Customer referred 2 more leads after delivery"/>
  </r>
  <r>
    <s v="LD0903"/>
    <s v="Jyoti Londhe"/>
    <n v="9620377893"/>
    <x v="2"/>
    <x v="1"/>
    <s v="Justdial Free Listing — Inbound"/>
    <x v="3"/>
    <s v="2024-07-06"/>
    <x v="6"/>
    <x v="6"/>
    <x v="2"/>
    <n v="3"/>
    <n v="11"/>
    <s v="2024-07-31"/>
    <x v="4"/>
    <n v="226966"/>
    <n v="206409"/>
    <s v="2024-08-21"/>
    <x v="1"/>
    <n v="37.5"/>
    <s v="Hot"/>
    <s v="Customer happy with sample, deal closed"/>
  </r>
  <r>
    <s v="LD0904"/>
    <s v="Shweta Joshi"/>
    <n v="9642761406"/>
    <x v="0"/>
    <x v="4"/>
    <s v="99acres New Project Enquiry — Inbound"/>
    <x v="2"/>
    <s v="2024-07-06"/>
    <x v="6"/>
    <x v="6"/>
    <x v="2"/>
    <n v="3"/>
    <n v="3"/>
    <s v="2024-07-25"/>
    <x v="0"/>
    <n v="263693"/>
    <m/>
    <m/>
    <x v="0"/>
    <n v="14.2"/>
    <s v="Cold"/>
    <s v="Went with local vendor"/>
  </r>
  <r>
    <s v="LD0905"/>
    <s v="Manoj Mohite"/>
    <n v="9232518956"/>
    <x v="0"/>
    <x v="8"/>
    <s v="Instagram Kitchen Reels"/>
    <x v="2"/>
    <s v="2024-07-06"/>
    <x v="6"/>
    <x v="6"/>
    <x v="2"/>
    <n v="3"/>
    <n v="9"/>
    <s v="2024-08-12"/>
    <x v="0"/>
    <n v="458258"/>
    <m/>
    <m/>
    <x v="1"/>
    <n v="6.6"/>
    <s v="Cold"/>
    <s v="No response, marked as lost after 60 days"/>
  </r>
  <r>
    <s v="LD0906"/>
    <s v="Devendra Yadav"/>
    <n v="9308044071"/>
    <x v="0"/>
    <x v="8"/>
    <s v="Instagram Wardrobe Showcase"/>
    <x v="4"/>
    <s v="2024-07-08"/>
    <x v="6"/>
    <x v="6"/>
    <x v="2"/>
    <n v="3"/>
    <n v="4"/>
    <s v="2024-08-05"/>
    <x v="0"/>
    <n v="246073"/>
    <m/>
    <m/>
    <x v="3"/>
    <n v="25.9"/>
    <s v="Warm"/>
    <m/>
  </r>
  <r>
    <s v="LD0907"/>
    <s v="Deepak Deshmukh"/>
    <n v="9597536841"/>
    <x v="2"/>
    <x v="5"/>
    <s v="Site Visit Walk-in"/>
    <x v="7"/>
    <s v="2024-07-08"/>
    <x v="6"/>
    <x v="6"/>
    <x v="2"/>
    <n v="3"/>
    <n v="8"/>
    <s v="2024-08-06"/>
    <x v="3"/>
    <n v="1156203"/>
    <m/>
    <m/>
    <x v="0"/>
    <n v="22.5"/>
    <s v="Warm"/>
    <s v="Under construction, possession in 3 months"/>
  </r>
  <r>
    <s v="LD0908"/>
    <s v="Pooja Patil"/>
    <n v="9985029339"/>
    <x v="0"/>
    <x v="2"/>
    <s v="Contractor Referral"/>
    <x v="9"/>
    <s v="2024-07-08"/>
    <x v="6"/>
    <x v="6"/>
    <x v="2"/>
    <n v="3"/>
    <n v="9"/>
    <s v="2024-07-30"/>
    <x v="4"/>
    <n v="293303"/>
    <n v="282762"/>
    <s v="2024-08-01"/>
    <x v="0"/>
    <n v="46.3"/>
    <s v="Hot"/>
    <s v="Customer very satisfied, 5 star review given"/>
  </r>
  <r>
    <s v="LD0909"/>
    <s v="Pramod Gaikwad"/>
    <n v="9300423564"/>
    <x v="4"/>
    <x v="8"/>
    <s v="Instagram Gudi Padwa Special"/>
    <x v="5"/>
    <s v="2024-07-08"/>
    <x v="6"/>
    <x v="6"/>
    <x v="2"/>
    <n v="3"/>
    <n v="12"/>
    <s v="2024-08-19"/>
    <x v="4"/>
    <n v="81357"/>
    <n v="76871"/>
    <s v="2024-08-25"/>
    <x v="2"/>
    <n v="10.4"/>
    <s v="Hot"/>
    <s v="Token paid, measurement done, work started"/>
  </r>
  <r>
    <s v="LD0910"/>
    <s v="Kavita Nimbalkar"/>
    <n v="9851228478"/>
    <x v="0"/>
    <x v="8"/>
    <s v="Instagram Gudi Padwa Special"/>
    <x v="0"/>
    <s v="2024-07-09"/>
    <x v="6"/>
    <x v="6"/>
    <x v="2"/>
    <n v="3"/>
    <n v="5"/>
    <s v="2024-08-19"/>
    <x v="4"/>
    <n v="682486"/>
    <n v="626289"/>
    <s v="2024-08-22"/>
    <x v="2"/>
    <n v="43.4"/>
    <s v="Hot"/>
    <s v="Customer very satisfied, 5 star review given"/>
  </r>
  <r>
    <s v="LD0911"/>
    <s v="Ravi Nimbalkar"/>
    <n v="9285089731"/>
    <x v="2"/>
    <x v="5"/>
    <s v="Site Visit Walk-in"/>
    <x v="7"/>
    <s v="2024-07-11"/>
    <x v="6"/>
    <x v="6"/>
    <x v="2"/>
    <n v="3"/>
    <n v="2"/>
    <s v="2024-08-05"/>
    <x v="1"/>
    <n v="838189"/>
    <m/>
    <m/>
    <x v="3"/>
    <n v="47"/>
    <s v="Hot"/>
    <s v="Ready to proceed, discussing payment terms"/>
  </r>
  <r>
    <s v="LD0912"/>
    <s v="Sunil Pawar"/>
    <n v="9802164038"/>
    <x v="3"/>
    <x v="3"/>
    <s v="MagicBricks Enquiry — Inbound"/>
    <x v="0"/>
    <s v="2024-07-12"/>
    <x v="6"/>
    <x v="6"/>
    <x v="2"/>
    <n v="3"/>
    <n v="4"/>
    <s v="2024-08-13"/>
    <x v="0"/>
    <n v="828403"/>
    <m/>
    <m/>
    <x v="2"/>
    <n v="4"/>
    <s v="Cold"/>
    <s v="Lost to branded competitor"/>
  </r>
  <r>
    <s v="LD0913"/>
    <s v="Rekha Zende"/>
    <n v="9373520394"/>
    <x v="0"/>
    <x v="5"/>
    <s v="Exhibition Walk-in"/>
    <x v="9"/>
    <s v="2024-07-13"/>
    <x v="6"/>
    <x v="6"/>
    <x v="2"/>
    <n v="3"/>
    <n v="9"/>
    <s v="2024-08-20"/>
    <x v="3"/>
    <n v="215564"/>
    <m/>
    <m/>
    <x v="1"/>
    <n v="18"/>
    <s v="Warm"/>
    <s v="Follow up after Dussehra"/>
  </r>
  <r>
    <s v="LD0914"/>
    <s v="Pravin Naik"/>
    <n v="9143890945"/>
    <x v="0"/>
    <x v="7"/>
    <s v="SEO Organic"/>
    <x v="2"/>
    <s v="2024-07-13"/>
    <x v="6"/>
    <x v="6"/>
    <x v="2"/>
    <n v="3"/>
    <n v="10"/>
    <s v="2024-09-17"/>
    <x v="4"/>
    <n v="439304"/>
    <n v="394736"/>
    <s v="2024-09-21"/>
    <x v="0"/>
    <n v="29.1"/>
    <s v="Hot"/>
    <s v="Customer very satisfied, 5 star review given"/>
  </r>
  <r>
    <s v="LD0915"/>
    <s v="Dinesh Deshpande"/>
    <n v="9231576116"/>
    <x v="4"/>
    <x v="2"/>
    <s v="Neighbour Referral"/>
    <x v="5"/>
    <s v="2024-07-13"/>
    <x v="6"/>
    <x v="6"/>
    <x v="2"/>
    <n v="3"/>
    <n v="5"/>
    <s v="2024-08-19"/>
    <x v="4"/>
    <n v="188241"/>
    <n v="176662"/>
    <s v="2024-09-08"/>
    <x v="0"/>
    <n v="14"/>
    <s v="Warm"/>
    <s v="Token paid, measurement done, work started"/>
  </r>
  <r>
    <s v="LD0916"/>
    <s v="Amit Shinde"/>
    <n v="9657426622"/>
    <x v="2"/>
    <x v="5"/>
    <s v="Exhibition Walk-in"/>
    <x v="3"/>
    <s v="2024-07-15"/>
    <x v="6"/>
    <x v="6"/>
    <x v="2"/>
    <n v="3"/>
    <n v="2"/>
    <s v="2024-08-05"/>
    <x v="4"/>
    <n v="120883"/>
    <n v="122902"/>
    <s v="2024-08-24"/>
    <x v="1"/>
    <n v="36.9"/>
    <s v="Hot"/>
    <s v="Final payment received, project handed over"/>
  </r>
  <r>
    <s v="LD0917"/>
    <s v="Vijay Phule"/>
    <n v="9974848279"/>
    <x v="0"/>
    <x v="5"/>
    <s v="Showroom Walk-in"/>
    <x v="5"/>
    <s v="2024-07-15"/>
    <x v="6"/>
    <x v="6"/>
    <x v="2"/>
    <n v="3"/>
    <n v="5"/>
    <s v="2024-08-27"/>
    <x v="4"/>
    <n v="118093"/>
    <n v="119340"/>
    <s v="2024-09-17"/>
    <x v="1"/>
    <n v="43.7"/>
    <s v="Hot"/>
    <s v="Token paid, measurement done, work started"/>
  </r>
  <r>
    <s v="LD0918"/>
    <s v="Manisha Yadav"/>
    <n v="9832487266"/>
    <x v="4"/>
    <x v="2"/>
    <s v="Client Referral"/>
    <x v="2"/>
    <s v="2024-07-16"/>
    <x v="6"/>
    <x v="6"/>
    <x v="2"/>
    <n v="3"/>
    <n v="5"/>
    <s v="2024-08-26"/>
    <x v="4"/>
    <n v="555842"/>
    <n v="501869"/>
    <s v="2024-08-29"/>
    <x v="3"/>
    <n v="24.7"/>
    <s v="Hot"/>
    <s v="Customer very satisfied, 5 star review given"/>
  </r>
  <r>
    <s v="LD0919"/>
    <s v="Devendra Bhalerao"/>
    <n v="9201142590"/>
    <x v="2"/>
    <x v="0"/>
    <s v="Colony Reference"/>
    <x v="3"/>
    <s v="2024-07-17"/>
    <x v="6"/>
    <x v="6"/>
    <x v="2"/>
    <n v="3"/>
    <n v="11"/>
    <s v="2024-09-10"/>
    <x v="0"/>
    <n v="95388"/>
    <m/>
    <m/>
    <x v="0"/>
    <n v="15.7"/>
    <s v="Cold"/>
    <s v="Budget mismatch - too low"/>
  </r>
  <r>
    <s v="LD0920"/>
    <s v="Lata Patil"/>
    <n v="9586001284"/>
    <x v="1"/>
    <x v="4"/>
    <s v="99acres Flat Owner Enquiry — Inbound"/>
    <x v="8"/>
    <s v="2024-07-17"/>
    <x v="6"/>
    <x v="6"/>
    <x v="2"/>
    <n v="3"/>
    <n v="2"/>
    <s v="2024-07-31"/>
    <x v="3"/>
    <n v="1014001"/>
    <m/>
    <m/>
    <x v="0"/>
    <n v="31.6"/>
    <s v="Warm"/>
    <s v="Waiting for interior budget approval from family"/>
  </r>
  <r>
    <s v="LD0921"/>
    <s v="Madhuri Deshpande"/>
    <n v="9256198796"/>
    <x v="4"/>
    <x v="8"/>
    <s v="Instagram Before-After Posts"/>
    <x v="13"/>
    <s v="2024-07-19"/>
    <x v="6"/>
    <x v="6"/>
    <x v="2"/>
    <n v="3"/>
    <n v="9"/>
    <s v="2024-08-08"/>
    <x v="0"/>
    <n v="1466258"/>
    <m/>
    <m/>
    <x v="0"/>
    <n v="1.7"/>
    <s v="Warm"/>
    <s v="Customer chose readymade furniture"/>
  </r>
  <r>
    <s v="LD0922"/>
    <s v="Kiran Yadav"/>
    <n v="9608611547"/>
    <x v="2"/>
    <x v="8"/>
    <s v="Instagram Before-After Posts"/>
    <x v="3"/>
    <s v="2024-07-22"/>
    <x v="6"/>
    <x v="6"/>
    <x v="2"/>
    <n v="3"/>
    <n v="3"/>
    <s v="2024-08-17"/>
    <x v="4"/>
    <n v="240980"/>
    <n v="241099"/>
    <s v="2024-09-07"/>
    <x v="2"/>
    <n v="11.7"/>
    <s v="Warm"/>
    <s v="Deal closed, advance received"/>
  </r>
  <r>
    <s v="LD0923"/>
    <s v="Rajesh Naik"/>
    <n v="9929853555"/>
    <x v="4"/>
    <x v="2"/>
    <s v="Client Referral"/>
    <x v="10"/>
    <s v="2024-07-22"/>
    <x v="6"/>
    <x v="6"/>
    <x v="2"/>
    <n v="3"/>
    <n v="10"/>
    <s v="2024-09-21"/>
    <x v="3"/>
    <n v="269980"/>
    <m/>
    <m/>
    <x v="2"/>
    <m/>
    <s v="Hot"/>
    <s v="Measurement done, quote pending approval"/>
  </r>
  <r>
    <s v="LD0924"/>
    <s v="Kavita Bansode"/>
    <n v="9607039565"/>
    <x v="3"/>
    <x v="2"/>
    <s v="Contractor Referral"/>
    <x v="9"/>
    <s v="2024-07-23"/>
    <x v="6"/>
    <x v="6"/>
    <x v="2"/>
    <n v="3"/>
    <n v="9"/>
    <s v="2024-08-27"/>
    <x v="4"/>
    <n v="451195"/>
    <n v="405817"/>
    <s v="2024-09-11"/>
    <x v="2"/>
    <n v="20.399999999999999"/>
    <s v="Hot"/>
    <s v="Customer happy with sample, deal closed"/>
  </r>
  <r>
    <s v="LD0925"/>
    <s v="Vijay Yadav"/>
    <n v="9812951509"/>
    <x v="0"/>
    <x v="6"/>
    <s v="Facebook Gudi Padwa Offer"/>
    <x v="2"/>
    <s v="2024-07-24"/>
    <x v="6"/>
    <x v="6"/>
    <x v="2"/>
    <n v="3"/>
    <n v="0"/>
    <s v="2024-07-29"/>
    <x v="4"/>
    <n v="352916"/>
    <n v="354238"/>
    <s v="2024-08-10"/>
    <x v="1"/>
    <n v="37.200000000000003"/>
    <s v="Hot"/>
    <s v="Final payment received, project handed over"/>
  </r>
  <r>
    <s v="LD0926"/>
    <s v="Anita Deshpande"/>
    <n v="9995525718"/>
    <x v="4"/>
    <x v="5"/>
    <s v="Showroom Walk-in"/>
    <x v="11"/>
    <s v="2024-07-25"/>
    <x v="6"/>
    <x v="6"/>
    <x v="2"/>
    <n v="3"/>
    <n v="2"/>
    <s v="2024-08-05"/>
    <x v="0"/>
    <n v="147252"/>
    <m/>
    <m/>
    <x v="0"/>
    <n v="8.9"/>
    <s v="Cold"/>
    <s v="Customer chose readymade furniture"/>
  </r>
  <r>
    <s v="LD0927"/>
    <s v="Sunil Londhe"/>
    <n v="9536071145"/>
    <x v="4"/>
    <x v="6"/>
    <s v="Facebook Home Decor Ads"/>
    <x v="1"/>
    <s v="2024-07-25"/>
    <x v="6"/>
    <x v="6"/>
    <x v="2"/>
    <n v="3"/>
    <n v="0"/>
    <s v="2024-08-01"/>
    <x v="1"/>
    <n v="198531"/>
    <m/>
    <m/>
    <x v="0"/>
    <n v="45.3"/>
    <s v="Hot"/>
    <s v="Sample seen at showroom, liked veneer finish"/>
  </r>
  <r>
    <s v="LD0928"/>
    <s v="Suresh More"/>
    <n v="9696883236"/>
    <x v="3"/>
    <x v="8"/>
    <s v="Instagram Kitchen Reels"/>
    <x v="1"/>
    <s v="2024-07-26"/>
    <x v="6"/>
    <x v="6"/>
    <x v="2"/>
    <n v="3"/>
    <n v="1"/>
    <s v="2024-07-29"/>
    <x v="0"/>
    <n v="164635"/>
    <m/>
    <m/>
    <x v="1"/>
    <n v="33.799999999999997"/>
    <s v="Cold"/>
    <s v="Lost to branded competitor"/>
  </r>
  <r>
    <s v="LD0929"/>
    <s v="Rajesh Londhe"/>
    <n v="9624880437"/>
    <x v="0"/>
    <x v="4"/>
    <s v="99acres New Project Enquiry — Inbound"/>
    <x v="3"/>
    <s v="2024-07-27"/>
    <x v="6"/>
    <x v="6"/>
    <x v="2"/>
    <n v="3"/>
    <n v="1"/>
    <s v="2024-08-05"/>
    <x v="4"/>
    <n v="90797"/>
    <n v="90090"/>
    <s v="2024-08-23"/>
    <x v="3"/>
    <n v="38.4"/>
    <s v="Hot"/>
    <s v="Deal done, site work ongoing"/>
  </r>
  <r>
    <s v="LD0930"/>
    <s v="Sunil Kadam"/>
    <n v="9737929920"/>
    <x v="0"/>
    <x v="8"/>
    <s v="Instagram Gudi Padwa Special"/>
    <x v="4"/>
    <s v="2024-07-27"/>
    <x v="6"/>
    <x v="6"/>
    <x v="2"/>
    <n v="3"/>
    <n v="10"/>
    <s v="2024-08-22"/>
    <x v="0"/>
    <n v="122636"/>
    <m/>
    <m/>
    <x v="2"/>
    <n v="25.2"/>
    <s v="Warm"/>
    <s v="Customer got work done from relative"/>
  </r>
  <r>
    <s v="LD0931"/>
    <s v="Lata Mohite"/>
    <n v="9698267518"/>
    <x v="0"/>
    <x v="8"/>
    <s v="Instagram Story Ads"/>
    <x v="6"/>
    <s v="2024-07-27"/>
    <x v="6"/>
    <x v="6"/>
    <x v="2"/>
    <n v="3"/>
    <n v="1"/>
    <s v="2024-08-06"/>
    <x v="4"/>
    <n v="237780"/>
    <n v="243847"/>
    <s v="2024-08-23"/>
    <x v="0"/>
    <n v="38.700000000000003"/>
    <s v="Hot"/>
    <s v="Deal closed, advance received"/>
  </r>
  <r>
    <s v="LD0932"/>
    <s v="Bharati Bhosale"/>
    <n v="9830863433"/>
    <x v="4"/>
    <x v="4"/>
    <s v="99acres New Project Enquiry — Inbound"/>
    <x v="7"/>
    <s v="2024-07-29"/>
    <x v="6"/>
    <x v="6"/>
    <x v="2"/>
    <n v="3"/>
    <n v="3"/>
    <s v="2024-08-28"/>
    <x v="0"/>
    <n v="680084"/>
    <m/>
    <m/>
    <x v="0"/>
    <n v="22.3"/>
    <s v="Cold"/>
    <s v="Lost - no follow up done in time"/>
  </r>
  <r>
    <s v="LD0933"/>
    <s v="Manisha Shelke"/>
    <n v="9238657792"/>
    <x v="2"/>
    <x v="2"/>
    <s v="Contractor Referral"/>
    <x v="10"/>
    <s v="2024-07-29"/>
    <x v="6"/>
    <x v="6"/>
    <x v="2"/>
    <n v="3"/>
    <n v="1"/>
    <s v="2024-08-15"/>
    <x v="0"/>
    <n v="364193"/>
    <m/>
    <m/>
    <x v="0"/>
    <n v="45.9"/>
    <s v="Cold"/>
    <s v="Lost - no follow up done in time"/>
  </r>
  <r>
    <s v="LD0934"/>
    <s v="Seema Phule"/>
    <n v="9390827816"/>
    <x v="0"/>
    <x v="8"/>
    <s v="Instagram Gudi Padwa Special"/>
    <x v="5"/>
    <s v="2024-07-29"/>
    <x v="6"/>
    <x v="6"/>
    <x v="2"/>
    <n v="3"/>
    <n v="5"/>
    <s v="2024-08-29"/>
    <x v="1"/>
    <n v="287997"/>
    <m/>
    <m/>
    <x v="1"/>
    <n v="46.5"/>
    <s v="Hot"/>
    <s v="Final quote shared, awaiting approval"/>
  </r>
  <r>
    <s v="LD0935"/>
    <s v="Shweta Pawar"/>
    <n v="9593253917"/>
    <x v="4"/>
    <x v="4"/>
    <s v="99acres Flat Owner Enquiry — Inbound"/>
    <x v="4"/>
    <s v="2024-07-29"/>
    <x v="6"/>
    <x v="6"/>
    <x v="2"/>
    <n v="3"/>
    <n v="5"/>
    <s v="2024-08-19"/>
    <x v="4"/>
    <n v="328006"/>
    <n v="318638"/>
    <s v="2024-08-25"/>
    <x v="1"/>
    <n v="24.2"/>
    <s v="Hot"/>
    <s v="Full payment cleared, delivery done"/>
  </r>
  <r>
    <s v="LD0936"/>
    <s v="Ravi Jadhav"/>
    <n v="9578369243"/>
    <x v="2"/>
    <x v="6"/>
    <s v="Facebook Kitchen Showcase"/>
    <x v="7"/>
    <s v="2024-07-30"/>
    <x v="6"/>
    <x v="6"/>
    <x v="2"/>
    <n v="3"/>
    <n v="6"/>
    <s v="2024-08-21"/>
    <x v="0"/>
    <n v="738469"/>
    <m/>
    <m/>
    <x v="2"/>
    <n v="47.1"/>
    <s v="Cold"/>
    <m/>
  </r>
  <r>
    <s v="LD0937"/>
    <s v="Ravi Aware"/>
    <n v="9705284894"/>
    <x v="0"/>
    <x v="1"/>
    <s v="Justdial Free Listing — Inbound"/>
    <x v="9"/>
    <s v="2024-07-31"/>
    <x v="6"/>
    <x v="6"/>
    <x v="2"/>
    <n v="3"/>
    <n v="5"/>
    <s v="2024-09-09"/>
    <x v="4"/>
    <n v="466038"/>
    <n v="457629"/>
    <s v="2024-09-25"/>
    <x v="1"/>
    <n v="18.600000000000001"/>
    <s v="Hot"/>
    <s v="Customer very satisfied, 5 star review given"/>
  </r>
  <r>
    <s v="LD0938"/>
    <s v="Pravin Kale"/>
    <n v="9292694173"/>
    <x v="2"/>
    <x v="1"/>
    <s v="Justdial Premium Listing — Inbound"/>
    <x v="0"/>
    <s v="2024-08-01"/>
    <x v="7"/>
    <x v="7"/>
    <x v="2"/>
    <n v="3"/>
    <n v="0"/>
    <s v="2024-08-07"/>
    <x v="3"/>
    <m/>
    <m/>
    <m/>
    <x v="1"/>
    <n v="19.600000000000001"/>
    <s v="Hot"/>
    <s v="Site visit done, quotation shared"/>
  </r>
  <r>
    <s v="LD0939"/>
    <s v="Pooja Deshmukh"/>
    <n v="9107395571"/>
    <x v="0"/>
    <x v="4"/>
    <s v="99acres New Project Enquiry — Inbound"/>
    <x v="2"/>
    <s v="2024-08-02"/>
    <x v="7"/>
    <x v="7"/>
    <x v="2"/>
    <n v="3"/>
    <n v="9"/>
    <s v="2024-10-02"/>
    <x v="0"/>
    <n v="156356"/>
    <m/>
    <m/>
    <x v="1"/>
    <n v="13.8"/>
    <s v="Cold"/>
    <s v="Lost - no follow up done in time"/>
  </r>
  <r>
    <s v="LD0940"/>
    <s v="Nikhil Salve"/>
    <n v="9996268607"/>
    <x v="0"/>
    <x v="8"/>
    <s v="Instagram Wardrobe Showcase"/>
    <x v="9"/>
    <s v="2024-08-03"/>
    <x v="7"/>
    <x v="7"/>
    <x v="2"/>
    <n v="3"/>
    <n v="5"/>
    <s v="2024-08-16"/>
    <x v="0"/>
    <n v="383434"/>
    <m/>
    <m/>
    <x v="1"/>
    <n v="2.8"/>
    <s v="Cold"/>
    <s v="Budget mismatch - too low"/>
  </r>
  <r>
    <s v="LD0941"/>
    <s v="Suresh Deshmukh"/>
    <n v="9990953276"/>
    <x v="4"/>
    <x v="6"/>
    <s v="Facebook Home Decor Ads"/>
    <x v="4"/>
    <s v="2024-08-03"/>
    <x v="7"/>
    <x v="7"/>
    <x v="2"/>
    <n v="3"/>
    <n v="9"/>
    <s v="2024-09-24"/>
    <x v="0"/>
    <n v="201331"/>
    <m/>
    <m/>
    <x v="1"/>
    <n v="25"/>
    <s v="Cold"/>
    <s v="Customer did not proceed with project"/>
  </r>
  <r>
    <s v="LD0942"/>
    <s v="Smita Wagh"/>
    <n v="9976660776"/>
    <x v="4"/>
    <x v="2"/>
    <s v="Neighbour Referral"/>
    <x v="2"/>
    <s v="2024-08-05"/>
    <x v="7"/>
    <x v="7"/>
    <x v="2"/>
    <n v="3"/>
    <n v="11"/>
    <s v="2024-10-14"/>
    <x v="1"/>
    <n v="373432"/>
    <m/>
    <m/>
    <x v="3"/>
    <n v="46"/>
    <s v="Warm"/>
    <s v="Follow up after Diwali"/>
  </r>
  <r>
    <s v="LD0943"/>
    <s v="Deepak Tupe"/>
    <n v="9180595440"/>
    <x v="1"/>
    <x v="8"/>
    <s v="Instagram Wardrobe Showcase"/>
    <x v="0"/>
    <s v="2024-08-05"/>
    <x v="7"/>
    <x v="7"/>
    <x v="2"/>
    <n v="3"/>
    <n v="8"/>
    <s v="2024-08-31"/>
    <x v="1"/>
    <n v="601497"/>
    <m/>
    <m/>
    <x v="2"/>
    <n v="30.8"/>
    <s v="Hot"/>
    <s v="Design presentation done, waiting for confirmation"/>
  </r>
  <r>
    <s v="LD0944"/>
    <s v="Suresh Yadav"/>
    <n v="9485010812"/>
    <x v="4"/>
    <x v="3"/>
    <s v="MagicBricks Enquiry — Inbound"/>
    <x v="0"/>
    <s v="2024-08-06"/>
    <x v="7"/>
    <x v="7"/>
    <x v="2"/>
    <n v="3"/>
    <m/>
    <s v="2024-08-15"/>
    <x v="0"/>
    <n v="775933"/>
    <m/>
    <m/>
    <x v="1"/>
    <n v="29.3"/>
    <s v="Cold"/>
    <s v="Budget mismatch - too low"/>
  </r>
  <r>
    <s v="LD0945"/>
    <s v="Rekha Londhe"/>
    <n v="9354006948"/>
    <x v="2"/>
    <x v="8"/>
    <s v="Instagram Story Ads"/>
    <x v="0"/>
    <s v="2024-08-07"/>
    <x v="7"/>
    <x v="7"/>
    <x v="2"/>
    <n v="3"/>
    <n v="11"/>
    <s v="2024-09-06"/>
    <x v="0"/>
    <n v="472008"/>
    <m/>
    <m/>
    <x v="1"/>
    <n v="35.6"/>
    <s v="Cold"/>
    <s v="Customer got work done from relative"/>
  </r>
  <r>
    <s v="LD0946"/>
    <s v="Varsha Kulkarni"/>
    <n v="9882030764"/>
    <x v="4"/>
    <x v="4"/>
    <s v="99acres New Project Enquiry — Inbound"/>
    <x v="9"/>
    <s v="2024-08-07"/>
    <x v="7"/>
    <x v="7"/>
    <x v="2"/>
    <n v="3"/>
    <n v="11"/>
    <s v="2024-09-17"/>
    <x v="4"/>
    <n v="213421"/>
    <n v="188991"/>
    <s v="2024-09-30"/>
    <x v="1"/>
    <n v="26.4"/>
    <s v="Hot"/>
    <s v="Token received, design finalised"/>
  </r>
  <r>
    <s v="LD0947"/>
    <s v="Archana Gavhane"/>
    <n v="9754630876"/>
    <x v="0"/>
    <x v="5"/>
    <s v="Exhibition Walk-in"/>
    <x v="1"/>
    <s v="2024-08-07"/>
    <x v="7"/>
    <x v="7"/>
    <x v="2"/>
    <n v="3"/>
    <n v="7"/>
    <s v="2024-09-17"/>
    <x v="0"/>
    <n v="123389"/>
    <m/>
    <m/>
    <x v="3"/>
    <n v="18.2"/>
    <s v="Cold"/>
    <s v="Budget mismatch - too low"/>
  </r>
  <r>
    <s v="LD0948"/>
    <s v="Pravin Kakade"/>
    <n v="9184141769"/>
    <x v="0"/>
    <x v="1"/>
    <s v="Justdial Premium Listing — Inbound"/>
    <x v="9"/>
    <s v="2024-08-07"/>
    <x v="7"/>
    <x v="7"/>
    <x v="2"/>
    <n v="3"/>
    <n v="6"/>
    <s v="2024-09-04"/>
    <x v="1"/>
    <n v="273774"/>
    <m/>
    <m/>
    <x v="1"/>
    <n v="25.9"/>
    <s v="Hot"/>
    <s v="Customer comparing 1-2 vendors only"/>
  </r>
  <r>
    <s v="LD0949"/>
    <s v="Smita Raut"/>
    <n v="9499553498"/>
    <x v="0"/>
    <x v="8"/>
    <s v="Instagram Kitchen Reels"/>
    <x v="6"/>
    <s v="2024-08-08"/>
    <x v="7"/>
    <x v="7"/>
    <x v="2"/>
    <n v="3"/>
    <n v="2"/>
    <s v="2024-08-16"/>
    <x v="4"/>
    <n v="147556"/>
    <n v="150339"/>
    <s v="2024-08-21"/>
    <x v="2"/>
    <n v="39.5"/>
    <s v="Hot"/>
    <s v="Full payment cleared, delivery done"/>
  </r>
  <r>
    <s v="LD0950"/>
    <s v="Kiran Shelke"/>
    <n v="9825872701"/>
    <x v="2"/>
    <x v="8"/>
    <s v="Instagram Before-After Posts"/>
    <x v="8"/>
    <s v="2024-08-08"/>
    <x v="7"/>
    <x v="7"/>
    <x v="2"/>
    <n v="3"/>
    <n v="6"/>
    <s v="2024-09-07"/>
    <x v="3"/>
    <n v="774858"/>
    <m/>
    <m/>
    <x v="1"/>
    <n v="28"/>
    <s v="Hot"/>
    <s v="Site visit done, quotation shared"/>
  </r>
  <r>
    <s v="LD0951"/>
    <s v="Varsha Sawant"/>
    <n v="9176634497"/>
    <x v="2"/>
    <x v="6"/>
    <s v="Facebook Gudi Padwa Offer"/>
    <x v="6"/>
    <s v="2024-08-10"/>
    <x v="7"/>
    <x v="7"/>
    <x v="2"/>
    <n v="3"/>
    <n v="9"/>
    <s v="2024-10-12"/>
    <x v="0"/>
    <n v="184133"/>
    <m/>
    <m/>
    <x v="0"/>
    <n v="8.8000000000000007"/>
    <s v="Warm"/>
    <s v="Customer chose readymade furniture"/>
  </r>
  <r>
    <s v="LD0952"/>
    <s v="Amit Deshpande"/>
    <n v="9558090912"/>
    <x v="2"/>
    <x v="2"/>
    <s v="Neighbour Referral"/>
    <x v="6"/>
    <s v="2024-08-10"/>
    <x v="7"/>
    <x v="7"/>
    <x v="2"/>
    <n v="3"/>
    <n v="6"/>
    <s v="2024-09-03"/>
    <x v="0"/>
    <n v="181120"/>
    <m/>
    <m/>
    <x v="1"/>
    <n v="15.5"/>
    <s v="Cold"/>
    <s v="Customer chose readymade furniture"/>
  </r>
  <r>
    <s v="LD0953"/>
    <s v="Varsha Mohite"/>
    <n v="9378501683"/>
    <x v="1"/>
    <x v="7"/>
    <s v="Google My Business"/>
    <x v="9"/>
    <s v="2024-08-12"/>
    <x v="7"/>
    <x v="7"/>
    <x v="2"/>
    <n v="3"/>
    <n v="1"/>
    <s v="2024-08-19"/>
    <x v="2"/>
    <n v="469008"/>
    <m/>
    <m/>
    <x v="3"/>
    <n v="28"/>
    <s v="Warm"/>
    <s v="Waiting for interior budget approval from family"/>
  </r>
  <r>
    <s v="LD0954"/>
    <s v="Rajesh Gaikwad"/>
    <n v="9964204919"/>
    <x v="2"/>
    <x v="0"/>
    <s v="Friend Reference"/>
    <x v="5"/>
    <s v="2024-08-12"/>
    <x v="7"/>
    <x v="7"/>
    <x v="2"/>
    <n v="3"/>
    <n v="5"/>
    <s v="2024-09-09"/>
    <x v="0"/>
    <n v="78112"/>
    <m/>
    <m/>
    <x v="1"/>
    <n v="47.3"/>
    <s v="Cold"/>
    <s v="Customer got work done from relative"/>
  </r>
  <r>
    <s v="LD0955"/>
    <s v="Madhuri Nikalje"/>
    <n v="9453063140"/>
    <x v="3"/>
    <x v="5"/>
    <s v="Showroom Walk-in"/>
    <x v="10"/>
    <s v="2024-08-12"/>
    <x v="7"/>
    <x v="7"/>
    <x v="2"/>
    <n v="3"/>
    <n v="9"/>
    <s v="2024-09-04"/>
    <x v="2"/>
    <n v="271929"/>
    <m/>
    <m/>
    <x v="3"/>
    <n v="15.5"/>
    <s v="Cold"/>
    <s v="Just enquiring, no serious intent"/>
  </r>
  <r>
    <s v="LD0956"/>
    <s v="Ravi Patil"/>
    <n v="9559689340"/>
    <x v="3"/>
    <x v="2"/>
    <s v="Contractor Referral"/>
    <x v="0"/>
    <s v="2024-08-12"/>
    <x v="7"/>
    <x v="7"/>
    <x v="2"/>
    <n v="3"/>
    <n v="10"/>
    <s v="2024-10-14"/>
    <x v="1"/>
    <n v="794346"/>
    <m/>
    <m/>
    <x v="0"/>
    <n v="27.7"/>
    <s v="Hot"/>
    <s v="Very interested, finalising design"/>
  </r>
  <r>
    <s v="LD0957"/>
    <s v="Bharati Chavan"/>
    <n v="9781815037"/>
    <x v="4"/>
    <x v="2"/>
    <s v="Architect Referral"/>
    <x v="9"/>
    <s v="2024-08-12"/>
    <x v="7"/>
    <x v="7"/>
    <x v="2"/>
    <n v="3"/>
    <n v="2"/>
    <s v="2024-09-03"/>
    <x v="0"/>
    <n v="231722"/>
    <m/>
    <m/>
    <x v="2"/>
    <n v="27.6"/>
    <s v="Cold"/>
    <m/>
  </r>
  <r>
    <s v="LD0958"/>
    <s v="Sonal Aware"/>
    <n v="9391581061"/>
    <x v="0"/>
    <x v="4"/>
    <s v="99acres Flat Owner Enquiry — Inbound"/>
    <x v="10"/>
    <s v="2024-08-13"/>
    <x v="7"/>
    <x v="7"/>
    <x v="2"/>
    <n v="3"/>
    <n v="12"/>
    <s v="2024-09-24"/>
    <x v="4"/>
    <n v="370446"/>
    <n v="375319"/>
    <s v="2024-09-28"/>
    <x v="3"/>
    <m/>
    <s v="Hot"/>
    <s v="Work order signed, production started"/>
  </r>
  <r>
    <s v="LD0959"/>
    <s v="Pooja Bhosale"/>
    <n v="9207083934"/>
    <x v="2"/>
    <x v="2"/>
    <s v="Contractor Referral"/>
    <x v="12"/>
    <s v="2024-08-13"/>
    <x v="7"/>
    <x v="7"/>
    <x v="2"/>
    <n v="3"/>
    <n v="7"/>
    <s v="2024-10-03"/>
    <x v="1"/>
    <n v="1279209"/>
    <m/>
    <m/>
    <x v="2"/>
    <n v="23.8"/>
    <s v="Cold"/>
    <s v="Went with local carpenter"/>
  </r>
  <r>
    <s v="LD0960"/>
    <s v="Archana Bhalerao"/>
    <n v="9595500646"/>
    <x v="0"/>
    <x v="1"/>
    <s v="Justdial Sponsored — Inbound"/>
    <x v="2"/>
    <s v="2024-08-13"/>
    <x v="7"/>
    <x v="7"/>
    <x v="2"/>
    <n v="3"/>
    <n v="1"/>
    <s v="2024-08-19"/>
    <x v="1"/>
    <n v="501524"/>
    <m/>
    <m/>
    <x v="2"/>
    <n v="35.700000000000003"/>
    <s v="Hot"/>
    <s v="Very interested, finalising design"/>
  </r>
  <r>
    <s v="LD0961"/>
    <s v="Varsha Gavhane"/>
    <n v="9262816584"/>
    <x v="0"/>
    <x v="2"/>
    <s v="Client Referral"/>
    <x v="6"/>
    <s v="2024-08-13"/>
    <x v="7"/>
    <x v="7"/>
    <x v="2"/>
    <n v="3"/>
    <n v="9"/>
    <s v="2024-09-19"/>
    <x v="4"/>
    <n v="322180"/>
    <n v="283798"/>
    <s v="2024-09-24"/>
    <x v="1"/>
    <n v="44.6"/>
    <s v="Hot"/>
    <s v="Customer very satisfied, 5 star review given"/>
  </r>
  <r>
    <s v="LD0962"/>
    <s v="Suresh Naik"/>
    <n v="9530863241"/>
    <x v="0"/>
    <x v="2"/>
    <s v="Neighbour Referral"/>
    <x v="2"/>
    <s v="2024-08-13"/>
    <x v="7"/>
    <x v="7"/>
    <x v="2"/>
    <n v="3"/>
    <n v="0"/>
    <s v="2024-08-17"/>
    <x v="1"/>
    <m/>
    <m/>
    <m/>
    <x v="0"/>
    <n v="8.1999999999999993"/>
    <s v="Warm"/>
    <s v="Follow up after Diwali"/>
  </r>
  <r>
    <s v="LD0963"/>
    <s v="Sunita Shelke"/>
    <n v="9812154253"/>
    <x v="3"/>
    <x v="5"/>
    <s v="Site Visit Walk-in"/>
    <x v="7"/>
    <s v="2024-08-14"/>
    <x v="7"/>
    <x v="7"/>
    <x v="2"/>
    <n v="3"/>
    <n v="0"/>
    <s v="2024-08-22"/>
    <x v="1"/>
    <n v="766309"/>
    <m/>
    <m/>
    <x v="1"/>
    <n v="35"/>
    <s v="Cold"/>
    <m/>
  </r>
  <r>
    <s v="LD0964"/>
    <s v="Alka Kakade"/>
    <n v="9920843243"/>
    <x v="2"/>
    <x v="8"/>
    <s v="Instagram Before-After Posts"/>
    <x v="5"/>
    <s v="2024-08-15"/>
    <x v="7"/>
    <x v="7"/>
    <x v="2"/>
    <n v="3"/>
    <n v="6"/>
    <s v="2024-09-27"/>
    <x v="0"/>
    <n v="186344"/>
    <m/>
    <m/>
    <x v="1"/>
    <m/>
    <s v="Cold"/>
    <s v="Lost to branded competitor"/>
  </r>
  <r>
    <s v="LD0965"/>
    <s v="Nikhil Raut"/>
    <n v="9950763485"/>
    <x v="0"/>
    <x v="6"/>
    <s v="Facebook Diwali Offer"/>
    <x v="10"/>
    <s v="2024-08-15"/>
    <x v="7"/>
    <x v="7"/>
    <x v="2"/>
    <n v="3"/>
    <n v="12"/>
    <s v="2024-10-17"/>
    <x v="4"/>
    <n v="446365"/>
    <n v="405073"/>
    <s v="2024-11-05"/>
    <x v="1"/>
    <n v="47.9"/>
    <s v="Hot"/>
    <s v="Token paid, measurement done, work started"/>
  </r>
  <r>
    <s v="LD0966"/>
    <s v="Deepak Naik"/>
    <m/>
    <x v="0"/>
    <x v="6"/>
    <s v="Facebook Gudi Padwa Offer"/>
    <x v="7"/>
    <s v="2024-08-17"/>
    <x v="7"/>
    <x v="7"/>
    <x v="2"/>
    <n v="3"/>
    <n v="4"/>
    <s v="2024-09-09"/>
    <x v="0"/>
    <n v="643639"/>
    <m/>
    <m/>
    <x v="0"/>
    <n v="19.2"/>
    <s v="Cold"/>
    <s v="Facebook lead — customer did not pick up on callback"/>
  </r>
  <r>
    <s v="LD0967"/>
    <s v="Nanda Sonawane"/>
    <n v="9211251825"/>
    <x v="4"/>
    <x v="2"/>
    <s v="Neighbour Referral"/>
    <x v="2"/>
    <s v="2024-08-17"/>
    <x v="7"/>
    <x v="7"/>
    <x v="2"/>
    <n v="3"/>
    <n v="9"/>
    <s v="2024-09-25"/>
    <x v="1"/>
    <n v="382832"/>
    <m/>
    <m/>
    <x v="2"/>
    <n v="37.200000000000003"/>
    <s v="Warm"/>
    <s v="Under construction, possession in 3 months"/>
  </r>
  <r>
    <s v="LD0968"/>
    <s v="Alka Bhalerao"/>
    <n v="9464126140"/>
    <x v="1"/>
    <x v="6"/>
    <s v="Facebook Kitchen Showcase"/>
    <x v="7"/>
    <s v="2024-08-19"/>
    <x v="7"/>
    <x v="7"/>
    <x v="2"/>
    <n v="3"/>
    <n v="2"/>
    <s v="2024-09-07"/>
    <x v="4"/>
    <n v="1013951"/>
    <n v="918766"/>
    <s v="2024-09-21"/>
    <x v="3"/>
    <n v="38.5"/>
    <s v="Hot"/>
    <s v="Deal closed, advance received"/>
  </r>
  <r>
    <s v="LD0969"/>
    <s v="Nanda Nikalje"/>
    <n v="9401270241"/>
    <x v="0"/>
    <x v="2"/>
    <s v="Neighbour Referral"/>
    <x v="7"/>
    <s v="2024-08-19"/>
    <x v="7"/>
    <x v="7"/>
    <x v="2"/>
    <n v="3"/>
    <n v="11"/>
    <s v="2024-10-28"/>
    <x v="1"/>
    <n v="817709"/>
    <m/>
    <m/>
    <x v="0"/>
    <n v="47.5"/>
    <s v="Warm"/>
    <s v="Interested but waiting for loan approval"/>
  </r>
  <r>
    <s v="LD0970"/>
    <s v="Manoj Kadam"/>
    <n v="9414343389"/>
    <x v="0"/>
    <x v="7"/>
    <s v="Google Ads"/>
    <x v="1"/>
    <s v="2024-08-19"/>
    <x v="7"/>
    <x v="7"/>
    <x v="2"/>
    <n v="3"/>
    <n v="0"/>
    <s v="2024-08-24"/>
    <x v="3"/>
    <n v="335476"/>
    <m/>
    <m/>
    <x v="0"/>
    <n v="44.8"/>
    <s v="Warm"/>
    <s v="Call back after 1 month"/>
  </r>
  <r>
    <s v="LD0971"/>
    <s v="Deepak Deshmukh"/>
    <n v="9428129811"/>
    <x v="0"/>
    <x v="4"/>
    <s v="99acres Flat Owner Enquiry — Inbound"/>
    <x v="7"/>
    <s v="2024-08-19"/>
    <x v="7"/>
    <x v="7"/>
    <x v="2"/>
    <n v="3"/>
    <n v="5"/>
    <s v="2024-09-10"/>
    <x v="0"/>
    <n v="1048529"/>
    <m/>
    <m/>
    <x v="3"/>
    <n v="28.4"/>
    <s v="Warm"/>
    <s v="Customer got work done from relative"/>
  </r>
  <r>
    <s v="LD0972"/>
    <s v="Manisha Joshi"/>
    <n v="9274491262"/>
    <x v="0"/>
    <x v="2"/>
    <s v="Architect Referral"/>
    <x v="12"/>
    <s v="2024-08-19"/>
    <x v="7"/>
    <x v="7"/>
    <x v="2"/>
    <n v="3"/>
    <n v="9"/>
    <s v="2024-10-10"/>
    <x v="1"/>
    <n v="1650906"/>
    <m/>
    <m/>
    <x v="2"/>
    <m/>
    <s v="Hot"/>
    <s v="Ready to proceed, discussing payment terms"/>
  </r>
  <r>
    <s v="LD0973"/>
    <s v="Sanjay Salve"/>
    <n v="9698671532"/>
    <x v="2"/>
    <x v="5"/>
    <s v="Exhibition Walk-in"/>
    <x v="9"/>
    <s v="2024-08-20"/>
    <x v="7"/>
    <x v="7"/>
    <x v="2"/>
    <n v="3"/>
    <n v="2"/>
    <s v="2024-08-29"/>
    <x v="4"/>
    <n v="166952"/>
    <n v="165519"/>
    <s v="2024-09-15"/>
    <x v="3"/>
    <n v="24.2"/>
    <s v="Hot"/>
    <s v="Token paid, measurement done, work started"/>
  </r>
  <r>
    <s v="LD0974"/>
    <s v="Ganesh Kakade"/>
    <n v="9943493564"/>
    <x v="0"/>
    <x v="2"/>
    <s v="Contractor Referral"/>
    <x v="4"/>
    <s v="2024-08-20"/>
    <x v="7"/>
    <x v="7"/>
    <x v="2"/>
    <n v="3"/>
    <n v="11"/>
    <s v="2024-09-27"/>
    <x v="0"/>
    <n v="120247"/>
    <m/>
    <m/>
    <x v="0"/>
    <n v="13.3"/>
    <s v="Cold"/>
    <s v="Went with local vendor"/>
  </r>
  <r>
    <s v="LD0975"/>
    <s v="Rohit Kulkarni"/>
    <n v="9680017903"/>
    <x v="0"/>
    <x v="2"/>
    <s v="Client Referral"/>
    <x v="3"/>
    <s v="2024-08-21"/>
    <x v="7"/>
    <x v="7"/>
    <x v="2"/>
    <n v="3"/>
    <n v="2"/>
    <s v="2024-09-04"/>
    <x v="4"/>
    <n v="188618"/>
    <n v="192968"/>
    <s v="2024-09-06"/>
    <x v="2"/>
    <n v="13.1"/>
    <s v="Hot"/>
    <m/>
  </r>
  <r>
    <s v="LD0976"/>
    <s v="Shweta Gaikwad"/>
    <n v="9315074907"/>
    <x v="2"/>
    <x v="7"/>
    <s v="SEO Organic"/>
    <x v="3"/>
    <s v="2024-08-21"/>
    <x v="7"/>
    <x v="7"/>
    <x v="2"/>
    <n v="3"/>
    <n v="8"/>
    <s v="2024-09-24"/>
    <x v="1"/>
    <n v="215469"/>
    <m/>
    <m/>
    <x v="2"/>
    <n v="44.4"/>
    <s v="Warm"/>
    <s v="Follow up after Dussehra"/>
  </r>
  <r>
    <s v="LD0977"/>
    <s v="Bharati Aware"/>
    <n v="9209081737"/>
    <x v="2"/>
    <x v="3"/>
    <s v="MagicBricks Enquiry — Inbound"/>
    <x v="5"/>
    <s v="2024-08-22"/>
    <x v="7"/>
    <x v="7"/>
    <x v="2"/>
    <n v="3"/>
    <n v="10"/>
    <s v="2024-10-17"/>
    <x v="3"/>
    <n v="183143"/>
    <m/>
    <m/>
    <x v="2"/>
    <n v="44.1"/>
    <s v="Warm"/>
    <s v="Site visit to be scheduled"/>
  </r>
  <r>
    <s v="LD0978"/>
    <s v="Smita Mohite"/>
    <n v="9161559681"/>
    <x v="1"/>
    <x v="2"/>
    <s v="Contractor Referral"/>
    <x v="3"/>
    <s v="2024-08-22"/>
    <x v="7"/>
    <x v="7"/>
    <x v="2"/>
    <n v="3"/>
    <n v="12"/>
    <s v="2024-10-10"/>
    <x v="1"/>
    <n v="183449"/>
    <m/>
    <m/>
    <x v="0"/>
    <n v="32"/>
    <s v="Hot"/>
    <s v="Sample seen at showroom, liked veneer finish"/>
  </r>
  <r>
    <s v="LD0979"/>
    <s v="Vijay Tupe"/>
    <n v="9561705191"/>
    <x v="0"/>
    <x v="1"/>
    <s v="Justdial Sponsored — Inbound"/>
    <x v="0"/>
    <s v="2024-08-22"/>
    <x v="7"/>
    <x v="7"/>
    <x v="2"/>
    <n v="3"/>
    <n v="3"/>
    <s v="2024-09-16"/>
    <x v="3"/>
    <n v="388591"/>
    <m/>
    <m/>
    <x v="0"/>
    <n v="8"/>
    <s v="Warm"/>
    <s v="Call back after 1 month"/>
  </r>
  <r>
    <s v="LD0980"/>
    <s v="Dinesh Pawar"/>
    <n v="9707816823"/>
    <x v="0"/>
    <x v="4"/>
    <s v="99acres New Project Enquiry — Inbound"/>
    <x v="2"/>
    <s v="2024-08-23"/>
    <x v="7"/>
    <x v="7"/>
    <x v="2"/>
    <n v="3"/>
    <n v="5"/>
    <s v="2024-09-20"/>
    <x v="3"/>
    <n v="524971"/>
    <m/>
    <m/>
    <x v="1"/>
    <n v="14.7"/>
    <s v="Warm"/>
    <s v="Customer interested, flat handover next month"/>
  </r>
  <r>
    <s v="LD0981"/>
    <s v="Divya Phule"/>
    <n v="9956779135"/>
    <x v="2"/>
    <x v="2"/>
    <s v="Neighbour Referral"/>
    <x v="9"/>
    <s v="2024-08-23"/>
    <x v="7"/>
    <x v="7"/>
    <x v="2"/>
    <n v="3"/>
    <n v="0"/>
    <s v="2024-09-03"/>
    <x v="3"/>
    <n v="271819"/>
    <m/>
    <m/>
    <x v="2"/>
    <n v="43.2"/>
    <s v="Cold"/>
    <s v="Project on hold"/>
  </r>
  <r>
    <s v="LD0982"/>
    <s v="Manoj Raut"/>
    <n v="9343888017"/>
    <x v="2"/>
    <x v="4"/>
    <s v="99acres New Project Enquiry — Inbound"/>
    <x v="7"/>
    <s v="2024-08-23"/>
    <x v="7"/>
    <x v="7"/>
    <x v="2"/>
    <n v="3"/>
    <n v="2"/>
    <s v="2024-09-13"/>
    <x v="1"/>
    <n v="1089529"/>
    <m/>
    <m/>
    <x v="1"/>
    <n v="19.7"/>
    <s v="Hot"/>
    <s v="Customer comparing 1-2 vendors only"/>
  </r>
  <r>
    <s v="LD0983"/>
    <s v="Alka Bhosale"/>
    <n v="9621406398"/>
    <x v="0"/>
    <x v="0"/>
    <s v="Friend Reference"/>
    <x v="2"/>
    <s v="2024-08-23"/>
    <x v="7"/>
    <x v="7"/>
    <x v="2"/>
    <n v="3"/>
    <n v="4"/>
    <s v="2024-09-21"/>
    <x v="4"/>
    <n v="337874"/>
    <n v="338234"/>
    <s v="2024-09-29"/>
    <x v="0"/>
    <n v="14.4"/>
    <s v="Hot"/>
    <s v="Work order signed, production started"/>
  </r>
  <r>
    <s v="LD0984"/>
    <s v="Nikhil Chavan"/>
    <n v="9609131114"/>
    <x v="3"/>
    <x v="4"/>
    <s v="99acres Flat Owner Enquiry — Inbound"/>
    <x v="1"/>
    <s v="2024-08-23"/>
    <x v="7"/>
    <x v="7"/>
    <x v="2"/>
    <n v="3"/>
    <n v="4"/>
    <s v="2024-09-06"/>
    <x v="1"/>
    <n v="184419"/>
    <m/>
    <m/>
    <x v="3"/>
    <n v="15.9"/>
    <s v="Warm"/>
    <s v="Site visit to be scheduled"/>
  </r>
  <r>
    <s v="LD0985"/>
    <s v="Madhuri Thorat"/>
    <n v="9307813331"/>
    <x v="4"/>
    <x v="7"/>
    <s v="Website Chat Enquiry"/>
    <x v="7"/>
    <s v="2024-08-26"/>
    <x v="7"/>
    <x v="7"/>
    <x v="2"/>
    <n v="3"/>
    <n v="6"/>
    <s v="2024-09-26"/>
    <x v="1"/>
    <n v="695013"/>
    <m/>
    <m/>
    <x v="1"/>
    <n v="41"/>
    <s v="Warm"/>
    <s v="Under construction, possession in 3 months"/>
  </r>
  <r>
    <s v="LD0986"/>
    <s v="Manisha Shinde"/>
    <n v="9168815053"/>
    <x v="0"/>
    <x v="7"/>
    <s v="Website Chat Enquiry"/>
    <x v="2"/>
    <s v="2024-08-26"/>
    <x v="7"/>
    <x v="7"/>
    <x v="2"/>
    <n v="3"/>
    <n v="12"/>
    <s v="2024-11-02"/>
    <x v="4"/>
    <n v="304343"/>
    <n v="279836"/>
    <s v="2024-11-19"/>
    <x v="1"/>
    <n v="44.3"/>
    <s v="Hot"/>
    <s v="Final payment received, project handed over"/>
  </r>
  <r>
    <s v="LD0987"/>
    <s v="Sachin Bansode"/>
    <n v="9335514710"/>
    <x v="0"/>
    <x v="8"/>
    <s v="Instagram Diwali Campaign"/>
    <x v="1"/>
    <s v="2024-08-27"/>
    <x v="7"/>
    <x v="7"/>
    <x v="2"/>
    <n v="3"/>
    <n v="1"/>
    <s v="2024-09-10"/>
    <x v="1"/>
    <n v="270472"/>
    <m/>
    <m/>
    <x v="2"/>
    <n v="8.6"/>
    <s v="Hot"/>
    <m/>
  </r>
  <r>
    <s v="LD0988"/>
    <s v="Rajesh Shinde"/>
    <m/>
    <x v="2"/>
    <x v="6"/>
    <s v="Facebook Home Decor Ads"/>
    <x v="12"/>
    <s v="2024-08-28"/>
    <x v="7"/>
    <x v="7"/>
    <x v="2"/>
    <n v="3"/>
    <n v="5"/>
    <s v="2024-09-20"/>
    <x v="0"/>
    <n v="1473717"/>
    <m/>
    <m/>
    <x v="1"/>
    <n v="34.4"/>
    <s v="Cold"/>
    <s v="Facebook form filled, number not provided"/>
  </r>
  <r>
    <s v="LD0989"/>
    <s v="Anita Mohite"/>
    <n v="9869003668"/>
    <x v="1"/>
    <x v="6"/>
    <s v="Facebook Home Decor Ads"/>
    <x v="9"/>
    <s v="2024-08-30"/>
    <x v="7"/>
    <x v="7"/>
    <x v="2"/>
    <n v="3"/>
    <n v="5"/>
    <s v="2024-10-03"/>
    <x v="0"/>
    <n v="318824"/>
    <m/>
    <m/>
    <x v="1"/>
    <n v="12.6"/>
    <s v="Cold"/>
    <s v="Lost - no follow up done in time"/>
  </r>
  <r>
    <s v="LD0990"/>
    <s v="Devendra Thorat"/>
    <n v="9588419169"/>
    <x v="4"/>
    <x v="5"/>
    <s v="Exhibition Walk-in"/>
    <x v="3"/>
    <s v="2024-08-31"/>
    <x v="7"/>
    <x v="7"/>
    <x v="2"/>
    <n v="3"/>
    <n v="12"/>
    <s v="2024-11-15"/>
    <x v="0"/>
    <n v="159881"/>
    <m/>
    <m/>
    <x v="1"/>
    <n v="30.7"/>
    <s v="Warm"/>
    <s v="Customer chose readymade furniture"/>
  </r>
  <r>
    <s v="LD0991"/>
    <s v="Madhuri Bhosale"/>
    <m/>
    <x v="0"/>
    <x v="6"/>
    <s v="Facebook Gudi Padwa Offer"/>
    <x v="2"/>
    <s v="2024-09-02"/>
    <x v="8"/>
    <x v="8"/>
    <x v="2"/>
    <n v="3"/>
    <n v="7"/>
    <s v="2024-09-24"/>
    <x v="0"/>
    <n v="301992"/>
    <m/>
    <m/>
    <x v="0"/>
    <n v="36.700000000000003"/>
    <s v="Cold"/>
    <s v="Facebook form filled, number not provided"/>
  </r>
  <r>
    <s v="LD0992"/>
    <s v="Alka Sonawane"/>
    <n v="9654220401"/>
    <x v="0"/>
    <x v="1"/>
    <s v="Justdial Sponsored — Inbound"/>
    <x v="0"/>
    <s v="2024-09-02"/>
    <x v="8"/>
    <x v="8"/>
    <x v="2"/>
    <n v="3"/>
    <n v="9"/>
    <s v="2024-09-28"/>
    <x v="0"/>
    <n v="795220"/>
    <m/>
    <m/>
    <x v="0"/>
    <n v="20"/>
    <s v="Cold"/>
    <m/>
  </r>
  <r>
    <s v="LD0993"/>
    <s v="Pooja Aware"/>
    <n v="9913855409"/>
    <x v="2"/>
    <x v="5"/>
    <s v="Site Visit Walk-in"/>
    <x v="0"/>
    <s v="2024-09-02"/>
    <x v="8"/>
    <x v="8"/>
    <x v="2"/>
    <n v="3"/>
    <n v="7"/>
    <s v="2024-10-17"/>
    <x v="3"/>
    <n v="542740"/>
    <m/>
    <m/>
    <x v="3"/>
    <n v="35"/>
    <s v="Warm"/>
    <m/>
  </r>
  <r>
    <s v="LD0994"/>
    <s v="Madhuri Gaikwad"/>
    <n v="9650807925"/>
    <x v="0"/>
    <x v="5"/>
    <s v="Showroom Walk-in"/>
    <x v="3"/>
    <s v="2024-09-02"/>
    <x v="8"/>
    <x v="8"/>
    <x v="2"/>
    <n v="3"/>
    <n v="9"/>
    <s v="2024-10-05"/>
    <x v="0"/>
    <n v="154578"/>
    <m/>
    <m/>
    <x v="3"/>
    <n v="10.4"/>
    <s v="Warm"/>
    <s v="Customer chose readymade furniture"/>
  </r>
  <r>
    <s v="LD0995"/>
    <s v="Deepak More"/>
    <n v="9765409860"/>
    <x v="3"/>
    <x v="6"/>
    <s v="Facebook Diwali Offer"/>
    <x v="6"/>
    <s v="2024-09-02"/>
    <x v="8"/>
    <x v="8"/>
    <x v="2"/>
    <n v="3"/>
    <n v="1"/>
    <s v="2024-09-17"/>
    <x v="0"/>
    <n v="122661"/>
    <m/>
    <m/>
    <x v="1"/>
    <n v="39.6"/>
    <s v="Cold"/>
    <s v="Customer did not proceed with project"/>
  </r>
  <r>
    <s v="LD0996"/>
    <s v="Pooja Thorat"/>
    <n v="9131468795"/>
    <x v="2"/>
    <x v="2"/>
    <s v="Client Referral"/>
    <x v="2"/>
    <s v="2024-09-02"/>
    <x v="8"/>
    <x v="8"/>
    <x v="2"/>
    <n v="3"/>
    <n v="1"/>
    <s v="2024-09-18"/>
    <x v="2"/>
    <n v="358503"/>
    <m/>
    <m/>
    <x v="0"/>
    <n v="15.6"/>
    <s v="Cold"/>
    <s v="Price too high as per customer"/>
  </r>
  <r>
    <s v="LD0997"/>
    <s v="Suresh Suryawanshi"/>
    <n v="9938242627"/>
    <x v="4"/>
    <x v="5"/>
    <s v="Exhibition Walk-in"/>
    <x v="5"/>
    <s v="2024-09-02"/>
    <x v="8"/>
    <x v="8"/>
    <x v="2"/>
    <n v="3"/>
    <n v="12"/>
    <s v="2024-11-09"/>
    <x v="3"/>
    <n v="218244"/>
    <m/>
    <m/>
    <x v="2"/>
    <n v="5.6"/>
    <s v="Warm"/>
    <s v="Follow up after flat possession"/>
  </r>
  <r>
    <s v="LD0998"/>
    <s v="Deepak Kulkarni"/>
    <n v="9558719363"/>
    <x v="4"/>
    <x v="3"/>
    <s v="MagicBricks Enquiry — Inbound"/>
    <x v="2"/>
    <s v="2024-09-02"/>
    <x v="8"/>
    <x v="8"/>
    <x v="2"/>
    <n v="3"/>
    <n v="3"/>
    <s v="2024-09-13"/>
    <x v="0"/>
    <n v="391473"/>
    <m/>
    <m/>
    <x v="0"/>
    <n v="36"/>
    <s v="Cold"/>
    <s v="Lost to branded competitor"/>
  </r>
  <r>
    <s v="LD0999"/>
    <s v="Sunanda Kulkarni"/>
    <n v="9960465290"/>
    <x v="0"/>
    <x v="8"/>
    <s v="Instagram Before-After Posts"/>
    <x v="7"/>
    <s v="2024-09-02"/>
    <x v="8"/>
    <x v="8"/>
    <x v="2"/>
    <n v="3"/>
    <n v="12"/>
    <s v="2024-10-11"/>
    <x v="0"/>
    <n v="1174931"/>
    <m/>
    <m/>
    <x v="1"/>
    <n v="42.1"/>
    <s v="Cold"/>
    <s v="Customer did not proceed with project"/>
  </r>
  <r>
    <s v="LD1000"/>
    <s v="Divya Phule"/>
    <n v="9835227852"/>
    <x v="1"/>
    <x v="2"/>
    <s v="Architect Referral"/>
    <x v="3"/>
    <s v="2024-09-02"/>
    <x v="8"/>
    <x v="8"/>
    <x v="2"/>
    <n v="3"/>
    <n v="7"/>
    <s v="2024-10-12"/>
    <x v="3"/>
    <n v="177791"/>
    <m/>
    <m/>
    <x v="0"/>
    <n v="13.2"/>
    <s v="Warm"/>
    <s v="Wants more design options before deciding"/>
  </r>
  <r>
    <s v="LD1001"/>
    <s v="Lata Gaikwad"/>
    <n v="9651575951"/>
    <x v="0"/>
    <x v="4"/>
    <s v="99acres Flat Owner Enquiry — Inbound"/>
    <x v="7"/>
    <s v="2024-09-03"/>
    <x v="8"/>
    <x v="8"/>
    <x v="2"/>
    <n v="3"/>
    <n v="7"/>
    <s v="2024-10-24"/>
    <x v="2"/>
    <n v="1087449"/>
    <m/>
    <m/>
    <x v="2"/>
    <n v="42.6"/>
    <s v="Cold"/>
    <s v="Not interested anymore"/>
  </r>
  <r>
    <s v="LD1002"/>
    <s v="Shweta Joshi"/>
    <n v="9646652839"/>
    <x v="4"/>
    <x v="1"/>
    <s v="Justdial Sponsored — Inbound"/>
    <x v="3"/>
    <s v="2024-09-04"/>
    <x v="8"/>
    <x v="8"/>
    <x v="2"/>
    <n v="3"/>
    <n v="6"/>
    <s v="2024-10-02"/>
    <x v="0"/>
    <n v="116584"/>
    <m/>
    <m/>
    <x v="1"/>
    <n v="13.4"/>
    <s v="Cold"/>
    <s v="Customer chose readymade furniture"/>
  </r>
  <r>
    <s v="LD1003"/>
    <s v="Archana Nimbalkar"/>
    <n v="9897300155"/>
    <x v="2"/>
    <x v="5"/>
    <s v="Site Visit Walk-in"/>
    <x v="8"/>
    <s v="2024-09-04"/>
    <x v="8"/>
    <x v="8"/>
    <x v="2"/>
    <n v="3"/>
    <m/>
    <s v="2024-09-14"/>
    <x v="0"/>
    <n v="685561"/>
    <m/>
    <m/>
    <x v="0"/>
    <n v="1.5"/>
    <s v="Cold"/>
    <s v="Lost - no follow up done in time"/>
  </r>
  <r>
    <s v="LD1004"/>
    <s v="Meena Mohite"/>
    <n v="9241459717"/>
    <x v="2"/>
    <x v="7"/>
    <s v="Google Ads"/>
    <x v="2"/>
    <s v="2024-09-04"/>
    <x v="8"/>
    <x v="8"/>
    <x v="2"/>
    <n v="3"/>
    <n v="3"/>
    <s v="2024-09-20"/>
    <x v="0"/>
    <n v="492011"/>
    <m/>
    <m/>
    <x v="0"/>
    <n v="3.5"/>
    <s v="Cold"/>
    <s v="Went with local vendor"/>
  </r>
  <r>
    <s v="LD1005"/>
    <s v="Jyoti Gaikwad"/>
    <n v="9961771921"/>
    <x v="0"/>
    <x v="8"/>
    <s v="Instagram Before-After Posts"/>
    <x v="1"/>
    <s v="2024-09-04"/>
    <x v="8"/>
    <x v="8"/>
    <x v="2"/>
    <n v="3"/>
    <n v="2"/>
    <s v="2024-09-09"/>
    <x v="4"/>
    <n v="248886"/>
    <n v="255764"/>
    <s v="2024-09-12"/>
    <x v="1"/>
    <n v="31.7"/>
    <s v="Hot"/>
    <s v="Customer referred 2 more leads after delivery"/>
  </r>
  <r>
    <s v="LD1006"/>
    <s v="Lata Shelke"/>
    <n v="9343401206"/>
    <x v="4"/>
    <x v="5"/>
    <s v="Site Visit Walk-in"/>
    <x v="9"/>
    <s v="2024-09-05"/>
    <x v="8"/>
    <x v="8"/>
    <x v="2"/>
    <n v="3"/>
    <n v="8"/>
    <s v="2024-10-03"/>
    <x v="3"/>
    <n v="287795"/>
    <m/>
    <m/>
    <x v="3"/>
    <m/>
    <s v="Hot"/>
    <s v="Final quote shared, awaiting approval"/>
  </r>
  <r>
    <s v="LD1007"/>
    <s v="Santosh Sonawane"/>
    <n v="9185669964"/>
    <x v="4"/>
    <x v="8"/>
    <s v="Instagram Gudi Padwa Special"/>
    <x v="3"/>
    <s v="2024-09-06"/>
    <x v="8"/>
    <x v="8"/>
    <x v="2"/>
    <n v="3"/>
    <m/>
    <s v="2024-10-09"/>
    <x v="4"/>
    <n v="106868"/>
    <n v="109929"/>
    <s v="2024-10-30"/>
    <x v="1"/>
    <n v="26.2"/>
    <s v="Hot"/>
    <s v="Token received, design finalised"/>
  </r>
  <r>
    <s v="LD1008"/>
    <s v="Manisha Naik"/>
    <n v="9379127209"/>
    <x v="4"/>
    <x v="2"/>
    <s v="Architect Referral"/>
    <x v="13"/>
    <s v="2024-09-07"/>
    <x v="8"/>
    <x v="8"/>
    <x v="2"/>
    <n v="3"/>
    <n v="1"/>
    <s v="2024-09-17"/>
    <x v="4"/>
    <n v="1594876"/>
    <n v="1450942"/>
    <s v="2024-10-07"/>
    <x v="2"/>
    <n v="6.3"/>
    <s v="Hot"/>
    <s v="Customer happy with sample, deal closed"/>
  </r>
  <r>
    <s v="LD1009"/>
    <s v="Sachin Pawar"/>
    <n v="9612912295"/>
    <x v="0"/>
    <x v="8"/>
    <s v="Instagram Wardrobe Showcase"/>
    <x v="4"/>
    <s v="2024-09-09"/>
    <x v="8"/>
    <x v="8"/>
    <x v="2"/>
    <n v="3"/>
    <n v="1"/>
    <s v="2024-09-17"/>
    <x v="0"/>
    <n v="97015"/>
    <m/>
    <m/>
    <x v="0"/>
    <n v="18.8"/>
    <s v="Cold"/>
    <s v="Project cancelled by customer"/>
  </r>
  <r>
    <s v="LD1010"/>
    <s v="Ganesh Bansode"/>
    <n v="9978466067"/>
    <x v="3"/>
    <x v="1"/>
    <s v="Justdial Sponsored — Inbound"/>
    <x v="11"/>
    <s v="2024-09-09"/>
    <x v="8"/>
    <x v="8"/>
    <x v="2"/>
    <n v="3"/>
    <n v="10"/>
    <s v="2024-10-14"/>
    <x v="0"/>
    <n v="439369"/>
    <m/>
    <m/>
    <x v="1"/>
    <n v="46.1"/>
    <s v="Cold"/>
    <s v="Project cancelled by customer"/>
  </r>
  <r>
    <s v="LD1011"/>
    <s v="Vijay Mane"/>
    <n v="9410296315"/>
    <x v="3"/>
    <x v="8"/>
    <s v="Instagram Kitchen Reels"/>
    <x v="11"/>
    <s v="2024-09-09"/>
    <x v="8"/>
    <x v="8"/>
    <x v="2"/>
    <n v="3"/>
    <n v="8"/>
    <s v="2024-10-24"/>
    <x v="3"/>
    <n v="399076"/>
    <m/>
    <m/>
    <x v="2"/>
    <n v="7.5"/>
    <s v="Hot"/>
    <s v="Ready to proceed, discussing payment terms"/>
  </r>
  <r>
    <s v="LD1012"/>
    <s v="Vijay Mane"/>
    <n v="9476971843"/>
    <x v="3"/>
    <x v="8"/>
    <s v="Instagram Gudi Padwa Special"/>
    <x v="2"/>
    <s v="2024-09-11"/>
    <x v="8"/>
    <x v="8"/>
    <x v="2"/>
    <n v="3"/>
    <n v="6"/>
    <s v="2024-10-24"/>
    <x v="1"/>
    <n v="519404"/>
    <m/>
    <m/>
    <x v="3"/>
    <n v="47.4"/>
    <s v="Warm"/>
    <s v="Waiting for interior budget approval from family"/>
  </r>
  <r>
    <s v="LD1013"/>
    <s v="Nilesh Thorat"/>
    <n v="9743478813"/>
    <x v="0"/>
    <x v="3"/>
    <s v="MagicBricks Enquiry — Inbound"/>
    <x v="1"/>
    <s v="2024-09-11"/>
    <x v="8"/>
    <x v="8"/>
    <x v="2"/>
    <n v="3"/>
    <n v="0"/>
    <s v="2024-09-23"/>
    <x v="2"/>
    <n v="125146"/>
    <m/>
    <m/>
    <x v="1"/>
    <n v="4.0999999999999996"/>
    <s v="Warm"/>
    <s v="New flat, moving in after 2 months"/>
  </r>
  <r>
    <s v="LD1014"/>
    <s v="Sanjay Mane"/>
    <n v="9427986788"/>
    <x v="2"/>
    <x v="1"/>
    <s v="Justdial Sponsored — Inbound"/>
    <x v="7"/>
    <s v="2024-09-12"/>
    <x v="8"/>
    <x v="8"/>
    <x v="2"/>
    <n v="3"/>
    <n v="4"/>
    <s v="2024-10-04"/>
    <x v="0"/>
    <n v="1193867"/>
    <m/>
    <m/>
    <x v="0"/>
    <n v="42.9"/>
    <s v="Cold"/>
    <s v="Lost to competitor - cheaper quote"/>
  </r>
  <r>
    <s v="LD1015"/>
    <s v="Sunanda Wagh"/>
    <n v="9986339543"/>
    <x v="0"/>
    <x v="8"/>
    <s v="Instagram Gudi Padwa Special"/>
    <x v="1"/>
    <s v="2024-09-12"/>
    <x v="8"/>
    <x v="8"/>
    <x v="2"/>
    <n v="3"/>
    <n v="4"/>
    <s v="2024-09-27"/>
    <x v="0"/>
    <n v="237862"/>
    <m/>
    <m/>
    <x v="0"/>
    <n v="45.7"/>
    <s v="Cold"/>
    <s v="Customer got work done from relative"/>
  </r>
  <r>
    <s v="LD1016"/>
    <s v="Rekha Nimbalkar"/>
    <m/>
    <x v="4"/>
    <x v="8"/>
    <s v="Instagram Diwali Campaign"/>
    <x v="11"/>
    <s v="2024-09-12"/>
    <x v="8"/>
    <x v="8"/>
    <x v="2"/>
    <n v="3"/>
    <n v="8"/>
    <s v="2024-10-23"/>
    <x v="2"/>
    <n v="465672"/>
    <m/>
    <m/>
    <x v="1"/>
    <n v="31.5"/>
    <s v="Warm"/>
    <s v="Customer messaged on Instagram, did not share contact"/>
  </r>
  <r>
    <s v="LD1017"/>
    <s v="Madhuri Jadhav"/>
    <n v="9882691805"/>
    <x v="0"/>
    <x v="4"/>
    <s v="99acres Flat Owner Enquiry — Inbound"/>
    <x v="7"/>
    <s v="2024-09-12"/>
    <x v="8"/>
    <x v="8"/>
    <x v="2"/>
    <n v="3"/>
    <n v="1"/>
    <s v="2024-09-23"/>
    <x v="4"/>
    <n v="898011"/>
    <n v="855448"/>
    <s v="2024-10-04"/>
    <x v="1"/>
    <n v="3.9"/>
    <s v="Hot"/>
    <s v="Customer referred 2 more leads after delivery"/>
  </r>
  <r>
    <s v="LD1018"/>
    <s v="Deepak Nikalje"/>
    <n v="9341037744"/>
    <x v="0"/>
    <x v="8"/>
    <s v="Instagram Before-After Posts"/>
    <x v="7"/>
    <s v="2024-09-14"/>
    <x v="8"/>
    <x v="8"/>
    <x v="2"/>
    <n v="3"/>
    <n v="9"/>
    <s v="2024-10-29"/>
    <x v="0"/>
    <n v="1096205"/>
    <m/>
    <m/>
    <x v="0"/>
    <n v="35.9"/>
    <s v="Cold"/>
    <s v="Lost to branded competitor"/>
  </r>
  <r>
    <s v="LD1019"/>
    <s v="Rekha Salve"/>
    <n v="9725818533"/>
    <x v="1"/>
    <x v="8"/>
    <s v="Instagram Story Ads"/>
    <x v="6"/>
    <s v="2024-09-14"/>
    <x v="8"/>
    <x v="8"/>
    <x v="2"/>
    <n v="3"/>
    <n v="4"/>
    <s v="2024-10-15"/>
    <x v="3"/>
    <n v="165606"/>
    <m/>
    <m/>
    <x v="0"/>
    <n v="45.1"/>
    <s v="Hot"/>
    <s v="Ready to proceed, discussing payment terms"/>
  </r>
  <r>
    <s v="LD1020"/>
    <s v="Ganesh Salve"/>
    <n v="9283576774"/>
    <x v="0"/>
    <x v="6"/>
    <s v="Facebook Gudi Padwa Offer"/>
    <x v="2"/>
    <s v="2024-09-16"/>
    <x v="8"/>
    <x v="8"/>
    <x v="2"/>
    <n v="3"/>
    <n v="11"/>
    <s v="2024-11-22"/>
    <x v="1"/>
    <n v="500252"/>
    <m/>
    <m/>
    <x v="1"/>
    <n v="17.3"/>
    <s v="Hot"/>
    <s v="Token amount discussed, decision this week"/>
  </r>
  <r>
    <s v="LD1021"/>
    <s v="Nikhil Kakade"/>
    <n v="9587944577"/>
    <x v="3"/>
    <x v="5"/>
    <s v="Exhibition Walk-in"/>
    <x v="9"/>
    <s v="2024-09-16"/>
    <x v="8"/>
    <x v="8"/>
    <x v="2"/>
    <n v="3"/>
    <n v="4"/>
    <s v="2024-10-02"/>
    <x v="3"/>
    <n v="476703"/>
    <m/>
    <m/>
    <x v="2"/>
    <n v="46.6"/>
    <s v="Warm"/>
    <s v="Call back after 1 month"/>
  </r>
  <r>
    <s v="LD1022"/>
    <s v="Shweta Gaikwad"/>
    <n v="9391395622"/>
    <x v="2"/>
    <x v="8"/>
    <s v="Instagram Gudi Padwa Special"/>
    <x v="0"/>
    <s v="2024-09-16"/>
    <x v="8"/>
    <x v="8"/>
    <x v="2"/>
    <n v="3"/>
    <n v="10"/>
    <s v="2024-11-23"/>
    <x v="4"/>
    <n v="355525"/>
    <n v="352332"/>
    <s v="2024-12-01"/>
    <x v="1"/>
    <n v="2.6"/>
    <s v="Hot"/>
    <m/>
  </r>
  <r>
    <s v="LD1023"/>
    <s v="Anita More"/>
    <n v="9688070959"/>
    <x v="3"/>
    <x v="7"/>
    <s v="Website Chat Enquiry"/>
    <x v="7"/>
    <s v="2024-09-17"/>
    <x v="8"/>
    <x v="8"/>
    <x v="2"/>
    <n v="3"/>
    <n v="4"/>
    <s v="2024-10-18"/>
    <x v="2"/>
    <n v="1135119"/>
    <m/>
    <m/>
    <x v="0"/>
    <n v="10.8"/>
    <s v="Cold"/>
    <s v="Not interested anymore"/>
  </r>
  <r>
    <s v="LD1024"/>
    <s v="Manoj Kakade"/>
    <n v="9777155904"/>
    <x v="3"/>
    <x v="7"/>
    <s v="Google Ads"/>
    <x v="0"/>
    <s v="2024-09-18"/>
    <x v="8"/>
    <x v="8"/>
    <x v="2"/>
    <n v="3"/>
    <n v="5"/>
    <s v="2024-10-29"/>
    <x v="0"/>
    <n v="324358"/>
    <m/>
    <m/>
    <x v="0"/>
    <n v="24.3"/>
    <s v="Warm"/>
    <s v="Lost to branded competitor"/>
  </r>
  <r>
    <s v="LD1025"/>
    <s v="Manisha Pawar"/>
    <n v="9222859966"/>
    <x v="4"/>
    <x v="8"/>
    <s v="Instagram Kitchen Reels"/>
    <x v="4"/>
    <s v="2024-09-18"/>
    <x v="8"/>
    <x v="8"/>
    <x v="2"/>
    <n v="3"/>
    <n v="9"/>
    <s v="2024-10-09"/>
    <x v="0"/>
    <n v="188972"/>
    <m/>
    <m/>
    <x v="1"/>
    <n v="46.8"/>
    <s v="Cold"/>
    <s v="Went with local vendor"/>
  </r>
  <r>
    <s v="LD1026"/>
    <s v="Divya Gaikwad"/>
    <n v="9771636160"/>
    <x v="2"/>
    <x v="2"/>
    <s v="Client Referral"/>
    <x v="12"/>
    <s v="2024-09-19"/>
    <x v="8"/>
    <x v="8"/>
    <x v="2"/>
    <n v="3"/>
    <n v="2"/>
    <s v="2024-10-09"/>
    <x v="4"/>
    <n v="1329145"/>
    <n v="1257867"/>
    <s v="2024-10-30"/>
    <x v="0"/>
    <n v="22"/>
    <s v="Hot"/>
    <s v="Full payment cleared, delivery done"/>
  </r>
  <r>
    <s v="LD1027"/>
    <s v="Sunanda Joshi"/>
    <n v="9285900374"/>
    <x v="0"/>
    <x v="2"/>
    <s v="Client Referral"/>
    <x v="3"/>
    <s v="2024-09-19"/>
    <x v="8"/>
    <x v="8"/>
    <x v="2"/>
    <n v="3"/>
    <n v="10"/>
    <s v="2024-11-26"/>
    <x v="0"/>
    <n v="114844"/>
    <m/>
    <m/>
    <x v="0"/>
    <n v="13.2"/>
    <s v="Cold"/>
    <s v="Lost to competitor - cheaper quote"/>
  </r>
  <r>
    <s v="LD1028"/>
    <s v="Nilesh Kulkarni"/>
    <n v="9397477863"/>
    <x v="2"/>
    <x v="5"/>
    <s v="Exhibition Walk-in"/>
    <x v="2"/>
    <s v="2024-09-19"/>
    <x v="8"/>
    <x v="8"/>
    <x v="2"/>
    <n v="3"/>
    <n v="4"/>
    <s v="2024-10-04"/>
    <x v="0"/>
    <n v="336745"/>
    <m/>
    <m/>
    <x v="1"/>
    <n v="23.7"/>
    <s v="Warm"/>
    <s v="Budget mismatch - too low"/>
  </r>
  <r>
    <s v="LD1029"/>
    <s v="Ritu Gaikwad"/>
    <n v="9757622966"/>
    <x v="0"/>
    <x v="8"/>
    <s v="Instagram Story Ads"/>
    <x v="12"/>
    <s v="2024-09-20"/>
    <x v="8"/>
    <x v="8"/>
    <x v="2"/>
    <n v="3"/>
    <n v="12"/>
    <s v="2024-11-04"/>
    <x v="4"/>
    <n v="1052835"/>
    <n v="982750"/>
    <s v="2024-11-08"/>
    <x v="2"/>
    <n v="19.8"/>
    <s v="Hot"/>
    <s v="Work order signed, production started"/>
  </r>
  <r>
    <s v="LD1030"/>
    <s v="Arun Wagh"/>
    <n v="9540083002"/>
    <x v="4"/>
    <x v="1"/>
    <s v="Justdial Free Listing — Inbound"/>
    <x v="9"/>
    <s v="2024-09-20"/>
    <x v="8"/>
    <x v="8"/>
    <x v="2"/>
    <n v="3"/>
    <n v="9"/>
    <s v="2024-11-07"/>
    <x v="3"/>
    <n v="504073"/>
    <m/>
    <m/>
    <x v="1"/>
    <n v="41.2"/>
    <s v="Warm"/>
    <s v="Follow up after Dussehra"/>
  </r>
  <r>
    <s v="LD1031"/>
    <s v="Meena Gavhane"/>
    <n v="9337308920"/>
    <x v="2"/>
    <x v="8"/>
    <s v="Instagram Diwali Campaign"/>
    <x v="11"/>
    <s v="2024-09-20"/>
    <x v="8"/>
    <x v="8"/>
    <x v="2"/>
    <n v="3"/>
    <n v="8"/>
    <s v="2024-11-04"/>
    <x v="1"/>
    <n v="207671"/>
    <m/>
    <m/>
    <x v="1"/>
    <n v="18.399999999999999"/>
    <s v="Warm"/>
    <s v="Budget discussion pending"/>
  </r>
  <r>
    <s v="LD1032"/>
    <s v="Umesh Joshi"/>
    <n v="9963572942"/>
    <x v="4"/>
    <x v="0"/>
    <s v="Friend Reference"/>
    <x v="2"/>
    <s v="2024-09-21"/>
    <x v="8"/>
    <x v="8"/>
    <x v="2"/>
    <n v="3"/>
    <n v="1"/>
    <s v="2024-10-07"/>
    <x v="4"/>
    <n v="363503"/>
    <n v="320893"/>
    <s v="2024-10-21"/>
    <x v="2"/>
    <n v="35.9"/>
    <s v="Hot"/>
    <s v="Full payment cleared, delivery done"/>
  </r>
  <r>
    <s v="LD1033"/>
    <s v="Meena Aware"/>
    <n v="9699506853"/>
    <x v="0"/>
    <x v="2"/>
    <s v="Client Referral"/>
    <x v="1"/>
    <s v="2024-09-21"/>
    <x v="8"/>
    <x v="8"/>
    <x v="2"/>
    <n v="3"/>
    <n v="11"/>
    <s v="2024-11-04"/>
    <x v="4"/>
    <n v="197800"/>
    <n v="197440"/>
    <s v="2024-11-21"/>
    <x v="0"/>
    <n v="34.799999999999997"/>
    <s v="Hot"/>
    <s v="Token paid, measurement done, work started"/>
  </r>
  <r>
    <s v="LD1034"/>
    <s v="Nikhil Bhalerao"/>
    <n v="9632940741"/>
    <x v="2"/>
    <x v="7"/>
    <s v="Google Ads"/>
    <x v="7"/>
    <s v="2024-09-21"/>
    <x v="8"/>
    <x v="8"/>
    <x v="2"/>
    <n v="3"/>
    <n v="12"/>
    <s v="2024-10-23"/>
    <x v="0"/>
    <n v="972150"/>
    <m/>
    <m/>
    <x v="1"/>
    <n v="46.4"/>
    <s v="Cold"/>
    <s v="Went with local vendor"/>
  </r>
  <r>
    <s v="LD1035"/>
    <s v="Umesh Tupe"/>
    <n v="9165494534"/>
    <x v="2"/>
    <x v="2"/>
    <s v="Client Referral"/>
    <x v="4"/>
    <s v="2024-09-21"/>
    <x v="8"/>
    <x v="8"/>
    <x v="2"/>
    <n v="3"/>
    <n v="12"/>
    <s v="2024-10-25"/>
    <x v="4"/>
    <n v="134378"/>
    <n v="120196"/>
    <s v="2024-11-12"/>
    <x v="1"/>
    <n v="16.399999999999999"/>
    <s v="Hot"/>
    <s v="Deal closed, advance received"/>
  </r>
  <r>
    <s v="LD1036"/>
    <s v="Rohit Raut"/>
    <n v="9154398124"/>
    <x v="0"/>
    <x v="7"/>
    <s v="Google My Business"/>
    <x v="0"/>
    <s v="2024-09-23"/>
    <x v="8"/>
    <x v="8"/>
    <x v="2"/>
    <n v="3"/>
    <n v="8"/>
    <s v="2024-11-05"/>
    <x v="4"/>
    <n v="319199"/>
    <n v="315813"/>
    <s v="2024-11-22"/>
    <x v="1"/>
    <n v="40.6"/>
    <s v="Hot"/>
    <s v="Customer very satisfied, 5 star review given"/>
  </r>
  <r>
    <s v="LD1037"/>
    <s v="Pooja Deshmukh"/>
    <n v="9359839605"/>
    <x v="0"/>
    <x v="6"/>
    <s v="Facebook Kitchen Showcase"/>
    <x v="7"/>
    <s v="2024-09-23"/>
    <x v="8"/>
    <x v="8"/>
    <x v="2"/>
    <n v="3"/>
    <n v="11"/>
    <s v="2024-11-26"/>
    <x v="0"/>
    <n v="959989"/>
    <m/>
    <m/>
    <x v="3"/>
    <n v="33.4"/>
    <s v="Warm"/>
    <s v="Customer chose readymade furniture"/>
  </r>
  <r>
    <s v="LD1038"/>
    <s v="Sachin Joshi"/>
    <n v="9388853213"/>
    <x v="2"/>
    <x v="8"/>
    <s v="Instagram Diwali Campaign"/>
    <x v="12"/>
    <s v="2024-09-24"/>
    <x v="8"/>
    <x v="8"/>
    <x v="2"/>
    <n v="3"/>
    <n v="12"/>
    <s v="2024-11-08"/>
    <x v="3"/>
    <n v="1194823"/>
    <m/>
    <m/>
    <x v="1"/>
    <n v="7"/>
    <s v="Warm"/>
    <s v="Call back after 1 month"/>
  </r>
  <r>
    <s v="LD1039"/>
    <s v="Sunil Jadhav"/>
    <n v="9207029277"/>
    <x v="1"/>
    <x v="2"/>
    <s v="Neighbour Referral"/>
    <x v="5"/>
    <s v="2024-09-24"/>
    <x v="8"/>
    <x v="8"/>
    <x v="2"/>
    <n v="3"/>
    <n v="2"/>
    <s v="2024-10-08"/>
    <x v="4"/>
    <n v="220992"/>
    <n v="194887"/>
    <s v="2024-10-10"/>
    <x v="0"/>
    <n v="15"/>
    <s v="Hot"/>
    <s v="Customer referred 2 more leads after delivery"/>
  </r>
  <r>
    <s v="LD1040"/>
    <s v="Sunanda Gaikwad"/>
    <n v="9185706314"/>
    <x v="4"/>
    <x v="6"/>
    <s v="Facebook Home Decor Ads"/>
    <x v="12"/>
    <s v="2024-09-24"/>
    <x v="8"/>
    <x v="8"/>
    <x v="2"/>
    <n v="3"/>
    <n v="1"/>
    <s v="2024-10-05"/>
    <x v="1"/>
    <n v="929143"/>
    <m/>
    <m/>
    <x v="0"/>
    <n v="36.1"/>
    <s v="Warm"/>
    <s v="Call back after 1 month"/>
  </r>
  <r>
    <s v="LD1041"/>
    <s v="Kavita Kadam"/>
    <n v="9299648752"/>
    <x v="0"/>
    <x v="0"/>
    <s v="Family Reference"/>
    <x v="0"/>
    <s v="2024-09-25"/>
    <x v="8"/>
    <x v="8"/>
    <x v="2"/>
    <n v="3"/>
    <n v="6"/>
    <s v="2024-10-25"/>
    <x v="1"/>
    <n v="775352"/>
    <m/>
    <m/>
    <x v="1"/>
    <n v="16.7"/>
    <s v="Hot"/>
    <s v="Ready to proceed, discussing payment terms"/>
  </r>
  <r>
    <s v="LD1042"/>
    <s v="Rekha Mane"/>
    <n v="9534244788"/>
    <x v="0"/>
    <x v="8"/>
    <s v="Instagram Kitchen Reels"/>
    <x v="0"/>
    <s v="2024-09-26"/>
    <x v="8"/>
    <x v="8"/>
    <x v="2"/>
    <n v="3"/>
    <n v="6"/>
    <s v="2024-10-26"/>
    <x v="0"/>
    <n v="709093"/>
    <m/>
    <m/>
    <x v="0"/>
    <n v="2.4"/>
    <s v="Cold"/>
    <s v="Went with local vendor"/>
  </r>
  <r>
    <s v="LD1043"/>
    <s v="Sonal Gaikwad"/>
    <n v="9896893126"/>
    <x v="0"/>
    <x v="1"/>
    <s v="Justdial Sponsored — Inbound"/>
    <x v="0"/>
    <s v="2024-09-26"/>
    <x v="8"/>
    <x v="8"/>
    <x v="2"/>
    <n v="3"/>
    <n v="2"/>
    <s v="2024-10-16"/>
    <x v="2"/>
    <n v="429325"/>
    <m/>
    <m/>
    <x v="1"/>
    <n v="30.5"/>
    <s v="Cold"/>
    <s v="No response after 4 follow ups"/>
  </r>
  <r>
    <s v="LD1044"/>
    <s v="Sonal Nimbalkar"/>
    <n v="9670470132"/>
    <x v="4"/>
    <x v="0"/>
    <s v="Family Reference"/>
    <x v="5"/>
    <s v="2024-09-26"/>
    <x v="8"/>
    <x v="8"/>
    <x v="2"/>
    <n v="3"/>
    <n v="8"/>
    <s v="2024-11-19"/>
    <x v="4"/>
    <n v="126980"/>
    <n v="113525"/>
    <s v="2024-12-08"/>
    <x v="1"/>
    <n v="2.7"/>
    <s v="Hot"/>
    <s v="Customer referred 2 more leads after delivery"/>
  </r>
  <r>
    <s v="LD1045"/>
    <s v="Deepak Naik"/>
    <n v="9414778396"/>
    <x v="0"/>
    <x v="2"/>
    <s v="Client Referral"/>
    <x v="6"/>
    <s v="2024-09-26"/>
    <x v="8"/>
    <x v="8"/>
    <x v="2"/>
    <n v="3"/>
    <n v="0"/>
    <s v="2024-09-30"/>
    <x v="1"/>
    <n v="196628"/>
    <m/>
    <m/>
    <x v="2"/>
    <n v="46.6"/>
    <s v="Warm"/>
    <s v="Customer interested, flat handover next month"/>
  </r>
  <r>
    <s v="LD1046"/>
    <s v="Kavita Gavhane"/>
    <n v="9213568279"/>
    <x v="3"/>
    <x v="2"/>
    <s v="Client Referral"/>
    <x v="11"/>
    <s v="2024-09-27"/>
    <x v="8"/>
    <x v="8"/>
    <x v="2"/>
    <n v="3"/>
    <n v="5"/>
    <s v="2024-10-14"/>
    <x v="2"/>
    <n v="313317"/>
    <m/>
    <m/>
    <x v="3"/>
    <n v="17.899999999999999"/>
    <s v="Cold"/>
    <m/>
  </r>
  <r>
    <s v="LD1047"/>
    <s v="Vikas Holkar"/>
    <n v="9806964540"/>
    <x v="2"/>
    <x v="5"/>
    <s v="Showroom Walk-in"/>
    <x v="6"/>
    <s v="2024-09-27"/>
    <x v="8"/>
    <x v="8"/>
    <x v="2"/>
    <n v="3"/>
    <n v="1"/>
    <s v="2024-10-02"/>
    <x v="4"/>
    <n v="274564"/>
    <n v="262017"/>
    <s v="2024-10-23"/>
    <x v="3"/>
    <n v="35.200000000000003"/>
    <s v="Hot"/>
    <s v="Customer referred 2 more leads after delivery"/>
  </r>
  <r>
    <s v="LD1048"/>
    <s v="Manisha Jadhav"/>
    <n v="9735898551"/>
    <x v="4"/>
    <x v="5"/>
    <s v="Showroom Walk-in"/>
    <x v="7"/>
    <s v="2024-09-27"/>
    <x v="8"/>
    <x v="8"/>
    <x v="2"/>
    <n v="3"/>
    <n v="2"/>
    <s v="2024-10-03"/>
    <x v="4"/>
    <n v="882655"/>
    <n v="828139"/>
    <s v="2024-10-11"/>
    <x v="3"/>
    <n v="47.4"/>
    <s v="Hot"/>
    <s v="Token received, design finalised"/>
  </r>
  <r>
    <s v="LD1049"/>
    <s v="Divya Naik"/>
    <n v="9338848174"/>
    <x v="0"/>
    <x v="2"/>
    <s v="Client Referral"/>
    <x v="13"/>
    <s v="2024-09-27"/>
    <x v="8"/>
    <x v="8"/>
    <x v="2"/>
    <n v="3"/>
    <n v="3"/>
    <s v="2024-10-23"/>
    <x v="4"/>
    <n v="1761857"/>
    <n v="1798184"/>
    <s v="2024-11-09"/>
    <x v="1"/>
    <n v="4.0999999999999996"/>
    <s v="Hot"/>
    <s v="Final payment received, project handed over"/>
  </r>
  <r>
    <s v="LD1050"/>
    <s v="Deepak Mohite"/>
    <n v="9300027050"/>
    <x v="2"/>
    <x v="5"/>
    <s v="Showroom Walk-in"/>
    <x v="2"/>
    <s v="2024-09-27"/>
    <x v="8"/>
    <x v="8"/>
    <x v="2"/>
    <n v="3"/>
    <n v="8"/>
    <s v="2024-11-23"/>
    <x v="1"/>
    <n v="373227"/>
    <m/>
    <m/>
    <x v="1"/>
    <n v="45.7"/>
    <s v="Hot"/>
    <s v="Customer comparing 1-2 vendors only"/>
  </r>
  <r>
    <s v="LD1051"/>
    <s v="Devendra Bhosale"/>
    <n v="9556145108"/>
    <x v="0"/>
    <x v="2"/>
    <s v="Contractor Referral"/>
    <x v="12"/>
    <s v="2024-09-28"/>
    <x v="8"/>
    <x v="8"/>
    <x v="2"/>
    <n v="3"/>
    <n v="1"/>
    <s v="2024-10-10"/>
    <x v="4"/>
    <n v="1153685"/>
    <n v="1072750"/>
    <s v="2024-10-20"/>
    <x v="0"/>
    <n v="22.3"/>
    <s v="Hot"/>
    <s v="Deal closed, advance received"/>
  </r>
  <r>
    <s v="LD1052"/>
    <s v="Alka Thorat"/>
    <n v="9251957685"/>
    <x v="3"/>
    <x v="3"/>
    <s v="MagicBricks Enquiry — Inbound"/>
    <x v="11"/>
    <s v="2024-09-30"/>
    <x v="8"/>
    <x v="8"/>
    <x v="2"/>
    <n v="3"/>
    <n v="8"/>
    <s v="2024-11-30"/>
    <x v="2"/>
    <n v="226945"/>
    <m/>
    <m/>
    <x v="1"/>
    <n v="5.3"/>
    <s v="Warm"/>
    <s v="Follow up after Gudi Padwa"/>
  </r>
  <r>
    <s v="LD1053"/>
    <s v="Manisha Patil"/>
    <n v="9885042792"/>
    <x v="0"/>
    <x v="6"/>
    <s v="Facebook Diwali Offer"/>
    <x v="4"/>
    <s v="2024-09-30"/>
    <x v="8"/>
    <x v="8"/>
    <x v="2"/>
    <n v="3"/>
    <n v="1"/>
    <s v="2024-10-10"/>
    <x v="1"/>
    <n v="217395"/>
    <m/>
    <m/>
    <x v="2"/>
    <n v="3.4"/>
    <s v="Cold"/>
    <s v="Price too high as per customer"/>
  </r>
  <r>
    <s v="LD1054"/>
    <s v="Amit Bansode"/>
    <n v="9786241228"/>
    <x v="0"/>
    <x v="7"/>
    <s v="Google My Business"/>
    <x v="7"/>
    <s v="2024-09-30"/>
    <x v="8"/>
    <x v="8"/>
    <x v="2"/>
    <n v="3"/>
    <n v="7"/>
    <s v="2024-10-22"/>
    <x v="3"/>
    <n v="727520"/>
    <m/>
    <m/>
    <x v="2"/>
    <n v="30.3"/>
    <s v="Hot"/>
    <s v="Sample seen at showroom, liked veneer finish"/>
  </r>
  <r>
    <s v="LD1055"/>
    <s v="Nanda Phule"/>
    <n v="9181836665"/>
    <x v="3"/>
    <x v="0"/>
    <s v="Colony Reference"/>
    <x v="12"/>
    <s v="2024-10-01"/>
    <x v="9"/>
    <x v="9"/>
    <x v="2"/>
    <n v="4"/>
    <n v="11"/>
    <s v="2024-12-16"/>
    <x v="0"/>
    <n v="1230073"/>
    <m/>
    <m/>
    <x v="0"/>
    <n v="44.4"/>
    <s v="Cold"/>
    <s v="Lost - no follow up done in time"/>
  </r>
  <r>
    <s v="LD1056"/>
    <s v="Ritu Tupe"/>
    <n v="9269736666"/>
    <x v="2"/>
    <x v="5"/>
    <s v="Showroom Walk-in"/>
    <x v="8"/>
    <s v="2024-10-01"/>
    <x v="9"/>
    <x v="9"/>
    <x v="2"/>
    <n v="4"/>
    <n v="2"/>
    <s v="2024-10-07"/>
    <x v="1"/>
    <n v="930066"/>
    <m/>
    <m/>
    <x v="2"/>
    <n v="2.4"/>
    <s v="Hot"/>
    <s v="Ready to proceed, discussing payment terms"/>
  </r>
  <r>
    <s v="LD1057"/>
    <s v="Pooja Pawar"/>
    <n v="9228899367"/>
    <x v="0"/>
    <x v="0"/>
    <s v="Colony Reference"/>
    <x v="8"/>
    <s v="2024-10-01"/>
    <x v="9"/>
    <x v="9"/>
    <x v="2"/>
    <n v="4"/>
    <n v="8"/>
    <s v="2024-10-19"/>
    <x v="4"/>
    <n v="792923"/>
    <n v="718159"/>
    <s v="2024-11-06"/>
    <x v="0"/>
    <n v="19.399999999999999"/>
    <s v="Hot"/>
    <s v="Deal closed, advance received"/>
  </r>
  <r>
    <s v="LD1058"/>
    <s v="Alka Joshi"/>
    <n v="9540569808"/>
    <x v="3"/>
    <x v="2"/>
    <s v="Neighbour Referral"/>
    <x v="7"/>
    <s v="2024-10-01"/>
    <x v="9"/>
    <x v="9"/>
    <x v="2"/>
    <n v="4"/>
    <n v="2"/>
    <s v="2024-10-14"/>
    <x v="1"/>
    <n v="1175496"/>
    <m/>
    <m/>
    <x v="1"/>
    <n v="43.5"/>
    <s v="Warm"/>
    <s v="Waiting for interior budget approval from family"/>
  </r>
  <r>
    <s v="LD1059"/>
    <s v="Alka Gaikwad"/>
    <n v="9185998255"/>
    <x v="4"/>
    <x v="2"/>
    <s v="Architect Referral"/>
    <x v="1"/>
    <s v="2024-10-01"/>
    <x v="9"/>
    <x v="9"/>
    <x v="2"/>
    <n v="4"/>
    <n v="7"/>
    <s v="2024-10-28"/>
    <x v="4"/>
    <n v="157541"/>
    <n v="157056"/>
    <s v="2024-11-17"/>
    <x v="0"/>
    <n v="28.2"/>
    <s v="Hot"/>
    <s v="Deal done, site work ongoing"/>
  </r>
  <r>
    <s v="LD1060"/>
    <s v="Vijay Mane"/>
    <n v="9787862511"/>
    <x v="0"/>
    <x v="5"/>
    <s v="Showroom Walk-in"/>
    <x v="7"/>
    <s v="2024-10-01"/>
    <x v="9"/>
    <x v="9"/>
    <x v="2"/>
    <n v="4"/>
    <n v="0"/>
    <s v="2024-10-08"/>
    <x v="4"/>
    <n v="1308954"/>
    <n v="1293445"/>
    <s v="2024-10-10"/>
    <x v="3"/>
    <n v="15"/>
    <s v="Hot"/>
    <m/>
  </r>
  <r>
    <s v="LD1061"/>
    <s v="Shweta Kshirsagar"/>
    <n v="9517386186"/>
    <x v="2"/>
    <x v="4"/>
    <s v="99acres New Project Enquiry — Inbound"/>
    <x v="5"/>
    <s v="2024-10-02"/>
    <x v="9"/>
    <x v="9"/>
    <x v="2"/>
    <n v="4"/>
    <n v="5"/>
    <s v="2024-10-28"/>
    <x v="0"/>
    <n v="195155"/>
    <m/>
    <m/>
    <x v="0"/>
    <n v="8.9"/>
    <s v="Cold"/>
    <s v="Project cancelled by customer"/>
  </r>
  <r>
    <s v="LD1062"/>
    <s v="Anita Raut"/>
    <n v="9554785704"/>
    <x v="2"/>
    <x v="7"/>
    <s v="Google My Business"/>
    <x v="3"/>
    <s v="2024-10-03"/>
    <x v="9"/>
    <x v="9"/>
    <x v="2"/>
    <n v="4"/>
    <n v="1"/>
    <s v="2024-10-14"/>
    <x v="0"/>
    <n v="179661"/>
    <m/>
    <m/>
    <x v="0"/>
    <n v="4.5999999999999996"/>
    <s v="Cold"/>
    <s v="Project cancelled by customer"/>
  </r>
  <r>
    <s v="LD1063"/>
    <s v="Sonal Chavan"/>
    <n v="9517614209"/>
    <x v="4"/>
    <x v="2"/>
    <s v="Client Referral"/>
    <x v="8"/>
    <s v="2024-10-04"/>
    <x v="9"/>
    <x v="9"/>
    <x v="2"/>
    <n v="4"/>
    <n v="4"/>
    <s v="2024-10-28"/>
    <x v="1"/>
    <n v="837573"/>
    <m/>
    <m/>
    <x v="2"/>
    <n v="17.600000000000001"/>
    <s v="Warm"/>
    <s v="Customer interested, flat handover next month"/>
  </r>
  <r>
    <s v="LD1064"/>
    <s v="Sanjay Shinde"/>
    <n v="9917971316"/>
    <x v="0"/>
    <x v="1"/>
    <s v="Justdial Premium Listing — Inbound"/>
    <x v="0"/>
    <s v="2024-10-04"/>
    <x v="9"/>
    <x v="9"/>
    <x v="2"/>
    <n v="4"/>
    <n v="3"/>
    <s v="2024-10-23"/>
    <x v="0"/>
    <n v="538984"/>
    <m/>
    <m/>
    <x v="0"/>
    <n v="46.6"/>
    <s v="Cold"/>
    <s v="Customer did not proceed with project"/>
  </r>
  <r>
    <s v="LD1065"/>
    <s v="Nilesh Phule"/>
    <n v="9509266882"/>
    <x v="0"/>
    <x v="2"/>
    <s v="Neighbour Referral"/>
    <x v="11"/>
    <s v="2024-10-04"/>
    <x v="9"/>
    <x v="9"/>
    <x v="2"/>
    <n v="4"/>
    <n v="3"/>
    <s v="2024-10-15"/>
    <x v="2"/>
    <n v="150708"/>
    <m/>
    <m/>
    <x v="1"/>
    <n v="19.8"/>
    <s v="Cold"/>
    <s v="No response after 4 follow ups"/>
  </r>
  <r>
    <s v="LD1066"/>
    <s v="Rohit Londhe"/>
    <n v="9904145191"/>
    <x v="0"/>
    <x v="0"/>
    <s v="Family Reference"/>
    <x v="11"/>
    <s v="2024-10-05"/>
    <x v="9"/>
    <x v="9"/>
    <x v="2"/>
    <n v="4"/>
    <n v="3"/>
    <s v="2024-10-31"/>
    <x v="0"/>
    <n v="205886"/>
    <m/>
    <m/>
    <x v="1"/>
    <n v="31.3"/>
    <s v="Warm"/>
    <s v="Lost - no follow up done in time"/>
  </r>
  <r>
    <s v="LD1067"/>
    <s v="Suresh Kakade"/>
    <n v="9559676548"/>
    <x v="0"/>
    <x v="2"/>
    <s v="Contractor Referral"/>
    <x v="0"/>
    <s v="2024-10-05"/>
    <x v="9"/>
    <x v="9"/>
    <x v="2"/>
    <n v="4"/>
    <n v="0"/>
    <s v="2024-10-17"/>
    <x v="1"/>
    <n v="483018"/>
    <m/>
    <m/>
    <x v="0"/>
    <n v="12"/>
    <s v="Warm"/>
    <s v="Site visit to be scheduled"/>
  </r>
  <r>
    <s v="LD1068"/>
    <s v="Sunanda Holkar"/>
    <n v="9890224337"/>
    <x v="3"/>
    <x v="2"/>
    <s v="Contractor Referral"/>
    <x v="9"/>
    <s v="2024-10-05"/>
    <x v="9"/>
    <x v="9"/>
    <x v="2"/>
    <n v="4"/>
    <n v="11"/>
    <s v="2024-12-02"/>
    <x v="3"/>
    <n v="450940"/>
    <m/>
    <m/>
    <x v="1"/>
    <n v="39.5"/>
    <s v="Hot"/>
    <s v="Very interested, finalising design"/>
  </r>
  <r>
    <s v="LD1069"/>
    <s v="Meena More"/>
    <n v="9454329269"/>
    <x v="2"/>
    <x v="3"/>
    <s v="MagicBricks Enquiry — Inbound"/>
    <x v="1"/>
    <s v="2024-10-05"/>
    <x v="9"/>
    <x v="9"/>
    <x v="2"/>
    <n v="4"/>
    <m/>
    <s v="2024-11-04"/>
    <x v="0"/>
    <n v="175525"/>
    <m/>
    <m/>
    <x v="2"/>
    <n v="19.2"/>
    <s v="Cold"/>
    <s v="No response, marked as lost after 60 days"/>
  </r>
  <r>
    <s v="LD1070"/>
    <s v="Suresh Bhalerao"/>
    <n v="9538614065"/>
    <x v="4"/>
    <x v="7"/>
    <s v="Google Ads"/>
    <x v="13"/>
    <s v="2024-10-05"/>
    <x v="9"/>
    <x v="9"/>
    <x v="2"/>
    <n v="4"/>
    <n v="3"/>
    <s v="2024-11-02"/>
    <x v="1"/>
    <n v="1823734"/>
    <m/>
    <m/>
    <x v="1"/>
    <n v="5"/>
    <s v="Cold"/>
    <s v="Not responding to calls"/>
  </r>
  <r>
    <s v="LD1071"/>
    <s v="Sanjay Tupe"/>
    <n v="9463868619"/>
    <x v="2"/>
    <x v="8"/>
    <s v="Instagram Story Ads"/>
    <x v="13"/>
    <s v="2024-10-07"/>
    <x v="9"/>
    <x v="9"/>
    <x v="2"/>
    <n v="4"/>
    <n v="2"/>
    <s v="2024-10-30"/>
    <x v="3"/>
    <n v="1516737"/>
    <m/>
    <m/>
    <x v="2"/>
    <n v="41"/>
    <s v="Hot"/>
    <s v="Customer visited showroom twice, very interested"/>
  </r>
  <r>
    <s v="LD1072"/>
    <s v="Suresh Deshpande"/>
    <n v="9123290626"/>
    <x v="0"/>
    <x v="0"/>
    <s v="Friend Reference"/>
    <x v="7"/>
    <s v="2024-10-07"/>
    <x v="9"/>
    <x v="9"/>
    <x v="2"/>
    <n v="4"/>
    <n v="0"/>
    <s v="2024-10-11"/>
    <x v="1"/>
    <m/>
    <m/>
    <m/>
    <x v="0"/>
    <n v="16.899999999999999"/>
    <s v="Warm"/>
    <s v="Call back after 1 month"/>
  </r>
  <r>
    <s v="LD1073"/>
    <s v="Ashwini Nimbalkar"/>
    <n v="9109763308"/>
    <x v="4"/>
    <x v="5"/>
    <s v="Showroom Walk-in"/>
    <x v="12"/>
    <s v="2024-10-07"/>
    <x v="9"/>
    <x v="9"/>
    <x v="2"/>
    <n v="4"/>
    <n v="9"/>
    <s v="2024-12-02"/>
    <x v="0"/>
    <n v="1294476"/>
    <m/>
    <m/>
    <x v="0"/>
    <n v="32"/>
    <s v="Cold"/>
    <s v="Budget mismatch - too low"/>
  </r>
  <r>
    <s v="LD1074"/>
    <s v="Shweta Wagh"/>
    <n v="9951009338"/>
    <x v="3"/>
    <x v="2"/>
    <s v="Client Referral"/>
    <x v="7"/>
    <s v="2024-10-07"/>
    <x v="9"/>
    <x v="9"/>
    <x v="2"/>
    <n v="4"/>
    <n v="12"/>
    <s v="2024-11-27"/>
    <x v="0"/>
    <n v="875469"/>
    <m/>
    <m/>
    <x v="0"/>
    <n v="6.2"/>
    <s v="Cold"/>
    <m/>
  </r>
  <r>
    <s v="LD1075"/>
    <s v="Smita Zende"/>
    <n v="9511621499"/>
    <x v="4"/>
    <x v="7"/>
    <s v="Google My Business"/>
    <x v="1"/>
    <s v="2024-10-08"/>
    <x v="9"/>
    <x v="9"/>
    <x v="2"/>
    <n v="4"/>
    <n v="12"/>
    <s v="2024-12-13"/>
    <x v="0"/>
    <n v="302043"/>
    <m/>
    <m/>
    <x v="0"/>
    <n v="45.1"/>
    <s v="Cold"/>
    <s v="Lost to branded competitor"/>
  </r>
  <r>
    <s v="LD1076"/>
    <s v="Hemant Kale"/>
    <n v="9486418967"/>
    <x v="2"/>
    <x v="8"/>
    <s v="Instagram Wardrobe Showcase"/>
    <x v="9"/>
    <s v="2024-10-08"/>
    <x v="9"/>
    <x v="9"/>
    <x v="2"/>
    <n v="4"/>
    <n v="9"/>
    <s v="2024-11-06"/>
    <x v="3"/>
    <n v="367623"/>
    <m/>
    <m/>
    <x v="0"/>
    <n v="38.9"/>
    <s v="Cold"/>
    <m/>
  </r>
  <r>
    <s v="LD1077"/>
    <s v="Seema Naik"/>
    <n v="9246143511"/>
    <x v="3"/>
    <x v="8"/>
    <s v="Instagram Wardrobe Showcase"/>
    <x v="12"/>
    <s v="2024-10-09"/>
    <x v="9"/>
    <x v="9"/>
    <x v="2"/>
    <n v="4"/>
    <n v="0"/>
    <s v="2024-10-19"/>
    <x v="1"/>
    <n v="875887"/>
    <m/>
    <m/>
    <x v="3"/>
    <n v="25.3"/>
    <s v="Hot"/>
    <s v="Customer comparing 1-2 vendors only"/>
  </r>
  <r>
    <s v="LD1078"/>
    <s v="Pravin Sonawane"/>
    <n v="9914402326"/>
    <x v="0"/>
    <x v="8"/>
    <s v="Instagram Story Ads"/>
    <x v="12"/>
    <s v="2024-10-09"/>
    <x v="9"/>
    <x v="9"/>
    <x v="2"/>
    <n v="4"/>
    <n v="11"/>
    <s v="2024-12-02"/>
    <x v="0"/>
    <n v="835054"/>
    <m/>
    <m/>
    <x v="3"/>
    <n v="28.4"/>
    <s v="Cold"/>
    <s v="Customer did not proceed with project"/>
  </r>
  <r>
    <s v="LD1079"/>
    <s v="Nanda Gavhane"/>
    <n v="9704325139"/>
    <x v="4"/>
    <x v="2"/>
    <s v="Architect Referral"/>
    <x v="8"/>
    <s v="2024-10-09"/>
    <x v="9"/>
    <x v="9"/>
    <x v="2"/>
    <n v="4"/>
    <n v="8"/>
    <s v="2024-10-26"/>
    <x v="3"/>
    <n v="746470"/>
    <m/>
    <m/>
    <x v="1"/>
    <n v="21.4"/>
    <s v="Warm"/>
    <s v="Follow up after flat possession"/>
  </r>
  <r>
    <s v="LD1080"/>
    <s v="Ashwini Gaikwad"/>
    <n v="9964908666"/>
    <x v="4"/>
    <x v="0"/>
    <s v="Family Reference"/>
    <x v="13"/>
    <s v="2024-10-09"/>
    <x v="9"/>
    <x v="9"/>
    <x v="2"/>
    <n v="4"/>
    <n v="8"/>
    <s v="2024-11-23"/>
    <x v="0"/>
    <n v="1383128"/>
    <m/>
    <m/>
    <x v="0"/>
    <n v="22.7"/>
    <s v="Warm"/>
    <s v="Customer did not proceed with project"/>
  </r>
  <r>
    <s v="LD1081"/>
    <s v="Lata Aware"/>
    <n v="9882966815"/>
    <x v="1"/>
    <x v="6"/>
    <s v="Facebook Home Decor Ads"/>
    <x v="11"/>
    <s v="2024-10-10"/>
    <x v="9"/>
    <x v="9"/>
    <x v="2"/>
    <n v="4"/>
    <n v="6"/>
    <s v="2024-10-28"/>
    <x v="3"/>
    <n v="437634"/>
    <m/>
    <m/>
    <x v="3"/>
    <n v="36.299999999999997"/>
    <s v="Hot"/>
    <s v="Ready to proceed, discussing payment terms"/>
  </r>
  <r>
    <s v="LD1082"/>
    <s v="Devendra Deshmukh"/>
    <n v="9593927755"/>
    <x v="4"/>
    <x v="8"/>
    <s v="Instagram Diwali Campaign"/>
    <x v="1"/>
    <s v="2024-10-10"/>
    <x v="9"/>
    <x v="9"/>
    <x v="2"/>
    <n v="4"/>
    <n v="11"/>
    <s v="2024-12-11"/>
    <x v="0"/>
    <n v="224082"/>
    <m/>
    <m/>
    <x v="3"/>
    <n v="10.199999999999999"/>
    <s v="Cold"/>
    <s v="Lost - no follow up done in time"/>
  </r>
  <r>
    <s v="LD1083"/>
    <s v="Sunil Kakade"/>
    <n v="9997533747"/>
    <x v="2"/>
    <x v="4"/>
    <s v="99acres New Project Enquiry — Inbound"/>
    <x v="10"/>
    <s v="2024-10-10"/>
    <x v="9"/>
    <x v="9"/>
    <x v="2"/>
    <n v="4"/>
    <n v="8"/>
    <s v="2024-11-27"/>
    <x v="3"/>
    <n v="314924"/>
    <m/>
    <m/>
    <x v="0"/>
    <n v="17"/>
    <s v="Hot"/>
    <s v="Site visit done, quotation shared"/>
  </r>
  <r>
    <s v="LD1084"/>
    <s v="Rekha Joshi"/>
    <n v="9139196925"/>
    <x v="0"/>
    <x v="2"/>
    <s v="Neighbour Referral"/>
    <x v="0"/>
    <s v="2024-10-10"/>
    <x v="9"/>
    <x v="9"/>
    <x v="2"/>
    <n v="4"/>
    <n v="12"/>
    <s v="2025-01-02"/>
    <x v="1"/>
    <n v="383957"/>
    <m/>
    <m/>
    <x v="1"/>
    <n v="12.1"/>
    <s v="Hot"/>
    <m/>
  </r>
  <r>
    <s v="LD1085"/>
    <s v="Archana Bhalerao"/>
    <n v="9473512658"/>
    <x v="3"/>
    <x v="2"/>
    <s v="Contractor Referral"/>
    <x v="12"/>
    <s v="2024-10-11"/>
    <x v="9"/>
    <x v="9"/>
    <x v="2"/>
    <n v="4"/>
    <n v="1"/>
    <s v="2024-10-28"/>
    <x v="1"/>
    <n v="1509369"/>
    <m/>
    <m/>
    <x v="1"/>
    <n v="1.8"/>
    <s v="Hot"/>
    <s v="Customer visited showroom twice, very interested"/>
  </r>
  <r>
    <s v="LD1086"/>
    <s v="Mahesh Patil"/>
    <n v="9844895323"/>
    <x v="2"/>
    <x v="6"/>
    <s v="Facebook Kitchen Showcase"/>
    <x v="7"/>
    <s v="2024-10-11"/>
    <x v="9"/>
    <x v="9"/>
    <x v="2"/>
    <n v="4"/>
    <n v="8"/>
    <s v="2024-11-18"/>
    <x v="4"/>
    <n v="1170024"/>
    <n v="1084314"/>
    <s v="2024-11-27"/>
    <x v="1"/>
    <n v="13.8"/>
    <s v="Warm"/>
    <s v="Full payment cleared, delivery done"/>
  </r>
  <r>
    <s v="LD1087"/>
    <s v="Sanjay Kulkarni"/>
    <n v="9244929032"/>
    <x v="0"/>
    <x v="7"/>
    <s v="Website Chat Enquiry"/>
    <x v="7"/>
    <s v="2024-10-11"/>
    <x v="9"/>
    <x v="9"/>
    <x v="2"/>
    <n v="4"/>
    <n v="11"/>
    <s v="2024-12-02"/>
    <x v="1"/>
    <n v="1099907"/>
    <m/>
    <m/>
    <x v="2"/>
    <n v="46.7"/>
    <s v="Warm"/>
    <s v="Waiting for interior budget approval from family"/>
  </r>
  <r>
    <s v="LD1088"/>
    <s v="Smita Naik"/>
    <n v="9695265285"/>
    <x v="3"/>
    <x v="1"/>
    <s v="Justdial Sponsored — Inbound"/>
    <x v="2"/>
    <s v="2024-10-12"/>
    <x v="9"/>
    <x v="9"/>
    <x v="2"/>
    <n v="4"/>
    <n v="3"/>
    <s v="2024-10-30"/>
    <x v="3"/>
    <n v="203583"/>
    <m/>
    <m/>
    <x v="0"/>
    <n v="33.1"/>
    <s v="Warm"/>
    <s v="Follow up after Akshaya Tritiya"/>
  </r>
  <r>
    <s v="LD1089"/>
    <s v="Shweta Joshi"/>
    <n v="9629351158"/>
    <x v="2"/>
    <x v="5"/>
    <s v="Site Visit Walk-in"/>
    <x v="2"/>
    <s v="2024-10-12"/>
    <x v="9"/>
    <x v="9"/>
    <x v="2"/>
    <n v="4"/>
    <n v="2"/>
    <s v="2024-10-30"/>
    <x v="1"/>
    <n v="477654"/>
    <m/>
    <m/>
    <x v="0"/>
    <n v="26.1"/>
    <s v="Warm"/>
    <s v="Follow up after Gudi Padwa"/>
  </r>
  <r>
    <s v="LD1090"/>
    <s v="Hemant Nikalje"/>
    <m/>
    <x v="4"/>
    <x v="8"/>
    <s v="Instagram Story Ads"/>
    <x v="3"/>
    <s v="2024-10-12"/>
    <x v="9"/>
    <x v="9"/>
    <x v="2"/>
    <n v="4"/>
    <n v="10"/>
    <s v="2024-11-11"/>
    <x v="0"/>
    <n v="56819"/>
    <m/>
    <m/>
    <x v="0"/>
    <n v="7.6"/>
    <s v="Cold"/>
    <s v="Replied to Instagram reel, no further response"/>
  </r>
  <r>
    <s v="LD1091"/>
    <s v="Smita Salve"/>
    <n v="9535107177"/>
    <x v="2"/>
    <x v="8"/>
    <s v="Instagram Before-After Posts"/>
    <x v="4"/>
    <s v="2024-10-14"/>
    <x v="9"/>
    <x v="9"/>
    <x v="2"/>
    <n v="4"/>
    <n v="6"/>
    <s v="2024-11-18"/>
    <x v="1"/>
    <n v="212221"/>
    <m/>
    <m/>
    <x v="0"/>
    <n v="44.3"/>
    <s v="Warm"/>
    <s v="Follow up after Akshaya Tritiya"/>
  </r>
  <r>
    <s v="LD1092"/>
    <s v="Hemant Shelke"/>
    <n v="9423418414"/>
    <x v="2"/>
    <x v="4"/>
    <s v="99acres Flat Owner Enquiry — Inbound"/>
    <x v="3"/>
    <s v="2024-10-14"/>
    <x v="9"/>
    <x v="9"/>
    <x v="2"/>
    <n v="4"/>
    <n v="11"/>
    <s v="2024-11-30"/>
    <x v="1"/>
    <m/>
    <m/>
    <m/>
    <x v="3"/>
    <n v="46.9"/>
    <s v="Warm"/>
    <s v="Under construction, possession in 3 months"/>
  </r>
  <r>
    <s v="LD1093"/>
    <s v="Jyoti Shelke"/>
    <n v="9891602149"/>
    <x v="3"/>
    <x v="2"/>
    <s v="Client Referral"/>
    <x v="1"/>
    <s v="2024-10-14"/>
    <x v="9"/>
    <x v="9"/>
    <x v="2"/>
    <n v="4"/>
    <n v="9"/>
    <s v="2024-12-17"/>
    <x v="2"/>
    <n v="116345"/>
    <m/>
    <m/>
    <x v="0"/>
    <n v="29.7"/>
    <s v="Cold"/>
    <s v="Budget too low for our range"/>
  </r>
  <r>
    <s v="LD1094"/>
    <s v="Mahesh More"/>
    <n v="9609238563"/>
    <x v="0"/>
    <x v="7"/>
    <s v="SEO Organic"/>
    <x v="9"/>
    <s v="2024-10-14"/>
    <x v="9"/>
    <x v="9"/>
    <x v="2"/>
    <n v="4"/>
    <n v="12"/>
    <s v="2024-11-11"/>
    <x v="4"/>
    <n v="432327"/>
    <n v="396497"/>
    <s v="2024-11-29"/>
    <x v="2"/>
    <n v="13.2"/>
    <s v="Hot"/>
    <s v="Customer happy with sample, deal closed"/>
  </r>
  <r>
    <s v="LD1095"/>
    <s v="Sachin Patil"/>
    <n v="9795689887"/>
    <x v="0"/>
    <x v="1"/>
    <s v="Justdial Premium Listing — Inbound"/>
    <x v="12"/>
    <s v="2024-10-14"/>
    <x v="9"/>
    <x v="9"/>
    <x v="2"/>
    <n v="4"/>
    <n v="1"/>
    <s v="2024-10-28"/>
    <x v="3"/>
    <n v="1219371"/>
    <m/>
    <m/>
    <x v="2"/>
    <n v="27.8"/>
    <s v="Warm"/>
    <m/>
  </r>
  <r>
    <s v="LD1096"/>
    <s v="Alka Pawar"/>
    <n v="9393697349"/>
    <x v="4"/>
    <x v="4"/>
    <s v="99acres Flat Owner Enquiry — Inbound"/>
    <x v="12"/>
    <s v="2024-10-14"/>
    <x v="9"/>
    <x v="9"/>
    <x v="2"/>
    <n v="4"/>
    <n v="1"/>
    <s v="2024-10-29"/>
    <x v="0"/>
    <n v="1228395"/>
    <m/>
    <m/>
    <x v="1"/>
    <n v="9.5"/>
    <s v="Cold"/>
    <s v="Budget mismatch - too low"/>
  </r>
  <r>
    <s v="LD1097"/>
    <s v="Vikas Nikalje"/>
    <n v="9270494328"/>
    <x v="0"/>
    <x v="5"/>
    <s v="Showroom Walk-in"/>
    <x v="13"/>
    <s v="2024-10-14"/>
    <x v="9"/>
    <x v="9"/>
    <x v="2"/>
    <n v="4"/>
    <n v="8"/>
    <s v="2024-12-10"/>
    <x v="4"/>
    <n v="1692998"/>
    <n v="1598353"/>
    <s v="2024-12-26"/>
    <x v="2"/>
    <n v="3.7"/>
    <s v="Hot"/>
    <s v="Final payment received, project handed over"/>
  </r>
  <r>
    <s v="LD1098"/>
    <s v="Kiran Joshi"/>
    <n v="9360996106"/>
    <x v="2"/>
    <x v="2"/>
    <s v="Contractor Referral"/>
    <x v="2"/>
    <s v="2024-10-14"/>
    <x v="9"/>
    <x v="9"/>
    <x v="2"/>
    <n v="4"/>
    <n v="11"/>
    <s v="2024-12-09"/>
    <x v="4"/>
    <n v="246764"/>
    <n v="224803"/>
    <s v="2024-12-25"/>
    <x v="2"/>
    <n v="24.6"/>
    <s v="Hot"/>
    <s v="Token paid, measurement done, work started"/>
  </r>
  <r>
    <s v="LD1099"/>
    <s v="Seema Kshirsagar"/>
    <n v="9856146133"/>
    <x v="4"/>
    <x v="7"/>
    <s v="Google Ads"/>
    <x v="0"/>
    <s v="2024-10-14"/>
    <x v="9"/>
    <x v="9"/>
    <x v="2"/>
    <n v="4"/>
    <m/>
    <s v="2024-12-02"/>
    <x v="3"/>
    <n v="658428"/>
    <m/>
    <m/>
    <x v="1"/>
    <n v="9.6"/>
    <s v="Hot"/>
    <s v="Customer comparing 1-2 vendors only"/>
  </r>
  <r>
    <s v="LD1100"/>
    <s v="Kiran Kakade"/>
    <n v="9973173811"/>
    <x v="2"/>
    <x v="6"/>
    <s v="Facebook Gudi Padwa Offer"/>
    <x v="10"/>
    <s v="2024-10-15"/>
    <x v="9"/>
    <x v="9"/>
    <x v="2"/>
    <n v="4"/>
    <n v="7"/>
    <s v="2024-11-14"/>
    <x v="0"/>
    <n v="249714"/>
    <m/>
    <m/>
    <x v="0"/>
    <n v="39.799999999999997"/>
    <s v="Cold"/>
    <s v="Lost to branded competitor"/>
  </r>
  <r>
    <s v="LD1101"/>
    <s v="Ritu Deshmukh"/>
    <n v="9492093935"/>
    <x v="4"/>
    <x v="1"/>
    <s v="Justdial Premium Listing — Inbound"/>
    <x v="5"/>
    <s v="2024-10-15"/>
    <x v="9"/>
    <x v="9"/>
    <x v="2"/>
    <n v="4"/>
    <n v="5"/>
    <s v="2024-11-20"/>
    <x v="3"/>
    <n v="79360"/>
    <m/>
    <m/>
    <x v="1"/>
    <n v="1.8"/>
    <s v="Cold"/>
    <s v="Went with local carpenter"/>
  </r>
  <r>
    <s v="LD1102"/>
    <s v="Shweta Phule"/>
    <n v="9152458441"/>
    <x v="3"/>
    <x v="2"/>
    <s v="Neighbour Referral"/>
    <x v="8"/>
    <s v="2024-10-16"/>
    <x v="9"/>
    <x v="9"/>
    <x v="2"/>
    <n v="4"/>
    <n v="1"/>
    <s v="2024-10-23"/>
    <x v="1"/>
    <n v="736881"/>
    <m/>
    <m/>
    <x v="0"/>
    <n v="21.4"/>
    <s v="Cold"/>
    <s v="Project on hold"/>
  </r>
  <r>
    <s v="LD1103"/>
    <s v="Archana Deshmukh"/>
    <n v="9664489247"/>
    <x v="2"/>
    <x v="8"/>
    <s v="Instagram Story Ads"/>
    <x v="0"/>
    <s v="2024-10-16"/>
    <x v="9"/>
    <x v="9"/>
    <x v="2"/>
    <n v="4"/>
    <n v="7"/>
    <s v="2024-11-26"/>
    <x v="0"/>
    <n v="693181"/>
    <m/>
    <m/>
    <x v="3"/>
    <n v="40.1"/>
    <s v="Cold"/>
    <s v="Budget mismatch - too low"/>
  </r>
  <r>
    <s v="LD1104"/>
    <s v="Sachin Joshi"/>
    <n v="9788344795"/>
    <x v="0"/>
    <x v="2"/>
    <s v="Contractor Referral"/>
    <x v="0"/>
    <s v="2024-10-17"/>
    <x v="9"/>
    <x v="9"/>
    <x v="2"/>
    <n v="4"/>
    <n v="5"/>
    <s v="2024-10-28"/>
    <x v="3"/>
    <n v="353795"/>
    <m/>
    <m/>
    <x v="0"/>
    <n v="12.2"/>
    <s v="Warm"/>
    <s v="Interested but waiting for loan approval"/>
  </r>
  <r>
    <s v="LD1105"/>
    <s v="Dinesh Yadav"/>
    <n v="9172304458"/>
    <x v="1"/>
    <x v="8"/>
    <s v="Instagram Diwali Campaign"/>
    <x v="3"/>
    <s v="2024-10-17"/>
    <x v="9"/>
    <x v="9"/>
    <x v="2"/>
    <n v="4"/>
    <n v="0"/>
    <s v="2024-10-28"/>
    <x v="4"/>
    <n v="244602"/>
    <n v="237628"/>
    <s v="2024-11-11"/>
    <x v="0"/>
    <n v="4.0999999999999996"/>
    <s v="Hot"/>
    <s v="Customer happy with sample, deal closed"/>
  </r>
  <r>
    <s v="LD1106"/>
    <s v="Rohit Mane"/>
    <n v="9371224762"/>
    <x v="4"/>
    <x v="1"/>
    <s v="Justdial Sponsored — Inbound"/>
    <x v="1"/>
    <s v="2024-10-17"/>
    <x v="9"/>
    <x v="9"/>
    <x v="2"/>
    <n v="4"/>
    <n v="9"/>
    <s v="2024-11-11"/>
    <x v="0"/>
    <n v="243557"/>
    <m/>
    <m/>
    <x v="0"/>
    <n v="42.5"/>
    <s v="Warm"/>
    <s v="Customer did not proceed with project"/>
  </r>
  <r>
    <s v="LD1107"/>
    <s v="Suresh Kadam"/>
    <n v="9258081685"/>
    <x v="0"/>
    <x v="5"/>
    <s v="Showroom Walk-in"/>
    <x v="2"/>
    <s v="2024-10-17"/>
    <x v="9"/>
    <x v="9"/>
    <x v="2"/>
    <n v="4"/>
    <n v="11"/>
    <s v="2024-11-19"/>
    <x v="0"/>
    <n v="383436"/>
    <m/>
    <m/>
    <x v="2"/>
    <n v="10.7"/>
    <s v="Cold"/>
    <s v="Budget mismatch - too low"/>
  </r>
  <r>
    <s v="LD1108"/>
    <s v="Sunanda Joshi"/>
    <n v="9506488935"/>
    <x v="2"/>
    <x v="6"/>
    <s v="Facebook Kitchen Showcase"/>
    <x v="0"/>
    <s v="2024-10-18"/>
    <x v="9"/>
    <x v="9"/>
    <x v="2"/>
    <n v="4"/>
    <n v="3"/>
    <s v="2024-10-29"/>
    <x v="4"/>
    <n v="443210"/>
    <n v="408299"/>
    <s v="2024-11-02"/>
    <x v="0"/>
    <n v="5.4"/>
    <s v="Hot"/>
    <s v="Full payment cleared, delivery done"/>
  </r>
  <r>
    <s v="LD1109"/>
    <s v="Amit Salve"/>
    <n v="9284423041"/>
    <x v="0"/>
    <x v="0"/>
    <s v="Friend Reference"/>
    <x v="5"/>
    <s v="2024-10-18"/>
    <x v="9"/>
    <x v="9"/>
    <x v="2"/>
    <n v="4"/>
    <n v="8"/>
    <s v="2024-11-04"/>
    <x v="0"/>
    <n v="172948"/>
    <m/>
    <m/>
    <x v="2"/>
    <n v="2"/>
    <s v="Cold"/>
    <s v="Customer did not proceed with project"/>
  </r>
  <r>
    <s v="LD1110"/>
    <s v="Seema Thorat"/>
    <n v="9451355158"/>
    <x v="3"/>
    <x v="1"/>
    <s v="Justdial Premium Listing — Inbound"/>
    <x v="3"/>
    <s v="2024-10-19"/>
    <x v="9"/>
    <x v="9"/>
    <x v="2"/>
    <n v="4"/>
    <n v="7"/>
    <s v="2024-11-14"/>
    <x v="4"/>
    <n v="219211"/>
    <n v="193382"/>
    <s v="2024-11-17"/>
    <x v="2"/>
    <n v="8.1999999999999993"/>
    <s v="Hot"/>
    <s v="Deal done, site work ongoing"/>
  </r>
  <r>
    <s v="LD1111"/>
    <s v="Bharati Bhalerao"/>
    <n v="9490819134"/>
    <x v="2"/>
    <x v="2"/>
    <s v="Architect Referral"/>
    <x v="9"/>
    <s v="2024-10-19"/>
    <x v="9"/>
    <x v="9"/>
    <x v="2"/>
    <n v="4"/>
    <n v="6"/>
    <s v="2024-11-06"/>
    <x v="4"/>
    <n v="178877"/>
    <n v="166775"/>
    <s v="2024-11-08"/>
    <x v="0"/>
    <n v="15"/>
    <s v="Hot"/>
    <s v="Deal closed, advance received"/>
  </r>
  <r>
    <s v="LD1112"/>
    <s v="Sanjay Salve"/>
    <n v="9663107636"/>
    <x v="0"/>
    <x v="1"/>
    <s v="Justdial Premium Listing — Inbound"/>
    <x v="2"/>
    <s v="2024-10-19"/>
    <x v="9"/>
    <x v="9"/>
    <x v="2"/>
    <n v="4"/>
    <n v="2"/>
    <s v="2024-10-26"/>
    <x v="0"/>
    <n v="329233"/>
    <m/>
    <m/>
    <x v="3"/>
    <n v="32.299999999999997"/>
    <s v="Cold"/>
    <s v="Went with local vendor"/>
  </r>
  <r>
    <s v="LD1113"/>
    <s v="Divya Shinde"/>
    <n v="9719682691"/>
    <x v="1"/>
    <x v="6"/>
    <s v="Facebook Home Decor Ads"/>
    <x v="7"/>
    <s v="2024-10-21"/>
    <x v="9"/>
    <x v="9"/>
    <x v="2"/>
    <n v="4"/>
    <n v="5"/>
    <s v="2024-11-07"/>
    <x v="2"/>
    <n v="913011"/>
    <m/>
    <m/>
    <x v="0"/>
    <n v="8.4"/>
    <s v="Cold"/>
    <s v="Project on hold"/>
  </r>
  <r>
    <s v="LD1114"/>
    <s v="Smita Shinde"/>
    <n v="9298762013"/>
    <x v="2"/>
    <x v="2"/>
    <s v="Architect Referral"/>
    <x v="1"/>
    <s v="2024-10-21"/>
    <x v="9"/>
    <x v="9"/>
    <x v="2"/>
    <n v="4"/>
    <n v="0"/>
    <s v="2024-11-02"/>
    <x v="3"/>
    <n v="314645"/>
    <m/>
    <m/>
    <x v="0"/>
    <n v="13.3"/>
    <s v="Warm"/>
    <s v="Follow up after Gudi Padwa"/>
  </r>
  <r>
    <s v="LD1115"/>
    <s v="Sachin Jadhav"/>
    <n v="9381159559"/>
    <x v="1"/>
    <x v="2"/>
    <s v="Contractor Referral"/>
    <x v="7"/>
    <s v="2024-10-21"/>
    <x v="9"/>
    <x v="9"/>
    <x v="2"/>
    <n v="4"/>
    <n v="12"/>
    <s v="2024-11-16"/>
    <x v="4"/>
    <n v="1312978"/>
    <n v="1220956"/>
    <s v="2024-12-06"/>
    <x v="0"/>
    <n v="28.7"/>
    <s v="Hot"/>
    <s v="Token received, design finalised"/>
  </r>
  <r>
    <s v="LD1116"/>
    <s v="Sunanda Pawar"/>
    <n v="9476199474"/>
    <x v="3"/>
    <x v="7"/>
    <s v="SEO Organic"/>
    <x v="13"/>
    <s v="2024-10-22"/>
    <x v="9"/>
    <x v="9"/>
    <x v="2"/>
    <n v="4"/>
    <n v="6"/>
    <s v="2024-11-18"/>
    <x v="0"/>
    <n v="1298000"/>
    <m/>
    <m/>
    <x v="1"/>
    <n v="18.5"/>
    <s v="Cold"/>
    <s v="Customer got work done from relative"/>
  </r>
  <r>
    <s v="LD1117"/>
    <s v="Rekha Kulkarni"/>
    <n v="9755514857"/>
    <x v="0"/>
    <x v="8"/>
    <s v="Instagram Kitchen Reels"/>
    <x v="3"/>
    <s v="2024-10-22"/>
    <x v="9"/>
    <x v="9"/>
    <x v="2"/>
    <n v="4"/>
    <n v="1"/>
    <s v="2024-10-28"/>
    <x v="1"/>
    <n v="220649"/>
    <m/>
    <m/>
    <x v="0"/>
    <n v="29.3"/>
    <s v="Cold"/>
    <s v="Wrong number provided"/>
  </r>
  <r>
    <s v="LD1118"/>
    <s v="Pooja Zende"/>
    <n v="9640239828"/>
    <x v="3"/>
    <x v="7"/>
    <s v="SEO Organic"/>
    <x v="3"/>
    <s v="2024-10-23"/>
    <x v="9"/>
    <x v="9"/>
    <x v="2"/>
    <n v="4"/>
    <n v="7"/>
    <s v="2024-11-30"/>
    <x v="1"/>
    <n v="116076"/>
    <m/>
    <m/>
    <x v="1"/>
    <n v="44.8"/>
    <s v="Hot"/>
    <s v="Design presentation done, waiting for confirmation"/>
  </r>
  <r>
    <s v="LD1119"/>
    <s v="Dinesh Kulkarni"/>
    <n v="9752170882"/>
    <x v="4"/>
    <x v="5"/>
    <s v="Showroom Walk-in"/>
    <x v="4"/>
    <s v="2024-10-23"/>
    <x v="9"/>
    <x v="9"/>
    <x v="2"/>
    <n v="4"/>
    <n v="8"/>
    <s v="2024-12-06"/>
    <x v="1"/>
    <n v="123102"/>
    <m/>
    <m/>
    <x v="1"/>
    <n v="29.4"/>
    <s v="Hot"/>
    <s v="Customer visited showroom twice, very interested"/>
  </r>
  <r>
    <s v="LD1120"/>
    <s v="Nilesh Suryawanshi"/>
    <n v="9275949363"/>
    <x v="3"/>
    <x v="7"/>
    <s v="Google My Business"/>
    <x v="9"/>
    <s v="2024-10-23"/>
    <x v="9"/>
    <x v="9"/>
    <x v="2"/>
    <n v="4"/>
    <n v="0"/>
    <s v="2024-10-28"/>
    <x v="4"/>
    <n v="270175"/>
    <n v="244872"/>
    <s v="2024-11-16"/>
    <x v="0"/>
    <n v="20"/>
    <s v="Warm"/>
    <s v="Final payment received, project handed over"/>
  </r>
  <r>
    <s v="LD1121"/>
    <s v="Ashwini Deshmukh"/>
    <n v="9527748330"/>
    <x v="3"/>
    <x v="8"/>
    <s v="Instagram Story Ads"/>
    <x v="2"/>
    <s v="2024-10-24"/>
    <x v="9"/>
    <x v="9"/>
    <x v="2"/>
    <n v="4"/>
    <n v="3"/>
    <s v="2024-11-20"/>
    <x v="3"/>
    <m/>
    <m/>
    <m/>
    <x v="0"/>
    <n v="19.399999999999999"/>
    <s v="Cold"/>
    <s v="Just enquiring, no serious intent"/>
  </r>
  <r>
    <s v="LD1122"/>
    <s v="Nilesh Pawar"/>
    <n v="9448233398"/>
    <x v="0"/>
    <x v="1"/>
    <s v="Justdial Free Listing — Inbound"/>
    <x v="3"/>
    <s v="2024-10-24"/>
    <x v="9"/>
    <x v="9"/>
    <x v="2"/>
    <n v="4"/>
    <n v="1"/>
    <s v="2024-11-11"/>
    <x v="0"/>
    <n v="68720"/>
    <m/>
    <m/>
    <x v="1"/>
    <n v="42.8"/>
    <s v="Cold"/>
    <s v="Went with local vendor"/>
  </r>
  <r>
    <s v="LD1123"/>
    <s v="Pooja Thorat"/>
    <n v="9516200262"/>
    <x v="0"/>
    <x v="7"/>
    <s v="Website Chat Enquiry"/>
    <x v="6"/>
    <s v="2024-10-24"/>
    <x v="9"/>
    <x v="9"/>
    <x v="2"/>
    <n v="4"/>
    <n v="2"/>
    <s v="2024-11-18"/>
    <x v="4"/>
    <n v="370305"/>
    <n v="341383"/>
    <s v="2024-11-22"/>
    <x v="1"/>
    <n v="33.9"/>
    <s v="Hot"/>
    <s v="Customer happy with sample, deal closed"/>
  </r>
  <r>
    <s v="LD1124"/>
    <s v="Amit Bansode"/>
    <n v="9106215913"/>
    <x v="0"/>
    <x v="8"/>
    <s v="Instagram Diwali Campaign"/>
    <x v="0"/>
    <s v="2024-10-24"/>
    <x v="9"/>
    <x v="9"/>
    <x v="2"/>
    <n v="4"/>
    <n v="7"/>
    <s v="2024-11-14"/>
    <x v="0"/>
    <n v="678353"/>
    <m/>
    <m/>
    <x v="0"/>
    <n v="7.3"/>
    <s v="Cold"/>
    <s v="Customer did not proceed with project"/>
  </r>
  <r>
    <s v="LD1125"/>
    <s v="Shweta Bansode"/>
    <n v="9477315779"/>
    <x v="2"/>
    <x v="3"/>
    <s v="MagicBricks Enquiry — Inbound"/>
    <x v="5"/>
    <s v="2024-10-24"/>
    <x v="9"/>
    <x v="9"/>
    <x v="2"/>
    <n v="4"/>
    <n v="1"/>
    <s v="2024-11-07"/>
    <x v="0"/>
    <n v="173261"/>
    <m/>
    <m/>
    <x v="0"/>
    <n v="3.4"/>
    <s v="Cold"/>
    <s v="Lost - no follow up done in time"/>
  </r>
  <r>
    <s v="LD1126"/>
    <s v="Rajesh Suryawanshi"/>
    <n v="9499104745"/>
    <x v="0"/>
    <x v="7"/>
    <s v="Website Chat Enquiry"/>
    <x v="1"/>
    <s v="2024-10-25"/>
    <x v="9"/>
    <x v="9"/>
    <x v="2"/>
    <n v="4"/>
    <n v="1"/>
    <s v="2024-11-04"/>
    <x v="3"/>
    <n v="232685"/>
    <m/>
    <m/>
    <x v="0"/>
    <n v="24.3"/>
    <s v="Hot"/>
    <s v="Final quote shared, awaiting approval"/>
  </r>
  <r>
    <s v="LD1127"/>
    <s v="Dinesh Sawant"/>
    <n v="9441436663"/>
    <x v="0"/>
    <x v="8"/>
    <s v="Instagram Gudi Padwa Special"/>
    <x v="10"/>
    <s v="2024-10-25"/>
    <x v="9"/>
    <x v="9"/>
    <x v="2"/>
    <n v="4"/>
    <n v="7"/>
    <s v="2024-11-27"/>
    <x v="1"/>
    <n v="363645"/>
    <m/>
    <m/>
    <x v="2"/>
    <n v="12.7"/>
    <s v="Hot"/>
    <s v="Very interested, finalising design"/>
  </r>
  <r>
    <s v="LD1128"/>
    <s v="Vikas Kshirsagar"/>
    <n v="9219364759"/>
    <x v="0"/>
    <x v="2"/>
    <s v="Neighbour Referral"/>
    <x v="7"/>
    <s v="2024-10-25"/>
    <x v="9"/>
    <x v="9"/>
    <x v="2"/>
    <n v="4"/>
    <n v="5"/>
    <s v="2024-11-19"/>
    <x v="4"/>
    <n v="1286026"/>
    <n v="1247507"/>
    <s v="2024-11-28"/>
    <x v="1"/>
    <n v="38"/>
    <s v="Warm"/>
    <s v="Final payment received, project handed over"/>
  </r>
  <r>
    <s v="LD1129"/>
    <s v="Kiran Salve"/>
    <n v="9164221002"/>
    <x v="4"/>
    <x v="5"/>
    <s v="Site Visit Walk-in"/>
    <x v="1"/>
    <s v="2024-10-25"/>
    <x v="9"/>
    <x v="9"/>
    <x v="2"/>
    <n v="4"/>
    <n v="8"/>
    <s v="2024-12-21"/>
    <x v="3"/>
    <n v="199364"/>
    <m/>
    <m/>
    <x v="1"/>
    <n v="5.0999999999999996"/>
    <s v="Cold"/>
    <m/>
  </r>
  <r>
    <s v="LD1130"/>
    <s v="Suresh Bansode"/>
    <n v="9971467813"/>
    <x v="2"/>
    <x v="2"/>
    <s v="Neighbour Referral"/>
    <x v="1"/>
    <s v="2024-10-25"/>
    <x v="9"/>
    <x v="9"/>
    <x v="2"/>
    <n v="4"/>
    <n v="7"/>
    <s v="2024-11-15"/>
    <x v="4"/>
    <n v="252860"/>
    <n v="243861"/>
    <s v="2024-11-27"/>
    <x v="2"/>
    <n v="6.8"/>
    <s v="Hot"/>
    <m/>
  </r>
  <r>
    <s v="LD1131"/>
    <s v="Rajesh Holkar"/>
    <n v="9605070693"/>
    <x v="2"/>
    <x v="2"/>
    <s v="Architect Referral"/>
    <x v="3"/>
    <s v="2024-10-26"/>
    <x v="9"/>
    <x v="9"/>
    <x v="2"/>
    <n v="4"/>
    <n v="2"/>
    <s v="2024-11-01"/>
    <x v="1"/>
    <n v="177569"/>
    <m/>
    <m/>
    <x v="1"/>
    <n v="47.7"/>
    <s v="Hot"/>
    <s v="Token amount discussed, decision this week"/>
  </r>
  <r>
    <s v="LD1132"/>
    <s v="Smita Shelke"/>
    <n v="9395345217"/>
    <x v="4"/>
    <x v="7"/>
    <s v="Google Ads"/>
    <x v="8"/>
    <s v="2024-10-28"/>
    <x v="9"/>
    <x v="9"/>
    <x v="2"/>
    <n v="4"/>
    <n v="12"/>
    <s v="2024-12-10"/>
    <x v="1"/>
    <n v="908683"/>
    <m/>
    <m/>
    <x v="0"/>
    <n v="9.9"/>
    <s v="Warm"/>
    <s v="New flat, moving in after 2 months"/>
  </r>
  <r>
    <s v="LD1133"/>
    <s v="Manisha Patil"/>
    <n v="9423655601"/>
    <x v="0"/>
    <x v="5"/>
    <s v="Site Visit Walk-in"/>
    <x v="9"/>
    <s v="2024-10-28"/>
    <x v="9"/>
    <x v="9"/>
    <x v="2"/>
    <n v="4"/>
    <n v="8"/>
    <s v="2024-11-19"/>
    <x v="1"/>
    <n v="314922"/>
    <m/>
    <m/>
    <x v="3"/>
    <n v="14.6"/>
    <s v="Warm"/>
    <m/>
  </r>
  <r>
    <s v="LD1134"/>
    <s v="Sunita Naik"/>
    <n v="9187440056"/>
    <x v="1"/>
    <x v="1"/>
    <s v="Justdial Premium Listing — Inbound"/>
    <x v="11"/>
    <s v="2024-10-28"/>
    <x v="9"/>
    <x v="9"/>
    <x v="2"/>
    <n v="4"/>
    <n v="9"/>
    <s v="2024-12-31"/>
    <x v="0"/>
    <n v="420549"/>
    <m/>
    <m/>
    <x v="1"/>
    <n v="47.7"/>
    <s v="Cold"/>
    <s v="Customer got work done from relative"/>
  </r>
  <r>
    <s v="LD1135"/>
    <s v="Manoj Pawar"/>
    <n v="9135324099"/>
    <x v="0"/>
    <x v="1"/>
    <s v="Justdial Premium Listing — Inbound"/>
    <x v="7"/>
    <s v="2024-10-28"/>
    <x v="9"/>
    <x v="9"/>
    <x v="2"/>
    <n v="4"/>
    <n v="7"/>
    <s v="2024-11-14"/>
    <x v="3"/>
    <n v="1076234"/>
    <m/>
    <m/>
    <x v="3"/>
    <n v="4.8"/>
    <s v="Cold"/>
    <s v="Wrong number provided"/>
  </r>
  <r>
    <s v="LD1136"/>
    <s v="Rajesh Deshmukh"/>
    <n v="9858166756"/>
    <x v="2"/>
    <x v="2"/>
    <s v="Contractor Referral"/>
    <x v="13"/>
    <s v="2024-10-28"/>
    <x v="9"/>
    <x v="9"/>
    <x v="2"/>
    <n v="4"/>
    <n v="2"/>
    <s v="2024-11-11"/>
    <x v="1"/>
    <n v="1367091"/>
    <m/>
    <m/>
    <x v="0"/>
    <n v="2.9"/>
    <s v="Warm"/>
    <s v="Follow up after flat possession"/>
  </r>
  <r>
    <s v="LD1137"/>
    <s v="Dinesh Wagh"/>
    <n v="9869241149"/>
    <x v="2"/>
    <x v="7"/>
    <s v="SEO Organic"/>
    <x v="3"/>
    <s v="2024-10-28"/>
    <x v="9"/>
    <x v="9"/>
    <x v="2"/>
    <n v="4"/>
    <n v="9"/>
    <s v="2024-11-20"/>
    <x v="3"/>
    <n v="221809"/>
    <m/>
    <m/>
    <x v="1"/>
    <n v="17.7"/>
    <s v="Warm"/>
    <s v="Interested but waiting for loan approval"/>
  </r>
  <r>
    <s v="LD1138"/>
    <s v="Amit Mane"/>
    <n v="9280144580"/>
    <x v="2"/>
    <x v="2"/>
    <s v="Client Referral"/>
    <x v="3"/>
    <s v="2024-10-28"/>
    <x v="9"/>
    <x v="9"/>
    <x v="2"/>
    <n v="4"/>
    <n v="5"/>
    <s v="2024-12-09"/>
    <x v="4"/>
    <n v="52393"/>
    <n v="46141"/>
    <s v="2024-12-17"/>
    <x v="3"/>
    <n v="9.1"/>
    <s v="Hot"/>
    <m/>
  </r>
  <r>
    <s v="LD1139-DUP"/>
    <s v="Manisha Patil"/>
    <n v="9423655601"/>
    <x v="2"/>
    <x v="5"/>
    <s v="Site Visit Walk-in"/>
    <x v="9"/>
    <s v="2024-10-28"/>
    <x v="9"/>
    <x v="9"/>
    <x v="2"/>
    <n v="4"/>
    <n v="8"/>
    <s v="2024-11-19"/>
    <x v="1"/>
    <n v="452145"/>
    <m/>
    <m/>
    <x v="3"/>
    <n v="14.6"/>
    <s v="Warm"/>
    <m/>
  </r>
  <r>
    <s v="LD1140"/>
    <s v="Deepak Joshi"/>
    <n v="9672353892"/>
    <x v="0"/>
    <x v="4"/>
    <s v="99acres New Project Enquiry — Inbound"/>
    <x v="9"/>
    <s v="2024-10-29"/>
    <x v="9"/>
    <x v="9"/>
    <x v="2"/>
    <n v="4"/>
    <n v="9"/>
    <s v="2024-11-30"/>
    <x v="3"/>
    <n v="366743"/>
    <m/>
    <m/>
    <x v="1"/>
    <n v="2.2000000000000002"/>
    <s v="Warm"/>
    <s v="Customer interested, flat handover next month"/>
  </r>
  <r>
    <s v="LD1141"/>
    <s v="Dinesh Mane"/>
    <n v="9417006265"/>
    <x v="4"/>
    <x v="5"/>
    <s v="Exhibition Walk-in"/>
    <x v="5"/>
    <s v="2024-10-29"/>
    <x v="9"/>
    <x v="9"/>
    <x v="2"/>
    <n v="4"/>
    <n v="8"/>
    <s v="2024-12-17"/>
    <x v="4"/>
    <n v="168766"/>
    <n v="157711"/>
    <s v="2024-12-19"/>
    <x v="1"/>
    <n v="31.2"/>
    <s v="Hot"/>
    <s v="Deal closed, advance received"/>
  </r>
  <r>
    <s v="LD1142"/>
    <s v="Meena Salve"/>
    <m/>
    <x v="1"/>
    <x v="4"/>
    <s v="99acres New Project Enquiry — Inbound"/>
    <x v="5"/>
    <s v="2024-10-29"/>
    <x v="9"/>
    <x v="9"/>
    <x v="2"/>
    <n v="4"/>
    <n v="9"/>
    <s v="2024-12-23"/>
    <x v="0"/>
    <n v="179638"/>
    <m/>
    <m/>
    <x v="1"/>
    <n v="26.3"/>
    <s v="Warm"/>
    <s v="99acres form submitted, no direct phone available"/>
  </r>
  <r>
    <s v="LD1143"/>
    <s v="Archana Raut"/>
    <n v="9178785328"/>
    <x v="0"/>
    <x v="8"/>
    <s v="Instagram Story Ads"/>
    <x v="8"/>
    <s v="2024-10-30"/>
    <x v="9"/>
    <x v="9"/>
    <x v="2"/>
    <n v="4"/>
    <m/>
    <s v="2024-11-23"/>
    <x v="4"/>
    <n v="497913"/>
    <n v="474793"/>
    <s v="2024-12-01"/>
    <x v="0"/>
    <n v="17.3"/>
    <s v="Hot"/>
    <s v="Deal closed, advance received"/>
  </r>
  <r>
    <s v="LD1144"/>
    <s v="Ganesh Kshirsagar"/>
    <n v="9324614789"/>
    <x v="2"/>
    <x v="3"/>
    <s v="MagicBricks Property Enquiry — Inbound"/>
    <x v="7"/>
    <s v="2024-10-31"/>
    <x v="9"/>
    <x v="9"/>
    <x v="2"/>
    <n v="4"/>
    <n v="2"/>
    <s v="2024-11-11"/>
    <x v="3"/>
    <n v="774537"/>
    <m/>
    <m/>
    <x v="0"/>
    <n v="27.9"/>
    <s v="Warm"/>
    <s v="Wants more design options before deciding"/>
  </r>
  <r>
    <s v="LD1145"/>
    <s v="Santosh More"/>
    <n v="9445418399"/>
    <x v="3"/>
    <x v="8"/>
    <s v="Instagram Kitchen Reels"/>
    <x v="11"/>
    <s v="2024-10-31"/>
    <x v="9"/>
    <x v="9"/>
    <x v="2"/>
    <n v="4"/>
    <n v="10"/>
    <s v="2024-12-18"/>
    <x v="0"/>
    <n v="154119"/>
    <m/>
    <m/>
    <x v="1"/>
    <n v="14.1"/>
    <s v="Cold"/>
    <s v="Customer got work done from relative"/>
  </r>
  <r>
    <s v="LD1146"/>
    <s v="Ravi Aware"/>
    <n v="9385766802"/>
    <x v="4"/>
    <x v="7"/>
    <s v="SEO Organic"/>
    <x v="0"/>
    <s v="2024-10-31"/>
    <x v="9"/>
    <x v="9"/>
    <x v="2"/>
    <n v="4"/>
    <n v="12"/>
    <s v="2025-01-02"/>
    <x v="0"/>
    <n v="640921"/>
    <m/>
    <m/>
    <x v="0"/>
    <n v="36.1"/>
    <s v="Cold"/>
    <m/>
  </r>
  <r>
    <s v="LD1147"/>
    <s v="Amit Zende"/>
    <n v="9551211290"/>
    <x v="4"/>
    <x v="5"/>
    <s v="Showroom Walk-in"/>
    <x v="11"/>
    <s v="2024-10-31"/>
    <x v="9"/>
    <x v="9"/>
    <x v="2"/>
    <n v="4"/>
    <n v="7"/>
    <s v="2024-12-12"/>
    <x v="0"/>
    <n v="358538"/>
    <m/>
    <m/>
    <x v="0"/>
    <n v="22.6"/>
    <s v="Cold"/>
    <s v="Customer got work done from relative"/>
  </r>
  <r>
    <s v="LD1148"/>
    <s v="Ganesh Patil"/>
    <n v="9222061664"/>
    <x v="0"/>
    <x v="6"/>
    <s v="Facebook Diwali Offer"/>
    <x v="3"/>
    <s v="2024-11-01"/>
    <x v="10"/>
    <x v="10"/>
    <x v="2"/>
    <n v="4"/>
    <n v="8"/>
    <s v="2024-12-17"/>
    <x v="4"/>
    <n v="155427"/>
    <n v="158467"/>
    <s v="2025-01-02"/>
    <x v="1"/>
    <n v="22.6"/>
    <s v="Hot"/>
    <s v="Final payment received, project handed over"/>
  </r>
  <r>
    <s v="LD1149"/>
    <s v="Smita Chavan"/>
    <n v="9766345503"/>
    <x v="0"/>
    <x v="2"/>
    <s v="Neighbour Referral"/>
    <x v="2"/>
    <s v="2024-11-01"/>
    <x v="10"/>
    <x v="10"/>
    <x v="2"/>
    <n v="4"/>
    <n v="12"/>
    <s v="2024-12-09"/>
    <x v="0"/>
    <n v="424663"/>
    <m/>
    <m/>
    <x v="0"/>
    <n v="22.3"/>
    <s v="Warm"/>
    <s v="No response, marked as lost after 60 days"/>
  </r>
  <r>
    <s v="LD1150"/>
    <s v="Sonal Kulkarni"/>
    <n v="9786290977"/>
    <x v="0"/>
    <x v="2"/>
    <s v="Client Referral"/>
    <x v="4"/>
    <s v="2024-11-01"/>
    <x v="10"/>
    <x v="10"/>
    <x v="2"/>
    <n v="4"/>
    <n v="0"/>
    <s v="2024-11-15"/>
    <x v="0"/>
    <n v="392049"/>
    <m/>
    <m/>
    <x v="2"/>
    <n v="24.1"/>
    <s v="Cold"/>
    <s v="Project cancelled by customer"/>
  </r>
  <r>
    <s v="LD1151"/>
    <s v="Ritu Nikalje"/>
    <n v="9231518435"/>
    <x v="3"/>
    <x v="3"/>
    <s v="MagicBricks Property Enquiry — Inbound"/>
    <x v="5"/>
    <s v="2024-11-01"/>
    <x v="10"/>
    <x v="10"/>
    <x v="2"/>
    <n v="4"/>
    <n v="9"/>
    <s v="2024-12-05"/>
    <x v="3"/>
    <n v="268660"/>
    <m/>
    <m/>
    <x v="0"/>
    <n v="19.2"/>
    <s v="Cold"/>
    <s v="Went with local carpenter"/>
  </r>
  <r>
    <s v="LD1152"/>
    <s v="Anita Kulkarni"/>
    <n v="9895535798"/>
    <x v="0"/>
    <x v="2"/>
    <s v="Client Referral"/>
    <x v="0"/>
    <s v="2024-11-01"/>
    <x v="10"/>
    <x v="10"/>
    <x v="2"/>
    <n v="4"/>
    <n v="11"/>
    <s v="2024-11-27"/>
    <x v="4"/>
    <n v="362895"/>
    <n v="343599"/>
    <s v="2024-12-09"/>
    <x v="3"/>
    <n v="16.8"/>
    <s v="Hot"/>
    <s v="Full payment cleared, delivery done"/>
  </r>
  <r>
    <s v="LD1153"/>
    <s v="Sunanda Joshi"/>
    <n v="9717352585"/>
    <x v="3"/>
    <x v="2"/>
    <s v="Contractor Referral"/>
    <x v="9"/>
    <s v="2024-11-02"/>
    <x v="10"/>
    <x v="10"/>
    <x v="2"/>
    <n v="4"/>
    <n v="9"/>
    <s v="2025-01-02"/>
    <x v="4"/>
    <n v="198695"/>
    <n v="184577"/>
    <s v="2025-01-15"/>
    <x v="1"/>
    <n v="35.4"/>
    <s v="Hot"/>
    <s v="Token received, design finalised"/>
  </r>
  <r>
    <s v="LD1154"/>
    <s v="Meena Aware"/>
    <n v="9615989236"/>
    <x v="2"/>
    <x v="5"/>
    <s v="Showroom Walk-in"/>
    <x v="4"/>
    <s v="2024-11-02"/>
    <x v="10"/>
    <x v="10"/>
    <x v="2"/>
    <n v="4"/>
    <n v="1"/>
    <s v="2024-11-11"/>
    <x v="4"/>
    <n v="263105"/>
    <n v="236639"/>
    <s v="2024-11-30"/>
    <x v="1"/>
    <n v="5.5"/>
    <s v="Warm"/>
    <s v="Work order signed, production started"/>
  </r>
  <r>
    <s v="LD1155"/>
    <s v="Sachin Holkar"/>
    <n v="9390177266"/>
    <x v="0"/>
    <x v="2"/>
    <s v="Contractor Referral"/>
    <x v="10"/>
    <s v="2024-11-02"/>
    <x v="10"/>
    <x v="10"/>
    <x v="2"/>
    <n v="4"/>
    <n v="10"/>
    <s v="2024-12-23"/>
    <x v="4"/>
    <n v="191539"/>
    <n v="187189"/>
    <s v="2025-01-03"/>
    <x v="0"/>
    <n v="5"/>
    <s v="Hot"/>
    <s v="Full payment cleared, delivery done"/>
  </r>
  <r>
    <s v="LD1156"/>
    <s v="Ganesh Holkar"/>
    <n v="9675465143"/>
    <x v="2"/>
    <x v="8"/>
    <s v="Instagram Before-After Posts"/>
    <x v="11"/>
    <s v="2024-11-04"/>
    <x v="10"/>
    <x v="10"/>
    <x v="2"/>
    <n v="4"/>
    <n v="7"/>
    <s v="2024-11-30"/>
    <x v="3"/>
    <n v="259099"/>
    <m/>
    <m/>
    <x v="0"/>
    <n v="42.1"/>
    <s v="Warm"/>
    <s v="Interested but waiting for loan approval"/>
  </r>
  <r>
    <s v="LD1157"/>
    <s v="Dinesh Zende"/>
    <n v="9809872810"/>
    <x v="1"/>
    <x v="7"/>
    <s v="SEO Organic"/>
    <x v="5"/>
    <s v="2024-11-04"/>
    <x v="10"/>
    <x v="10"/>
    <x v="2"/>
    <n v="4"/>
    <n v="1"/>
    <s v="2024-11-21"/>
    <x v="0"/>
    <n v="324998"/>
    <m/>
    <m/>
    <x v="1"/>
    <n v="4.5999999999999996"/>
    <s v="Cold"/>
    <s v="Project cancelled by customer"/>
  </r>
  <r>
    <s v="LD1158"/>
    <s v="Varsha Yadav"/>
    <n v="9246705427"/>
    <x v="0"/>
    <x v="5"/>
    <s v="Site Visit Walk-in"/>
    <x v="4"/>
    <s v="2024-11-04"/>
    <x v="10"/>
    <x v="10"/>
    <x v="2"/>
    <n v="4"/>
    <n v="3"/>
    <s v="2024-11-27"/>
    <x v="0"/>
    <n v="269871"/>
    <m/>
    <m/>
    <x v="0"/>
    <n v="20.9"/>
    <s v="Cold"/>
    <s v="Budget mismatch - too low"/>
  </r>
  <r>
    <s v="LD1159"/>
    <s v="Jyoti Bhosale"/>
    <n v="9861303338"/>
    <x v="2"/>
    <x v="2"/>
    <s v="Contractor Referral"/>
    <x v="12"/>
    <s v="2024-11-04"/>
    <x v="10"/>
    <x v="10"/>
    <x v="2"/>
    <n v="4"/>
    <n v="0"/>
    <s v="2024-11-15"/>
    <x v="4"/>
    <n v="1034722"/>
    <n v="1012222"/>
    <s v="2024-11-23"/>
    <x v="2"/>
    <n v="28.4"/>
    <s v="Hot"/>
    <s v="Customer very satisfied, 5 star review given"/>
  </r>
  <r>
    <s v="LD1160"/>
    <s v="Sunanda Tupe"/>
    <n v="9410663768"/>
    <x v="0"/>
    <x v="7"/>
    <s v="Website Chat Enquiry"/>
    <x v="9"/>
    <s v="2024-11-04"/>
    <x v="10"/>
    <x v="10"/>
    <x v="2"/>
    <n v="4"/>
    <n v="8"/>
    <s v="2024-12-26"/>
    <x v="3"/>
    <n v="364472"/>
    <m/>
    <m/>
    <x v="0"/>
    <n v="41.8"/>
    <s v="Warm"/>
    <s v="Follow up after Dussehra"/>
  </r>
  <r>
    <s v="LD1161"/>
    <s v="Ganesh Kakade"/>
    <n v="9420405665"/>
    <x v="3"/>
    <x v="5"/>
    <s v="Showroom Walk-in"/>
    <x v="2"/>
    <s v="2024-11-04"/>
    <x v="10"/>
    <x v="10"/>
    <x v="2"/>
    <n v="4"/>
    <n v="3"/>
    <s v="2024-11-20"/>
    <x v="1"/>
    <n v="192627"/>
    <m/>
    <m/>
    <x v="2"/>
    <n v="14.3"/>
    <s v="Warm"/>
    <s v="Interested but waiting for loan approval"/>
  </r>
  <r>
    <s v="LD1162"/>
    <s v="Pooja Jadhav"/>
    <n v="9501553607"/>
    <x v="0"/>
    <x v="3"/>
    <s v="MagicBricks Enquiry — Inbound"/>
    <x v="9"/>
    <s v="2024-11-04"/>
    <x v="10"/>
    <x v="10"/>
    <x v="2"/>
    <n v="4"/>
    <n v="1"/>
    <s v="2024-11-18"/>
    <x v="0"/>
    <n v="215750"/>
    <m/>
    <m/>
    <x v="0"/>
    <n v="31.6"/>
    <s v="Cold"/>
    <m/>
  </r>
  <r>
    <s v="LD1163"/>
    <s v="Deepak Nikalje"/>
    <n v="9409024558"/>
    <x v="0"/>
    <x v="5"/>
    <s v="Exhibition Walk-in"/>
    <x v="12"/>
    <s v="2024-11-04"/>
    <x v="10"/>
    <x v="10"/>
    <x v="2"/>
    <n v="4"/>
    <n v="3"/>
    <s v="2024-12-06"/>
    <x v="3"/>
    <n v="1081304"/>
    <m/>
    <m/>
    <x v="2"/>
    <n v="28.8"/>
    <s v="Hot"/>
    <s v="Final quote shared, awaiting approval"/>
  </r>
  <r>
    <s v="LD1164"/>
    <s v="Rajesh Naik"/>
    <n v="9637536396"/>
    <x v="0"/>
    <x v="6"/>
    <s v="Facebook Gudi Padwa Offer"/>
    <x v="7"/>
    <s v="2024-11-05"/>
    <x v="10"/>
    <x v="10"/>
    <x v="2"/>
    <n v="4"/>
    <n v="6"/>
    <s v="2024-12-12"/>
    <x v="0"/>
    <n v="1182775"/>
    <m/>
    <m/>
    <x v="1"/>
    <n v="33.9"/>
    <s v="Cold"/>
    <s v="Went with local vendor"/>
  </r>
  <r>
    <s v="LD1165"/>
    <s v="Varsha Shinde"/>
    <n v="9587609156"/>
    <x v="0"/>
    <x v="5"/>
    <s v="Showroom Walk-in"/>
    <x v="7"/>
    <s v="2024-11-05"/>
    <x v="10"/>
    <x v="10"/>
    <x v="2"/>
    <n v="4"/>
    <n v="10"/>
    <s v="2024-12-26"/>
    <x v="0"/>
    <n v="948228"/>
    <m/>
    <m/>
    <x v="1"/>
    <n v="11.5"/>
    <s v="Cold"/>
    <s v="Went with local vendor"/>
  </r>
  <r>
    <s v="LD1166"/>
    <s v="Archana Aware"/>
    <n v="9907032814"/>
    <x v="2"/>
    <x v="1"/>
    <s v="Justdial Premium Listing — Inbound"/>
    <x v="2"/>
    <s v="2024-11-05"/>
    <x v="10"/>
    <x v="10"/>
    <x v="2"/>
    <n v="4"/>
    <n v="7"/>
    <s v="2024-12-24"/>
    <x v="0"/>
    <n v="193329"/>
    <m/>
    <m/>
    <x v="1"/>
    <n v="45.7"/>
    <s v="Cold"/>
    <s v="Customer chose readymade furniture"/>
  </r>
  <r>
    <s v="LD1167"/>
    <s v="Suresh Deshpande"/>
    <n v="9648186646"/>
    <x v="2"/>
    <x v="6"/>
    <s v="Facebook Home Decor Ads"/>
    <x v="0"/>
    <s v="2024-11-05"/>
    <x v="10"/>
    <x v="10"/>
    <x v="2"/>
    <n v="4"/>
    <n v="3"/>
    <s v="2024-11-22"/>
    <x v="4"/>
    <n v="610846"/>
    <n v="603904"/>
    <s v="2024-11-26"/>
    <x v="1"/>
    <n v="34.5"/>
    <s v="Warm"/>
    <s v="Full payment cleared, delivery done"/>
  </r>
  <r>
    <s v="LD1168"/>
    <s v="Bharati Pawar"/>
    <n v="9718342232"/>
    <x v="0"/>
    <x v="1"/>
    <s v="Justdial Premium Listing — Inbound"/>
    <x v="1"/>
    <s v="2024-11-06"/>
    <x v="10"/>
    <x v="10"/>
    <x v="2"/>
    <n v="4"/>
    <n v="1"/>
    <s v="2024-11-20"/>
    <x v="4"/>
    <n v="268187"/>
    <n v="252187"/>
    <s v="2024-11-28"/>
    <x v="3"/>
    <n v="36.6"/>
    <s v="Hot"/>
    <s v="Token paid, measurement done, work started"/>
  </r>
  <r>
    <s v="LD1169"/>
    <s v="Nilesh Gaikwad"/>
    <n v="9976113956"/>
    <x v="3"/>
    <x v="2"/>
    <s v="Contractor Referral"/>
    <x v="10"/>
    <s v="2024-11-06"/>
    <x v="10"/>
    <x v="10"/>
    <x v="2"/>
    <n v="4"/>
    <n v="5"/>
    <s v="2024-12-12"/>
    <x v="3"/>
    <n v="273759"/>
    <m/>
    <m/>
    <x v="3"/>
    <n v="19.3"/>
    <s v="Warm"/>
    <s v="Budget discussion pending"/>
  </r>
  <r>
    <s v="LD1170"/>
    <s v="Kavita Joshi"/>
    <n v="9974296933"/>
    <x v="2"/>
    <x v="8"/>
    <s v="Instagram Wardrobe Showcase"/>
    <x v="7"/>
    <s v="2024-11-07"/>
    <x v="10"/>
    <x v="10"/>
    <x v="2"/>
    <n v="4"/>
    <n v="9"/>
    <s v="2024-12-03"/>
    <x v="0"/>
    <n v="1167418"/>
    <m/>
    <m/>
    <x v="1"/>
    <n v="5.4"/>
    <s v="Cold"/>
    <s v="Project cancelled by customer"/>
  </r>
  <r>
    <s v="LD1171"/>
    <s v="Santosh Gavhane"/>
    <n v="9451788060"/>
    <x v="0"/>
    <x v="2"/>
    <s v="Client Referral"/>
    <x v="6"/>
    <s v="2024-11-07"/>
    <x v="10"/>
    <x v="10"/>
    <x v="2"/>
    <n v="4"/>
    <n v="5"/>
    <s v="2024-11-26"/>
    <x v="1"/>
    <n v="286348"/>
    <m/>
    <m/>
    <x v="1"/>
    <n v="6.2"/>
    <s v="Hot"/>
    <s v="Customer comparing 1-2 vendors only"/>
  </r>
  <r>
    <s v="LD1172"/>
    <s v="Rajesh Holkar"/>
    <n v="9378088986"/>
    <x v="4"/>
    <x v="2"/>
    <s v="Contractor Referral"/>
    <x v="4"/>
    <s v="2024-11-07"/>
    <x v="10"/>
    <x v="10"/>
    <x v="2"/>
    <n v="4"/>
    <n v="2"/>
    <s v="2024-11-26"/>
    <x v="3"/>
    <n v="312723"/>
    <m/>
    <m/>
    <x v="1"/>
    <n v="8.3000000000000007"/>
    <s v="Hot"/>
    <s v="Customer comparing 1-2 vendors only"/>
  </r>
  <r>
    <s v="LD1173"/>
    <s v="Kiran Deshpande"/>
    <n v="9704894343"/>
    <x v="3"/>
    <x v="2"/>
    <s v="Architect Referral"/>
    <x v="5"/>
    <s v="2024-11-08"/>
    <x v="10"/>
    <x v="10"/>
    <x v="2"/>
    <n v="4"/>
    <n v="8"/>
    <s v="2024-12-03"/>
    <x v="0"/>
    <n v="263605"/>
    <m/>
    <m/>
    <x v="2"/>
    <n v="10.6"/>
    <s v="Cold"/>
    <m/>
  </r>
  <r>
    <s v="LD1174"/>
    <s v="Vikas Shelke"/>
    <n v="9102605061"/>
    <x v="2"/>
    <x v="3"/>
    <s v="MagicBricks Enquiry — Inbound"/>
    <x v="5"/>
    <s v="2024-11-08"/>
    <x v="10"/>
    <x v="10"/>
    <x v="2"/>
    <n v="4"/>
    <n v="6"/>
    <s v="2024-12-04"/>
    <x v="0"/>
    <n v="198376"/>
    <m/>
    <m/>
    <x v="3"/>
    <n v="21.4"/>
    <s v="Cold"/>
    <s v="Customer did not proceed with project"/>
  </r>
  <r>
    <s v="LD1175"/>
    <s v="Rohit Kale"/>
    <n v="9257963512"/>
    <x v="0"/>
    <x v="5"/>
    <s v="Exhibition Walk-in"/>
    <x v="9"/>
    <s v="2024-11-09"/>
    <x v="10"/>
    <x v="10"/>
    <x v="2"/>
    <n v="4"/>
    <n v="12"/>
    <s v="2024-12-12"/>
    <x v="0"/>
    <n v="423690"/>
    <m/>
    <m/>
    <x v="2"/>
    <n v="28.2"/>
    <s v="Cold"/>
    <s v="Customer chose readymade furniture"/>
  </r>
  <r>
    <s v="LD1176"/>
    <s v="Kiran Bansode"/>
    <n v="9462993315"/>
    <x v="0"/>
    <x v="6"/>
    <s v="Facebook Kitchen Showcase"/>
    <x v="1"/>
    <s v="2024-11-09"/>
    <x v="10"/>
    <x v="10"/>
    <x v="2"/>
    <n v="4"/>
    <n v="12"/>
    <s v="2024-12-30"/>
    <x v="0"/>
    <n v="294465"/>
    <m/>
    <m/>
    <x v="0"/>
    <n v="47.6"/>
    <s v="Cold"/>
    <s v="Customer chose readymade furniture"/>
  </r>
  <r>
    <s v="LD1177"/>
    <s v="Sonal Pawar"/>
    <n v="9971440353"/>
    <x v="2"/>
    <x v="5"/>
    <s v="Site Visit Walk-in"/>
    <x v="7"/>
    <s v="2024-11-09"/>
    <x v="10"/>
    <x v="10"/>
    <x v="2"/>
    <n v="4"/>
    <n v="7"/>
    <s v="2024-12-26"/>
    <x v="0"/>
    <n v="697313"/>
    <m/>
    <m/>
    <x v="1"/>
    <n v="14.9"/>
    <s v="Cold"/>
    <s v="Budget mismatch - too low"/>
  </r>
  <r>
    <s v="LD1178"/>
    <s v="Devendra Patil"/>
    <n v="9400583790"/>
    <x v="2"/>
    <x v="8"/>
    <s v="Instagram Gudi Padwa Special"/>
    <x v="0"/>
    <s v="2024-11-11"/>
    <x v="10"/>
    <x v="10"/>
    <x v="2"/>
    <n v="4"/>
    <n v="2"/>
    <s v="2024-11-20"/>
    <x v="0"/>
    <n v="720080"/>
    <m/>
    <m/>
    <x v="0"/>
    <n v="1.1000000000000001"/>
    <s v="Warm"/>
    <s v="Customer did not proceed with project"/>
  </r>
  <r>
    <s v="LD1179"/>
    <s v="Meena Phule"/>
    <n v="9748749790"/>
    <x v="4"/>
    <x v="6"/>
    <s v="Facebook Diwali Offer"/>
    <x v="13"/>
    <s v="2024-11-11"/>
    <x v="10"/>
    <x v="10"/>
    <x v="2"/>
    <n v="4"/>
    <n v="3"/>
    <s v="2024-12-11"/>
    <x v="4"/>
    <n v="1415407"/>
    <n v="1326893"/>
    <s v="2024-12-20"/>
    <x v="1"/>
    <n v="3.3"/>
    <s v="Hot"/>
    <s v="Customer happy with sample, deal closed"/>
  </r>
  <r>
    <s v="LD1180"/>
    <s v="Ritu Bansode"/>
    <n v="9859221556"/>
    <x v="2"/>
    <x v="8"/>
    <s v="Instagram Before-After Posts"/>
    <x v="10"/>
    <s v="2024-11-11"/>
    <x v="10"/>
    <x v="10"/>
    <x v="2"/>
    <n v="4"/>
    <n v="11"/>
    <s v="2024-12-06"/>
    <x v="2"/>
    <n v="276047"/>
    <m/>
    <m/>
    <x v="2"/>
    <n v="41.1"/>
    <s v="Cold"/>
    <s v="No call back after site visit"/>
  </r>
  <r>
    <s v="LD1181"/>
    <s v="Sachin Shinde"/>
    <n v="9858132279"/>
    <x v="4"/>
    <x v="7"/>
    <s v="SEO Organic"/>
    <x v="7"/>
    <s v="2024-11-11"/>
    <x v="10"/>
    <x v="10"/>
    <x v="2"/>
    <n v="4"/>
    <n v="8"/>
    <s v="2024-12-18"/>
    <x v="4"/>
    <n v="1191013"/>
    <n v="1190859"/>
    <s v="2025-01-08"/>
    <x v="2"/>
    <n v="23.8"/>
    <s v="Hot"/>
    <s v="Token paid, measurement done, work started"/>
  </r>
  <r>
    <s v="LD1182"/>
    <s v="Vijay Gaikwad"/>
    <n v="9774079234"/>
    <x v="2"/>
    <x v="6"/>
    <s v="Facebook Home Decor Ads"/>
    <x v="0"/>
    <s v="2024-11-11"/>
    <x v="10"/>
    <x v="10"/>
    <x v="2"/>
    <n v="4"/>
    <n v="6"/>
    <s v="2024-12-28"/>
    <x v="1"/>
    <n v="711670"/>
    <m/>
    <m/>
    <x v="3"/>
    <n v="41"/>
    <s v="Warm"/>
    <s v="Site visit to be scheduled"/>
  </r>
  <r>
    <s v="LD1183"/>
    <s v="Suresh Gaikwad"/>
    <n v="9734020498"/>
    <x v="0"/>
    <x v="1"/>
    <s v="Justdial Sponsored — Inbound"/>
    <x v="5"/>
    <s v="2024-11-11"/>
    <x v="10"/>
    <x v="10"/>
    <x v="2"/>
    <n v="4"/>
    <n v="3"/>
    <s v="2024-11-23"/>
    <x v="1"/>
    <n v="289774"/>
    <m/>
    <m/>
    <x v="0"/>
    <n v="42"/>
    <s v="Warm"/>
    <s v="Interested but waiting for loan approval"/>
  </r>
  <r>
    <s v="LD1184"/>
    <s v="Umesh Kulkarni"/>
    <n v="9700485168"/>
    <x v="2"/>
    <x v="8"/>
    <s v="Instagram Before-After Posts"/>
    <x v="10"/>
    <s v="2024-11-11"/>
    <x v="10"/>
    <x v="10"/>
    <x v="2"/>
    <n v="4"/>
    <n v="0"/>
    <s v="2024-11-19"/>
    <x v="0"/>
    <n v="251025"/>
    <m/>
    <m/>
    <x v="1"/>
    <n v="44.5"/>
    <s v="Cold"/>
    <s v="No response, marked as lost after 60 days"/>
  </r>
  <r>
    <s v="LD1185"/>
    <s v="Madhuri Jadhav"/>
    <n v="9364450015"/>
    <x v="3"/>
    <x v="8"/>
    <s v="Instagram Story Ads"/>
    <x v="0"/>
    <s v="2024-11-13"/>
    <x v="10"/>
    <x v="10"/>
    <x v="2"/>
    <n v="4"/>
    <n v="7"/>
    <s v="2024-12-23"/>
    <x v="1"/>
    <n v="391163"/>
    <m/>
    <m/>
    <x v="1"/>
    <n v="40.799999999999997"/>
    <s v="Hot"/>
    <s v="Sample seen at showroom, liked veneer finish"/>
  </r>
  <r>
    <s v="LD1186"/>
    <s v="Divya Joshi"/>
    <n v="9237445335"/>
    <x v="0"/>
    <x v="2"/>
    <s v="Neighbour Referral"/>
    <x v="1"/>
    <s v="2024-11-13"/>
    <x v="10"/>
    <x v="10"/>
    <x v="2"/>
    <n v="4"/>
    <n v="2"/>
    <s v="2024-11-20"/>
    <x v="2"/>
    <n v="188385"/>
    <m/>
    <m/>
    <x v="3"/>
    <n v="44"/>
    <s v="Cold"/>
    <s v="Budget too low for our range"/>
  </r>
  <r>
    <s v="LD1187"/>
    <s v="Pooja Sonawane"/>
    <n v="9154433654"/>
    <x v="0"/>
    <x v="8"/>
    <s v="Instagram Diwali Campaign"/>
    <x v="7"/>
    <s v="2024-11-14"/>
    <x v="10"/>
    <x v="10"/>
    <x v="2"/>
    <n v="4"/>
    <n v="9"/>
    <s v="2024-12-30"/>
    <x v="0"/>
    <n v="712702"/>
    <m/>
    <m/>
    <x v="1"/>
    <n v="26.5"/>
    <s v="Cold"/>
    <s v="Budget mismatch - too low"/>
  </r>
  <r>
    <s v="LD1188"/>
    <s v="Santosh Shinde"/>
    <m/>
    <x v="3"/>
    <x v="6"/>
    <s v="Facebook Kitchen Showcase"/>
    <x v="11"/>
    <s v="2024-11-14"/>
    <x v="10"/>
    <x v="10"/>
    <x v="2"/>
    <n v="4"/>
    <n v="3"/>
    <s v="2024-11-27"/>
    <x v="2"/>
    <n v="308570"/>
    <m/>
    <m/>
    <x v="1"/>
    <n v="38.6"/>
    <s v="Cold"/>
    <s v="Facebook form filled, number not provided"/>
  </r>
  <r>
    <s v="LD1189"/>
    <s v="Nikhil Shinde"/>
    <n v="9151067852"/>
    <x v="2"/>
    <x v="6"/>
    <s v="Facebook Kitchen Showcase"/>
    <x v="8"/>
    <s v="2024-11-14"/>
    <x v="10"/>
    <x v="10"/>
    <x v="2"/>
    <n v="4"/>
    <n v="10"/>
    <s v="2025-01-22"/>
    <x v="4"/>
    <n v="736277"/>
    <n v="700905"/>
    <s v="2025-02-11"/>
    <x v="0"/>
    <n v="46.8"/>
    <s v="Hot"/>
    <s v="Work order signed, production started"/>
  </r>
  <r>
    <s v="LD1190"/>
    <s v="Devendra Jadhav"/>
    <n v="9701444428"/>
    <x v="1"/>
    <x v="6"/>
    <s v="Facebook Kitchen Showcase"/>
    <x v="3"/>
    <s v="2024-11-14"/>
    <x v="10"/>
    <x v="10"/>
    <x v="2"/>
    <n v="4"/>
    <n v="7"/>
    <s v="2024-12-25"/>
    <x v="0"/>
    <n v="100060"/>
    <m/>
    <m/>
    <x v="1"/>
    <n v="19.8"/>
    <s v="Warm"/>
    <s v="Customer did not proceed with project"/>
  </r>
  <r>
    <s v="LD1191"/>
    <s v="Seema Mohite"/>
    <n v="9576153570"/>
    <x v="0"/>
    <x v="1"/>
    <s v="Justdial Sponsored — Inbound"/>
    <x v="12"/>
    <s v="2024-11-14"/>
    <x v="10"/>
    <x v="10"/>
    <x v="2"/>
    <n v="4"/>
    <n v="4"/>
    <s v="2024-12-12"/>
    <x v="0"/>
    <n v="1514542"/>
    <m/>
    <m/>
    <x v="1"/>
    <n v="22.6"/>
    <s v="Cold"/>
    <m/>
  </r>
  <r>
    <s v="LD1192"/>
    <s v="Shweta Bansode"/>
    <n v="9952400997"/>
    <x v="1"/>
    <x v="2"/>
    <s v="Contractor Referral"/>
    <x v="2"/>
    <s v="2024-11-15"/>
    <x v="10"/>
    <x v="10"/>
    <x v="2"/>
    <n v="4"/>
    <n v="3"/>
    <s v="2024-12-10"/>
    <x v="0"/>
    <n v="215826"/>
    <m/>
    <m/>
    <x v="2"/>
    <n v="2.9"/>
    <s v="Warm"/>
    <s v="Project cancelled by customer"/>
  </r>
  <r>
    <s v="LD1193"/>
    <s v="Manoj Bhosale"/>
    <n v="9235508256"/>
    <x v="2"/>
    <x v="6"/>
    <s v="Facebook Kitchen Showcase"/>
    <x v="13"/>
    <s v="2024-11-15"/>
    <x v="10"/>
    <x v="10"/>
    <x v="2"/>
    <n v="4"/>
    <n v="3"/>
    <s v="2024-12-10"/>
    <x v="3"/>
    <n v="1705083"/>
    <m/>
    <m/>
    <x v="0"/>
    <n v="20.100000000000001"/>
    <s v="Hot"/>
    <s v="Site visit done, quotation shared"/>
  </r>
  <r>
    <s v="LD1194"/>
    <s v="Alka Wagh"/>
    <n v="9542396350"/>
    <x v="0"/>
    <x v="0"/>
    <s v="Family Reference"/>
    <x v="10"/>
    <s v="2024-11-15"/>
    <x v="10"/>
    <x v="10"/>
    <x v="2"/>
    <n v="4"/>
    <n v="5"/>
    <s v="2024-12-11"/>
    <x v="0"/>
    <n v="381484"/>
    <m/>
    <m/>
    <x v="1"/>
    <n v="37.6"/>
    <s v="Cold"/>
    <s v="Customer got work done from relative"/>
  </r>
  <r>
    <s v="LD1195"/>
    <s v="Sanjay Deshpande"/>
    <n v="9374184267"/>
    <x v="2"/>
    <x v="0"/>
    <s v="Friend Reference"/>
    <x v="5"/>
    <s v="2024-11-16"/>
    <x v="10"/>
    <x v="10"/>
    <x v="2"/>
    <n v="4"/>
    <n v="2"/>
    <s v="2024-12-03"/>
    <x v="4"/>
    <n v="308689"/>
    <n v="274301"/>
    <s v="2024-12-06"/>
    <x v="1"/>
    <n v="39"/>
    <s v="Hot"/>
    <s v="Customer very satisfied, 5 star review given"/>
  </r>
  <r>
    <s v="LD1196"/>
    <s v="Hemant Thorat"/>
    <n v="9185567659"/>
    <x v="2"/>
    <x v="8"/>
    <s v="Instagram Diwali Campaign"/>
    <x v="0"/>
    <s v="2024-11-16"/>
    <x v="10"/>
    <x v="10"/>
    <x v="2"/>
    <n v="4"/>
    <n v="3"/>
    <s v="2024-12-14"/>
    <x v="0"/>
    <n v="592853"/>
    <m/>
    <m/>
    <x v="2"/>
    <n v="18.899999999999999"/>
    <s v="Cold"/>
    <s v="Customer did not proceed with project"/>
  </r>
  <r>
    <s v="LD1197"/>
    <s v="Sachin Deshmukh"/>
    <n v="9960070031"/>
    <x v="0"/>
    <x v="8"/>
    <s v="Instagram Before-After Posts"/>
    <x v="5"/>
    <s v="2024-11-18"/>
    <x v="10"/>
    <x v="10"/>
    <x v="2"/>
    <n v="4"/>
    <n v="11"/>
    <s v="2024-12-30"/>
    <x v="0"/>
    <n v="225066"/>
    <m/>
    <m/>
    <x v="2"/>
    <n v="21.2"/>
    <s v="Cold"/>
    <s v="Project cancelled by customer"/>
  </r>
  <r>
    <s v="LD1198"/>
    <s v="Lata Sawant"/>
    <n v="9792414545"/>
    <x v="0"/>
    <x v="2"/>
    <s v="Architect Referral"/>
    <x v="12"/>
    <s v="2024-11-18"/>
    <x v="10"/>
    <x v="10"/>
    <x v="2"/>
    <n v="4"/>
    <n v="4"/>
    <s v="2024-11-30"/>
    <x v="4"/>
    <n v="1623907"/>
    <n v="1592424"/>
    <s v="2024-12-12"/>
    <x v="2"/>
    <n v="44.4"/>
    <s v="Hot"/>
    <s v="Full payment cleared, delivery done"/>
  </r>
  <r>
    <s v="LD1199"/>
    <s v="Sunanda Phule"/>
    <n v="9600948542"/>
    <x v="4"/>
    <x v="5"/>
    <s v="Exhibition Walk-in"/>
    <x v="4"/>
    <s v="2024-11-18"/>
    <x v="10"/>
    <x v="10"/>
    <x v="2"/>
    <n v="4"/>
    <n v="0"/>
    <s v="2024-11-21"/>
    <x v="4"/>
    <n v="355290"/>
    <n v="341898"/>
    <s v="2024-12-04"/>
    <x v="2"/>
    <n v="15.7"/>
    <s v="Hot"/>
    <s v="Work order signed, production started"/>
  </r>
  <r>
    <s v="LD1200"/>
    <s v="Suresh Bhosale"/>
    <n v="9344998923"/>
    <x v="4"/>
    <x v="5"/>
    <s v="Site Visit Walk-in"/>
    <x v="4"/>
    <s v="2024-11-18"/>
    <x v="10"/>
    <x v="10"/>
    <x v="2"/>
    <n v="4"/>
    <n v="4"/>
    <s v="2024-12-14"/>
    <x v="1"/>
    <n v="215217"/>
    <m/>
    <m/>
    <x v="0"/>
    <n v="35.1"/>
    <s v="Hot"/>
    <s v="Ready to proceed, discussing payment terms"/>
  </r>
  <r>
    <s v="LD1201"/>
    <s v="Santosh More"/>
    <n v="9747066078"/>
    <x v="2"/>
    <x v="1"/>
    <s v="Justdial Free Listing — Inbound"/>
    <x v="2"/>
    <s v="2024-11-18"/>
    <x v="10"/>
    <x v="10"/>
    <x v="2"/>
    <n v="4"/>
    <n v="1"/>
    <s v="2024-12-05"/>
    <x v="1"/>
    <n v="236618"/>
    <m/>
    <m/>
    <x v="0"/>
    <n v="33"/>
    <s v="Warm"/>
    <s v="Customer interested, flat handover next month"/>
  </r>
  <r>
    <s v="LD1202"/>
    <s v="Vikas Gaikwad"/>
    <n v="9737103010"/>
    <x v="0"/>
    <x v="7"/>
    <s v="Google My Business"/>
    <x v="10"/>
    <s v="2024-11-18"/>
    <x v="10"/>
    <x v="10"/>
    <x v="2"/>
    <n v="4"/>
    <n v="1"/>
    <s v="2024-12-02"/>
    <x v="4"/>
    <n v="360077"/>
    <n v="350992"/>
    <s v="2024-12-18"/>
    <x v="2"/>
    <n v="28.3"/>
    <s v="Warm"/>
    <s v="Final payment received, project handed over"/>
  </r>
  <r>
    <s v="LD1203"/>
    <s v="Deepak Naik"/>
    <n v="9665169914"/>
    <x v="4"/>
    <x v="8"/>
    <s v="Instagram Wardrobe Showcase"/>
    <x v="5"/>
    <s v="2024-11-18"/>
    <x v="10"/>
    <x v="10"/>
    <x v="2"/>
    <n v="4"/>
    <n v="11"/>
    <s v="2025-01-14"/>
    <x v="0"/>
    <n v="71478"/>
    <m/>
    <m/>
    <x v="0"/>
    <n v="22.7"/>
    <s v="Cold"/>
    <s v="Customer did not proceed with project"/>
  </r>
  <r>
    <s v="LD1204"/>
    <s v="Nanda Gaikwad"/>
    <n v="9669562242"/>
    <x v="0"/>
    <x v="1"/>
    <s v="Justdial Sponsored — Inbound"/>
    <x v="2"/>
    <s v="2024-11-18"/>
    <x v="10"/>
    <x v="10"/>
    <x v="2"/>
    <n v="4"/>
    <n v="12"/>
    <s v="2024-12-26"/>
    <x v="2"/>
    <n v="277732"/>
    <m/>
    <m/>
    <x v="2"/>
    <n v="7.9"/>
    <s v="Cold"/>
    <s v="Went with local carpenter"/>
  </r>
  <r>
    <s v="LD1205"/>
    <s v="Prashant Londhe"/>
    <n v="9715091298"/>
    <x v="2"/>
    <x v="6"/>
    <s v="Facebook Gudi Padwa Offer"/>
    <x v="7"/>
    <s v="2024-11-19"/>
    <x v="10"/>
    <x v="10"/>
    <x v="2"/>
    <n v="4"/>
    <n v="6"/>
    <s v="2024-12-31"/>
    <x v="4"/>
    <n v="773736"/>
    <n v="683159"/>
    <s v="2025-01-17"/>
    <x v="0"/>
    <n v="45.7"/>
    <s v="Warm"/>
    <s v="Customer referred 2 more leads after delivery"/>
  </r>
  <r>
    <s v="LD1206"/>
    <s v="Arun Bansode"/>
    <n v="9884035295"/>
    <x v="2"/>
    <x v="7"/>
    <s v="Website Chat Enquiry"/>
    <x v="7"/>
    <s v="2024-11-19"/>
    <x v="10"/>
    <x v="10"/>
    <x v="2"/>
    <n v="4"/>
    <n v="0"/>
    <s v="2024-12-02"/>
    <x v="4"/>
    <n v="1023879"/>
    <n v="901943"/>
    <s v="2024-12-11"/>
    <x v="0"/>
    <n v="26.1"/>
    <s v="Hot"/>
    <s v="Token received, design finalised"/>
  </r>
  <r>
    <s v="LD1207"/>
    <s v="Lata Bansode"/>
    <n v="9103683345"/>
    <x v="0"/>
    <x v="2"/>
    <s v="Architect Referral"/>
    <x v="2"/>
    <s v="2024-11-21"/>
    <x v="10"/>
    <x v="10"/>
    <x v="2"/>
    <n v="4"/>
    <n v="0"/>
    <s v="2024-12-02"/>
    <x v="4"/>
    <n v="469624"/>
    <n v="415973"/>
    <s v="2024-12-18"/>
    <x v="1"/>
    <n v="41.5"/>
    <s v="Warm"/>
    <s v="Work order signed, production started"/>
  </r>
  <r>
    <s v="LD1208"/>
    <s v="Varsha Deshmukh"/>
    <n v="9951276269"/>
    <x v="2"/>
    <x v="2"/>
    <s v="Architect Referral"/>
    <x v="4"/>
    <s v="2024-11-21"/>
    <x v="10"/>
    <x v="10"/>
    <x v="2"/>
    <n v="4"/>
    <n v="4"/>
    <s v="2024-12-18"/>
    <x v="1"/>
    <n v="347006"/>
    <m/>
    <m/>
    <x v="1"/>
    <n v="13.3"/>
    <s v="Cold"/>
    <m/>
  </r>
  <r>
    <s v="LD1209"/>
    <s v="Manisha Gaikwad"/>
    <n v="9621165231"/>
    <x v="2"/>
    <x v="6"/>
    <s v="Facebook Gudi Padwa Offer"/>
    <x v="2"/>
    <s v="2024-11-21"/>
    <x v="10"/>
    <x v="10"/>
    <x v="2"/>
    <n v="4"/>
    <n v="11"/>
    <s v="2025-01-22"/>
    <x v="0"/>
    <n v="553776"/>
    <m/>
    <m/>
    <x v="3"/>
    <n v="21.4"/>
    <s v="Warm"/>
    <m/>
  </r>
  <r>
    <s v="LD1210"/>
    <s v="Meena Kakade"/>
    <n v="9708980151"/>
    <x v="4"/>
    <x v="2"/>
    <s v="Architect Referral"/>
    <x v="0"/>
    <s v="2024-11-21"/>
    <x v="10"/>
    <x v="10"/>
    <x v="2"/>
    <n v="4"/>
    <n v="2"/>
    <s v="2024-12-09"/>
    <x v="0"/>
    <n v="822950"/>
    <m/>
    <m/>
    <x v="1"/>
    <n v="47.7"/>
    <s v="Cold"/>
    <s v="Customer chose readymade furniture"/>
  </r>
  <r>
    <s v="LD1211"/>
    <s v="Lata Kakade"/>
    <n v="9982296130"/>
    <x v="0"/>
    <x v="8"/>
    <s v="Instagram Story Ads"/>
    <x v="0"/>
    <s v="2024-11-21"/>
    <x v="10"/>
    <x v="10"/>
    <x v="2"/>
    <n v="4"/>
    <n v="8"/>
    <s v="2024-12-20"/>
    <x v="4"/>
    <n v="470949"/>
    <n v="419546"/>
    <s v="2024-12-31"/>
    <x v="3"/>
    <n v="5.2"/>
    <s v="Hot"/>
    <s v="Customer very satisfied, 5 star review given"/>
  </r>
  <r>
    <s v="LD1212"/>
    <s v="Vikas Londhe"/>
    <n v="9968265838"/>
    <x v="0"/>
    <x v="6"/>
    <s v="Facebook Gudi Padwa Offer"/>
    <x v="4"/>
    <s v="2024-11-21"/>
    <x v="10"/>
    <x v="10"/>
    <x v="2"/>
    <n v="4"/>
    <n v="2"/>
    <s v="2024-12-09"/>
    <x v="0"/>
    <n v="347786"/>
    <m/>
    <m/>
    <x v="1"/>
    <n v="31.2"/>
    <s v="Warm"/>
    <s v="Lost to branded competitor"/>
  </r>
  <r>
    <s v="LD1213"/>
    <s v="Ravi Nikalje"/>
    <n v="9871392566"/>
    <x v="0"/>
    <x v="7"/>
    <s v="SEO Organic"/>
    <x v="3"/>
    <s v="2024-11-22"/>
    <x v="10"/>
    <x v="10"/>
    <x v="2"/>
    <n v="4"/>
    <n v="12"/>
    <s v="2025-02-06"/>
    <x v="0"/>
    <n v="203808"/>
    <m/>
    <m/>
    <x v="0"/>
    <n v="6"/>
    <s v="Cold"/>
    <m/>
  </r>
  <r>
    <s v="LD1214"/>
    <s v="Sanjay Zende"/>
    <n v="9363984684"/>
    <x v="0"/>
    <x v="2"/>
    <s v="Neighbour Referral"/>
    <x v="2"/>
    <s v="2024-11-23"/>
    <x v="10"/>
    <x v="10"/>
    <x v="2"/>
    <n v="4"/>
    <n v="8"/>
    <s v="2024-12-25"/>
    <x v="4"/>
    <n v="440867"/>
    <n v="434483"/>
    <s v="2024-12-30"/>
    <x v="1"/>
    <n v="30.2"/>
    <s v="Hot"/>
    <s v="Customer very satisfied, 5 star review given"/>
  </r>
  <r>
    <s v="LD1215"/>
    <s v="Ganesh Salve"/>
    <n v="9857225039"/>
    <x v="0"/>
    <x v="8"/>
    <s v="Instagram Gudi Padwa Special"/>
    <x v="2"/>
    <s v="2024-11-23"/>
    <x v="10"/>
    <x v="10"/>
    <x v="2"/>
    <n v="4"/>
    <n v="2"/>
    <s v="2024-12-16"/>
    <x v="0"/>
    <n v="392128"/>
    <m/>
    <m/>
    <x v="1"/>
    <n v="35.9"/>
    <s v="Cold"/>
    <s v="Customer did not proceed with project"/>
  </r>
  <r>
    <s v="LD1216"/>
    <s v="Rohit Kakade"/>
    <n v="9743925238"/>
    <x v="0"/>
    <x v="7"/>
    <s v="Website Chat Enquiry"/>
    <x v="10"/>
    <s v="2024-11-23"/>
    <x v="10"/>
    <x v="10"/>
    <x v="2"/>
    <n v="4"/>
    <n v="11"/>
    <s v="2025-01-17"/>
    <x v="0"/>
    <n v="419403"/>
    <m/>
    <m/>
    <x v="0"/>
    <m/>
    <s v="Cold"/>
    <s v="Customer did not proceed with project"/>
  </r>
  <r>
    <s v="LD1217"/>
    <s v="Hemant Londhe"/>
    <n v="9227802344"/>
    <x v="2"/>
    <x v="0"/>
    <s v="Family Reference"/>
    <x v="11"/>
    <s v="2024-11-25"/>
    <x v="10"/>
    <x v="10"/>
    <x v="2"/>
    <n v="4"/>
    <n v="3"/>
    <s v="2024-12-19"/>
    <x v="2"/>
    <n v="185729"/>
    <m/>
    <m/>
    <x v="1"/>
    <n v="29.8"/>
    <s v="Cold"/>
    <s v="Customer relocated"/>
  </r>
  <r>
    <s v="LD1218"/>
    <s v="Hemant Londhe"/>
    <n v="9693295614"/>
    <x v="0"/>
    <x v="3"/>
    <s v="MagicBricks Enquiry — Inbound"/>
    <x v="9"/>
    <s v="2024-11-25"/>
    <x v="10"/>
    <x v="10"/>
    <x v="2"/>
    <n v="4"/>
    <n v="11"/>
    <s v="2025-01-13"/>
    <x v="4"/>
    <n v="341775"/>
    <n v="312911"/>
    <s v="2025-02-03"/>
    <x v="2"/>
    <n v="12.8"/>
    <s v="Hot"/>
    <s v="Final payment received, project handed over"/>
  </r>
  <r>
    <s v="LD1219"/>
    <s v="Ravi Bhosale"/>
    <n v="9264128494"/>
    <x v="0"/>
    <x v="0"/>
    <s v="Friend Reference"/>
    <x v="10"/>
    <s v="2024-11-25"/>
    <x v="10"/>
    <x v="10"/>
    <x v="2"/>
    <n v="4"/>
    <n v="7"/>
    <s v="2024-12-21"/>
    <x v="3"/>
    <n v="586633"/>
    <m/>
    <m/>
    <x v="1"/>
    <n v="39.6"/>
    <s v="Cold"/>
    <s v="Project on hold"/>
  </r>
  <r>
    <s v="LD1220"/>
    <s v="Manoj Raut"/>
    <n v="9987742068"/>
    <x v="2"/>
    <x v="5"/>
    <s v="Site Visit Walk-in"/>
    <x v="7"/>
    <s v="2024-11-25"/>
    <x v="10"/>
    <x v="10"/>
    <x v="2"/>
    <n v="4"/>
    <n v="5"/>
    <s v="2024-12-23"/>
    <x v="4"/>
    <n v="1375942"/>
    <n v="1294694"/>
    <s v="2025-01-13"/>
    <x v="0"/>
    <n v="27.2"/>
    <s v="Hot"/>
    <s v="Customer very satisfied, 5 star review given"/>
  </r>
  <r>
    <s v="LD1221"/>
    <s v="Rohit Chavan"/>
    <n v="9507603187"/>
    <x v="3"/>
    <x v="2"/>
    <s v="Neighbour Referral"/>
    <x v="0"/>
    <s v="2024-11-25"/>
    <x v="10"/>
    <x v="10"/>
    <x v="2"/>
    <n v="4"/>
    <n v="0"/>
    <s v="2024-11-30"/>
    <x v="4"/>
    <n v="761288"/>
    <n v="760866"/>
    <s v="2024-12-19"/>
    <x v="1"/>
    <n v="41.8"/>
    <s v="Hot"/>
    <s v="Token received, design finalised"/>
  </r>
  <r>
    <s v="LD1222"/>
    <s v="Smita Deshmukh"/>
    <n v="9294327188"/>
    <x v="0"/>
    <x v="8"/>
    <s v="Instagram Wardrobe Showcase"/>
    <x v="2"/>
    <s v="2024-11-26"/>
    <x v="10"/>
    <x v="10"/>
    <x v="2"/>
    <n v="4"/>
    <n v="1"/>
    <s v="2024-12-03"/>
    <x v="4"/>
    <n v="205759"/>
    <n v="181864"/>
    <s v="2024-12-10"/>
    <x v="1"/>
    <n v="24.6"/>
    <s v="Hot"/>
    <s v="Full payment cleared, delivery done"/>
  </r>
  <r>
    <s v="LD1223"/>
    <s v="Seema Jadhav"/>
    <n v="9965868694"/>
    <x v="3"/>
    <x v="8"/>
    <s v="Instagram Wardrobe Showcase"/>
    <x v="0"/>
    <s v="2024-11-26"/>
    <x v="10"/>
    <x v="10"/>
    <x v="2"/>
    <n v="4"/>
    <n v="10"/>
    <s v="2025-01-01"/>
    <x v="4"/>
    <n v="803231"/>
    <n v="710303"/>
    <s v="2025-01-17"/>
    <x v="2"/>
    <n v="5.8"/>
    <s v="Hot"/>
    <m/>
  </r>
  <r>
    <s v="LD1224"/>
    <s v="Devendra Shinde"/>
    <m/>
    <x v="3"/>
    <x v="8"/>
    <s v="Instagram Before-After Posts"/>
    <x v="4"/>
    <s v="2024-11-28"/>
    <x v="10"/>
    <x v="10"/>
    <x v="2"/>
    <n v="4"/>
    <n v="12"/>
    <s v="2025-01-18"/>
    <x v="0"/>
    <n v="176338"/>
    <m/>
    <m/>
    <x v="0"/>
    <n v="28.8"/>
    <s v="Cold"/>
    <s v="Instagram story enquiry, no contact details given"/>
  </r>
  <r>
    <s v="LD1225"/>
    <s v="Mahesh Nimbalkar"/>
    <n v="9926468012"/>
    <x v="2"/>
    <x v="2"/>
    <s v="Neighbour Referral"/>
    <x v="2"/>
    <s v="2024-11-28"/>
    <x v="10"/>
    <x v="10"/>
    <x v="2"/>
    <n v="4"/>
    <n v="4"/>
    <s v="2024-12-11"/>
    <x v="3"/>
    <n v="478210"/>
    <m/>
    <m/>
    <x v="3"/>
    <n v="29.3"/>
    <s v="Cold"/>
    <s v="Went with local carpenter"/>
  </r>
  <r>
    <s v="LD1226"/>
    <s v="Madhuri Gaikwad"/>
    <n v="9148009656"/>
    <x v="0"/>
    <x v="1"/>
    <s v="Justdial Free Listing — Inbound"/>
    <x v="4"/>
    <s v="2024-11-29"/>
    <x v="10"/>
    <x v="10"/>
    <x v="2"/>
    <n v="4"/>
    <n v="4"/>
    <s v="2025-01-02"/>
    <x v="1"/>
    <n v="272282"/>
    <m/>
    <m/>
    <x v="1"/>
    <n v="35.700000000000003"/>
    <s v="Warm"/>
    <s v="New flat, moving in after 2 months"/>
  </r>
  <r>
    <s v="LD1227"/>
    <s v="Santosh Zende"/>
    <n v="9852431231"/>
    <x v="2"/>
    <x v="2"/>
    <s v="Neighbour Referral"/>
    <x v="7"/>
    <s v="2024-11-30"/>
    <x v="10"/>
    <x v="10"/>
    <x v="2"/>
    <n v="4"/>
    <n v="5"/>
    <s v="2024-12-13"/>
    <x v="1"/>
    <n v="778697"/>
    <m/>
    <m/>
    <x v="3"/>
    <n v="47.1"/>
    <s v="Warm"/>
    <s v="Follow up after Akshaya Tritiya"/>
  </r>
  <r>
    <s v="LD1228"/>
    <s v="Nikhil Kale"/>
    <n v="9396839909"/>
    <x v="4"/>
    <x v="8"/>
    <s v="Instagram Gudi Padwa Special"/>
    <x v="6"/>
    <s v="2024-11-30"/>
    <x v="10"/>
    <x v="10"/>
    <x v="2"/>
    <n v="4"/>
    <n v="12"/>
    <s v="2025-02-05"/>
    <x v="4"/>
    <n v="148145"/>
    <n v="148031"/>
    <s v="2025-02-23"/>
    <x v="1"/>
    <n v="40.4"/>
    <s v="Hot"/>
    <s v="Deal done, site work ongoing"/>
  </r>
  <r>
    <s v="LD1229"/>
    <s v="Nanda Zende"/>
    <n v="9715478331"/>
    <x v="4"/>
    <x v="4"/>
    <s v="99acres New Project Enquiry — Inbound"/>
    <x v="3"/>
    <s v="2024-11-30"/>
    <x v="10"/>
    <x v="10"/>
    <x v="2"/>
    <n v="4"/>
    <n v="0"/>
    <s v="2024-12-07"/>
    <x v="0"/>
    <n v="83504"/>
    <m/>
    <m/>
    <x v="1"/>
    <n v="30.4"/>
    <s v="Warm"/>
    <s v="Budget mismatch - too low"/>
  </r>
  <r>
    <s v="LD1230"/>
    <s v="Sachin Salve"/>
    <n v="9835573274"/>
    <x v="0"/>
    <x v="6"/>
    <s v="Facebook Home Decor Ads"/>
    <x v="10"/>
    <s v="2024-11-30"/>
    <x v="10"/>
    <x v="10"/>
    <x v="2"/>
    <n v="4"/>
    <n v="0"/>
    <s v="2024-12-03"/>
    <x v="1"/>
    <n v="565368"/>
    <m/>
    <m/>
    <x v="1"/>
    <n v="17"/>
    <s v="Warm"/>
    <m/>
  </r>
  <r>
    <s v="LD1231"/>
    <s v="Nanda Phule"/>
    <n v="9516637565"/>
    <x v="4"/>
    <x v="7"/>
    <s v="Google My Business"/>
    <x v="10"/>
    <s v="2024-11-30"/>
    <x v="10"/>
    <x v="10"/>
    <x v="2"/>
    <n v="4"/>
    <n v="10"/>
    <s v="2025-01-20"/>
    <x v="3"/>
    <n v="200041"/>
    <m/>
    <m/>
    <x v="0"/>
    <n v="39.299999999999997"/>
    <s v="Warm"/>
    <s v="Follow up after Diwali"/>
  </r>
  <r>
    <s v="LD1232"/>
    <s v="Nilesh Bhalerao"/>
    <n v="9848056906"/>
    <x v="2"/>
    <x v="2"/>
    <s v="Neighbour Referral"/>
    <x v="5"/>
    <s v="2024-11-30"/>
    <x v="10"/>
    <x v="10"/>
    <x v="2"/>
    <n v="4"/>
    <n v="2"/>
    <s v="2024-12-17"/>
    <x v="1"/>
    <n v="153180"/>
    <m/>
    <m/>
    <x v="1"/>
    <n v="28.3"/>
    <s v="Warm"/>
    <s v="Under construction, possession in 3 months"/>
  </r>
  <r>
    <s v="LD1233"/>
    <s v="Ravi Patil"/>
    <n v="9753600959"/>
    <x v="2"/>
    <x v="2"/>
    <s v="Architect Referral"/>
    <x v="2"/>
    <s v="2024-11-30"/>
    <x v="10"/>
    <x v="10"/>
    <x v="2"/>
    <n v="4"/>
    <n v="8"/>
    <s v="2025-01-24"/>
    <x v="0"/>
    <n v="538453"/>
    <m/>
    <m/>
    <x v="0"/>
    <m/>
    <s v="Cold"/>
    <s v="Customer got work done from relative"/>
  </r>
  <r>
    <s v="LD1234"/>
    <s v="Seema Zende"/>
    <n v="9214571573"/>
    <x v="4"/>
    <x v="3"/>
    <s v="MagicBricks Enquiry — Inbound"/>
    <x v="8"/>
    <s v="2024-12-02"/>
    <x v="11"/>
    <x v="11"/>
    <x v="2"/>
    <n v="4"/>
    <n v="11"/>
    <s v="2025-02-01"/>
    <x v="4"/>
    <n v="622911"/>
    <n v="549028"/>
    <s v="2025-02-09"/>
    <x v="3"/>
    <n v="43.2"/>
    <s v="Hot"/>
    <s v="Work order signed, production started"/>
  </r>
  <r>
    <s v="LD1235"/>
    <s v="Rohit Mohite"/>
    <n v="9676034101"/>
    <x v="0"/>
    <x v="2"/>
    <s v="Architect Referral"/>
    <x v="12"/>
    <s v="2024-12-02"/>
    <x v="11"/>
    <x v="11"/>
    <x v="2"/>
    <n v="4"/>
    <n v="1"/>
    <s v="2024-12-16"/>
    <x v="0"/>
    <n v="1164503"/>
    <m/>
    <m/>
    <x v="1"/>
    <n v="8.4"/>
    <s v="Warm"/>
    <m/>
  </r>
  <r>
    <s v="LD1236"/>
    <s v="Archana Phule"/>
    <n v="9378800387"/>
    <x v="0"/>
    <x v="1"/>
    <s v="Justdial Sponsored — Inbound"/>
    <x v="0"/>
    <s v="2024-12-02"/>
    <x v="11"/>
    <x v="11"/>
    <x v="2"/>
    <n v="4"/>
    <n v="11"/>
    <s v="2025-01-06"/>
    <x v="4"/>
    <n v="322831"/>
    <n v="304003"/>
    <s v="2025-01-15"/>
    <x v="2"/>
    <n v="36.4"/>
    <s v="Hot"/>
    <s v="Work order signed, production started"/>
  </r>
  <r>
    <s v="LD1237"/>
    <s v="Ashwini Holkar"/>
    <n v="9279226001"/>
    <x v="0"/>
    <x v="6"/>
    <s v="Facebook Kitchen Showcase"/>
    <x v="7"/>
    <s v="2024-12-02"/>
    <x v="11"/>
    <x v="11"/>
    <x v="2"/>
    <n v="4"/>
    <n v="10"/>
    <s v="2025-01-20"/>
    <x v="2"/>
    <n v="654394"/>
    <m/>
    <m/>
    <x v="3"/>
    <n v="6.9"/>
    <s v="Cold"/>
    <s v="No response after 4 follow ups"/>
  </r>
  <r>
    <s v="LD1238"/>
    <s v="Rajesh Sonawane"/>
    <n v="9842095037"/>
    <x v="4"/>
    <x v="3"/>
    <s v="MagicBricks Property Enquiry — Inbound"/>
    <x v="11"/>
    <s v="2024-12-02"/>
    <x v="11"/>
    <x v="11"/>
    <x v="2"/>
    <n v="4"/>
    <n v="6"/>
    <s v="2025-01-13"/>
    <x v="3"/>
    <n v="294825"/>
    <m/>
    <m/>
    <x v="3"/>
    <n v="8.5"/>
    <s v="Hot"/>
    <s v="Final quote shared, awaiting approval"/>
  </r>
  <r>
    <s v="LD1239"/>
    <s v="Archana Yadav"/>
    <n v="9296579255"/>
    <x v="0"/>
    <x v="2"/>
    <s v="Architect Referral"/>
    <x v="4"/>
    <s v="2024-12-02"/>
    <x v="11"/>
    <x v="11"/>
    <x v="2"/>
    <n v="4"/>
    <n v="5"/>
    <s v="2024-12-16"/>
    <x v="1"/>
    <n v="194705"/>
    <m/>
    <m/>
    <x v="0"/>
    <n v="38.299999999999997"/>
    <s v="Warm"/>
    <s v="Follow up after Dussehra"/>
  </r>
  <r>
    <s v="LD1240"/>
    <s v="Smita Kulkarni"/>
    <n v="9888960839"/>
    <x v="2"/>
    <x v="3"/>
    <s v="MagicBricks Enquiry — Inbound"/>
    <x v="5"/>
    <s v="2024-12-02"/>
    <x v="11"/>
    <x v="11"/>
    <x v="2"/>
    <n v="4"/>
    <n v="5"/>
    <s v="2024-12-23"/>
    <x v="3"/>
    <n v="145259"/>
    <m/>
    <m/>
    <x v="1"/>
    <n v="38.799999999999997"/>
    <s v="Hot"/>
    <s v="Final quote shared, awaiting approval"/>
  </r>
  <r>
    <s v="LD1241"/>
    <s v="Varsha Kulkarni"/>
    <n v="9144758304"/>
    <x v="0"/>
    <x v="7"/>
    <s v="Google My Business"/>
    <x v="8"/>
    <s v="2024-12-03"/>
    <x v="11"/>
    <x v="11"/>
    <x v="2"/>
    <n v="4"/>
    <n v="2"/>
    <s v="2024-12-21"/>
    <x v="3"/>
    <n v="669827"/>
    <m/>
    <m/>
    <x v="1"/>
    <n v="25.5"/>
    <s v="Warm"/>
    <s v="Under construction, possession in 3 months"/>
  </r>
  <r>
    <s v="LD1242"/>
    <s v="Sunil Holkar"/>
    <n v="9214001826"/>
    <x v="1"/>
    <x v="2"/>
    <s v="Architect Referral"/>
    <x v="4"/>
    <s v="2024-12-03"/>
    <x v="11"/>
    <x v="11"/>
    <x v="2"/>
    <n v="4"/>
    <n v="4"/>
    <s v="2025-01-01"/>
    <x v="4"/>
    <n v="177432"/>
    <n v="179972"/>
    <s v="2025-01-21"/>
    <x v="3"/>
    <n v="29.6"/>
    <s v="Hot"/>
    <s v="Final payment received, project handed over"/>
  </r>
  <r>
    <s v="LD1243"/>
    <s v="Ravi Mane"/>
    <n v="9151593244"/>
    <x v="0"/>
    <x v="8"/>
    <s v="Instagram Story Ads"/>
    <x v="7"/>
    <s v="2024-12-04"/>
    <x v="11"/>
    <x v="11"/>
    <x v="2"/>
    <n v="4"/>
    <n v="0"/>
    <s v="2024-12-16"/>
    <x v="4"/>
    <n v="1107829"/>
    <n v="1085309"/>
    <s v="2024-12-19"/>
    <x v="2"/>
    <n v="44.3"/>
    <s v="Hot"/>
    <s v="Work order signed, production started"/>
  </r>
  <r>
    <s v="LD1244"/>
    <s v="Manisha Deshpande"/>
    <n v="9169503511"/>
    <x v="2"/>
    <x v="2"/>
    <s v="Architect Referral"/>
    <x v="0"/>
    <s v="2024-12-04"/>
    <x v="11"/>
    <x v="11"/>
    <x v="2"/>
    <n v="4"/>
    <n v="1"/>
    <s v="2024-12-16"/>
    <x v="1"/>
    <n v="792875"/>
    <m/>
    <m/>
    <x v="0"/>
    <n v="31.9"/>
    <s v="Hot"/>
    <s v="Measurement done, quote pending approval"/>
  </r>
  <r>
    <s v="LD1245"/>
    <s v="Vijay Suryawanshi"/>
    <m/>
    <x v="0"/>
    <x v="6"/>
    <s v="Facebook Home Decor Ads"/>
    <x v="4"/>
    <s v="2024-12-04"/>
    <x v="11"/>
    <x v="11"/>
    <x v="2"/>
    <n v="4"/>
    <n v="4"/>
    <s v="2024-12-20"/>
    <x v="0"/>
    <n v="207178"/>
    <m/>
    <m/>
    <x v="3"/>
    <n v="28.1"/>
    <s v="Cold"/>
    <s v="Facebook enquiry — no phone shared in form"/>
  </r>
  <r>
    <s v="LD1246"/>
    <s v="Meena Shinde"/>
    <n v="9336532420"/>
    <x v="3"/>
    <x v="8"/>
    <s v="Instagram Wardrobe Showcase"/>
    <x v="10"/>
    <s v="2024-12-05"/>
    <x v="11"/>
    <x v="11"/>
    <x v="2"/>
    <n v="4"/>
    <n v="12"/>
    <s v="2025-01-29"/>
    <x v="0"/>
    <n v="483376"/>
    <m/>
    <m/>
    <x v="1"/>
    <n v="43"/>
    <s v="Cold"/>
    <s v="Lost to competitor - cheaper quote"/>
  </r>
  <r>
    <s v="LD1247"/>
    <s v="Umesh Deshmukh"/>
    <n v="9361861195"/>
    <x v="0"/>
    <x v="8"/>
    <s v="Instagram Gudi Padwa Special"/>
    <x v="1"/>
    <s v="2024-12-05"/>
    <x v="11"/>
    <x v="11"/>
    <x v="2"/>
    <n v="4"/>
    <n v="1"/>
    <s v="2024-12-17"/>
    <x v="1"/>
    <n v="165708"/>
    <m/>
    <m/>
    <x v="1"/>
    <n v="33.6"/>
    <s v="Hot"/>
    <s v="Very interested, finalising design"/>
  </r>
  <r>
    <s v="LD1248"/>
    <s v="Santosh More"/>
    <n v="9826812702"/>
    <x v="3"/>
    <x v="7"/>
    <s v="Google My Business"/>
    <x v="7"/>
    <s v="2024-12-05"/>
    <x v="11"/>
    <x v="11"/>
    <x v="2"/>
    <n v="4"/>
    <n v="3"/>
    <s v="2024-12-31"/>
    <x v="3"/>
    <n v="995652"/>
    <m/>
    <m/>
    <x v="1"/>
    <n v="25.6"/>
    <s v="Warm"/>
    <s v="Call back after 1 month"/>
  </r>
  <r>
    <s v="LD1249"/>
    <s v="Ritu Deshmukh"/>
    <n v="9130441912"/>
    <x v="0"/>
    <x v="3"/>
    <s v="MagicBricks Property Enquiry — Inbound"/>
    <x v="7"/>
    <s v="2024-12-05"/>
    <x v="11"/>
    <x v="11"/>
    <x v="2"/>
    <n v="4"/>
    <n v="6"/>
    <s v="2025-01-21"/>
    <x v="0"/>
    <n v="1128667"/>
    <m/>
    <m/>
    <x v="2"/>
    <n v="13.6"/>
    <s v="Cold"/>
    <s v="Lost to branded competitor"/>
  </r>
  <r>
    <s v="LD1250"/>
    <s v="Rajesh Patil"/>
    <n v="9464959908"/>
    <x v="2"/>
    <x v="6"/>
    <s v="Facebook Gudi Padwa Offer"/>
    <x v="7"/>
    <s v="2024-12-06"/>
    <x v="11"/>
    <x v="11"/>
    <x v="2"/>
    <n v="4"/>
    <n v="3"/>
    <s v="2024-12-16"/>
    <x v="0"/>
    <n v="1181992"/>
    <m/>
    <m/>
    <x v="1"/>
    <n v="37.4"/>
    <s v="Cold"/>
    <m/>
  </r>
  <r>
    <s v="LD1251"/>
    <s v="Bharati Kulkarni"/>
    <n v="9522955609"/>
    <x v="0"/>
    <x v="7"/>
    <s v="Google Ads"/>
    <x v="9"/>
    <s v="2024-12-06"/>
    <x v="11"/>
    <x v="11"/>
    <x v="2"/>
    <n v="4"/>
    <n v="6"/>
    <s v="2024-12-26"/>
    <x v="1"/>
    <n v="375105"/>
    <m/>
    <m/>
    <x v="3"/>
    <n v="30.8"/>
    <s v="Warm"/>
    <s v="Call back after 1 month"/>
  </r>
  <r>
    <s v="LD1252"/>
    <s v="Rohit Raut"/>
    <n v="9721162257"/>
    <x v="2"/>
    <x v="5"/>
    <s v="Site Visit Walk-in"/>
    <x v="4"/>
    <s v="2024-12-07"/>
    <x v="11"/>
    <x v="11"/>
    <x v="2"/>
    <n v="4"/>
    <n v="3"/>
    <s v="2024-12-26"/>
    <x v="0"/>
    <n v="100049"/>
    <m/>
    <m/>
    <x v="1"/>
    <n v="8"/>
    <s v="Cold"/>
    <s v="No response, marked as lost after 60 days"/>
  </r>
  <r>
    <s v="LD1253"/>
    <s v="Sachin Kulkarni"/>
    <n v="9376303961"/>
    <x v="2"/>
    <x v="5"/>
    <s v="Exhibition Walk-in"/>
    <x v="7"/>
    <s v="2024-12-07"/>
    <x v="11"/>
    <x v="11"/>
    <x v="2"/>
    <n v="4"/>
    <n v="11"/>
    <s v="2025-02-17"/>
    <x v="0"/>
    <n v="925932"/>
    <m/>
    <m/>
    <x v="2"/>
    <n v="18.600000000000001"/>
    <s v="Cold"/>
    <s v="Budget mismatch - too low"/>
  </r>
  <r>
    <s v="LD1254"/>
    <s v="Sunanda Yadav"/>
    <m/>
    <x v="1"/>
    <x v="6"/>
    <s v="Facebook Diwali Offer"/>
    <x v="0"/>
    <s v="2024-12-09"/>
    <x v="11"/>
    <x v="11"/>
    <x v="2"/>
    <n v="4"/>
    <n v="0"/>
    <s v="2024-12-16"/>
    <x v="0"/>
    <n v="579620"/>
    <m/>
    <m/>
    <x v="3"/>
    <n v="25"/>
    <s v="Cold"/>
    <s v="Facebook lead — customer did not pick up on callback"/>
  </r>
  <r>
    <s v="LD1255"/>
    <s v="Mahesh Sawant"/>
    <n v="9927799366"/>
    <x v="2"/>
    <x v="2"/>
    <s v="Client Referral"/>
    <x v="0"/>
    <s v="2024-12-09"/>
    <x v="11"/>
    <x v="11"/>
    <x v="2"/>
    <n v="4"/>
    <n v="5"/>
    <s v="2025-01-14"/>
    <x v="0"/>
    <n v="624846"/>
    <m/>
    <m/>
    <x v="0"/>
    <n v="31.9"/>
    <s v="Cold"/>
    <s v="No response, marked as lost after 60 days"/>
  </r>
  <r>
    <s v="LD1256-DUP"/>
    <s v="Vijay Gaikwad"/>
    <n v="9221004954"/>
    <x v="0"/>
    <x v="8"/>
    <s v="Instagram Kitchen Reels"/>
    <x v="2"/>
    <s v="2024-12-10"/>
    <x v="11"/>
    <x v="11"/>
    <x v="2"/>
    <n v="4"/>
    <n v="5"/>
    <s v="2024-12-25"/>
    <x v="3"/>
    <n v="511124"/>
    <m/>
    <m/>
    <x v="0"/>
    <n v="30.4"/>
    <s v="Hot"/>
    <s v="Design presentation done, waiting for confirmation"/>
  </r>
  <r>
    <s v="LD1257"/>
    <s v="Seema Kulkarni"/>
    <n v="9192729088"/>
    <x v="2"/>
    <x v="2"/>
    <s v="Contractor Referral"/>
    <x v="6"/>
    <s v="2024-12-10"/>
    <x v="11"/>
    <x v="11"/>
    <x v="2"/>
    <n v="4"/>
    <n v="11"/>
    <s v="2025-02-17"/>
    <x v="4"/>
    <n v="293754"/>
    <n v="277433"/>
    <s v="2025-02-23"/>
    <x v="1"/>
    <n v="1.1000000000000001"/>
    <s v="Hot"/>
    <s v="Customer very satisfied, 5 star review given"/>
  </r>
  <r>
    <s v="LD1258"/>
    <s v="Vijay Gaikwad"/>
    <n v="9221004954"/>
    <x v="3"/>
    <x v="8"/>
    <s v="Instagram Kitchen Reels"/>
    <x v="2"/>
    <s v="2024-12-10"/>
    <x v="11"/>
    <x v="11"/>
    <x v="2"/>
    <n v="4"/>
    <n v="5"/>
    <s v="2024-12-25"/>
    <x v="3"/>
    <n v="407729"/>
    <m/>
    <m/>
    <x v="0"/>
    <n v="30.4"/>
    <s v="Hot"/>
    <s v="Design presentation done, waiting for confirmation"/>
  </r>
  <r>
    <s v="LD1259"/>
    <s v="Manisha Sawant"/>
    <n v="9333077596"/>
    <x v="1"/>
    <x v="2"/>
    <s v="Architect Referral"/>
    <x v="3"/>
    <s v="2024-12-11"/>
    <x v="11"/>
    <x v="11"/>
    <x v="2"/>
    <n v="4"/>
    <n v="3"/>
    <s v="2024-12-28"/>
    <x v="0"/>
    <n v="81438"/>
    <m/>
    <m/>
    <x v="3"/>
    <n v="3.7"/>
    <s v="Cold"/>
    <s v="Customer chose readymade furniture"/>
  </r>
  <r>
    <s v="LD1260"/>
    <s v="Pravin Shelke"/>
    <m/>
    <x v="4"/>
    <x v="8"/>
    <s v="Instagram Diwali Campaign"/>
    <x v="10"/>
    <s v="2024-12-11"/>
    <x v="11"/>
    <x v="11"/>
    <x v="2"/>
    <n v="4"/>
    <n v="10"/>
    <s v="2025-01-07"/>
    <x v="0"/>
    <n v="412832"/>
    <m/>
    <m/>
    <x v="3"/>
    <n v="20.7"/>
    <s v="Cold"/>
    <s v="Instagram story enquiry, no contact details given"/>
  </r>
  <r>
    <s v="LD1261"/>
    <s v="Arun Zende"/>
    <n v="9332727080"/>
    <x v="2"/>
    <x v="8"/>
    <s v="Instagram Gudi Padwa Special"/>
    <x v="0"/>
    <s v="2024-12-12"/>
    <x v="11"/>
    <x v="11"/>
    <x v="2"/>
    <n v="4"/>
    <n v="7"/>
    <s v="2025-01-24"/>
    <x v="4"/>
    <n v="696669"/>
    <n v="628702"/>
    <s v="2025-01-30"/>
    <x v="1"/>
    <n v="5.6"/>
    <s v="Hot"/>
    <s v="Deal done, site work ongoing"/>
  </r>
  <r>
    <s v="LD1262"/>
    <s v="Dinesh Gaikwad"/>
    <n v="9952848491"/>
    <x v="2"/>
    <x v="3"/>
    <s v="MagicBricks Property Enquiry — Inbound"/>
    <x v="0"/>
    <s v="2024-12-12"/>
    <x v="11"/>
    <x v="11"/>
    <x v="2"/>
    <n v="4"/>
    <n v="6"/>
    <s v="2025-01-08"/>
    <x v="1"/>
    <n v="573281"/>
    <m/>
    <m/>
    <x v="0"/>
    <n v="1.4"/>
    <s v="Warm"/>
    <s v="Wants more design options before deciding"/>
  </r>
  <r>
    <s v="LD1263"/>
    <s v="Vikas Jadhav"/>
    <n v="9814071368"/>
    <x v="2"/>
    <x v="2"/>
    <s v="Client Referral"/>
    <x v="10"/>
    <s v="2024-12-12"/>
    <x v="11"/>
    <x v="11"/>
    <x v="2"/>
    <n v="4"/>
    <n v="1"/>
    <s v="2024-12-28"/>
    <x v="0"/>
    <n v="294865"/>
    <m/>
    <m/>
    <x v="0"/>
    <n v="24.7"/>
    <s v="Cold"/>
    <s v="No response, marked as lost after 60 days"/>
  </r>
  <r>
    <s v="LD1264"/>
    <s v="Pramod Mane"/>
    <n v="9117263380"/>
    <x v="2"/>
    <x v="8"/>
    <s v="Instagram Wardrobe Showcase"/>
    <x v="1"/>
    <s v="2024-12-12"/>
    <x v="11"/>
    <x v="11"/>
    <x v="2"/>
    <n v="4"/>
    <n v="3"/>
    <s v="2024-12-28"/>
    <x v="1"/>
    <n v="194784"/>
    <m/>
    <m/>
    <x v="0"/>
    <n v="33"/>
    <s v="Warm"/>
    <s v="Wants more design options before deciding"/>
  </r>
  <r>
    <s v="LD1265"/>
    <s v="Manoj Deshpande"/>
    <n v="9755072728"/>
    <x v="3"/>
    <x v="2"/>
    <s v="Contractor Referral"/>
    <x v="6"/>
    <s v="2024-12-13"/>
    <x v="11"/>
    <x v="11"/>
    <x v="2"/>
    <n v="4"/>
    <n v="8"/>
    <s v="2025-02-05"/>
    <x v="4"/>
    <n v="248085"/>
    <n v="245970"/>
    <s v="2025-02-16"/>
    <x v="2"/>
    <n v="25.7"/>
    <s v="Hot"/>
    <s v="Customer very satisfied, 5 star review given"/>
  </r>
  <r>
    <s v="LD1266"/>
    <s v="Sachin Salve"/>
    <m/>
    <x v="2"/>
    <x v="8"/>
    <s v="Instagram Diwali Campaign"/>
    <x v="7"/>
    <s v="2024-12-13"/>
    <x v="11"/>
    <x v="11"/>
    <x v="2"/>
    <n v="4"/>
    <n v="8"/>
    <s v="2025-01-13"/>
    <x v="2"/>
    <n v="1338850"/>
    <m/>
    <m/>
    <x v="1"/>
    <n v="10.3"/>
    <s v="Cold"/>
    <s v="Customer messaged on Instagram, did not share contact"/>
  </r>
  <r>
    <s v="LD1267"/>
    <s v="Santosh Phule"/>
    <n v="9161902389"/>
    <x v="0"/>
    <x v="8"/>
    <s v="Instagram Gudi Padwa Special"/>
    <x v="3"/>
    <s v="2024-12-13"/>
    <x v="11"/>
    <x v="11"/>
    <x v="2"/>
    <n v="4"/>
    <n v="1"/>
    <s v="2024-12-30"/>
    <x v="3"/>
    <n v="75024"/>
    <m/>
    <m/>
    <x v="3"/>
    <n v="7.8"/>
    <s v="Warm"/>
    <s v="Customer interested, flat handover next month"/>
  </r>
  <r>
    <s v="LD1268"/>
    <s v="Ganesh Aware"/>
    <n v="9736203800"/>
    <x v="1"/>
    <x v="6"/>
    <s v="Facebook Gudi Padwa Offer"/>
    <x v="2"/>
    <s v="2024-12-13"/>
    <x v="11"/>
    <x v="11"/>
    <x v="2"/>
    <n v="4"/>
    <n v="3"/>
    <s v="2025-01-03"/>
    <x v="0"/>
    <n v="448060"/>
    <m/>
    <m/>
    <x v="1"/>
    <n v="33"/>
    <s v="Cold"/>
    <m/>
  </r>
  <r>
    <s v="LD1269"/>
    <s v="Meena More"/>
    <n v="9336942857"/>
    <x v="2"/>
    <x v="5"/>
    <s v="Showroom Walk-in"/>
    <x v="4"/>
    <s v="2024-12-14"/>
    <x v="11"/>
    <x v="11"/>
    <x v="2"/>
    <n v="4"/>
    <n v="2"/>
    <s v="2024-12-30"/>
    <x v="4"/>
    <n v="338207"/>
    <n v="323612"/>
    <s v="2025-01-17"/>
    <x v="1"/>
    <n v="28.5"/>
    <s v="Hot"/>
    <s v="Deal done, site work ongoing"/>
  </r>
  <r>
    <s v="LD1270"/>
    <s v="Bharati Kakade"/>
    <m/>
    <x v="2"/>
    <x v="6"/>
    <s v="Facebook Home Decor Ads"/>
    <x v="6"/>
    <s v="2024-12-16"/>
    <x v="11"/>
    <x v="11"/>
    <x v="2"/>
    <n v="4"/>
    <n v="1"/>
    <s v="2025-01-02"/>
    <x v="0"/>
    <n v="223254"/>
    <m/>
    <m/>
    <x v="2"/>
    <n v="42.2"/>
    <s v="Cold"/>
    <s v="Facebook lead — customer did not pick up on callback"/>
  </r>
  <r>
    <s v="LD1271"/>
    <s v="Sonal Deshpande"/>
    <n v="9460313580"/>
    <x v="0"/>
    <x v="8"/>
    <s v="Instagram Wardrobe Showcase"/>
    <x v="8"/>
    <s v="2024-12-16"/>
    <x v="11"/>
    <x v="11"/>
    <x v="2"/>
    <n v="4"/>
    <n v="11"/>
    <s v="2025-02-26"/>
    <x v="4"/>
    <n v="903023"/>
    <n v="810685"/>
    <s v="2025-03-02"/>
    <x v="3"/>
    <n v="29.4"/>
    <s v="Hot"/>
    <m/>
  </r>
  <r>
    <s v="LD1272"/>
    <s v="Kavita Phule"/>
    <n v="9524587460"/>
    <x v="1"/>
    <x v="1"/>
    <s v="Justdial Premium Listing — Inbound"/>
    <x v="6"/>
    <s v="2024-12-16"/>
    <x v="11"/>
    <x v="11"/>
    <x v="2"/>
    <n v="4"/>
    <n v="5"/>
    <s v="2025-01-06"/>
    <x v="4"/>
    <n v="113037"/>
    <n v="111993"/>
    <s v="2025-01-19"/>
    <x v="1"/>
    <n v="13.4"/>
    <s v="Hot"/>
    <s v="Token received, design finalised"/>
  </r>
  <r>
    <s v="LD1273"/>
    <s v="Seema Kshirsagar"/>
    <n v="9531348942"/>
    <x v="2"/>
    <x v="0"/>
    <s v="Colony Reference"/>
    <x v="11"/>
    <s v="2024-12-16"/>
    <x v="11"/>
    <x v="11"/>
    <x v="2"/>
    <n v="4"/>
    <n v="5"/>
    <s v="2025-01-11"/>
    <x v="3"/>
    <n v="211554"/>
    <m/>
    <m/>
    <x v="1"/>
    <n v="21"/>
    <s v="Hot"/>
    <s v="Very interested, finalising design"/>
  </r>
  <r>
    <s v="LD1274"/>
    <s v="Seema Pawar"/>
    <n v="9945527551"/>
    <x v="2"/>
    <x v="5"/>
    <s v="Showroom Walk-in"/>
    <x v="7"/>
    <s v="2024-12-16"/>
    <x v="11"/>
    <x v="11"/>
    <x v="2"/>
    <n v="4"/>
    <n v="3"/>
    <s v="2025-01-13"/>
    <x v="4"/>
    <n v="892548"/>
    <n v="812928"/>
    <s v="2025-01-24"/>
    <x v="2"/>
    <n v="3.2"/>
    <s v="Warm"/>
    <s v="Work order signed, production started"/>
  </r>
  <r>
    <s v="LD1275"/>
    <s v="Nikhil Shinde"/>
    <n v="9116833364"/>
    <x v="0"/>
    <x v="2"/>
    <s v="Client Referral"/>
    <x v="2"/>
    <s v="2024-12-16"/>
    <x v="11"/>
    <x v="11"/>
    <x v="2"/>
    <n v="4"/>
    <n v="6"/>
    <s v="2025-01-11"/>
    <x v="0"/>
    <n v="443665"/>
    <m/>
    <m/>
    <x v="1"/>
    <n v="8.6"/>
    <s v="Cold"/>
    <s v="Customer did not proceed with project"/>
  </r>
  <r>
    <s v="LD1276"/>
    <s v="Divya More"/>
    <n v="9760391005"/>
    <x v="0"/>
    <x v="4"/>
    <s v="99acres New Project Enquiry — Inbound"/>
    <x v="8"/>
    <s v="2024-12-16"/>
    <x v="11"/>
    <x v="11"/>
    <x v="2"/>
    <n v="4"/>
    <n v="1"/>
    <s v="2024-12-27"/>
    <x v="4"/>
    <n v="625644"/>
    <n v="587463"/>
    <s v="2025-01-04"/>
    <x v="1"/>
    <n v="30.5"/>
    <s v="Hot"/>
    <s v="Customer referred 2 more leads after delivery"/>
  </r>
  <r>
    <s v="LD1277"/>
    <s v="Mahesh Bhalerao"/>
    <n v="9111115679"/>
    <x v="2"/>
    <x v="8"/>
    <s v="Instagram Wardrobe Showcase"/>
    <x v="7"/>
    <s v="2024-12-17"/>
    <x v="11"/>
    <x v="11"/>
    <x v="2"/>
    <n v="4"/>
    <n v="5"/>
    <s v="2025-01-23"/>
    <x v="4"/>
    <n v="688608"/>
    <n v="704339"/>
    <s v="2025-01-31"/>
    <x v="1"/>
    <n v="30.1"/>
    <s v="Hot"/>
    <s v="Token paid, measurement done, work started"/>
  </r>
  <r>
    <s v="LD1278"/>
    <s v="Sonal Kshirsagar"/>
    <n v="9772230652"/>
    <x v="0"/>
    <x v="3"/>
    <s v="MagicBricks Property Enquiry — Inbound"/>
    <x v="9"/>
    <s v="2024-12-18"/>
    <x v="11"/>
    <x v="11"/>
    <x v="2"/>
    <n v="4"/>
    <n v="2"/>
    <s v="2024-12-30"/>
    <x v="0"/>
    <n v="369479"/>
    <m/>
    <m/>
    <x v="1"/>
    <n v="30.4"/>
    <s v="Cold"/>
    <s v="Customer did not proceed with project"/>
  </r>
  <r>
    <s v="LD1279"/>
    <s v="Deepak Bansode"/>
    <n v="9631346703"/>
    <x v="3"/>
    <x v="3"/>
    <s v="MagicBricks Property Enquiry — Inbound"/>
    <x v="5"/>
    <s v="2024-12-19"/>
    <x v="11"/>
    <x v="11"/>
    <x v="2"/>
    <n v="4"/>
    <n v="10"/>
    <s v="2025-01-25"/>
    <x v="4"/>
    <n v="63513"/>
    <n v="58744"/>
    <s v="2025-01-31"/>
    <x v="1"/>
    <n v="30.8"/>
    <s v="Hot"/>
    <m/>
  </r>
  <r>
    <s v="LD1280"/>
    <s v="Santosh Holkar"/>
    <n v="9938279315"/>
    <x v="4"/>
    <x v="6"/>
    <s v="Facebook Diwali Offer"/>
    <x v="1"/>
    <s v="2024-12-20"/>
    <x v="11"/>
    <x v="11"/>
    <x v="2"/>
    <n v="4"/>
    <n v="1"/>
    <s v="2025-01-06"/>
    <x v="4"/>
    <n v="285013"/>
    <n v="288269"/>
    <s v="2025-01-17"/>
    <x v="1"/>
    <n v="2.2000000000000002"/>
    <s v="Hot"/>
    <m/>
  </r>
  <r>
    <s v="LD1281"/>
    <s v="Rajesh Jadhav"/>
    <n v="9277366002"/>
    <x v="3"/>
    <x v="8"/>
    <s v="Instagram Diwali Campaign"/>
    <x v="4"/>
    <s v="2024-12-20"/>
    <x v="11"/>
    <x v="11"/>
    <x v="2"/>
    <n v="4"/>
    <n v="11"/>
    <s v="2025-01-16"/>
    <x v="4"/>
    <n v="365821"/>
    <n v="362163"/>
    <s v="2025-02-06"/>
    <x v="2"/>
    <n v="38.6"/>
    <s v="Hot"/>
    <s v="Token paid, measurement done, work started"/>
  </r>
  <r>
    <s v="LD1282"/>
    <s v="Deepak Shinde"/>
    <n v="9465960428"/>
    <x v="4"/>
    <x v="5"/>
    <s v="Exhibition Walk-in"/>
    <x v="2"/>
    <s v="2024-12-20"/>
    <x v="11"/>
    <x v="11"/>
    <x v="2"/>
    <n v="4"/>
    <n v="6"/>
    <s v="2025-01-25"/>
    <x v="1"/>
    <n v="162279"/>
    <m/>
    <m/>
    <x v="0"/>
    <n v="27"/>
    <s v="Warm"/>
    <m/>
  </r>
  <r>
    <s v="LD1283"/>
    <s v="Deepak Kadam"/>
    <n v="9439005882"/>
    <x v="4"/>
    <x v="0"/>
    <s v="Colony Reference"/>
    <x v="6"/>
    <s v="2024-12-23"/>
    <x v="11"/>
    <x v="11"/>
    <x v="2"/>
    <n v="4"/>
    <n v="9"/>
    <s v="2025-02-11"/>
    <x v="1"/>
    <n v="292597"/>
    <m/>
    <m/>
    <x v="0"/>
    <n v="43"/>
    <s v="Warm"/>
    <s v="Follow up after Akshaya Tritiya"/>
  </r>
  <r>
    <s v="LD1284"/>
    <s v="Prashant Yadav"/>
    <n v="9311667113"/>
    <x v="3"/>
    <x v="4"/>
    <s v="99acres New Project Enquiry — Inbound"/>
    <x v="13"/>
    <s v="2024-12-23"/>
    <x v="11"/>
    <x v="11"/>
    <x v="2"/>
    <n v="4"/>
    <n v="5"/>
    <s v="2025-01-06"/>
    <x v="4"/>
    <n v="1824516"/>
    <n v="1624777"/>
    <s v="2025-01-20"/>
    <x v="3"/>
    <n v="44.5"/>
    <s v="Hot"/>
    <m/>
  </r>
  <r>
    <s v="LD1285"/>
    <s v="Sunita Raut"/>
    <n v="9861110278"/>
    <x v="0"/>
    <x v="5"/>
    <s v="Showroom Walk-in"/>
    <x v="7"/>
    <s v="2024-12-23"/>
    <x v="11"/>
    <x v="11"/>
    <x v="2"/>
    <n v="4"/>
    <n v="0"/>
    <s v="2024-12-27"/>
    <x v="1"/>
    <n v="936310"/>
    <m/>
    <m/>
    <x v="2"/>
    <n v="4.9000000000000004"/>
    <s v="Warm"/>
    <m/>
  </r>
  <r>
    <s v="LD1286"/>
    <s v="Madhuri Bhosale"/>
    <n v="9585239484"/>
    <x v="1"/>
    <x v="7"/>
    <s v="Google My Business"/>
    <x v="7"/>
    <s v="2024-12-23"/>
    <x v="11"/>
    <x v="11"/>
    <x v="2"/>
    <n v="4"/>
    <n v="10"/>
    <s v="2025-02-10"/>
    <x v="4"/>
    <n v="836978"/>
    <n v="860105"/>
    <s v="2025-03-03"/>
    <x v="0"/>
    <n v="33.1"/>
    <s v="Hot"/>
    <s v="Final payment received, project handed over"/>
  </r>
  <r>
    <s v="LD1287"/>
    <s v="Nanda Bansode"/>
    <n v="9605658736"/>
    <x v="2"/>
    <x v="7"/>
    <s v="Google Ads"/>
    <x v="9"/>
    <s v="2024-12-23"/>
    <x v="11"/>
    <x v="11"/>
    <x v="2"/>
    <n v="4"/>
    <n v="5"/>
    <s v="2025-01-06"/>
    <x v="3"/>
    <n v="350336"/>
    <m/>
    <m/>
    <x v="3"/>
    <n v="20.8"/>
    <s v="Warm"/>
    <s v="Follow up after Gudi Padwa"/>
  </r>
  <r>
    <s v="LD1288"/>
    <s v="Sachin Phule"/>
    <n v="9250249575"/>
    <x v="0"/>
    <x v="8"/>
    <s v="Instagram Before-After Posts"/>
    <x v="12"/>
    <s v="2024-12-23"/>
    <x v="11"/>
    <x v="11"/>
    <x v="2"/>
    <n v="4"/>
    <n v="2"/>
    <s v="2025-01-01"/>
    <x v="4"/>
    <n v="1573502"/>
    <n v="1443165"/>
    <s v="2025-01-20"/>
    <x v="3"/>
    <n v="30.1"/>
    <s v="Hot"/>
    <s v="Work order signed, production started"/>
  </r>
  <r>
    <s v="LD1289"/>
    <s v="Meena Phule"/>
    <n v="9322281728"/>
    <x v="2"/>
    <x v="5"/>
    <s v="Exhibition Walk-in"/>
    <x v="9"/>
    <s v="2024-12-23"/>
    <x v="11"/>
    <x v="11"/>
    <x v="2"/>
    <n v="4"/>
    <n v="5"/>
    <s v="2025-01-13"/>
    <x v="3"/>
    <n v="185349"/>
    <m/>
    <m/>
    <x v="1"/>
    <n v="41.1"/>
    <s v="Warm"/>
    <s v="Follow up after flat possession"/>
  </r>
  <r>
    <s v="LD1290"/>
    <s v="Shweta Londhe"/>
    <m/>
    <x v="2"/>
    <x v="3"/>
    <s v="MagicBricks Property Enquiry — Inbound"/>
    <x v="10"/>
    <s v="2024-12-23"/>
    <x v="11"/>
    <x v="11"/>
    <x v="2"/>
    <n v="4"/>
    <n v="4"/>
    <s v="2025-01-04"/>
    <x v="0"/>
    <n v="596022"/>
    <m/>
    <m/>
    <x v="1"/>
    <n v="37.5"/>
    <s v="Cold"/>
    <s v="MagicBricks enquiry — number masked, customer did not unlock"/>
  </r>
  <r>
    <s v="LD1291"/>
    <s v="Pramod Deshmukh"/>
    <n v="9940289501"/>
    <x v="2"/>
    <x v="1"/>
    <s v="Justdial Premium Listing — Inbound"/>
    <x v="10"/>
    <s v="2024-12-23"/>
    <x v="11"/>
    <x v="11"/>
    <x v="2"/>
    <n v="4"/>
    <n v="9"/>
    <s v="2025-01-18"/>
    <x v="0"/>
    <n v="389021"/>
    <m/>
    <m/>
    <x v="2"/>
    <n v="7.5"/>
    <s v="Cold"/>
    <s v="Went with local vendor"/>
  </r>
  <r>
    <s v="LD1292"/>
    <s v="Sachin Holkar"/>
    <n v="9829497396"/>
    <x v="2"/>
    <x v="1"/>
    <s v="Justdial Sponsored — Inbound"/>
    <x v="11"/>
    <s v="2024-12-24"/>
    <x v="11"/>
    <x v="11"/>
    <x v="2"/>
    <n v="4"/>
    <n v="1"/>
    <s v="2025-01-11"/>
    <x v="0"/>
    <n v="174934"/>
    <m/>
    <m/>
    <x v="0"/>
    <n v="12.6"/>
    <s v="Cold"/>
    <s v="Project cancelled by customer"/>
  </r>
  <r>
    <s v="LD1293"/>
    <s v="Ravi Patil"/>
    <n v="9347648853"/>
    <x v="2"/>
    <x v="1"/>
    <s v="Justdial Free Listing — Inbound"/>
    <x v="8"/>
    <s v="2024-12-24"/>
    <x v="11"/>
    <x v="11"/>
    <x v="2"/>
    <n v="4"/>
    <n v="8"/>
    <s v="2025-01-13"/>
    <x v="0"/>
    <n v="565611"/>
    <m/>
    <m/>
    <x v="1"/>
    <n v="35.200000000000003"/>
    <s v="Cold"/>
    <s v="Budget mismatch - too low"/>
  </r>
  <r>
    <s v="LD1294"/>
    <s v="Sunita Patil"/>
    <n v="9105140193"/>
    <x v="4"/>
    <x v="7"/>
    <s v="SEO Organic"/>
    <x v="12"/>
    <s v="2024-12-25"/>
    <x v="11"/>
    <x v="11"/>
    <x v="2"/>
    <n v="4"/>
    <n v="5"/>
    <s v="2025-01-17"/>
    <x v="0"/>
    <n v="1075612"/>
    <m/>
    <m/>
    <x v="0"/>
    <n v="43.6"/>
    <s v="Cold"/>
    <s v="Project cancelled by customer"/>
  </r>
  <r>
    <s v="LD1295"/>
    <s v="Mahesh Bhosale"/>
    <n v="9409173063"/>
    <x v="3"/>
    <x v="2"/>
    <s v="Architect Referral"/>
    <x v="11"/>
    <s v="2024-12-25"/>
    <x v="11"/>
    <x v="11"/>
    <x v="2"/>
    <n v="4"/>
    <n v="12"/>
    <s v="2025-01-27"/>
    <x v="4"/>
    <n v="389668"/>
    <n v="373766"/>
    <s v="2025-02-07"/>
    <x v="3"/>
    <n v="23"/>
    <s v="Hot"/>
    <s v="Token paid, measurement done, work started"/>
  </r>
  <r>
    <s v="LD1296"/>
    <s v="Sunanda Naik"/>
    <n v="9977361720"/>
    <x v="2"/>
    <x v="6"/>
    <s v="Facebook Kitchen Showcase"/>
    <x v="7"/>
    <s v="2024-12-26"/>
    <x v="11"/>
    <x v="11"/>
    <x v="2"/>
    <n v="4"/>
    <n v="11"/>
    <s v="2025-03-01"/>
    <x v="4"/>
    <n v="1335011"/>
    <n v="1202154"/>
    <s v="2025-03-19"/>
    <x v="3"/>
    <n v="2.2999999999999998"/>
    <s v="Warm"/>
    <s v="Token paid, measurement done, work started"/>
  </r>
  <r>
    <s v="LD1297"/>
    <s v="Sachin Aware"/>
    <n v="9741789327"/>
    <x v="1"/>
    <x v="8"/>
    <s v="Instagram Wardrobe Showcase"/>
    <x v="7"/>
    <s v="2024-12-26"/>
    <x v="11"/>
    <x v="11"/>
    <x v="2"/>
    <n v="4"/>
    <n v="6"/>
    <s v="2025-01-27"/>
    <x v="4"/>
    <n v="939816"/>
    <n v="886694"/>
    <s v="2025-01-29"/>
    <x v="3"/>
    <n v="12"/>
    <s v="Hot"/>
    <s v="Customer referred 2 more leads after delivery"/>
  </r>
  <r>
    <s v="LD1298"/>
    <s v="Deepak Holkar"/>
    <n v="9921271622"/>
    <x v="0"/>
    <x v="7"/>
    <s v="Google Ads"/>
    <x v="10"/>
    <s v="2024-12-26"/>
    <x v="11"/>
    <x v="11"/>
    <x v="2"/>
    <n v="4"/>
    <n v="5"/>
    <s v="2025-01-17"/>
    <x v="0"/>
    <n v="503259"/>
    <m/>
    <m/>
    <x v="0"/>
    <n v="44.4"/>
    <s v="Cold"/>
    <s v="No response, marked as lost after 60 days"/>
  </r>
  <r>
    <s v="LD1299"/>
    <s v="Kavita Kulkarni"/>
    <n v="9720361126"/>
    <x v="0"/>
    <x v="2"/>
    <s v="Neighbour Referral"/>
    <x v="9"/>
    <s v="2024-12-27"/>
    <x v="11"/>
    <x v="11"/>
    <x v="2"/>
    <n v="4"/>
    <n v="4"/>
    <s v="2025-01-27"/>
    <x v="4"/>
    <n v="306974"/>
    <n v="271919"/>
    <s v="2025-02-11"/>
    <x v="1"/>
    <n v="25.9"/>
    <s v="Hot"/>
    <s v="Token paid, measurement done, work started"/>
  </r>
  <r>
    <s v="LD1300"/>
    <s v="Nikhil Mohite"/>
    <n v="9131345200"/>
    <x v="0"/>
    <x v="5"/>
    <s v="Exhibition Walk-in"/>
    <x v="12"/>
    <s v="2024-12-27"/>
    <x v="11"/>
    <x v="11"/>
    <x v="2"/>
    <n v="4"/>
    <n v="2"/>
    <s v="2025-01-07"/>
    <x v="1"/>
    <n v="904120"/>
    <m/>
    <m/>
    <x v="0"/>
    <n v="43.6"/>
    <s v="Warm"/>
    <s v="Customer interested, flat handover next month"/>
  </r>
  <r>
    <s v="LD1301"/>
    <s v="Rekha Bhosale"/>
    <n v="9654393971"/>
    <x v="0"/>
    <x v="2"/>
    <s v="Client Referral"/>
    <x v="3"/>
    <s v="2024-12-27"/>
    <x v="11"/>
    <x v="11"/>
    <x v="2"/>
    <n v="4"/>
    <n v="3"/>
    <s v="2025-01-03"/>
    <x v="4"/>
    <n v="158294"/>
    <n v="146234"/>
    <s v="2025-01-24"/>
    <x v="1"/>
    <n v="17.600000000000001"/>
    <s v="Hot"/>
    <s v="Work order signed, production started"/>
  </r>
  <r>
    <s v="LD1302"/>
    <s v="Rajesh Phule"/>
    <n v="9799530232"/>
    <x v="0"/>
    <x v="3"/>
    <s v="MagicBricks Property Enquiry — Inbound"/>
    <x v="8"/>
    <s v="2024-12-27"/>
    <x v="11"/>
    <x v="11"/>
    <x v="2"/>
    <n v="4"/>
    <n v="4"/>
    <s v="2025-01-20"/>
    <x v="3"/>
    <n v="842804"/>
    <m/>
    <m/>
    <x v="0"/>
    <n v="4.8"/>
    <s v="Warm"/>
    <m/>
  </r>
  <r>
    <s v="LD1303"/>
    <s v="Shweta Gaikwad"/>
    <n v="9875619335"/>
    <x v="2"/>
    <x v="3"/>
    <s v="MagicBricks Property Enquiry — Inbound"/>
    <x v="9"/>
    <s v="2024-12-28"/>
    <x v="11"/>
    <x v="11"/>
    <x v="2"/>
    <n v="4"/>
    <n v="0"/>
    <s v="2025-01-02"/>
    <x v="1"/>
    <n v="384797"/>
    <m/>
    <m/>
    <x v="1"/>
    <n v="19.8"/>
    <s v="Cold"/>
    <s v="Customer relocated"/>
  </r>
  <r>
    <s v="LD1304"/>
    <s v="Jyoti Naik"/>
    <n v="9392273188"/>
    <x v="2"/>
    <x v="5"/>
    <s v="Exhibition Walk-in"/>
    <x v="12"/>
    <s v="2024-12-30"/>
    <x v="11"/>
    <x v="11"/>
    <x v="2"/>
    <n v="4"/>
    <n v="0"/>
    <s v="2025-01-06"/>
    <x v="1"/>
    <n v="1271849"/>
    <m/>
    <m/>
    <x v="1"/>
    <n v="22.3"/>
    <s v="Warm"/>
    <s v="Customer interested, flat handover next month"/>
  </r>
  <r>
    <s v="LD1305"/>
    <s v="Bharati Deshmukh"/>
    <n v="9705510298"/>
    <x v="2"/>
    <x v="7"/>
    <s v="Google Ads"/>
    <x v="2"/>
    <s v="2024-12-30"/>
    <x v="11"/>
    <x v="11"/>
    <x v="2"/>
    <n v="4"/>
    <n v="2"/>
    <s v="2025-01-13"/>
    <x v="0"/>
    <n v="127129"/>
    <m/>
    <m/>
    <x v="0"/>
    <n v="3.4"/>
    <s v="Cold"/>
    <s v="Lost to branded competitor"/>
  </r>
  <r>
    <s v="LD1306"/>
    <s v="Rohit Holkar"/>
    <n v="9827842037"/>
    <x v="0"/>
    <x v="8"/>
    <s v="Instagram Story Ads"/>
    <x v="0"/>
    <s v="2024-12-30"/>
    <x v="11"/>
    <x v="11"/>
    <x v="2"/>
    <n v="4"/>
    <n v="12"/>
    <s v="2025-03-13"/>
    <x v="1"/>
    <n v="794016"/>
    <m/>
    <m/>
    <x v="1"/>
    <n v="5.4"/>
    <s v="Cold"/>
    <s v="Not interested anymore"/>
  </r>
  <r>
    <s v="LD1307"/>
    <s v="Pravin Londhe"/>
    <n v="9165745223"/>
    <x v="3"/>
    <x v="6"/>
    <s v="Facebook Gudi Padwa Offer"/>
    <x v="2"/>
    <s v="2024-12-30"/>
    <x v="11"/>
    <x v="11"/>
    <x v="2"/>
    <n v="4"/>
    <n v="10"/>
    <s v="2025-02-11"/>
    <x v="1"/>
    <n v="233409"/>
    <m/>
    <m/>
    <x v="1"/>
    <n v="13"/>
    <s v="Warm"/>
    <s v="Follow up after Dussehra"/>
  </r>
  <r>
    <s v="LD1308"/>
    <s v="Lata Aware"/>
    <n v="9906051348"/>
    <x v="2"/>
    <x v="2"/>
    <s v="Architect Referral"/>
    <x v="8"/>
    <s v="2024-12-31"/>
    <x v="11"/>
    <x v="11"/>
    <x v="2"/>
    <n v="4"/>
    <n v="10"/>
    <s v="2025-01-24"/>
    <x v="2"/>
    <n v="828316"/>
    <m/>
    <m/>
    <x v="1"/>
    <n v="41.4"/>
    <s v="Cold"/>
    <s v="Not interested anymore"/>
  </r>
  <r>
    <s v="LD1309"/>
    <s v="Pramod Patil"/>
    <n v="9618912026"/>
    <x v="0"/>
    <x v="6"/>
    <s v="Facebook Home Decor Ads"/>
    <x v="10"/>
    <s v="2025-01-01"/>
    <x v="0"/>
    <x v="0"/>
    <x v="3"/>
    <n v="1"/>
    <n v="1"/>
    <s v="2025-01-17"/>
    <x v="3"/>
    <n v="464366"/>
    <m/>
    <m/>
    <x v="0"/>
    <n v="20.5"/>
    <s v="Warm"/>
    <m/>
  </r>
  <r>
    <s v="LD1310"/>
    <s v="Sunanda Gavhane"/>
    <n v="9521350588"/>
    <x v="2"/>
    <x v="6"/>
    <s v="Facebook Home Decor Ads"/>
    <x v="5"/>
    <s v="2025-01-02"/>
    <x v="0"/>
    <x v="0"/>
    <x v="3"/>
    <n v="1"/>
    <n v="10"/>
    <s v="2025-02-18"/>
    <x v="3"/>
    <n v="295062"/>
    <m/>
    <m/>
    <x v="3"/>
    <n v="32"/>
    <s v="Warm"/>
    <s v="Interested but waiting for loan approval"/>
  </r>
  <r>
    <s v="LD1311"/>
    <s v="Sachin Gavhane"/>
    <n v="9484932777"/>
    <x v="4"/>
    <x v="4"/>
    <s v="99acres Flat Owner Enquiry — Inbound"/>
    <x v="4"/>
    <s v="2025-01-02"/>
    <x v="0"/>
    <x v="0"/>
    <x v="3"/>
    <n v="1"/>
    <m/>
    <s v="2025-01-13"/>
    <x v="3"/>
    <n v="323670"/>
    <m/>
    <m/>
    <x v="3"/>
    <n v="19.100000000000001"/>
    <s v="Hot"/>
    <s v="Customer comparing 1-2 vendors only"/>
  </r>
  <r>
    <s v="LD1312"/>
    <s v="Arun Shelke"/>
    <n v="9970184304"/>
    <x v="0"/>
    <x v="7"/>
    <s v="Google My Business"/>
    <x v="8"/>
    <s v="2025-01-02"/>
    <x v="0"/>
    <x v="0"/>
    <x v="3"/>
    <n v="1"/>
    <n v="1"/>
    <s v="2025-01-16"/>
    <x v="1"/>
    <n v="641530"/>
    <m/>
    <m/>
    <x v="0"/>
    <n v="14.6"/>
    <s v="Warm"/>
    <s v="Follow up after Dussehra"/>
  </r>
  <r>
    <s v="LD1313"/>
    <s v="Manisha Salve"/>
    <n v="9330818526"/>
    <x v="0"/>
    <x v="6"/>
    <s v="Facebook Home Decor Ads"/>
    <x v="3"/>
    <s v="2025-01-04"/>
    <x v="0"/>
    <x v="0"/>
    <x v="3"/>
    <n v="1"/>
    <n v="2"/>
    <s v="2025-01-14"/>
    <x v="4"/>
    <n v="164754"/>
    <n v="167471"/>
    <s v="2025-02-01"/>
    <x v="1"/>
    <n v="6"/>
    <s v="Hot"/>
    <s v="Deal done, site work ongoing"/>
  </r>
  <r>
    <s v="LD1314"/>
    <s v="Alka Jadhav"/>
    <m/>
    <x v="0"/>
    <x v="8"/>
    <s v="Instagram Gudi Padwa Special"/>
    <x v="12"/>
    <s v="2025-01-04"/>
    <x v="0"/>
    <x v="0"/>
    <x v="3"/>
    <n v="1"/>
    <n v="2"/>
    <s v="2025-01-30"/>
    <x v="0"/>
    <n v="1431979"/>
    <m/>
    <m/>
    <x v="2"/>
    <n v="26.4"/>
    <s v="Cold"/>
    <s v="Customer messaged on Instagram, did not share contact"/>
  </r>
  <r>
    <s v="LD1315"/>
    <s v="Sachin Chavan"/>
    <n v="9610960165"/>
    <x v="1"/>
    <x v="2"/>
    <s v="Architect Referral"/>
    <x v="9"/>
    <s v="2025-01-04"/>
    <x v="0"/>
    <x v="0"/>
    <x v="3"/>
    <n v="1"/>
    <n v="12"/>
    <s v="2025-03-17"/>
    <x v="4"/>
    <n v="415815"/>
    <n v="374882"/>
    <s v="2025-03-26"/>
    <x v="1"/>
    <n v="19.7"/>
    <s v="Hot"/>
    <s v="Final payment received, project handed over"/>
  </r>
  <r>
    <s v="LD1316"/>
    <s v="Varsha Thorat"/>
    <n v="9351994837"/>
    <x v="3"/>
    <x v="8"/>
    <s v="Instagram Gudi Padwa Special"/>
    <x v="3"/>
    <s v="2025-01-06"/>
    <x v="0"/>
    <x v="0"/>
    <x v="3"/>
    <n v="1"/>
    <n v="12"/>
    <s v="2025-03-24"/>
    <x v="4"/>
    <n v="256583"/>
    <n v="235856"/>
    <s v="2025-03-27"/>
    <x v="2"/>
    <n v="28.6"/>
    <s v="Hot"/>
    <s v="Customer referred 2 more leads after delivery"/>
  </r>
  <r>
    <s v="LD1317"/>
    <s v="Sunita Pawar"/>
    <n v="9409276438"/>
    <x v="0"/>
    <x v="8"/>
    <s v="Instagram Story Ads"/>
    <x v="0"/>
    <s v="2025-01-06"/>
    <x v="0"/>
    <x v="0"/>
    <x v="3"/>
    <n v="1"/>
    <n v="6"/>
    <s v="2025-01-23"/>
    <x v="1"/>
    <n v="546605"/>
    <m/>
    <m/>
    <x v="1"/>
    <n v="5.7"/>
    <s v="Warm"/>
    <s v="Follow up after Dussehra"/>
  </r>
  <r>
    <s v="LD1318"/>
    <s v="Amit Salve"/>
    <n v="9491304548"/>
    <x v="0"/>
    <x v="6"/>
    <s v="Facebook Diwali Offer"/>
    <x v="12"/>
    <s v="2025-01-07"/>
    <x v="0"/>
    <x v="0"/>
    <x v="3"/>
    <n v="1"/>
    <n v="6"/>
    <s v="2025-02-18"/>
    <x v="1"/>
    <n v="1319240"/>
    <m/>
    <m/>
    <x v="1"/>
    <n v="19.3"/>
    <s v="Hot"/>
    <s v="Sample seen at showroom, liked veneer finish"/>
  </r>
  <r>
    <s v="LD1319"/>
    <s v="Madhuri Patil"/>
    <m/>
    <x v="0"/>
    <x v="4"/>
    <s v="99acres Flat Owner Enquiry — Inbound"/>
    <x v="3"/>
    <s v="2025-01-07"/>
    <x v="0"/>
    <x v="0"/>
    <x v="3"/>
    <n v="1"/>
    <n v="1"/>
    <s v="2025-01-18"/>
    <x v="2"/>
    <n v="189108"/>
    <m/>
    <m/>
    <x v="1"/>
    <n v="31.3"/>
    <s v="Warm"/>
    <s v="99acres portal lead — customer did not share direct contact"/>
  </r>
  <r>
    <s v="LD1320"/>
    <s v="Divya Holkar"/>
    <n v="9399082069"/>
    <x v="3"/>
    <x v="5"/>
    <s v="Exhibition Walk-in"/>
    <x v="5"/>
    <s v="2025-01-07"/>
    <x v="0"/>
    <x v="0"/>
    <x v="3"/>
    <n v="1"/>
    <n v="7"/>
    <s v="2025-02-19"/>
    <x v="4"/>
    <n v="266800"/>
    <n v="258046"/>
    <s v="2025-03-08"/>
    <x v="1"/>
    <n v="26.3"/>
    <s v="Hot"/>
    <s v="Customer happy with sample, deal closed"/>
  </r>
  <r>
    <s v="LD1321"/>
    <s v="Sunanda Sawant"/>
    <m/>
    <x v="0"/>
    <x v="7"/>
    <s v="Google My Business"/>
    <x v="7"/>
    <s v="2025-01-08"/>
    <x v="0"/>
    <x v="0"/>
    <x v="3"/>
    <n v="1"/>
    <n v="3"/>
    <s v="2025-02-01"/>
    <x v="0"/>
    <n v="748080"/>
    <m/>
    <m/>
    <x v="1"/>
    <n v="20.7"/>
    <s v="Cold"/>
    <s v="Website form — phone field skipped by customer"/>
  </r>
  <r>
    <s v="LD1322"/>
    <s v="Pravin Gaikwad"/>
    <n v="9422023734"/>
    <x v="0"/>
    <x v="2"/>
    <s v="Contractor Referral"/>
    <x v="2"/>
    <s v="2025-01-08"/>
    <x v="0"/>
    <x v="0"/>
    <x v="3"/>
    <n v="1"/>
    <n v="4"/>
    <s v="2025-01-30"/>
    <x v="1"/>
    <n v="191656"/>
    <m/>
    <m/>
    <x v="0"/>
    <n v="6.8"/>
    <s v="Warm"/>
    <s v="Call back after 1 month"/>
  </r>
  <r>
    <s v="LD1323"/>
    <s v="Sunanda Mane"/>
    <n v="9716186261"/>
    <x v="3"/>
    <x v="2"/>
    <s v="Contractor Referral"/>
    <x v="2"/>
    <s v="2025-01-08"/>
    <x v="0"/>
    <x v="0"/>
    <x v="3"/>
    <n v="1"/>
    <n v="1"/>
    <s v="2025-01-27"/>
    <x v="3"/>
    <n v="350316"/>
    <m/>
    <m/>
    <x v="3"/>
    <m/>
    <s v="Warm"/>
    <s v="New flat, moving in after 2 months"/>
  </r>
  <r>
    <s v="LD1324"/>
    <s v="Sonal Bansode"/>
    <n v="9498126059"/>
    <x v="0"/>
    <x v="2"/>
    <s v="Contractor Referral"/>
    <x v="12"/>
    <s v="2025-01-09"/>
    <x v="0"/>
    <x v="0"/>
    <x v="3"/>
    <n v="1"/>
    <n v="3"/>
    <s v="2025-01-20"/>
    <x v="4"/>
    <n v="1117456"/>
    <n v="1018982"/>
    <s v="2025-02-08"/>
    <x v="1"/>
    <n v="13.9"/>
    <s v="Hot"/>
    <s v="Full payment cleared, delivery done"/>
  </r>
  <r>
    <s v="LD1325"/>
    <s v="Santosh Shinde"/>
    <n v="9442890573"/>
    <x v="2"/>
    <x v="6"/>
    <s v="Facebook Gudi Padwa Offer"/>
    <x v="10"/>
    <s v="2025-01-09"/>
    <x v="0"/>
    <x v="0"/>
    <x v="3"/>
    <n v="1"/>
    <n v="4"/>
    <s v="2025-01-21"/>
    <x v="1"/>
    <n v="318047"/>
    <m/>
    <m/>
    <x v="2"/>
    <n v="21.4"/>
    <s v="Warm"/>
    <s v="Follow up after flat possession"/>
  </r>
  <r>
    <s v="LD1326"/>
    <s v="Rekha Kale"/>
    <n v="9785883028"/>
    <x v="1"/>
    <x v="7"/>
    <s v="SEO Organic"/>
    <x v="0"/>
    <s v="2025-01-09"/>
    <x v="0"/>
    <x v="0"/>
    <x v="3"/>
    <n v="1"/>
    <n v="4"/>
    <s v="2025-01-27"/>
    <x v="3"/>
    <n v="633461"/>
    <m/>
    <m/>
    <x v="2"/>
    <n v="8.6999999999999993"/>
    <s v="Warm"/>
    <s v="Customer interested, flat handover next month"/>
  </r>
  <r>
    <s v="LD1327"/>
    <s v="Alka Kulkarni"/>
    <n v="9221420441"/>
    <x v="3"/>
    <x v="5"/>
    <s v="Exhibition Walk-in"/>
    <x v="2"/>
    <s v="2025-01-09"/>
    <x v="0"/>
    <x v="0"/>
    <x v="3"/>
    <n v="1"/>
    <n v="2"/>
    <s v="2025-01-27"/>
    <x v="3"/>
    <n v="339468"/>
    <m/>
    <m/>
    <x v="0"/>
    <n v="26.4"/>
    <s v="Cold"/>
    <s v="Not responding to calls"/>
  </r>
  <r>
    <s v="LD1328"/>
    <s v="Manoj Phule"/>
    <n v="9398985184"/>
    <x v="4"/>
    <x v="0"/>
    <s v="Family Reference"/>
    <x v="8"/>
    <s v="2025-01-10"/>
    <x v="0"/>
    <x v="0"/>
    <x v="3"/>
    <n v="1"/>
    <n v="9"/>
    <s v="2025-03-08"/>
    <x v="0"/>
    <n v="583239"/>
    <m/>
    <m/>
    <x v="1"/>
    <n v="31.3"/>
    <s v="Cold"/>
    <s v="Customer did not proceed with project"/>
  </r>
  <r>
    <s v="LD1329"/>
    <s v="Mahesh Bansode"/>
    <n v="9207168313"/>
    <x v="0"/>
    <x v="8"/>
    <s v="Instagram Story Ads"/>
    <x v="7"/>
    <s v="2025-01-11"/>
    <x v="0"/>
    <x v="0"/>
    <x v="3"/>
    <n v="1"/>
    <n v="4"/>
    <s v="2025-01-21"/>
    <x v="4"/>
    <n v="831027"/>
    <n v="745546"/>
    <s v="2025-02-06"/>
    <x v="0"/>
    <n v="2.6"/>
    <s v="Hot"/>
    <s v="Work order signed, production started"/>
  </r>
  <r>
    <s v="LD1330"/>
    <s v="Sachin Patil"/>
    <n v="9383782986"/>
    <x v="0"/>
    <x v="8"/>
    <s v="Instagram Gudi Padwa Special"/>
    <x v="0"/>
    <s v="2025-01-11"/>
    <x v="0"/>
    <x v="0"/>
    <x v="3"/>
    <n v="1"/>
    <n v="5"/>
    <s v="2025-02-03"/>
    <x v="0"/>
    <n v="602731"/>
    <m/>
    <m/>
    <x v="2"/>
    <n v="34.200000000000003"/>
    <s v="Cold"/>
    <s v="Lost to competitor - cheaper quote"/>
  </r>
  <r>
    <s v="LD1331"/>
    <s v="Rajesh Kale"/>
    <n v="9614971107"/>
    <x v="2"/>
    <x v="1"/>
    <s v="Justdial Premium Listing — Inbound"/>
    <x v="6"/>
    <s v="2025-01-11"/>
    <x v="0"/>
    <x v="0"/>
    <x v="3"/>
    <n v="1"/>
    <n v="10"/>
    <s v="2025-03-10"/>
    <x v="4"/>
    <n v="144112"/>
    <n v="127942"/>
    <s v="2025-03-31"/>
    <x v="3"/>
    <n v="27.4"/>
    <s v="Hot"/>
    <s v="Customer happy with sample, deal closed"/>
  </r>
  <r>
    <s v="LD1332"/>
    <s v="Rohit Kadam"/>
    <n v="9297313013"/>
    <x v="3"/>
    <x v="2"/>
    <s v="Neighbour Referral"/>
    <x v="6"/>
    <s v="2025-01-11"/>
    <x v="0"/>
    <x v="0"/>
    <x v="3"/>
    <n v="1"/>
    <n v="1"/>
    <s v="2025-01-27"/>
    <x v="1"/>
    <n v="327150"/>
    <m/>
    <m/>
    <x v="2"/>
    <n v="35.6"/>
    <s v="Hot"/>
    <s v="Customer visited showroom twice, very interested"/>
  </r>
  <r>
    <s v="LD1333"/>
    <s v="Vijay Holkar"/>
    <n v="9752126276"/>
    <x v="3"/>
    <x v="8"/>
    <s v="Instagram Gudi Padwa Special"/>
    <x v="11"/>
    <s v="2025-01-11"/>
    <x v="0"/>
    <x v="0"/>
    <x v="3"/>
    <n v="1"/>
    <n v="2"/>
    <s v="2025-01-21"/>
    <x v="4"/>
    <n v="246869"/>
    <n v="220918"/>
    <s v="2025-01-28"/>
    <x v="2"/>
    <n v="31.6"/>
    <s v="Hot"/>
    <s v="Customer very satisfied, 5 star review given"/>
  </r>
  <r>
    <s v="LD1334"/>
    <s v="Sunita Sonawane"/>
    <n v="9997031076"/>
    <x v="1"/>
    <x v="8"/>
    <s v="Instagram Wardrobe Showcase"/>
    <x v="11"/>
    <s v="2025-01-11"/>
    <x v="0"/>
    <x v="0"/>
    <x v="3"/>
    <n v="1"/>
    <n v="6"/>
    <s v="2025-01-28"/>
    <x v="0"/>
    <n v="433405"/>
    <m/>
    <m/>
    <x v="3"/>
    <n v="5.0999999999999996"/>
    <s v="Cold"/>
    <s v="Lost to competitor - cheaper quote"/>
  </r>
  <r>
    <s v="LD1335"/>
    <s v="Rekha Kale"/>
    <n v="9134608333"/>
    <x v="0"/>
    <x v="2"/>
    <s v="Architect Referral"/>
    <x v="6"/>
    <s v="2025-01-11"/>
    <x v="0"/>
    <x v="0"/>
    <x v="3"/>
    <n v="1"/>
    <n v="3"/>
    <s v="2025-01-20"/>
    <x v="1"/>
    <n v="261199"/>
    <m/>
    <m/>
    <x v="3"/>
    <n v="2.4"/>
    <s v="Hot"/>
    <s v="Customer visited showroom twice, very interested"/>
  </r>
  <r>
    <s v="LD1336"/>
    <s v="Prashant Gaikwad"/>
    <n v="9601929317"/>
    <x v="2"/>
    <x v="6"/>
    <s v="Facebook Home Decor Ads"/>
    <x v="4"/>
    <s v="2025-01-11"/>
    <x v="0"/>
    <x v="0"/>
    <x v="3"/>
    <n v="1"/>
    <n v="9"/>
    <s v="2025-03-19"/>
    <x v="1"/>
    <n v="161314"/>
    <m/>
    <m/>
    <x v="0"/>
    <n v="7.3"/>
    <s v="Warm"/>
    <s v="Under construction, possession in 3 months"/>
  </r>
  <r>
    <s v="LD1337"/>
    <s v="Amit Suryawanshi"/>
    <n v="9570652648"/>
    <x v="3"/>
    <x v="8"/>
    <s v="Instagram Wardrobe Showcase"/>
    <x v="14"/>
    <s v="2025-01-13"/>
    <x v="0"/>
    <x v="0"/>
    <x v="3"/>
    <n v="1"/>
    <n v="7"/>
    <s v="2025-02-18"/>
    <x v="4"/>
    <n v="2118229"/>
    <n v="1904658"/>
    <s v="2025-03-11"/>
    <x v="0"/>
    <n v="4.0999999999999996"/>
    <s v="Warm"/>
    <s v="Deal closed, advance received"/>
  </r>
  <r>
    <s v="LD1338"/>
    <s v="Manisha Gavhane"/>
    <n v="9625016111"/>
    <x v="2"/>
    <x v="2"/>
    <s v="Neighbour Referral"/>
    <x v="4"/>
    <s v="2025-01-13"/>
    <x v="0"/>
    <x v="0"/>
    <x v="3"/>
    <n v="1"/>
    <n v="5"/>
    <s v="2025-02-17"/>
    <x v="1"/>
    <n v="402594"/>
    <m/>
    <m/>
    <x v="1"/>
    <n v="33.700000000000003"/>
    <s v="Cold"/>
    <s v="Budget too low for our range"/>
  </r>
  <r>
    <s v="LD1339"/>
    <s v="Amit Sonawane"/>
    <n v="9368620831"/>
    <x v="2"/>
    <x v="2"/>
    <s v="Neighbour Referral"/>
    <x v="9"/>
    <s v="2025-01-13"/>
    <x v="0"/>
    <x v="0"/>
    <x v="3"/>
    <n v="1"/>
    <n v="9"/>
    <s v="2025-03-17"/>
    <x v="0"/>
    <n v="198354"/>
    <m/>
    <m/>
    <x v="1"/>
    <n v="12"/>
    <s v="Cold"/>
    <s v="Lost to competitor - cheaper quote"/>
  </r>
  <r>
    <s v="LD1340"/>
    <s v="Sunanda Naik"/>
    <m/>
    <x v="0"/>
    <x v="8"/>
    <s v="Instagram Story Ads"/>
    <x v="5"/>
    <s v="2025-01-13"/>
    <x v="0"/>
    <x v="0"/>
    <x v="3"/>
    <n v="1"/>
    <n v="11"/>
    <s v="2025-03-11"/>
    <x v="2"/>
    <n v="193524"/>
    <m/>
    <m/>
    <x v="3"/>
    <n v="24.4"/>
    <s v="Cold"/>
    <s v="Instagram story enquiry, no contact details given"/>
  </r>
  <r>
    <s v="LD1341"/>
    <s v="Vijay Gaikwad"/>
    <n v="9387036404"/>
    <x v="3"/>
    <x v="6"/>
    <s v="Facebook Gudi Padwa Offer"/>
    <x v="13"/>
    <s v="2025-01-13"/>
    <x v="0"/>
    <x v="0"/>
    <x v="3"/>
    <n v="1"/>
    <n v="9"/>
    <s v="2025-02-10"/>
    <x v="4"/>
    <n v="1939585"/>
    <n v="1916937"/>
    <s v="2025-02-24"/>
    <x v="0"/>
    <n v="1.1000000000000001"/>
    <s v="Hot"/>
    <s v="Customer very satisfied, 5 star review given"/>
  </r>
  <r>
    <s v="LD1342"/>
    <s v="Prashant Thorat"/>
    <n v="9890340597"/>
    <x v="4"/>
    <x v="7"/>
    <s v="Google My Business"/>
    <x v="2"/>
    <s v="2025-01-13"/>
    <x v="0"/>
    <x v="0"/>
    <x v="3"/>
    <n v="1"/>
    <n v="12"/>
    <s v="2025-02-18"/>
    <x v="0"/>
    <n v="324453"/>
    <m/>
    <m/>
    <x v="3"/>
    <n v="32.799999999999997"/>
    <s v="Cold"/>
    <s v="Customer chose readymade furniture"/>
  </r>
  <r>
    <s v="LD1343"/>
    <s v="Kiran Deshpande"/>
    <n v="9567777330"/>
    <x v="4"/>
    <x v="0"/>
    <s v="Family Reference"/>
    <x v="4"/>
    <s v="2025-01-14"/>
    <x v="0"/>
    <x v="0"/>
    <x v="3"/>
    <n v="1"/>
    <n v="0"/>
    <s v="2025-01-23"/>
    <x v="4"/>
    <n v="112701"/>
    <n v="108630"/>
    <s v="2025-01-27"/>
    <x v="3"/>
    <n v="2"/>
    <s v="Warm"/>
    <s v="Customer happy with sample, deal closed"/>
  </r>
  <r>
    <s v="LD1344"/>
    <s v="Manoj Chavan"/>
    <n v="9968596953"/>
    <x v="4"/>
    <x v="0"/>
    <s v="Friend Reference"/>
    <x v="1"/>
    <s v="2025-01-14"/>
    <x v="0"/>
    <x v="0"/>
    <x v="3"/>
    <n v="1"/>
    <n v="6"/>
    <s v="2025-02-14"/>
    <x v="1"/>
    <n v="107010"/>
    <m/>
    <m/>
    <x v="3"/>
    <n v="16.100000000000001"/>
    <s v="Warm"/>
    <m/>
  </r>
  <r>
    <s v="LD1345"/>
    <s v="Prashant Zende"/>
    <n v="9491062442"/>
    <x v="1"/>
    <x v="6"/>
    <s v="Facebook Home Decor Ads"/>
    <x v="14"/>
    <s v="2025-01-14"/>
    <x v="0"/>
    <x v="0"/>
    <x v="3"/>
    <n v="1"/>
    <n v="10"/>
    <s v="2025-02-06"/>
    <x v="2"/>
    <n v="1978257"/>
    <m/>
    <m/>
    <x v="3"/>
    <n v="27.8"/>
    <s v="Cold"/>
    <s v="Duplicate enquiry"/>
  </r>
  <r>
    <s v="LD1346"/>
    <s v="Nilesh Bhosale"/>
    <n v="9305486907"/>
    <x v="4"/>
    <x v="3"/>
    <s v="MagicBricks Enquiry — Inbound"/>
    <x v="12"/>
    <s v="2025-01-15"/>
    <x v="0"/>
    <x v="0"/>
    <x v="3"/>
    <n v="1"/>
    <n v="8"/>
    <s v="2025-02-24"/>
    <x v="4"/>
    <n v="1695341"/>
    <n v="1639765"/>
    <s v="2025-03-17"/>
    <x v="3"/>
    <n v="32.9"/>
    <s v="Hot"/>
    <s v="Full payment cleared, delivery done"/>
  </r>
  <r>
    <s v="LD1347"/>
    <s v="Sonal Salve"/>
    <n v="9633810819"/>
    <x v="3"/>
    <x v="8"/>
    <s v="Instagram Diwali Campaign"/>
    <x v="13"/>
    <s v="2025-01-15"/>
    <x v="0"/>
    <x v="0"/>
    <x v="3"/>
    <n v="1"/>
    <n v="5"/>
    <s v="2025-02-14"/>
    <x v="0"/>
    <n v="1599446"/>
    <m/>
    <m/>
    <x v="0"/>
    <n v="5.0999999999999996"/>
    <s v="Cold"/>
    <s v="Went with local vendor"/>
  </r>
  <r>
    <s v="LD1348"/>
    <s v="Manisha Londhe"/>
    <n v="9255028146"/>
    <x v="0"/>
    <x v="8"/>
    <s v="Instagram Story Ads"/>
    <x v="7"/>
    <s v="2025-01-16"/>
    <x v="0"/>
    <x v="0"/>
    <x v="3"/>
    <n v="1"/>
    <m/>
    <s v="2025-02-07"/>
    <x v="0"/>
    <n v="1246599"/>
    <m/>
    <m/>
    <x v="2"/>
    <n v="15.5"/>
    <s v="Warm"/>
    <s v="Customer got work done from relative"/>
  </r>
  <r>
    <s v="LD1349"/>
    <s v="Lata Sonawane"/>
    <n v="9628956575"/>
    <x v="0"/>
    <x v="1"/>
    <s v="Justdial Premium Listing — Inbound"/>
    <x v="7"/>
    <s v="2025-01-16"/>
    <x v="0"/>
    <x v="0"/>
    <x v="3"/>
    <n v="1"/>
    <n v="3"/>
    <s v="2025-02-06"/>
    <x v="0"/>
    <n v="1488564"/>
    <m/>
    <m/>
    <x v="1"/>
    <m/>
    <s v="Cold"/>
    <s v="Customer got work done from relative"/>
  </r>
  <r>
    <s v="LD1350"/>
    <s v="Sanjay Suryawanshi"/>
    <n v="9881102503"/>
    <x v="0"/>
    <x v="0"/>
    <s v="Colony Reference"/>
    <x v="2"/>
    <s v="2025-01-16"/>
    <x v="0"/>
    <x v="0"/>
    <x v="3"/>
    <n v="1"/>
    <n v="12"/>
    <s v="2025-03-01"/>
    <x v="0"/>
    <n v="555818"/>
    <m/>
    <m/>
    <x v="0"/>
    <n v="15.9"/>
    <s v="Warm"/>
    <s v="Budget mismatch - too low"/>
  </r>
  <r>
    <s v="LD1351"/>
    <s v="Pravin Gavhane"/>
    <n v="9567010400"/>
    <x v="3"/>
    <x v="6"/>
    <s v="Facebook Home Decor Ads"/>
    <x v="0"/>
    <s v="2025-01-17"/>
    <x v="0"/>
    <x v="0"/>
    <x v="3"/>
    <n v="1"/>
    <n v="11"/>
    <s v="2025-02-24"/>
    <x v="0"/>
    <n v="633071"/>
    <m/>
    <m/>
    <x v="1"/>
    <n v="6.9"/>
    <s v="Cold"/>
    <s v="Project cancelled by customer"/>
  </r>
  <r>
    <s v="LD1352"/>
    <s v="Nilesh Deshpande"/>
    <n v="9480256642"/>
    <x v="4"/>
    <x v="8"/>
    <s v="Instagram Wardrobe Showcase"/>
    <x v="8"/>
    <s v="2025-01-18"/>
    <x v="0"/>
    <x v="0"/>
    <x v="3"/>
    <n v="1"/>
    <n v="4"/>
    <s v="2025-02-24"/>
    <x v="0"/>
    <n v="487802"/>
    <m/>
    <m/>
    <x v="3"/>
    <n v="24.8"/>
    <s v="Cold"/>
    <s v="Customer got work done from relative"/>
  </r>
  <r>
    <s v="LD1353"/>
    <s v="Rajesh Shelke"/>
    <n v="9522885914"/>
    <x v="1"/>
    <x v="2"/>
    <s v="Contractor Referral"/>
    <x v="10"/>
    <s v="2025-01-18"/>
    <x v="0"/>
    <x v="0"/>
    <x v="3"/>
    <n v="1"/>
    <n v="11"/>
    <s v="2025-02-25"/>
    <x v="3"/>
    <n v="292177"/>
    <m/>
    <m/>
    <x v="1"/>
    <n v="29.6"/>
    <s v="Warm"/>
    <s v="Interested but waiting for loan approval"/>
  </r>
  <r>
    <s v="LD1354"/>
    <s v="Bharati Aware"/>
    <n v="9211521396"/>
    <x v="0"/>
    <x v="2"/>
    <s v="Client Referral"/>
    <x v="5"/>
    <s v="2025-01-20"/>
    <x v="0"/>
    <x v="0"/>
    <x v="3"/>
    <n v="1"/>
    <n v="7"/>
    <s v="2025-03-10"/>
    <x v="3"/>
    <n v="176117"/>
    <m/>
    <m/>
    <x v="1"/>
    <n v="13"/>
    <s v="Hot"/>
    <s v="Token amount discussed, decision this week"/>
  </r>
  <r>
    <s v="LD1355"/>
    <s v="Alka Kakade"/>
    <n v="9185514406"/>
    <x v="0"/>
    <x v="1"/>
    <s v="Justdial Free Listing — Inbound"/>
    <x v="2"/>
    <s v="2025-01-20"/>
    <x v="0"/>
    <x v="0"/>
    <x v="3"/>
    <n v="1"/>
    <n v="4"/>
    <s v="2025-02-22"/>
    <x v="3"/>
    <n v="509036"/>
    <m/>
    <m/>
    <x v="1"/>
    <n v="17.600000000000001"/>
    <s v="Cold"/>
    <s v="Duplicate enquiry"/>
  </r>
  <r>
    <s v="LD1356"/>
    <s v="Sunil More"/>
    <n v="9508596754"/>
    <x v="4"/>
    <x v="2"/>
    <s v="Architect Referral"/>
    <x v="1"/>
    <s v="2025-01-20"/>
    <x v="0"/>
    <x v="0"/>
    <x v="3"/>
    <n v="1"/>
    <n v="0"/>
    <s v="2025-01-27"/>
    <x v="4"/>
    <n v="167644"/>
    <n v="166577"/>
    <s v="2025-02-01"/>
    <x v="0"/>
    <n v="26.5"/>
    <s v="Hot"/>
    <s v="Customer very satisfied, 5 star review given"/>
  </r>
  <r>
    <s v="LD1357"/>
    <s v="Bharati Deshpande"/>
    <n v="9217885943"/>
    <x v="3"/>
    <x v="2"/>
    <s v="Client Referral"/>
    <x v="14"/>
    <s v="2025-01-20"/>
    <x v="0"/>
    <x v="0"/>
    <x v="3"/>
    <n v="1"/>
    <n v="7"/>
    <s v="2025-02-13"/>
    <x v="0"/>
    <n v="1934607"/>
    <m/>
    <m/>
    <x v="3"/>
    <n v="13.3"/>
    <s v="Cold"/>
    <s v="Lost to competitor - cheaper quote"/>
  </r>
  <r>
    <s v="LD1358"/>
    <s v="Alka Suryawanshi"/>
    <n v="9920475331"/>
    <x v="2"/>
    <x v="2"/>
    <s v="Neighbour Referral"/>
    <x v="13"/>
    <s v="2025-01-20"/>
    <x v="0"/>
    <x v="0"/>
    <x v="3"/>
    <n v="1"/>
    <n v="0"/>
    <s v="2025-01-23"/>
    <x v="3"/>
    <n v="1881070"/>
    <m/>
    <m/>
    <x v="2"/>
    <n v="18.7"/>
    <s v="Hot"/>
    <s v="Site visit done, quotation shared"/>
  </r>
  <r>
    <s v="LD1359"/>
    <s v="Rohit Chavan"/>
    <n v="9823864197"/>
    <x v="0"/>
    <x v="0"/>
    <s v="Friend Reference"/>
    <x v="6"/>
    <s v="2025-01-21"/>
    <x v="0"/>
    <x v="0"/>
    <x v="3"/>
    <n v="1"/>
    <n v="5"/>
    <s v="2025-02-19"/>
    <x v="1"/>
    <n v="393261"/>
    <m/>
    <m/>
    <x v="0"/>
    <n v="13.5"/>
    <s v="Hot"/>
    <s v="Site visit done, quotation shared"/>
  </r>
  <r>
    <s v="LD1360"/>
    <s v="Divya Wagh"/>
    <n v="9614130989"/>
    <x v="2"/>
    <x v="8"/>
    <s v="Instagram Wardrobe Showcase"/>
    <x v="2"/>
    <s v="2025-01-21"/>
    <x v="0"/>
    <x v="0"/>
    <x v="3"/>
    <n v="1"/>
    <n v="6"/>
    <s v="2025-03-03"/>
    <x v="0"/>
    <n v="393226"/>
    <m/>
    <m/>
    <x v="3"/>
    <n v="22.6"/>
    <s v="Cold"/>
    <s v="Lost to competitor - cheaper quote"/>
  </r>
  <r>
    <s v="LD1361"/>
    <s v="Meena Bhosale"/>
    <n v="9476923412"/>
    <x v="3"/>
    <x v="2"/>
    <s v="Contractor Referral"/>
    <x v="4"/>
    <s v="2025-01-21"/>
    <x v="0"/>
    <x v="0"/>
    <x v="3"/>
    <n v="1"/>
    <n v="3"/>
    <s v="2025-02-10"/>
    <x v="4"/>
    <n v="310851"/>
    <n v="316400"/>
    <s v="2025-02-12"/>
    <x v="0"/>
    <n v="1.6"/>
    <s v="Warm"/>
    <s v="Token paid, measurement done, work started"/>
  </r>
  <r>
    <s v="LD1362"/>
    <s v="Divya Kshirsagar"/>
    <n v="9177298097"/>
    <x v="2"/>
    <x v="7"/>
    <s v="Website Chat Enquiry"/>
    <x v="14"/>
    <s v="2025-01-21"/>
    <x v="0"/>
    <x v="0"/>
    <x v="3"/>
    <n v="1"/>
    <n v="0"/>
    <s v="2025-01-27"/>
    <x v="0"/>
    <n v="1960634"/>
    <m/>
    <m/>
    <x v="2"/>
    <n v="35"/>
    <s v="Cold"/>
    <s v="No response, marked as lost after 60 days"/>
  </r>
  <r>
    <s v="LD1363"/>
    <s v="Vikas Raut"/>
    <n v="9318566338"/>
    <x v="2"/>
    <x v="2"/>
    <s v="Client Referral"/>
    <x v="7"/>
    <s v="2025-01-21"/>
    <x v="0"/>
    <x v="0"/>
    <x v="3"/>
    <n v="1"/>
    <n v="7"/>
    <s v="2025-02-26"/>
    <x v="0"/>
    <m/>
    <m/>
    <m/>
    <x v="2"/>
    <n v="15.2"/>
    <s v="Cold"/>
    <s v="Customer did not proceed with project"/>
  </r>
  <r>
    <s v="LD1364"/>
    <s v="Alka Nikalje"/>
    <n v="9761964951"/>
    <x v="3"/>
    <x v="8"/>
    <s v="Instagram Diwali Campaign"/>
    <x v="0"/>
    <s v="2025-01-21"/>
    <x v="0"/>
    <x v="0"/>
    <x v="3"/>
    <n v="1"/>
    <n v="0"/>
    <s v="2025-01-25"/>
    <x v="3"/>
    <n v="793818"/>
    <m/>
    <m/>
    <x v="3"/>
    <n v="29.7"/>
    <s v="Warm"/>
    <s v="Follow up after Gudi Padwa"/>
  </r>
  <r>
    <s v="LD1365"/>
    <s v="Pooja Bansode"/>
    <n v="9518064414"/>
    <x v="2"/>
    <x v="0"/>
    <s v="Friend Reference"/>
    <x v="7"/>
    <s v="2025-01-21"/>
    <x v="0"/>
    <x v="0"/>
    <x v="3"/>
    <n v="1"/>
    <n v="5"/>
    <s v="2025-02-17"/>
    <x v="4"/>
    <n v="1169903"/>
    <n v="1067430"/>
    <s v="2025-03-10"/>
    <x v="1"/>
    <n v="16.2"/>
    <s v="Warm"/>
    <m/>
  </r>
  <r>
    <s v="LD1366"/>
    <s v="Lata Mane"/>
    <n v="9152369237"/>
    <x v="4"/>
    <x v="2"/>
    <s v="Contractor Referral"/>
    <x v="0"/>
    <s v="2025-01-21"/>
    <x v="0"/>
    <x v="0"/>
    <x v="3"/>
    <n v="1"/>
    <n v="5"/>
    <s v="2025-02-19"/>
    <x v="1"/>
    <n v="858208"/>
    <m/>
    <m/>
    <x v="0"/>
    <n v="25.6"/>
    <s v="Cold"/>
    <s v="Not interested anymore"/>
  </r>
  <r>
    <s v="LD1367"/>
    <s v="Pooja Kale"/>
    <n v="9148757534"/>
    <x v="4"/>
    <x v="5"/>
    <s v="Exhibition Walk-in"/>
    <x v="2"/>
    <s v="2025-01-23"/>
    <x v="0"/>
    <x v="0"/>
    <x v="3"/>
    <n v="1"/>
    <n v="7"/>
    <s v="2025-03-11"/>
    <x v="4"/>
    <n v="218758"/>
    <n v="205722"/>
    <s v="2025-03-23"/>
    <x v="1"/>
    <n v="30.2"/>
    <s v="Hot"/>
    <s v="Deal closed, advance received"/>
  </r>
  <r>
    <s v="LD1368"/>
    <s v="Rajesh Holkar"/>
    <n v="9933203117"/>
    <x v="1"/>
    <x v="7"/>
    <s v="SEO Organic"/>
    <x v="7"/>
    <s v="2025-01-23"/>
    <x v="0"/>
    <x v="0"/>
    <x v="3"/>
    <n v="1"/>
    <n v="4"/>
    <s v="2025-02-14"/>
    <x v="0"/>
    <n v="1240160"/>
    <m/>
    <m/>
    <x v="0"/>
    <n v="26.2"/>
    <s v="Cold"/>
    <m/>
  </r>
  <r>
    <s v="LD1369"/>
    <s v="Umesh Pawar"/>
    <n v="9293789628"/>
    <x v="2"/>
    <x v="0"/>
    <s v="Friend Reference"/>
    <x v="12"/>
    <s v="2025-01-24"/>
    <x v="0"/>
    <x v="0"/>
    <x v="3"/>
    <n v="1"/>
    <n v="4"/>
    <s v="2025-02-24"/>
    <x v="4"/>
    <n v="951952"/>
    <n v="962610"/>
    <s v="2025-03-03"/>
    <x v="1"/>
    <n v="23.3"/>
    <s v="Hot"/>
    <m/>
  </r>
  <r>
    <s v="LD1370"/>
    <s v="Jyoti Deshpande"/>
    <n v="9261077524"/>
    <x v="3"/>
    <x v="2"/>
    <s v="Architect Referral"/>
    <x v="11"/>
    <s v="2025-01-25"/>
    <x v="0"/>
    <x v="0"/>
    <x v="3"/>
    <n v="1"/>
    <n v="11"/>
    <s v="2025-02-20"/>
    <x v="4"/>
    <n v="214696"/>
    <n v="201065"/>
    <s v="2025-03-07"/>
    <x v="2"/>
    <n v="2.2000000000000002"/>
    <s v="Hot"/>
    <s v="Final payment received, project handed over"/>
  </r>
  <r>
    <s v="LD1371"/>
    <s v="Suresh Tupe"/>
    <n v="9288808900"/>
    <x v="1"/>
    <x v="8"/>
    <s v="Instagram Gudi Padwa Special"/>
    <x v="0"/>
    <s v="2025-01-25"/>
    <x v="0"/>
    <x v="0"/>
    <x v="3"/>
    <n v="1"/>
    <n v="11"/>
    <s v="2025-02-20"/>
    <x v="0"/>
    <n v="793458"/>
    <m/>
    <m/>
    <x v="3"/>
    <n v="17"/>
    <s v="Cold"/>
    <s v="Customer got work done from relative"/>
  </r>
  <r>
    <s v="LD1372"/>
    <s v="Kavita Bhalerao"/>
    <n v="9400823845"/>
    <x v="0"/>
    <x v="8"/>
    <s v="Instagram Wardrobe Showcase"/>
    <x v="1"/>
    <s v="2025-01-27"/>
    <x v="0"/>
    <x v="0"/>
    <x v="3"/>
    <n v="1"/>
    <n v="11"/>
    <s v="2025-03-05"/>
    <x v="2"/>
    <n v="316658"/>
    <m/>
    <m/>
    <x v="3"/>
    <n v="10.199999999999999"/>
    <s v="Cold"/>
    <s v="Budget too low for our range"/>
  </r>
  <r>
    <s v="LD1373"/>
    <s v="Nilesh Chavan"/>
    <n v="9218758081"/>
    <x v="2"/>
    <x v="8"/>
    <s v="Instagram Story Ads"/>
    <x v="8"/>
    <s v="2025-01-27"/>
    <x v="0"/>
    <x v="0"/>
    <x v="3"/>
    <n v="1"/>
    <n v="12"/>
    <s v="2025-03-27"/>
    <x v="1"/>
    <n v="908090"/>
    <m/>
    <m/>
    <x v="3"/>
    <n v="13.8"/>
    <s v="Warm"/>
    <s v="New flat, moving in after 2 months"/>
  </r>
  <r>
    <s v="LD1374"/>
    <s v="Madhuri Bhalerao"/>
    <n v="9958906815"/>
    <x v="4"/>
    <x v="1"/>
    <s v="Justdial Free Listing — Inbound"/>
    <x v="8"/>
    <s v="2025-01-27"/>
    <x v="0"/>
    <x v="0"/>
    <x v="3"/>
    <n v="1"/>
    <n v="12"/>
    <s v="2025-04-01"/>
    <x v="2"/>
    <n v="646821"/>
    <m/>
    <m/>
    <x v="3"/>
    <n v="8.9"/>
    <s v="Cold"/>
    <s v="Project on hold"/>
  </r>
  <r>
    <s v="LD1375"/>
    <s v="Umesh Gavhane"/>
    <n v="9959840299"/>
    <x v="4"/>
    <x v="2"/>
    <s v="Contractor Referral"/>
    <x v="7"/>
    <s v="2025-01-27"/>
    <x v="0"/>
    <x v="0"/>
    <x v="3"/>
    <n v="1"/>
    <n v="6"/>
    <s v="2025-02-12"/>
    <x v="0"/>
    <n v="862212"/>
    <m/>
    <m/>
    <x v="1"/>
    <n v="35.799999999999997"/>
    <s v="Cold"/>
    <s v="Lost - no follow up done in time"/>
  </r>
  <r>
    <s v="LD1376"/>
    <s v="Hemant Joshi"/>
    <n v="9851640984"/>
    <x v="4"/>
    <x v="8"/>
    <s v="Instagram Story Ads"/>
    <x v="6"/>
    <s v="2025-01-27"/>
    <x v="0"/>
    <x v="0"/>
    <x v="3"/>
    <n v="1"/>
    <n v="10"/>
    <s v="2025-04-09"/>
    <x v="4"/>
    <n v="383625"/>
    <n v="354814"/>
    <s v="2025-04-21"/>
    <x v="1"/>
    <n v="17.5"/>
    <s v="Hot"/>
    <s v="Full payment cleared, delivery done"/>
  </r>
  <r>
    <s v="LD1377"/>
    <s v="Sonal Yadav"/>
    <n v="9759799861"/>
    <x v="0"/>
    <x v="0"/>
    <s v="Friend Reference"/>
    <x v="2"/>
    <s v="2025-01-27"/>
    <x v="0"/>
    <x v="0"/>
    <x v="3"/>
    <n v="1"/>
    <n v="2"/>
    <s v="2025-02-17"/>
    <x v="1"/>
    <n v="580141"/>
    <m/>
    <m/>
    <x v="0"/>
    <n v="32.799999999999997"/>
    <s v="Warm"/>
    <s v="Customer interested, flat handover next month"/>
  </r>
  <r>
    <s v="LD1378"/>
    <s v="Sonal Gavhane"/>
    <n v="9186274942"/>
    <x v="0"/>
    <x v="2"/>
    <s v="Contractor Referral"/>
    <x v="10"/>
    <s v="2025-01-27"/>
    <x v="0"/>
    <x v="0"/>
    <x v="3"/>
    <n v="1"/>
    <n v="11"/>
    <s v="2025-03-19"/>
    <x v="3"/>
    <n v="523849"/>
    <m/>
    <m/>
    <x v="1"/>
    <n v="18.3"/>
    <s v="Warm"/>
    <s v="New flat, moving in after 2 months"/>
  </r>
  <r>
    <s v="LD1379"/>
    <s v="Nikhil Gaikwad"/>
    <n v="9270564185"/>
    <x v="0"/>
    <x v="8"/>
    <s v="Instagram Gudi Padwa Special"/>
    <x v="8"/>
    <s v="2025-01-27"/>
    <x v="0"/>
    <x v="0"/>
    <x v="3"/>
    <n v="1"/>
    <n v="12"/>
    <s v="2025-04-05"/>
    <x v="1"/>
    <n v="1058090"/>
    <m/>
    <m/>
    <x v="2"/>
    <n v="32.1"/>
    <s v="Hot"/>
    <s v="Customer visited showroom twice, very interested"/>
  </r>
  <r>
    <s v="LD1380"/>
    <s v="Prashant Chavan"/>
    <n v="9810869393"/>
    <x v="0"/>
    <x v="6"/>
    <s v="Facebook Gudi Padwa Offer"/>
    <x v="9"/>
    <s v="2025-01-27"/>
    <x v="0"/>
    <x v="0"/>
    <x v="3"/>
    <n v="1"/>
    <n v="11"/>
    <s v="2025-02-18"/>
    <x v="2"/>
    <n v="287702"/>
    <m/>
    <m/>
    <x v="0"/>
    <n v="20.8"/>
    <s v="Cold"/>
    <s v="Not responding to calls"/>
  </r>
  <r>
    <s v="LD1381"/>
    <s v="Dinesh Salve"/>
    <n v="9338768340"/>
    <x v="2"/>
    <x v="3"/>
    <s v="MagicBricks Property Enquiry — Inbound"/>
    <x v="9"/>
    <s v="2025-01-27"/>
    <x v="0"/>
    <x v="0"/>
    <x v="3"/>
    <n v="1"/>
    <n v="6"/>
    <s v="2025-02-15"/>
    <x v="4"/>
    <n v="272605"/>
    <n v="241578"/>
    <s v="2025-02-26"/>
    <x v="0"/>
    <n v="19.100000000000001"/>
    <s v="Hot"/>
    <s v="Customer very satisfied, 5 star review given"/>
  </r>
  <r>
    <s v="LD1382"/>
    <s v="Archana Sawant"/>
    <n v="9740779931"/>
    <x v="0"/>
    <x v="2"/>
    <s v="Neighbour Referral"/>
    <x v="6"/>
    <s v="2025-01-27"/>
    <x v="0"/>
    <x v="0"/>
    <x v="3"/>
    <n v="1"/>
    <n v="6"/>
    <s v="2025-03-12"/>
    <x v="0"/>
    <n v="269117"/>
    <m/>
    <m/>
    <x v="0"/>
    <n v="5.8"/>
    <s v="Cold"/>
    <m/>
  </r>
  <r>
    <s v="LD1383"/>
    <s v="Bharati Gaikwad"/>
    <n v="9728762664"/>
    <x v="2"/>
    <x v="5"/>
    <s v="Showroom Walk-in"/>
    <x v="11"/>
    <s v="2025-01-27"/>
    <x v="0"/>
    <x v="0"/>
    <x v="3"/>
    <n v="1"/>
    <n v="12"/>
    <s v="2025-03-17"/>
    <x v="2"/>
    <n v="300694"/>
    <m/>
    <m/>
    <x v="0"/>
    <n v="11.9"/>
    <s v="Cold"/>
    <s v="Went with local carpenter"/>
  </r>
  <r>
    <s v="LD1384"/>
    <s v="Meena Aware"/>
    <n v="9263149661"/>
    <x v="4"/>
    <x v="8"/>
    <s v="Instagram Diwali Campaign"/>
    <x v="13"/>
    <s v="2025-01-28"/>
    <x v="0"/>
    <x v="0"/>
    <x v="3"/>
    <n v="1"/>
    <n v="2"/>
    <s v="2025-02-18"/>
    <x v="1"/>
    <n v="1932221"/>
    <m/>
    <m/>
    <x v="0"/>
    <n v="4.9000000000000004"/>
    <s v="Cold"/>
    <s v="Customer relocated"/>
  </r>
  <r>
    <s v="LD1385"/>
    <s v="Jyoti Zende"/>
    <n v="9736849180"/>
    <x v="4"/>
    <x v="8"/>
    <s v="Instagram Story Ads"/>
    <x v="12"/>
    <s v="2025-01-28"/>
    <x v="0"/>
    <x v="0"/>
    <x v="3"/>
    <n v="1"/>
    <n v="0"/>
    <s v="2025-02-03"/>
    <x v="4"/>
    <n v="1581122"/>
    <n v="1614972"/>
    <s v="2025-02-22"/>
    <x v="0"/>
    <n v="24.9"/>
    <s v="Warm"/>
    <m/>
  </r>
  <r>
    <s v="LD1386"/>
    <s v="Vikas Zende"/>
    <n v="9113924341"/>
    <x v="2"/>
    <x v="8"/>
    <s v="Instagram Diwali Campaign"/>
    <x v="12"/>
    <s v="2025-01-28"/>
    <x v="0"/>
    <x v="0"/>
    <x v="3"/>
    <n v="1"/>
    <n v="1"/>
    <s v="2025-02-11"/>
    <x v="1"/>
    <n v="951754"/>
    <m/>
    <m/>
    <x v="1"/>
    <n v="6.4"/>
    <s v="Cold"/>
    <s v="No response after 4 follow ups"/>
  </r>
  <r>
    <s v="LD1387"/>
    <s v="Vikas Bansode"/>
    <n v="9992195121"/>
    <x v="0"/>
    <x v="2"/>
    <s v="Client Referral"/>
    <x v="6"/>
    <s v="2025-01-29"/>
    <x v="0"/>
    <x v="0"/>
    <x v="3"/>
    <n v="1"/>
    <n v="8"/>
    <s v="2025-03-07"/>
    <x v="4"/>
    <n v="120473"/>
    <n v="114624"/>
    <s v="2025-03-24"/>
    <x v="0"/>
    <n v="24.7"/>
    <s v="Warm"/>
    <s v="Full payment cleared, delivery done"/>
  </r>
  <r>
    <s v="LD1388"/>
    <s v="Meena Wagh"/>
    <n v="9607001451"/>
    <x v="0"/>
    <x v="0"/>
    <s v="Family Reference"/>
    <x v="10"/>
    <s v="2025-01-29"/>
    <x v="0"/>
    <x v="0"/>
    <x v="3"/>
    <n v="1"/>
    <n v="2"/>
    <s v="2025-02-04"/>
    <x v="1"/>
    <n v="379467"/>
    <m/>
    <m/>
    <x v="2"/>
    <n v="26.6"/>
    <s v="Cold"/>
    <s v="Customer relocated"/>
  </r>
  <r>
    <s v="LD1389"/>
    <s v="Sunanda Naik"/>
    <n v="9219498988"/>
    <x v="0"/>
    <x v="2"/>
    <s v="Client Referral"/>
    <x v="8"/>
    <s v="2025-01-29"/>
    <x v="0"/>
    <x v="0"/>
    <x v="3"/>
    <n v="1"/>
    <n v="3"/>
    <s v="2025-02-12"/>
    <x v="4"/>
    <m/>
    <n v="374040"/>
    <s v="2025-02-24"/>
    <x v="0"/>
    <m/>
    <s v="Hot"/>
    <s v="Deal closed, advance received"/>
  </r>
  <r>
    <s v="LD1390"/>
    <s v="Bharati Kulkarni"/>
    <n v="9591318575"/>
    <x v="2"/>
    <x v="2"/>
    <s v="Neighbour Referral"/>
    <x v="4"/>
    <s v="2025-01-30"/>
    <x v="0"/>
    <x v="0"/>
    <x v="3"/>
    <n v="1"/>
    <n v="7"/>
    <s v="2025-02-17"/>
    <x v="1"/>
    <n v="131852"/>
    <m/>
    <m/>
    <x v="1"/>
    <n v="22.2"/>
    <s v="Warm"/>
    <s v="Budget discussion pending"/>
  </r>
  <r>
    <s v="LD1391"/>
    <s v="Dinesh Suryawanshi"/>
    <n v="9541961521"/>
    <x v="4"/>
    <x v="2"/>
    <s v="Neighbour Referral"/>
    <x v="7"/>
    <s v="2025-01-30"/>
    <x v="0"/>
    <x v="0"/>
    <x v="3"/>
    <n v="1"/>
    <n v="8"/>
    <s v="2025-03-22"/>
    <x v="4"/>
    <n v="1012507"/>
    <n v="948736"/>
    <s v="2025-03-24"/>
    <x v="1"/>
    <n v="3.8"/>
    <s v="Hot"/>
    <s v="Token received, design finalised"/>
  </r>
  <r>
    <s v="LD1392"/>
    <s v="Manisha Pawar"/>
    <n v="9303021597"/>
    <x v="2"/>
    <x v="4"/>
    <s v="99acres New Project Enquiry — Inbound"/>
    <x v="10"/>
    <s v="2025-01-31"/>
    <x v="0"/>
    <x v="0"/>
    <x v="3"/>
    <n v="1"/>
    <n v="3"/>
    <s v="2025-02-24"/>
    <x v="0"/>
    <n v="306278"/>
    <m/>
    <m/>
    <x v="0"/>
    <n v="27.7"/>
    <s v="Cold"/>
    <s v="Customer did not proceed with project"/>
  </r>
  <r>
    <s v="LD1393"/>
    <s v="Suresh Pawar"/>
    <n v="9552015070"/>
    <x v="2"/>
    <x v="2"/>
    <s v="Neighbour Referral"/>
    <x v="2"/>
    <s v="2025-01-31"/>
    <x v="0"/>
    <x v="0"/>
    <x v="3"/>
    <n v="1"/>
    <n v="10"/>
    <s v="2025-04-08"/>
    <x v="3"/>
    <n v="418272"/>
    <m/>
    <m/>
    <x v="2"/>
    <n v="20.3"/>
    <s v="Hot"/>
    <s v="Design presentation done, waiting for confirmation"/>
  </r>
  <r>
    <s v="LD1394"/>
    <s v="Santosh Joshi"/>
    <n v="9735566972"/>
    <x v="0"/>
    <x v="6"/>
    <s v="Facebook Diwali Offer"/>
    <x v="4"/>
    <s v="2025-01-31"/>
    <x v="0"/>
    <x v="0"/>
    <x v="3"/>
    <n v="1"/>
    <n v="7"/>
    <s v="2025-02-24"/>
    <x v="4"/>
    <n v="288093"/>
    <n v="279161"/>
    <s v="2025-03-15"/>
    <x v="2"/>
    <n v="12.1"/>
    <s v="Hot"/>
    <m/>
  </r>
  <r>
    <s v="LD1395"/>
    <s v="Sunil Aware"/>
    <n v="9799987026"/>
    <x v="4"/>
    <x v="8"/>
    <s v="Instagram Gudi Padwa Special"/>
    <x v="0"/>
    <s v="2025-01-31"/>
    <x v="0"/>
    <x v="0"/>
    <x v="3"/>
    <n v="1"/>
    <n v="5"/>
    <s v="2025-03-10"/>
    <x v="1"/>
    <n v="433101"/>
    <m/>
    <m/>
    <x v="2"/>
    <n v="6.1"/>
    <s v="Cold"/>
    <s v="Went with local carpenter"/>
  </r>
  <r>
    <s v="LD1396"/>
    <s v="Santosh Shelke"/>
    <n v="9946944948"/>
    <x v="4"/>
    <x v="2"/>
    <s v="Client Referral"/>
    <x v="5"/>
    <s v="2025-02-01"/>
    <x v="1"/>
    <x v="1"/>
    <x v="3"/>
    <n v="1"/>
    <n v="4"/>
    <s v="2025-03-03"/>
    <x v="4"/>
    <n v="249076"/>
    <n v="226625"/>
    <s v="2025-03-19"/>
    <x v="0"/>
    <n v="4"/>
    <s v="Hot"/>
    <s v="Deal done, site work ongoing"/>
  </r>
  <r>
    <s v="LD1397"/>
    <s v="Suresh Yadav"/>
    <n v="9366416788"/>
    <x v="0"/>
    <x v="2"/>
    <s v="Architect Referral"/>
    <x v="1"/>
    <s v="2025-02-01"/>
    <x v="1"/>
    <x v="1"/>
    <x v="3"/>
    <n v="1"/>
    <n v="11"/>
    <s v="2025-03-13"/>
    <x v="1"/>
    <n v="199052"/>
    <m/>
    <m/>
    <x v="3"/>
    <n v="18.7"/>
    <s v="Hot"/>
    <s v="Token amount discussed, decision this week"/>
  </r>
  <r>
    <s v="LD1398"/>
    <s v="Nilesh Tupe"/>
    <n v="9994135247"/>
    <x v="2"/>
    <x v="2"/>
    <s v="Neighbour Referral"/>
    <x v="2"/>
    <s v="2025-02-01"/>
    <x v="1"/>
    <x v="1"/>
    <x v="3"/>
    <n v="1"/>
    <n v="7"/>
    <s v="2025-03-13"/>
    <x v="4"/>
    <n v="539780"/>
    <n v="503628"/>
    <s v="2025-04-01"/>
    <x v="1"/>
    <n v="11.9"/>
    <s v="Hot"/>
    <s v="Deal done, site work ongoing"/>
  </r>
  <r>
    <s v="LD1399"/>
    <s v="Dinesh Bhalerao"/>
    <n v="9350497002"/>
    <x v="2"/>
    <x v="2"/>
    <s v="Client Referral"/>
    <x v="9"/>
    <s v="2025-02-03"/>
    <x v="1"/>
    <x v="1"/>
    <x v="3"/>
    <n v="1"/>
    <n v="5"/>
    <s v="2025-03-14"/>
    <x v="4"/>
    <n v="506725"/>
    <n v="494842"/>
    <s v="2025-04-03"/>
    <x v="0"/>
    <n v="35"/>
    <s v="Hot"/>
    <s v="Token paid, measurement done, work started"/>
  </r>
  <r>
    <s v="LD1400"/>
    <s v="Nikhil Naik"/>
    <n v="9696582757"/>
    <x v="0"/>
    <x v="3"/>
    <s v="MagicBricks Enquiry — Inbound"/>
    <x v="6"/>
    <s v="2025-02-03"/>
    <x v="1"/>
    <x v="1"/>
    <x v="3"/>
    <n v="1"/>
    <n v="6"/>
    <s v="2025-03-18"/>
    <x v="2"/>
    <n v="217300"/>
    <m/>
    <m/>
    <x v="0"/>
    <n v="5.8"/>
    <s v="Cold"/>
    <m/>
  </r>
  <r>
    <s v="LD1401"/>
    <s v="Ritu Patil"/>
    <n v="9657695689"/>
    <x v="3"/>
    <x v="4"/>
    <s v="99acres Flat Owner Enquiry — Inbound"/>
    <x v="9"/>
    <s v="2025-02-03"/>
    <x v="1"/>
    <x v="1"/>
    <x v="3"/>
    <n v="1"/>
    <n v="12"/>
    <s v="2025-04-02"/>
    <x v="0"/>
    <n v="213489"/>
    <m/>
    <m/>
    <x v="3"/>
    <n v="24"/>
    <s v="Cold"/>
    <s v="Lost to branded competitor"/>
  </r>
  <r>
    <s v="LD1402"/>
    <s v="Kavita Bansode"/>
    <n v="9695779172"/>
    <x v="0"/>
    <x v="8"/>
    <s v="Instagram Diwali Campaign"/>
    <x v="5"/>
    <s v="2025-02-03"/>
    <x v="1"/>
    <x v="1"/>
    <x v="3"/>
    <n v="1"/>
    <n v="4"/>
    <s v="2025-03-08"/>
    <x v="4"/>
    <n v="232784"/>
    <n v="206160"/>
    <s v="2025-03-22"/>
    <x v="1"/>
    <n v="21.6"/>
    <s v="Hot"/>
    <s v="Customer very satisfied, 5 star review given"/>
  </r>
  <r>
    <s v="LD1403"/>
    <s v="Ashwini Nikalje"/>
    <n v="9312283213"/>
    <x v="2"/>
    <x v="5"/>
    <s v="Showroom Walk-in"/>
    <x v="10"/>
    <s v="2025-02-03"/>
    <x v="1"/>
    <x v="1"/>
    <x v="3"/>
    <n v="1"/>
    <n v="7"/>
    <s v="2025-02-21"/>
    <x v="0"/>
    <n v="199670"/>
    <m/>
    <m/>
    <x v="0"/>
    <n v="5.8"/>
    <s v="Cold"/>
    <s v="Went with local vendor"/>
  </r>
  <r>
    <s v="LD1404"/>
    <s v="Manisha Yadav"/>
    <m/>
    <x v="0"/>
    <x v="6"/>
    <s v="Facebook Diwali Offer"/>
    <x v="12"/>
    <s v="2025-02-03"/>
    <x v="1"/>
    <x v="1"/>
    <x v="3"/>
    <n v="1"/>
    <n v="2"/>
    <s v="2025-02-19"/>
    <x v="0"/>
    <n v="1352671"/>
    <m/>
    <m/>
    <x v="0"/>
    <n v="14.9"/>
    <s v="Cold"/>
    <s v="Facebook lead — customer did not pick up on callback"/>
  </r>
  <r>
    <s v="LD1405"/>
    <s v="Kiran Patil"/>
    <n v="9765198077"/>
    <x v="2"/>
    <x v="5"/>
    <s v="Showroom Walk-in"/>
    <x v="0"/>
    <s v="2025-02-03"/>
    <x v="1"/>
    <x v="1"/>
    <x v="3"/>
    <n v="1"/>
    <n v="1"/>
    <s v="2025-02-13"/>
    <x v="1"/>
    <n v="603083"/>
    <m/>
    <m/>
    <x v="2"/>
    <n v="11.1"/>
    <s v="Warm"/>
    <s v="Wants more design options before deciding"/>
  </r>
  <r>
    <s v="LD1406"/>
    <s v="Ritu Thorat"/>
    <n v="9341198759"/>
    <x v="0"/>
    <x v="6"/>
    <s v="Facebook Gudi Padwa Offer"/>
    <x v="9"/>
    <s v="2025-02-04"/>
    <x v="1"/>
    <x v="1"/>
    <x v="3"/>
    <n v="1"/>
    <n v="12"/>
    <s v="2025-04-26"/>
    <x v="1"/>
    <n v="253703"/>
    <m/>
    <m/>
    <x v="2"/>
    <n v="16.2"/>
    <s v="Warm"/>
    <s v="Wants more design options before deciding"/>
  </r>
  <r>
    <s v="LD1407"/>
    <s v="Sunita Jadhav"/>
    <n v="9502597902"/>
    <x v="2"/>
    <x v="6"/>
    <s v="Facebook Gudi Padwa Offer"/>
    <x v="8"/>
    <s v="2025-02-04"/>
    <x v="1"/>
    <x v="1"/>
    <x v="3"/>
    <n v="1"/>
    <n v="0"/>
    <s v="2025-02-07"/>
    <x v="4"/>
    <n v="1067105"/>
    <n v="947794"/>
    <s v="2025-02-13"/>
    <x v="0"/>
    <n v="17.600000000000001"/>
    <s v="Hot"/>
    <s v="Deal closed, advance received"/>
  </r>
  <r>
    <s v="LD1408"/>
    <s v="Meena Bhosale"/>
    <m/>
    <x v="2"/>
    <x v="8"/>
    <s v="Instagram Wardrobe Showcase"/>
    <x v="8"/>
    <s v="2025-02-04"/>
    <x v="1"/>
    <x v="1"/>
    <x v="3"/>
    <n v="1"/>
    <n v="5"/>
    <s v="2025-02-14"/>
    <x v="0"/>
    <n v="604681"/>
    <m/>
    <m/>
    <x v="1"/>
    <n v="30.1"/>
    <s v="Warm"/>
    <s v="DM received on Instagram, no phone shared"/>
  </r>
  <r>
    <s v="LD1409"/>
    <s v="Prashant Salve"/>
    <n v="9209831955"/>
    <x v="0"/>
    <x v="2"/>
    <s v="Client Referral"/>
    <x v="4"/>
    <s v="2025-02-05"/>
    <x v="1"/>
    <x v="1"/>
    <x v="3"/>
    <n v="1"/>
    <n v="1"/>
    <s v="2025-02-19"/>
    <x v="4"/>
    <n v="223308"/>
    <n v="216715"/>
    <s v="2025-03-04"/>
    <x v="2"/>
    <n v="4.0999999999999996"/>
    <s v="Warm"/>
    <s v="Deal closed, advance received"/>
  </r>
  <r>
    <s v="LD1410"/>
    <s v="Anita Thorat"/>
    <n v="9849755715"/>
    <x v="4"/>
    <x v="2"/>
    <s v="Contractor Referral"/>
    <x v="2"/>
    <s v="2025-02-05"/>
    <x v="1"/>
    <x v="1"/>
    <x v="3"/>
    <n v="1"/>
    <n v="7"/>
    <s v="2025-02-27"/>
    <x v="4"/>
    <n v="241223"/>
    <n v="243408"/>
    <s v="2025-03-19"/>
    <x v="2"/>
    <n v="13.2"/>
    <s v="Hot"/>
    <s v="Token paid, measurement done, work started"/>
  </r>
  <r>
    <s v="LD1411"/>
    <s v="Pravin Chavan"/>
    <n v="9835815026"/>
    <x v="2"/>
    <x v="7"/>
    <s v="Google My Business"/>
    <x v="10"/>
    <s v="2025-02-05"/>
    <x v="1"/>
    <x v="1"/>
    <x v="3"/>
    <n v="1"/>
    <n v="12"/>
    <s v="2025-03-14"/>
    <x v="4"/>
    <m/>
    <n v="349239"/>
    <s v="2025-04-03"/>
    <x v="1"/>
    <n v="12.5"/>
    <s v="Hot"/>
    <s v="Deal done, site work ongoing"/>
  </r>
  <r>
    <s v="LD1412"/>
    <s v="Santosh Wagh"/>
    <n v="9527610172"/>
    <x v="0"/>
    <x v="7"/>
    <s v="Google Ads"/>
    <x v="1"/>
    <s v="2025-02-05"/>
    <x v="1"/>
    <x v="1"/>
    <x v="3"/>
    <n v="1"/>
    <n v="2"/>
    <s v="2025-02-12"/>
    <x v="1"/>
    <n v="272280"/>
    <m/>
    <m/>
    <x v="1"/>
    <n v="16.399999999999999"/>
    <s v="Warm"/>
    <s v="Call back after 1 month"/>
  </r>
  <r>
    <s v="LD1413"/>
    <s v="Meena Shinde"/>
    <n v="9120920984"/>
    <x v="2"/>
    <x v="7"/>
    <s v="Google My Business"/>
    <x v="9"/>
    <s v="2025-02-06"/>
    <x v="1"/>
    <x v="1"/>
    <x v="3"/>
    <n v="1"/>
    <n v="5"/>
    <s v="2025-02-28"/>
    <x v="1"/>
    <n v="202527"/>
    <m/>
    <m/>
    <x v="1"/>
    <n v="22.7"/>
    <s v="Hot"/>
    <s v="Very interested, finalising design"/>
  </r>
  <r>
    <s v="LD1414"/>
    <s v="Sunil Suryawanshi"/>
    <n v="9553147900"/>
    <x v="0"/>
    <x v="7"/>
    <s v="SEO Organic"/>
    <x v="1"/>
    <s v="2025-02-07"/>
    <x v="1"/>
    <x v="1"/>
    <x v="3"/>
    <n v="1"/>
    <n v="1"/>
    <s v="2025-02-26"/>
    <x v="0"/>
    <n v="317440"/>
    <m/>
    <m/>
    <x v="1"/>
    <n v="20.399999999999999"/>
    <s v="Cold"/>
    <s v="Customer chose readymade furniture"/>
  </r>
  <r>
    <s v="LD1415"/>
    <s v="Santosh Kshirsagar"/>
    <n v="9954291507"/>
    <x v="0"/>
    <x v="1"/>
    <s v="Justdial Premium Listing — Inbound"/>
    <x v="10"/>
    <s v="2025-02-07"/>
    <x v="1"/>
    <x v="1"/>
    <x v="3"/>
    <n v="1"/>
    <n v="11"/>
    <s v="2025-04-15"/>
    <x v="0"/>
    <n v="188646"/>
    <m/>
    <m/>
    <x v="3"/>
    <n v="8.1999999999999993"/>
    <s v="Cold"/>
    <s v="Lost to competitor - cheaper quote"/>
  </r>
  <r>
    <s v="LD1416"/>
    <s v="Manisha Kale"/>
    <n v="9287695309"/>
    <x v="2"/>
    <x v="5"/>
    <s v="Site Visit Walk-in"/>
    <x v="5"/>
    <s v="2025-02-08"/>
    <x v="1"/>
    <x v="1"/>
    <x v="3"/>
    <n v="1"/>
    <n v="2"/>
    <s v="2025-02-28"/>
    <x v="1"/>
    <n v="323975"/>
    <m/>
    <m/>
    <x v="0"/>
    <n v="28.5"/>
    <s v="Hot"/>
    <s v="Final quote shared, awaiting approval"/>
  </r>
  <r>
    <s v="LD1417"/>
    <s v="Ashwini Deshpande"/>
    <n v="9691001660"/>
    <x v="2"/>
    <x v="8"/>
    <s v="Instagram Story Ads"/>
    <x v="7"/>
    <s v="2025-02-08"/>
    <x v="1"/>
    <x v="1"/>
    <x v="3"/>
    <n v="1"/>
    <n v="1"/>
    <s v="2025-02-19"/>
    <x v="1"/>
    <n v="977857"/>
    <m/>
    <m/>
    <x v="1"/>
    <n v="17.3"/>
    <s v="Hot"/>
    <s v="Final quote shared, awaiting approval"/>
  </r>
  <r>
    <s v="LD1418"/>
    <s v="Amit Suryawanshi"/>
    <n v="9277965855"/>
    <x v="4"/>
    <x v="3"/>
    <s v="MagicBricks Enquiry — Inbound"/>
    <x v="12"/>
    <s v="2025-02-08"/>
    <x v="1"/>
    <x v="1"/>
    <x v="3"/>
    <n v="1"/>
    <n v="9"/>
    <s v="2025-03-27"/>
    <x v="0"/>
    <n v="1151559"/>
    <m/>
    <m/>
    <x v="0"/>
    <n v="3.4"/>
    <s v="Cold"/>
    <s v="Project cancelled by customer"/>
  </r>
  <r>
    <s v="LD1419"/>
    <s v="Prashant Gaikwad"/>
    <n v="9347620008"/>
    <x v="2"/>
    <x v="8"/>
    <s v="Instagram Kitchen Reels"/>
    <x v="5"/>
    <s v="2025-02-10"/>
    <x v="1"/>
    <x v="1"/>
    <x v="3"/>
    <n v="1"/>
    <n v="7"/>
    <s v="2025-03-05"/>
    <x v="1"/>
    <n v="236196"/>
    <m/>
    <m/>
    <x v="0"/>
    <n v="27.4"/>
    <s v="Warm"/>
    <s v="Budget discussion pending"/>
  </r>
  <r>
    <s v="LD1420"/>
    <s v="Rajesh Kale"/>
    <n v="9174449369"/>
    <x v="2"/>
    <x v="7"/>
    <s v="Google My Business"/>
    <x v="7"/>
    <s v="2025-02-10"/>
    <x v="1"/>
    <x v="1"/>
    <x v="3"/>
    <n v="1"/>
    <n v="9"/>
    <s v="2025-03-21"/>
    <x v="1"/>
    <n v="791414"/>
    <m/>
    <m/>
    <x v="1"/>
    <n v="21.2"/>
    <s v="Warm"/>
    <s v="Follow up after flat possession"/>
  </r>
  <r>
    <s v="LD1421"/>
    <s v="Sunita Nimbalkar"/>
    <n v="9469837972"/>
    <x v="4"/>
    <x v="2"/>
    <s v="Client Referral"/>
    <x v="2"/>
    <s v="2025-02-10"/>
    <x v="1"/>
    <x v="1"/>
    <x v="3"/>
    <n v="1"/>
    <n v="11"/>
    <s v="2025-04-28"/>
    <x v="4"/>
    <n v="312020"/>
    <n v="286279"/>
    <s v="2025-05-06"/>
    <x v="3"/>
    <n v="25.4"/>
    <s v="Hot"/>
    <m/>
  </r>
  <r>
    <s v="LD1422"/>
    <s v="Santosh Bansode"/>
    <n v="9170688266"/>
    <x v="2"/>
    <x v="8"/>
    <s v="Instagram Kitchen Reels"/>
    <x v="0"/>
    <s v="2025-02-10"/>
    <x v="1"/>
    <x v="1"/>
    <x v="3"/>
    <n v="1"/>
    <n v="2"/>
    <s v="2025-02-22"/>
    <x v="1"/>
    <n v="541883"/>
    <m/>
    <m/>
    <x v="0"/>
    <n v="4.5"/>
    <s v="Cold"/>
    <s v="Not interested anymore"/>
  </r>
  <r>
    <s v="LD1423"/>
    <s v="Ashwini Kshirsagar"/>
    <n v="9290929805"/>
    <x v="0"/>
    <x v="5"/>
    <s v="Site Visit Walk-in"/>
    <x v="4"/>
    <s v="2025-02-10"/>
    <x v="1"/>
    <x v="1"/>
    <x v="3"/>
    <n v="1"/>
    <n v="8"/>
    <s v="2025-04-01"/>
    <x v="3"/>
    <n v="172982"/>
    <m/>
    <m/>
    <x v="1"/>
    <n v="12.8"/>
    <s v="Warm"/>
    <s v="Call back after 1 month"/>
  </r>
  <r>
    <s v="LD1424"/>
    <s v="Deepak Salve"/>
    <n v="9145143576"/>
    <x v="0"/>
    <x v="5"/>
    <s v="Exhibition Walk-in"/>
    <x v="7"/>
    <s v="2025-02-10"/>
    <x v="1"/>
    <x v="1"/>
    <x v="3"/>
    <n v="1"/>
    <n v="8"/>
    <s v="2025-03-26"/>
    <x v="3"/>
    <n v="1041782"/>
    <m/>
    <m/>
    <x v="3"/>
    <n v="20"/>
    <s v="Cold"/>
    <s v="Not responding to calls"/>
  </r>
  <r>
    <s v="LD1425"/>
    <s v="Arun Holkar"/>
    <n v="9197006089"/>
    <x v="4"/>
    <x v="8"/>
    <s v="Instagram Gudi Padwa Special"/>
    <x v="5"/>
    <s v="2025-02-10"/>
    <x v="1"/>
    <x v="1"/>
    <x v="3"/>
    <n v="1"/>
    <n v="6"/>
    <s v="2025-03-18"/>
    <x v="3"/>
    <n v="192049"/>
    <m/>
    <m/>
    <x v="1"/>
    <n v="12.6"/>
    <s v="Hot"/>
    <s v="Sample seen at showroom, liked veneer finish"/>
  </r>
  <r>
    <s v="LD1426"/>
    <s v="Manisha Londhe"/>
    <n v="9562897965"/>
    <x v="2"/>
    <x v="8"/>
    <s v="Instagram Wardrobe Showcase"/>
    <x v="0"/>
    <s v="2025-02-10"/>
    <x v="1"/>
    <x v="1"/>
    <x v="3"/>
    <n v="1"/>
    <n v="12"/>
    <s v="2025-04-08"/>
    <x v="0"/>
    <n v="831037"/>
    <m/>
    <m/>
    <x v="1"/>
    <n v="31.3"/>
    <s v="Cold"/>
    <m/>
  </r>
  <r>
    <s v="LD1427"/>
    <s v="Kiran Joshi"/>
    <n v="9119069792"/>
    <x v="0"/>
    <x v="2"/>
    <s v="Architect Referral"/>
    <x v="8"/>
    <s v="2025-02-10"/>
    <x v="1"/>
    <x v="1"/>
    <x v="3"/>
    <n v="1"/>
    <n v="9"/>
    <s v="2025-03-20"/>
    <x v="1"/>
    <n v="903647"/>
    <m/>
    <m/>
    <x v="0"/>
    <n v="8.4"/>
    <s v="Hot"/>
    <s v="Ready to proceed, discussing payment terms"/>
  </r>
  <r>
    <s v="LD1428"/>
    <s v="Dinesh Deshpande"/>
    <n v="9334130786"/>
    <x v="2"/>
    <x v="8"/>
    <s v="Instagram Diwali Campaign"/>
    <x v="7"/>
    <s v="2025-02-10"/>
    <x v="1"/>
    <x v="1"/>
    <x v="3"/>
    <n v="1"/>
    <n v="6"/>
    <s v="2025-03-28"/>
    <x v="1"/>
    <n v="939933"/>
    <m/>
    <m/>
    <x v="2"/>
    <n v="25.7"/>
    <s v="Cold"/>
    <s v="Budget too low for our range"/>
  </r>
  <r>
    <s v="LD1429"/>
    <s v="Sunita Yadav"/>
    <n v="9176029916"/>
    <x v="1"/>
    <x v="2"/>
    <s v="Neighbour Referral"/>
    <x v="9"/>
    <s v="2025-02-10"/>
    <x v="1"/>
    <x v="1"/>
    <x v="3"/>
    <n v="1"/>
    <n v="4"/>
    <s v="2025-02-24"/>
    <x v="4"/>
    <n v="492465"/>
    <n v="485114"/>
    <s v="2025-03-03"/>
    <x v="1"/>
    <n v="14.5"/>
    <s v="Hot"/>
    <s v="Customer very satisfied, 5 star review given"/>
  </r>
  <r>
    <s v="LD1430"/>
    <s v="Umesh Kale"/>
    <n v="9347794376"/>
    <x v="2"/>
    <x v="6"/>
    <s v="Facebook Gudi Padwa Offer"/>
    <x v="4"/>
    <s v="2025-02-10"/>
    <x v="1"/>
    <x v="1"/>
    <x v="3"/>
    <n v="1"/>
    <n v="10"/>
    <s v="2025-04-14"/>
    <x v="4"/>
    <n v="195327"/>
    <n v="177118"/>
    <s v="2025-04-26"/>
    <x v="2"/>
    <n v="4.0999999999999996"/>
    <s v="Hot"/>
    <s v="Deal closed, advance received"/>
  </r>
  <r>
    <s v="LD1431"/>
    <s v="Divya Chavan"/>
    <n v="9592456949"/>
    <x v="0"/>
    <x v="2"/>
    <s v="Architect Referral"/>
    <x v="9"/>
    <s v="2025-02-11"/>
    <x v="1"/>
    <x v="1"/>
    <x v="3"/>
    <n v="1"/>
    <n v="4"/>
    <s v="2025-02-22"/>
    <x v="4"/>
    <n v="488580"/>
    <n v="450104"/>
    <s v="2025-03-14"/>
    <x v="0"/>
    <n v="5.9"/>
    <s v="Warm"/>
    <s v="Customer referred 2 more leads after delivery"/>
  </r>
  <r>
    <s v="LD1432"/>
    <s v="Santosh Londhe"/>
    <n v="9362576565"/>
    <x v="2"/>
    <x v="2"/>
    <s v="Architect Referral"/>
    <x v="7"/>
    <s v="2025-02-11"/>
    <x v="1"/>
    <x v="1"/>
    <x v="3"/>
    <n v="1"/>
    <n v="0"/>
    <s v="2025-02-15"/>
    <x v="1"/>
    <n v="1294847"/>
    <m/>
    <m/>
    <x v="0"/>
    <n v="26.6"/>
    <s v="Cold"/>
    <s v="Budget too low for our range"/>
  </r>
  <r>
    <s v="LD1433"/>
    <s v="Santosh Tupe"/>
    <n v="9120827652"/>
    <x v="0"/>
    <x v="7"/>
    <s v="Website Chat Enquiry"/>
    <x v="9"/>
    <s v="2025-02-11"/>
    <x v="1"/>
    <x v="1"/>
    <x v="3"/>
    <n v="1"/>
    <n v="1"/>
    <s v="2025-02-20"/>
    <x v="3"/>
    <n v="258476"/>
    <m/>
    <m/>
    <x v="1"/>
    <n v="22"/>
    <s v="Hot"/>
    <s v="Ready to proceed, discussing payment terms"/>
  </r>
  <r>
    <s v="LD1434"/>
    <s v="Amit Nikalje"/>
    <n v="9781703236"/>
    <x v="2"/>
    <x v="3"/>
    <s v="MagicBricks Property Enquiry — Inbound"/>
    <x v="7"/>
    <s v="2025-02-11"/>
    <x v="1"/>
    <x v="1"/>
    <x v="3"/>
    <n v="1"/>
    <n v="7"/>
    <s v="2025-03-31"/>
    <x v="0"/>
    <n v="1132661"/>
    <m/>
    <m/>
    <x v="2"/>
    <n v="8.1999999999999993"/>
    <s v="Cold"/>
    <s v="Customer got work done from relative"/>
  </r>
  <r>
    <s v="LD1435"/>
    <s v="Devendra Mane"/>
    <n v="9378659207"/>
    <x v="4"/>
    <x v="5"/>
    <s v="Exhibition Walk-in"/>
    <x v="6"/>
    <s v="2025-02-11"/>
    <x v="1"/>
    <x v="1"/>
    <x v="3"/>
    <n v="1"/>
    <n v="0"/>
    <s v="2025-02-15"/>
    <x v="1"/>
    <n v="209185"/>
    <m/>
    <m/>
    <x v="2"/>
    <n v="11.2"/>
    <s v="Cold"/>
    <s v="Budget too low for our range"/>
  </r>
  <r>
    <s v="LD1436"/>
    <s v="Devendra Raut"/>
    <n v="9101296353"/>
    <x v="0"/>
    <x v="6"/>
    <s v="Facebook Gudi Padwa Offer"/>
    <x v="0"/>
    <s v="2025-02-11"/>
    <x v="1"/>
    <x v="1"/>
    <x v="3"/>
    <n v="1"/>
    <n v="10"/>
    <s v="2025-04-08"/>
    <x v="4"/>
    <n v="653838"/>
    <n v="599390"/>
    <s v="2025-04-12"/>
    <x v="1"/>
    <n v="34.9"/>
    <s v="Hot"/>
    <s v="Work order signed, production started"/>
  </r>
  <r>
    <s v="LD1437"/>
    <s v="Meena Shinde"/>
    <n v="9285413575"/>
    <x v="0"/>
    <x v="6"/>
    <s v="Facebook Home Decor Ads"/>
    <x v="3"/>
    <s v="2025-02-12"/>
    <x v="1"/>
    <x v="1"/>
    <x v="3"/>
    <n v="1"/>
    <n v="3"/>
    <s v="2025-02-24"/>
    <x v="0"/>
    <n v="176309"/>
    <m/>
    <m/>
    <x v="1"/>
    <n v="15.7"/>
    <s v="Cold"/>
    <s v="Customer got work done from relative"/>
  </r>
  <r>
    <s v="LD1438"/>
    <s v="Ashwini Bhalerao"/>
    <n v="9283914316"/>
    <x v="2"/>
    <x v="6"/>
    <s v="Facebook Home Decor Ads"/>
    <x v="5"/>
    <s v="2025-02-12"/>
    <x v="1"/>
    <x v="1"/>
    <x v="3"/>
    <n v="1"/>
    <n v="2"/>
    <s v="2025-03-10"/>
    <x v="1"/>
    <n v="293679"/>
    <m/>
    <m/>
    <x v="0"/>
    <n v="22.8"/>
    <s v="Cold"/>
    <s v="Duplicate enquiry"/>
  </r>
  <r>
    <s v="LD1439"/>
    <s v="Sanjay Bhalerao"/>
    <n v="9914608646"/>
    <x v="2"/>
    <x v="4"/>
    <s v="99acres Flat Owner Enquiry — Inbound"/>
    <x v="8"/>
    <s v="2025-02-12"/>
    <x v="1"/>
    <x v="1"/>
    <x v="3"/>
    <n v="1"/>
    <n v="5"/>
    <s v="2025-03-10"/>
    <x v="3"/>
    <n v="974986"/>
    <m/>
    <m/>
    <x v="3"/>
    <n v="24"/>
    <s v="Warm"/>
    <s v="Follow up after Dussehra"/>
  </r>
  <r>
    <s v="LD1440"/>
    <s v="Varsha Raut"/>
    <n v="9124145585"/>
    <x v="1"/>
    <x v="8"/>
    <s v="Instagram Gudi Padwa Special"/>
    <x v="2"/>
    <s v="2025-02-12"/>
    <x v="1"/>
    <x v="1"/>
    <x v="3"/>
    <n v="1"/>
    <n v="1"/>
    <s v="2025-02-21"/>
    <x v="4"/>
    <n v="195017"/>
    <n v="174644"/>
    <s v="2025-02-28"/>
    <x v="0"/>
    <m/>
    <s v="Hot"/>
    <s v="Customer very satisfied, 5 star review given"/>
  </r>
  <r>
    <s v="LD1441"/>
    <s v="Mahesh Kshirsagar"/>
    <n v="9949592974"/>
    <x v="0"/>
    <x v="2"/>
    <s v="Contractor Referral"/>
    <x v="5"/>
    <s v="2025-02-13"/>
    <x v="1"/>
    <x v="1"/>
    <x v="3"/>
    <n v="1"/>
    <n v="12"/>
    <s v="2025-03-28"/>
    <x v="4"/>
    <n v="122102"/>
    <n v="122678"/>
    <s v="2025-03-31"/>
    <x v="1"/>
    <n v="30.4"/>
    <s v="Warm"/>
    <s v="Full payment cleared, delivery done"/>
  </r>
  <r>
    <s v="LD1442"/>
    <s v="Sonal Phule"/>
    <n v="9506266415"/>
    <x v="0"/>
    <x v="4"/>
    <s v="99acres Flat Owner Enquiry — Inbound"/>
    <x v="0"/>
    <s v="2025-02-13"/>
    <x v="1"/>
    <x v="1"/>
    <x v="3"/>
    <n v="1"/>
    <n v="12"/>
    <s v="2025-05-03"/>
    <x v="0"/>
    <n v="529722"/>
    <m/>
    <m/>
    <x v="1"/>
    <n v="30"/>
    <s v="Cold"/>
    <s v="Lost to branded competitor"/>
  </r>
  <r>
    <s v="LD1443"/>
    <s v="Rohit Shelke"/>
    <n v="9463999747"/>
    <x v="3"/>
    <x v="1"/>
    <s v="Justdial Premium Listing — Inbound"/>
    <x v="7"/>
    <s v="2025-02-14"/>
    <x v="1"/>
    <x v="1"/>
    <x v="3"/>
    <n v="1"/>
    <n v="1"/>
    <s v="2025-03-03"/>
    <x v="0"/>
    <n v="1262163"/>
    <m/>
    <m/>
    <x v="3"/>
    <n v="16.899999999999999"/>
    <s v="Cold"/>
    <s v="Customer did not proceed with project"/>
  </r>
  <r>
    <s v="LD1444"/>
    <s v="Pravin Mohite"/>
    <n v="9540943574"/>
    <x v="4"/>
    <x v="8"/>
    <s v="Instagram Gudi Padwa Special"/>
    <x v="5"/>
    <s v="2025-02-15"/>
    <x v="1"/>
    <x v="1"/>
    <x v="3"/>
    <n v="1"/>
    <n v="12"/>
    <s v="2025-04-14"/>
    <x v="2"/>
    <n v="127966"/>
    <m/>
    <m/>
    <x v="2"/>
    <n v="5.4"/>
    <s v="Warm"/>
    <s v="Follow up after flat possession"/>
  </r>
  <r>
    <s v="LD1445"/>
    <s v="Suresh Sonawane"/>
    <m/>
    <x v="0"/>
    <x v="7"/>
    <s v="Google Ads"/>
    <x v="0"/>
    <s v="2025-02-15"/>
    <x v="1"/>
    <x v="1"/>
    <x v="3"/>
    <n v="1"/>
    <n v="12"/>
    <s v="2025-03-25"/>
    <x v="0"/>
    <n v="896227"/>
    <m/>
    <m/>
    <x v="1"/>
    <n v="11.5"/>
    <s v="Cold"/>
    <s v="Google Ads lead — customer filled form without phone"/>
  </r>
  <r>
    <s v="LD1446"/>
    <s v="Anita Phule"/>
    <n v="9111379275"/>
    <x v="0"/>
    <x v="7"/>
    <s v="Website Chat Enquiry"/>
    <x v="2"/>
    <s v="2025-02-17"/>
    <x v="1"/>
    <x v="1"/>
    <x v="3"/>
    <n v="1"/>
    <n v="11"/>
    <s v="2025-03-31"/>
    <x v="4"/>
    <n v="221547"/>
    <n v="202440"/>
    <s v="2025-04-16"/>
    <x v="2"/>
    <n v="27.8"/>
    <s v="Hot"/>
    <s v="Customer referred 2 more leads after delivery"/>
  </r>
  <r>
    <s v="LD1447"/>
    <s v="Deepak Kulkarni"/>
    <n v="9619033172"/>
    <x v="2"/>
    <x v="3"/>
    <s v="MagicBricks Property Enquiry — Inbound"/>
    <x v="4"/>
    <s v="2025-02-17"/>
    <x v="1"/>
    <x v="1"/>
    <x v="3"/>
    <n v="1"/>
    <n v="9"/>
    <s v="2025-04-03"/>
    <x v="0"/>
    <n v="395997"/>
    <m/>
    <m/>
    <x v="1"/>
    <n v="13.5"/>
    <s v="Warm"/>
    <s v="Lost - no follow up done in time"/>
  </r>
  <r>
    <s v="LD1448"/>
    <s v="Suresh Mohite"/>
    <n v="9432705736"/>
    <x v="0"/>
    <x v="8"/>
    <s v="Instagram Kitchen Reels"/>
    <x v="12"/>
    <s v="2025-02-17"/>
    <x v="1"/>
    <x v="1"/>
    <x v="3"/>
    <n v="1"/>
    <n v="3"/>
    <s v="2025-03-14"/>
    <x v="1"/>
    <n v="1215395"/>
    <m/>
    <m/>
    <x v="2"/>
    <n v="18.100000000000001"/>
    <s v="Warm"/>
    <s v="Follow up after flat possession"/>
  </r>
  <r>
    <s v="LD1449"/>
    <s v="Ashwini Bhalerao"/>
    <n v="9279206920"/>
    <x v="1"/>
    <x v="1"/>
    <s v="Justdial Sponsored — Inbound"/>
    <x v="1"/>
    <s v="2025-02-17"/>
    <x v="1"/>
    <x v="1"/>
    <x v="3"/>
    <n v="1"/>
    <n v="12"/>
    <s v="2025-04-22"/>
    <x v="0"/>
    <n v="104827"/>
    <m/>
    <m/>
    <x v="0"/>
    <n v="24.5"/>
    <s v="Cold"/>
    <s v="Customer chose readymade furniture"/>
  </r>
  <r>
    <s v="LD1450"/>
    <s v="Pravin Yadav"/>
    <n v="9119050984"/>
    <x v="1"/>
    <x v="5"/>
    <s v="Site Visit Walk-in"/>
    <x v="0"/>
    <s v="2025-02-17"/>
    <x v="1"/>
    <x v="1"/>
    <x v="3"/>
    <n v="1"/>
    <n v="7"/>
    <s v="2025-03-17"/>
    <x v="1"/>
    <n v="395629"/>
    <m/>
    <m/>
    <x v="2"/>
    <n v="16.399999999999999"/>
    <s v="Cold"/>
    <s v="Wrong number provided"/>
  </r>
  <r>
    <s v="LD1451"/>
    <s v="Ravi Kulkarni"/>
    <n v="9948856783"/>
    <x v="3"/>
    <x v="2"/>
    <s v="Client Referral"/>
    <x v="0"/>
    <s v="2025-02-17"/>
    <x v="1"/>
    <x v="1"/>
    <x v="3"/>
    <n v="1"/>
    <n v="7"/>
    <s v="2025-03-13"/>
    <x v="4"/>
    <n v="687899"/>
    <n v="643087"/>
    <s v="2025-03-19"/>
    <x v="2"/>
    <n v="14.3"/>
    <s v="Hot"/>
    <s v="Token received, design finalised"/>
  </r>
  <r>
    <s v="LD1452"/>
    <s v="Manoj Bansode"/>
    <n v="9752367808"/>
    <x v="3"/>
    <x v="2"/>
    <s v="Neighbour Referral"/>
    <x v="0"/>
    <s v="2025-02-18"/>
    <x v="1"/>
    <x v="1"/>
    <x v="3"/>
    <n v="1"/>
    <n v="10"/>
    <s v="2025-03-26"/>
    <x v="1"/>
    <n v="857522"/>
    <m/>
    <m/>
    <x v="1"/>
    <n v="20.7"/>
    <s v="Warm"/>
    <s v="Follow up after Gudi Padwa"/>
  </r>
  <r>
    <s v="LD1453"/>
    <s v="Suresh Thorat"/>
    <n v="9703832627"/>
    <x v="4"/>
    <x v="7"/>
    <s v="SEO Organic"/>
    <x v="11"/>
    <s v="2025-02-18"/>
    <x v="1"/>
    <x v="1"/>
    <x v="3"/>
    <n v="1"/>
    <m/>
    <s v="2025-03-12"/>
    <x v="0"/>
    <n v="338409"/>
    <m/>
    <m/>
    <x v="0"/>
    <n v="7.5"/>
    <s v="Cold"/>
    <s v="Customer did not proceed with project"/>
  </r>
  <r>
    <s v="LD1454"/>
    <s v="Kavita Holkar"/>
    <n v="9359229220"/>
    <x v="4"/>
    <x v="0"/>
    <s v="Family Reference"/>
    <x v="8"/>
    <s v="2025-02-18"/>
    <x v="1"/>
    <x v="1"/>
    <x v="3"/>
    <n v="1"/>
    <n v="7"/>
    <s v="2025-03-13"/>
    <x v="3"/>
    <n v="631961"/>
    <m/>
    <m/>
    <x v="0"/>
    <n v="29.3"/>
    <s v="Warm"/>
    <s v="Wants more design options before deciding"/>
  </r>
  <r>
    <s v="LD1455"/>
    <s v="Umesh Kulkarni"/>
    <n v="9124221107"/>
    <x v="2"/>
    <x v="8"/>
    <s v="Instagram Story Ads"/>
    <x v="3"/>
    <s v="2025-02-18"/>
    <x v="1"/>
    <x v="1"/>
    <x v="3"/>
    <n v="1"/>
    <n v="3"/>
    <s v="2025-03-17"/>
    <x v="4"/>
    <n v="140869"/>
    <n v="124059"/>
    <s v="2025-04-06"/>
    <x v="2"/>
    <n v="2.2999999999999998"/>
    <s v="Hot"/>
    <s v="Token paid, measurement done, work started"/>
  </r>
  <r>
    <s v="LD1456"/>
    <s v="Manisha Bansode"/>
    <n v="9483959761"/>
    <x v="0"/>
    <x v="6"/>
    <s v="Facebook Gudi Padwa Offer"/>
    <x v="2"/>
    <s v="2025-02-19"/>
    <x v="1"/>
    <x v="1"/>
    <x v="3"/>
    <n v="1"/>
    <n v="1"/>
    <s v="2025-03-06"/>
    <x v="4"/>
    <n v="252999"/>
    <n v="259770"/>
    <s v="2025-03-10"/>
    <x v="0"/>
    <n v="27.4"/>
    <s v="Hot"/>
    <s v="Token received, design finalised"/>
  </r>
  <r>
    <s v="LD1457"/>
    <s v="Divya Yadav"/>
    <n v="9221295908"/>
    <x v="3"/>
    <x v="2"/>
    <s v="Architect Referral"/>
    <x v="3"/>
    <s v="2025-02-19"/>
    <x v="1"/>
    <x v="1"/>
    <x v="3"/>
    <n v="1"/>
    <n v="12"/>
    <s v="2025-04-01"/>
    <x v="4"/>
    <n v="252120"/>
    <n v="242446"/>
    <s v="2025-04-16"/>
    <x v="2"/>
    <n v="24.8"/>
    <s v="Hot"/>
    <s v="Deal done, site work ongoing"/>
  </r>
  <r>
    <s v="LD1458"/>
    <s v="Archana Kulkarni"/>
    <n v="9367862292"/>
    <x v="1"/>
    <x v="8"/>
    <s v="Instagram Story Ads"/>
    <x v="3"/>
    <s v="2025-02-19"/>
    <x v="1"/>
    <x v="1"/>
    <x v="3"/>
    <n v="1"/>
    <n v="12"/>
    <s v="2025-04-21"/>
    <x v="3"/>
    <n v="177534"/>
    <m/>
    <m/>
    <x v="0"/>
    <n v="29.3"/>
    <s v="Warm"/>
    <s v="Under construction, possession in 3 months"/>
  </r>
  <r>
    <s v="LD1459"/>
    <s v="Ganesh Patil"/>
    <m/>
    <x v="1"/>
    <x v="8"/>
    <s v="Instagram Before-After Posts"/>
    <x v="0"/>
    <s v="2025-02-19"/>
    <x v="1"/>
    <x v="1"/>
    <x v="3"/>
    <n v="1"/>
    <n v="3"/>
    <s v="2025-02-26"/>
    <x v="0"/>
    <n v="425185"/>
    <m/>
    <m/>
    <x v="1"/>
    <n v="30.9"/>
    <s v="Cold"/>
    <s v="DM received on Instagram, no phone shared"/>
  </r>
  <r>
    <s v="LD1460"/>
    <s v="Bharati Mane"/>
    <n v="9471790314"/>
    <x v="2"/>
    <x v="2"/>
    <s v="Neighbour Referral"/>
    <x v="7"/>
    <s v="2025-02-20"/>
    <x v="1"/>
    <x v="1"/>
    <x v="3"/>
    <n v="1"/>
    <n v="5"/>
    <s v="2025-03-21"/>
    <x v="0"/>
    <n v="1172808"/>
    <m/>
    <m/>
    <x v="1"/>
    <n v="20.8"/>
    <s v="Cold"/>
    <s v="Lost to branded competitor"/>
  </r>
  <r>
    <s v="LD1461"/>
    <s v="Pramod Wagh"/>
    <n v="9429288079"/>
    <x v="3"/>
    <x v="8"/>
    <s v="Instagram Story Ads"/>
    <x v="10"/>
    <s v="2025-02-20"/>
    <x v="1"/>
    <x v="1"/>
    <x v="3"/>
    <n v="1"/>
    <n v="0"/>
    <s v="2025-02-28"/>
    <x v="3"/>
    <n v="503525"/>
    <m/>
    <m/>
    <x v="2"/>
    <n v="4.7"/>
    <s v="Warm"/>
    <s v="Follow up after Akshaya Tritiya"/>
  </r>
  <r>
    <s v="LD1462"/>
    <s v="Bharati Gavhane"/>
    <n v="9995569515"/>
    <x v="4"/>
    <x v="3"/>
    <s v="MagicBricks Property Enquiry — Inbound"/>
    <x v="8"/>
    <s v="2025-02-21"/>
    <x v="1"/>
    <x v="1"/>
    <x v="3"/>
    <n v="1"/>
    <n v="7"/>
    <s v="2025-03-29"/>
    <x v="4"/>
    <n v="594156"/>
    <n v="595876"/>
    <s v="2025-04-05"/>
    <x v="0"/>
    <n v="22.2"/>
    <s v="Warm"/>
    <s v="Deal done, site work ongoing"/>
  </r>
  <r>
    <s v="LD1463"/>
    <s v="Vikas Bansode"/>
    <n v="9754434050"/>
    <x v="4"/>
    <x v="8"/>
    <s v="Instagram Gudi Padwa Special"/>
    <x v="9"/>
    <s v="2025-02-21"/>
    <x v="1"/>
    <x v="1"/>
    <x v="3"/>
    <n v="1"/>
    <n v="9"/>
    <s v="2025-03-29"/>
    <x v="4"/>
    <n v="537186"/>
    <n v="498478"/>
    <s v="2025-04-13"/>
    <x v="0"/>
    <m/>
    <s v="Hot"/>
    <s v="Final payment received, project handed over"/>
  </r>
  <r>
    <s v="LD1464"/>
    <s v="Dinesh Jadhav"/>
    <n v="9857701919"/>
    <x v="2"/>
    <x v="3"/>
    <s v="MagicBricks Property Enquiry — Inbound"/>
    <x v="7"/>
    <s v="2025-02-21"/>
    <x v="1"/>
    <x v="1"/>
    <x v="3"/>
    <n v="1"/>
    <n v="8"/>
    <s v="2025-04-12"/>
    <x v="3"/>
    <n v="884459"/>
    <m/>
    <m/>
    <x v="3"/>
    <n v="11.2"/>
    <s v="Warm"/>
    <s v="Call back after 1 month"/>
  </r>
  <r>
    <s v="LD1465"/>
    <s v="Varsha Mohite"/>
    <n v="9585698123"/>
    <x v="2"/>
    <x v="6"/>
    <s v="Facebook Diwali Offer"/>
    <x v="1"/>
    <s v="2025-02-21"/>
    <x v="1"/>
    <x v="1"/>
    <x v="3"/>
    <n v="1"/>
    <n v="8"/>
    <s v="2025-04-16"/>
    <x v="0"/>
    <n v="165093"/>
    <m/>
    <m/>
    <x v="1"/>
    <n v="7.4"/>
    <s v="Cold"/>
    <s v="Customer chose readymade furniture"/>
  </r>
  <r>
    <s v="LD1466"/>
    <s v="Seema Tupe"/>
    <n v="9395161407"/>
    <x v="2"/>
    <x v="8"/>
    <s v="Instagram Before-After Posts"/>
    <x v="5"/>
    <s v="2025-02-24"/>
    <x v="1"/>
    <x v="1"/>
    <x v="3"/>
    <n v="1"/>
    <n v="0"/>
    <s v="2025-03-08"/>
    <x v="0"/>
    <n v="220350"/>
    <m/>
    <m/>
    <x v="3"/>
    <n v="11.5"/>
    <s v="Cold"/>
    <s v="Project cancelled by customer"/>
  </r>
  <r>
    <s v="LD1467"/>
    <s v="Pooja Kulkarni"/>
    <n v="9724039816"/>
    <x v="3"/>
    <x v="2"/>
    <s v="Client Referral"/>
    <x v="5"/>
    <s v="2025-02-24"/>
    <x v="1"/>
    <x v="1"/>
    <x v="3"/>
    <n v="1"/>
    <n v="10"/>
    <s v="2025-04-03"/>
    <x v="3"/>
    <n v="189880"/>
    <m/>
    <m/>
    <x v="2"/>
    <m/>
    <s v="Hot"/>
    <s v="Sample seen at showroom, liked veneer finish"/>
  </r>
  <r>
    <s v="LD1468"/>
    <s v="Umesh Mane"/>
    <n v="9643921929"/>
    <x v="0"/>
    <x v="6"/>
    <s v="Facebook Home Decor Ads"/>
    <x v="12"/>
    <s v="2025-02-24"/>
    <x v="1"/>
    <x v="1"/>
    <x v="3"/>
    <n v="1"/>
    <n v="9"/>
    <s v="2025-04-03"/>
    <x v="2"/>
    <n v="910777"/>
    <m/>
    <m/>
    <x v="2"/>
    <n v="35.799999999999997"/>
    <s v="Cold"/>
    <s v="Not interested anymore"/>
  </r>
  <r>
    <s v="LD1469"/>
    <s v="Rohit Pawar"/>
    <n v="9845962571"/>
    <x v="0"/>
    <x v="2"/>
    <s v="Architect Referral"/>
    <x v="7"/>
    <s v="2025-02-24"/>
    <x v="1"/>
    <x v="1"/>
    <x v="3"/>
    <n v="1"/>
    <n v="5"/>
    <s v="2025-03-14"/>
    <x v="4"/>
    <n v="1464633"/>
    <n v="1369974"/>
    <s v="2025-03-16"/>
    <x v="2"/>
    <n v="8"/>
    <s v="Hot"/>
    <s v="Deal closed, advance received"/>
  </r>
  <r>
    <s v="LD1470"/>
    <s v="Kavita Phule"/>
    <n v="9972064462"/>
    <x v="0"/>
    <x v="3"/>
    <s v="MagicBricks Property Enquiry — Inbound"/>
    <x v="5"/>
    <s v="2025-02-24"/>
    <x v="1"/>
    <x v="1"/>
    <x v="3"/>
    <n v="1"/>
    <n v="8"/>
    <s v="2025-03-14"/>
    <x v="4"/>
    <n v="105103"/>
    <n v="98330"/>
    <s v="2025-03-20"/>
    <x v="1"/>
    <n v="3.1"/>
    <s v="Hot"/>
    <s v="Customer very satisfied, 5 star review given"/>
  </r>
  <r>
    <s v="LD1471"/>
    <s v="Manisha Londhe"/>
    <n v="9589857352"/>
    <x v="4"/>
    <x v="8"/>
    <s v="Instagram Diwali Campaign"/>
    <x v="13"/>
    <s v="2025-02-24"/>
    <x v="1"/>
    <x v="1"/>
    <x v="3"/>
    <n v="1"/>
    <n v="6"/>
    <s v="2025-04-08"/>
    <x v="4"/>
    <n v="1840798"/>
    <n v="1676151"/>
    <s v="2025-04-11"/>
    <x v="2"/>
    <n v="8.3000000000000007"/>
    <s v="Hot"/>
    <s v="Token received, design finalised"/>
  </r>
  <r>
    <s v="LD1472"/>
    <s v="Dinesh Joshi"/>
    <n v="9667952632"/>
    <x v="3"/>
    <x v="2"/>
    <s v="Architect Referral"/>
    <x v="12"/>
    <s v="2025-02-25"/>
    <x v="1"/>
    <x v="1"/>
    <x v="3"/>
    <n v="1"/>
    <n v="2"/>
    <s v="2025-03-08"/>
    <x v="4"/>
    <n v="1122142"/>
    <n v="1031633"/>
    <s v="2025-03-17"/>
    <x v="2"/>
    <n v="15.4"/>
    <s v="Hot"/>
    <s v="Full payment cleared, delivery done"/>
  </r>
  <r>
    <s v="LD1473"/>
    <s v="Ashwini Holkar"/>
    <n v="9914349140"/>
    <x v="0"/>
    <x v="4"/>
    <s v="99acres New Project Enquiry — Inbound"/>
    <x v="8"/>
    <s v="2025-02-25"/>
    <x v="1"/>
    <x v="1"/>
    <x v="3"/>
    <n v="1"/>
    <n v="5"/>
    <s v="2025-03-24"/>
    <x v="3"/>
    <n v="493921"/>
    <m/>
    <m/>
    <x v="1"/>
    <n v="26.1"/>
    <s v="Hot"/>
    <s v="Token amount discussed, decision this week"/>
  </r>
  <r>
    <s v="LD1474"/>
    <s v="Meena Wagh"/>
    <n v="9736579301"/>
    <x v="0"/>
    <x v="0"/>
    <s v="Colony Reference"/>
    <x v="11"/>
    <s v="2025-02-26"/>
    <x v="1"/>
    <x v="1"/>
    <x v="3"/>
    <n v="1"/>
    <n v="0"/>
    <s v="2025-03-10"/>
    <x v="0"/>
    <n v="402148"/>
    <m/>
    <m/>
    <x v="3"/>
    <n v="24.8"/>
    <s v="Cold"/>
    <s v="Lost to competitor - cheaper quote"/>
  </r>
  <r>
    <s v="LD1475"/>
    <s v="Anita Jadhav"/>
    <n v="9178552321"/>
    <x v="4"/>
    <x v="6"/>
    <s v="Facebook Gudi Padwa Offer"/>
    <x v="2"/>
    <s v="2025-02-26"/>
    <x v="1"/>
    <x v="1"/>
    <x v="3"/>
    <n v="1"/>
    <n v="3"/>
    <s v="2025-03-17"/>
    <x v="4"/>
    <n v="199744"/>
    <n v="176187"/>
    <s v="2025-03-23"/>
    <x v="2"/>
    <n v="13.4"/>
    <s v="Hot"/>
    <s v="Deal closed, advance received"/>
  </r>
  <r>
    <s v="LD1476"/>
    <s v="Seema Londhe"/>
    <n v="9276942899"/>
    <x v="2"/>
    <x v="7"/>
    <s v="SEO Organic"/>
    <x v="6"/>
    <s v="2025-02-26"/>
    <x v="1"/>
    <x v="1"/>
    <x v="3"/>
    <n v="1"/>
    <n v="4"/>
    <s v="2025-03-27"/>
    <x v="3"/>
    <n v="273662"/>
    <m/>
    <m/>
    <x v="0"/>
    <n v="22.9"/>
    <s v="Hot"/>
    <s v="Final quote shared, awaiting approval"/>
  </r>
  <r>
    <s v="LD1477"/>
    <s v="Pravin Deshmukh"/>
    <n v="9475877510"/>
    <x v="1"/>
    <x v="2"/>
    <s v="Contractor Referral"/>
    <x v="5"/>
    <s v="2025-02-28"/>
    <x v="1"/>
    <x v="1"/>
    <x v="3"/>
    <n v="1"/>
    <n v="10"/>
    <s v="2025-05-12"/>
    <x v="4"/>
    <n v="271704"/>
    <n v="269771"/>
    <s v="2025-05-30"/>
    <x v="3"/>
    <n v="4.5999999999999996"/>
    <s v="Hot"/>
    <s v="Token paid, measurement done, work started"/>
  </r>
  <r>
    <s v="LD1478"/>
    <s v="Jyoti Kshirsagar"/>
    <n v="9841381731"/>
    <x v="0"/>
    <x v="4"/>
    <s v="99acres Flat Owner Enquiry — Inbound"/>
    <x v="2"/>
    <s v="2025-03-01"/>
    <x v="2"/>
    <x v="2"/>
    <x v="3"/>
    <n v="1"/>
    <n v="6"/>
    <s v="2025-04-16"/>
    <x v="1"/>
    <n v="454468"/>
    <m/>
    <m/>
    <x v="1"/>
    <n v="8.3000000000000007"/>
    <s v="Hot"/>
    <s v="Design presentation done, waiting for confirmation"/>
  </r>
  <r>
    <s v="LD1479"/>
    <s v="Sunanda Suryawanshi"/>
    <n v="9507210819"/>
    <x v="2"/>
    <x v="7"/>
    <s v="Google Ads"/>
    <x v="2"/>
    <s v="2025-03-01"/>
    <x v="2"/>
    <x v="2"/>
    <x v="3"/>
    <n v="1"/>
    <n v="11"/>
    <s v="2025-04-11"/>
    <x v="1"/>
    <n v="359359"/>
    <m/>
    <m/>
    <x v="2"/>
    <n v="6.8"/>
    <s v="Warm"/>
    <s v="Waiting for interior budget approval from family"/>
  </r>
  <r>
    <s v="LD1480"/>
    <s v="Sonal Pawar"/>
    <n v="9704308190"/>
    <x v="1"/>
    <x v="2"/>
    <s v="Neighbour Referral"/>
    <x v="11"/>
    <s v="2025-03-03"/>
    <x v="2"/>
    <x v="2"/>
    <x v="3"/>
    <n v="1"/>
    <n v="11"/>
    <s v="2025-05-09"/>
    <x v="4"/>
    <n v="265891"/>
    <n v="261888"/>
    <s v="2025-05-15"/>
    <x v="2"/>
    <n v="14.7"/>
    <s v="Warm"/>
    <s v="Customer very satisfied, 5 star review given"/>
  </r>
  <r>
    <s v="LD1481"/>
    <s v="Nilesh Patil"/>
    <n v="9649212255"/>
    <x v="0"/>
    <x v="1"/>
    <s v="Justdial Sponsored — Inbound"/>
    <x v="8"/>
    <s v="2025-03-03"/>
    <x v="2"/>
    <x v="2"/>
    <x v="3"/>
    <n v="1"/>
    <n v="5"/>
    <s v="2025-03-26"/>
    <x v="4"/>
    <n v="569769"/>
    <n v="508509"/>
    <s v="2025-04-11"/>
    <x v="2"/>
    <n v="10.4"/>
    <s v="Hot"/>
    <s v="Token received, design finalised"/>
  </r>
  <r>
    <s v="LD1482"/>
    <s v="Nanda Mohite"/>
    <n v="9576890143"/>
    <x v="0"/>
    <x v="2"/>
    <s v="Neighbour Referral"/>
    <x v="2"/>
    <s v="2025-03-03"/>
    <x v="2"/>
    <x v="2"/>
    <x v="3"/>
    <n v="1"/>
    <n v="1"/>
    <s v="2025-03-21"/>
    <x v="4"/>
    <n v="207598"/>
    <n v="204926"/>
    <s v="2025-03-29"/>
    <x v="2"/>
    <n v="1.9"/>
    <s v="Hot"/>
    <s v="Customer happy with sample, deal closed"/>
  </r>
  <r>
    <s v="LD1483"/>
    <s v="Archana Bansode"/>
    <n v="9871770122"/>
    <x v="2"/>
    <x v="8"/>
    <s v="Instagram Before-After Posts"/>
    <x v="10"/>
    <s v="2025-03-03"/>
    <x v="2"/>
    <x v="2"/>
    <x v="3"/>
    <n v="1"/>
    <n v="8"/>
    <s v="2025-04-08"/>
    <x v="0"/>
    <n v="460507"/>
    <m/>
    <m/>
    <x v="1"/>
    <n v="5.9"/>
    <s v="Warm"/>
    <s v="Went with local vendor"/>
  </r>
  <r>
    <s v="LD1484"/>
    <s v="Deepak Holkar"/>
    <n v="9143336417"/>
    <x v="0"/>
    <x v="6"/>
    <s v="Facebook Diwali Offer"/>
    <x v="11"/>
    <s v="2025-03-03"/>
    <x v="2"/>
    <x v="2"/>
    <x v="3"/>
    <n v="1"/>
    <n v="7"/>
    <s v="2025-04-07"/>
    <x v="4"/>
    <n v="195994"/>
    <n v="199777"/>
    <s v="2025-04-18"/>
    <x v="1"/>
    <n v="11.1"/>
    <s v="Hot"/>
    <s v="Deal closed, advance received"/>
  </r>
  <r>
    <s v="LD1485"/>
    <s v="Manoj Sawant"/>
    <n v="9950874426"/>
    <x v="1"/>
    <x v="7"/>
    <s v="Google Ads"/>
    <x v="8"/>
    <s v="2025-03-03"/>
    <x v="2"/>
    <x v="2"/>
    <x v="3"/>
    <n v="1"/>
    <n v="1"/>
    <s v="2025-03-19"/>
    <x v="0"/>
    <n v="701556"/>
    <m/>
    <m/>
    <x v="2"/>
    <n v="4.7"/>
    <s v="Warm"/>
    <s v="Lost to branded competitor"/>
  </r>
  <r>
    <s v="LD1486"/>
    <s v="Varsha Aware"/>
    <n v="9766195088"/>
    <x v="2"/>
    <x v="5"/>
    <s v="Exhibition Walk-in"/>
    <x v="3"/>
    <s v="2025-03-03"/>
    <x v="2"/>
    <x v="2"/>
    <x v="3"/>
    <n v="1"/>
    <n v="7"/>
    <s v="2025-04-07"/>
    <x v="4"/>
    <n v="197504"/>
    <n v="182683"/>
    <s v="2025-04-14"/>
    <x v="0"/>
    <n v="8.8000000000000007"/>
    <s v="Hot"/>
    <s v="Deal closed, advance received"/>
  </r>
  <r>
    <s v="LD1487"/>
    <s v="Anita Bhosale"/>
    <n v="9796641699"/>
    <x v="0"/>
    <x v="6"/>
    <s v="Facebook Home Decor Ads"/>
    <x v="3"/>
    <s v="2025-03-04"/>
    <x v="2"/>
    <x v="2"/>
    <x v="3"/>
    <n v="1"/>
    <m/>
    <s v="2025-05-03"/>
    <x v="0"/>
    <n v="197684"/>
    <m/>
    <m/>
    <x v="0"/>
    <n v="8.6999999999999993"/>
    <s v="Cold"/>
    <s v="Budget mismatch - too low"/>
  </r>
  <r>
    <s v="LD1488"/>
    <s v="Manisha More"/>
    <n v="9367664010"/>
    <x v="3"/>
    <x v="7"/>
    <s v="Google Ads"/>
    <x v="5"/>
    <s v="2025-03-04"/>
    <x v="2"/>
    <x v="2"/>
    <x v="3"/>
    <n v="1"/>
    <n v="12"/>
    <s v="2025-04-25"/>
    <x v="4"/>
    <n v="231552"/>
    <n v="224847"/>
    <s v="2025-04-30"/>
    <x v="3"/>
    <n v="20.5"/>
    <s v="Hot"/>
    <s v="Work order signed, production started"/>
  </r>
  <r>
    <s v="LD1489"/>
    <s v="Pramod Kshirsagar"/>
    <m/>
    <x v="2"/>
    <x v="7"/>
    <s v="Google My Business"/>
    <x v="0"/>
    <s v="2025-03-04"/>
    <x v="2"/>
    <x v="2"/>
    <x v="3"/>
    <n v="1"/>
    <n v="7"/>
    <s v="2025-04-05"/>
    <x v="0"/>
    <n v="398920"/>
    <m/>
    <m/>
    <x v="0"/>
    <n v="23.5"/>
    <s v="Cold"/>
    <s v="Google Ads lead — customer filled form without phone"/>
  </r>
  <r>
    <s v="LD1490"/>
    <s v="Dinesh Bhalerao"/>
    <n v="9166253067"/>
    <x v="1"/>
    <x v="2"/>
    <s v="Contractor Referral"/>
    <x v="8"/>
    <s v="2025-03-04"/>
    <x v="2"/>
    <x v="2"/>
    <x v="3"/>
    <n v="1"/>
    <n v="2"/>
    <s v="2025-03-21"/>
    <x v="3"/>
    <n v="983047"/>
    <m/>
    <m/>
    <x v="1"/>
    <n v="33.9"/>
    <s v="Warm"/>
    <s v="Interested but waiting for loan approval"/>
  </r>
  <r>
    <s v="LD1491"/>
    <s v="Sunil Thorat"/>
    <n v="9730700395"/>
    <x v="3"/>
    <x v="7"/>
    <s v="Website Chat Enquiry"/>
    <x v="14"/>
    <s v="2025-03-04"/>
    <x v="2"/>
    <x v="2"/>
    <x v="3"/>
    <n v="1"/>
    <n v="0"/>
    <s v="2025-03-10"/>
    <x v="1"/>
    <n v="2305206"/>
    <m/>
    <m/>
    <x v="1"/>
    <n v="25.8"/>
    <s v="Hot"/>
    <s v="Final quote shared, awaiting approval"/>
  </r>
  <r>
    <s v="LD1492"/>
    <s v="Nilesh Shinde"/>
    <n v="9900480028"/>
    <x v="1"/>
    <x v="3"/>
    <s v="MagicBricks Property Enquiry — Inbound"/>
    <x v="3"/>
    <s v="2025-03-04"/>
    <x v="2"/>
    <x v="2"/>
    <x v="3"/>
    <n v="1"/>
    <n v="10"/>
    <s v="2025-04-14"/>
    <x v="3"/>
    <n v="265806"/>
    <m/>
    <m/>
    <x v="2"/>
    <n v="10.3"/>
    <s v="Hot"/>
    <s v="Customer visited showroom twice, very interested"/>
  </r>
  <r>
    <s v="LD1493"/>
    <s v="Hemant Patil"/>
    <n v="9569812347"/>
    <x v="4"/>
    <x v="6"/>
    <s v="Facebook Home Decor Ads"/>
    <x v="8"/>
    <s v="2025-03-05"/>
    <x v="2"/>
    <x v="2"/>
    <x v="3"/>
    <n v="1"/>
    <n v="11"/>
    <s v="2025-05-07"/>
    <x v="3"/>
    <n v="988852"/>
    <m/>
    <m/>
    <x v="2"/>
    <n v="14.7"/>
    <s v="Hot"/>
    <s v="Customer comparing 1-2 vendors only"/>
  </r>
  <r>
    <s v="LD1494"/>
    <s v="Ashwini Londhe"/>
    <n v="9824326118"/>
    <x v="4"/>
    <x v="0"/>
    <s v="Family Reference"/>
    <x v="11"/>
    <s v="2025-03-05"/>
    <x v="2"/>
    <x v="2"/>
    <x v="3"/>
    <n v="1"/>
    <n v="2"/>
    <s v="2025-03-15"/>
    <x v="0"/>
    <n v="361961"/>
    <m/>
    <m/>
    <x v="2"/>
    <n v="25.5"/>
    <s v="Cold"/>
    <m/>
  </r>
  <r>
    <s v="LD1495"/>
    <s v="Lata Londhe"/>
    <n v="9412605184"/>
    <x v="2"/>
    <x v="7"/>
    <s v="Google Ads"/>
    <x v="2"/>
    <s v="2025-03-06"/>
    <x v="2"/>
    <x v="2"/>
    <x v="3"/>
    <n v="1"/>
    <n v="1"/>
    <s v="2025-03-10"/>
    <x v="0"/>
    <n v="291235"/>
    <m/>
    <m/>
    <x v="2"/>
    <n v="25.1"/>
    <s v="Cold"/>
    <s v="Customer chose readymade furniture"/>
  </r>
  <r>
    <s v="LD1496"/>
    <s v="Arun Bansode"/>
    <n v="9118247134"/>
    <x v="2"/>
    <x v="8"/>
    <s v="Instagram Before-After Posts"/>
    <x v="13"/>
    <s v="2025-03-06"/>
    <x v="2"/>
    <x v="2"/>
    <x v="3"/>
    <n v="1"/>
    <n v="9"/>
    <s v="2025-05-07"/>
    <x v="0"/>
    <n v="1759298"/>
    <m/>
    <m/>
    <x v="3"/>
    <n v="17.899999999999999"/>
    <s v="Cold"/>
    <s v="No response, marked as lost after 60 days"/>
  </r>
  <r>
    <s v="LD1497"/>
    <s v="Varsha Naik"/>
    <n v="9696096970"/>
    <x v="0"/>
    <x v="2"/>
    <s v="Contractor Referral"/>
    <x v="11"/>
    <s v="2025-03-06"/>
    <x v="2"/>
    <x v="2"/>
    <x v="3"/>
    <n v="1"/>
    <n v="0"/>
    <s v="2025-03-17"/>
    <x v="3"/>
    <n v="382906"/>
    <m/>
    <m/>
    <x v="2"/>
    <n v="6.2"/>
    <s v="Hot"/>
    <m/>
  </r>
  <r>
    <s v="LD1498"/>
    <s v="Rajesh Nikalje"/>
    <n v="9899963146"/>
    <x v="1"/>
    <x v="7"/>
    <s v="Website Chat Enquiry"/>
    <x v="5"/>
    <s v="2025-03-07"/>
    <x v="2"/>
    <x v="2"/>
    <x v="3"/>
    <n v="1"/>
    <n v="12"/>
    <s v="2025-05-15"/>
    <x v="0"/>
    <n v="215685"/>
    <m/>
    <m/>
    <x v="1"/>
    <n v="19.3"/>
    <s v="Cold"/>
    <s v="Lost to competitor - cheaper quote"/>
  </r>
  <r>
    <s v="LD1499"/>
    <s v="Divya Gaikwad"/>
    <n v="9973333566"/>
    <x v="0"/>
    <x v="8"/>
    <s v="Instagram Wardrobe Showcase"/>
    <x v="2"/>
    <s v="2025-03-07"/>
    <x v="2"/>
    <x v="2"/>
    <x v="3"/>
    <n v="1"/>
    <n v="5"/>
    <s v="2025-04-12"/>
    <x v="0"/>
    <n v="380779"/>
    <m/>
    <m/>
    <x v="0"/>
    <n v="8.1"/>
    <s v="Cold"/>
    <s v="Lost to branded competitor"/>
  </r>
  <r>
    <s v="LD1500"/>
    <s v="Umesh Shinde"/>
    <m/>
    <x v="0"/>
    <x v="7"/>
    <s v="Google Ads"/>
    <x v="8"/>
    <s v="2025-03-08"/>
    <x v="2"/>
    <x v="2"/>
    <x v="3"/>
    <n v="1"/>
    <n v="12"/>
    <s v="2025-05-26"/>
    <x v="0"/>
    <n v="539263"/>
    <m/>
    <m/>
    <x v="2"/>
    <n v="25.5"/>
    <s v="Cold"/>
    <s v="Google Ads lead — customer filled form without phone"/>
  </r>
  <r>
    <s v="LD1501"/>
    <s v="Sunil Jadhav"/>
    <n v="9555586900"/>
    <x v="0"/>
    <x v="2"/>
    <s v="Client Referral"/>
    <x v="10"/>
    <s v="2025-03-08"/>
    <x v="2"/>
    <x v="2"/>
    <x v="3"/>
    <n v="1"/>
    <n v="2"/>
    <s v="2025-04-01"/>
    <x v="1"/>
    <n v="512188"/>
    <m/>
    <m/>
    <x v="3"/>
    <n v="31.3"/>
    <s v="Warm"/>
    <s v="Call back after 1 month"/>
  </r>
  <r>
    <s v="LD1502"/>
    <s v="Nikhil Gavhane"/>
    <n v="9453918250"/>
    <x v="2"/>
    <x v="0"/>
    <s v="Colony Reference"/>
    <x v="4"/>
    <s v="2025-03-08"/>
    <x v="2"/>
    <x v="2"/>
    <x v="3"/>
    <n v="1"/>
    <n v="9"/>
    <s v="2025-04-21"/>
    <x v="4"/>
    <n v="301312"/>
    <n v="275809"/>
    <s v="2025-04-24"/>
    <x v="3"/>
    <n v="12.6"/>
    <s v="Hot"/>
    <s v="Work order signed, production started"/>
  </r>
  <r>
    <s v="LD1503"/>
    <s v="Bharati Kadam"/>
    <n v="9326039741"/>
    <x v="3"/>
    <x v="8"/>
    <s v="Instagram Story Ads"/>
    <x v="8"/>
    <s v="2025-03-08"/>
    <x v="2"/>
    <x v="2"/>
    <x v="3"/>
    <n v="1"/>
    <n v="4"/>
    <s v="2025-04-08"/>
    <x v="0"/>
    <n v="908874"/>
    <m/>
    <m/>
    <x v="1"/>
    <n v="35.9"/>
    <s v="Cold"/>
    <s v="Lost to competitor - cheaper quote"/>
  </r>
  <r>
    <s v="LD1504"/>
    <s v="Sonal Zende"/>
    <n v="9368741801"/>
    <x v="0"/>
    <x v="2"/>
    <s v="Neighbour Referral"/>
    <x v="2"/>
    <s v="2025-03-08"/>
    <x v="2"/>
    <x v="2"/>
    <x v="3"/>
    <n v="1"/>
    <n v="5"/>
    <s v="2025-04-16"/>
    <x v="1"/>
    <n v="397661"/>
    <m/>
    <m/>
    <x v="3"/>
    <n v="34.700000000000003"/>
    <s v="Hot"/>
    <s v="Very interested, finalising design"/>
  </r>
  <r>
    <s v="LD1505-DUP"/>
    <s v="Ravi Nimbalkar"/>
    <n v="9609782492"/>
    <x v="0"/>
    <x v="7"/>
    <s v="SEO Organic"/>
    <x v="4"/>
    <s v="2025-03-10"/>
    <x v="2"/>
    <x v="2"/>
    <x v="3"/>
    <n v="1"/>
    <n v="9"/>
    <s v="2025-04-24"/>
    <x v="1"/>
    <n v="137004"/>
    <m/>
    <m/>
    <x v="2"/>
    <n v="31.2"/>
    <s v="Warm"/>
    <m/>
  </r>
  <r>
    <s v="LD1506"/>
    <s v="Sanjay More"/>
    <n v="9688027540"/>
    <x v="3"/>
    <x v="7"/>
    <s v="Website Chat Enquiry"/>
    <x v="12"/>
    <s v="2025-03-10"/>
    <x v="2"/>
    <x v="2"/>
    <x v="3"/>
    <n v="1"/>
    <n v="3"/>
    <s v="2025-04-03"/>
    <x v="1"/>
    <n v="1723767"/>
    <m/>
    <m/>
    <x v="1"/>
    <n v="11"/>
    <s v="Warm"/>
    <s v="Under construction, possession in 3 months"/>
  </r>
  <r>
    <s v="LD1507"/>
    <s v="Sunanda Shelke"/>
    <n v="9279918106"/>
    <x v="0"/>
    <x v="5"/>
    <s v="Site Visit Walk-in"/>
    <x v="8"/>
    <s v="2025-03-10"/>
    <x v="2"/>
    <x v="2"/>
    <x v="3"/>
    <n v="1"/>
    <n v="1"/>
    <s v="2025-03-24"/>
    <x v="3"/>
    <n v="639846"/>
    <m/>
    <m/>
    <x v="1"/>
    <n v="6"/>
    <s v="Hot"/>
    <s v="Measurement done, quote pending approval"/>
  </r>
  <r>
    <s v="LD1508"/>
    <s v="Sanjay Londhe"/>
    <n v="9976784946"/>
    <x v="0"/>
    <x v="7"/>
    <s v="Google Ads"/>
    <x v="7"/>
    <s v="2025-03-10"/>
    <x v="2"/>
    <x v="2"/>
    <x v="3"/>
    <n v="1"/>
    <n v="7"/>
    <s v="2025-04-04"/>
    <x v="3"/>
    <n v="1428785"/>
    <m/>
    <m/>
    <x v="2"/>
    <n v="32"/>
    <s v="Warm"/>
    <s v="Waiting for interior budget approval from family"/>
  </r>
  <r>
    <s v="LD1509"/>
    <s v="Madhuri Phule"/>
    <n v="9760159756"/>
    <x v="0"/>
    <x v="7"/>
    <s v="Website Chat Enquiry"/>
    <x v="8"/>
    <s v="2025-03-10"/>
    <x v="2"/>
    <x v="2"/>
    <x v="3"/>
    <n v="1"/>
    <n v="7"/>
    <s v="2025-04-25"/>
    <x v="4"/>
    <n v="579671"/>
    <n v="527770"/>
    <s v="2025-04-28"/>
    <x v="2"/>
    <n v="15.3"/>
    <s v="Hot"/>
    <s v="Work order signed, production started"/>
  </r>
  <r>
    <s v="LD1510"/>
    <s v="Ravi Nimbalkar"/>
    <n v="9609782492"/>
    <x v="0"/>
    <x v="7"/>
    <s v="SEO Organic"/>
    <x v="4"/>
    <s v="2025-03-10"/>
    <x v="2"/>
    <x v="2"/>
    <x v="3"/>
    <n v="1"/>
    <n v="9"/>
    <s v="2025-04-24"/>
    <x v="1"/>
    <n v="210763"/>
    <m/>
    <m/>
    <x v="2"/>
    <n v="31.2"/>
    <s v="Warm"/>
    <m/>
  </r>
  <r>
    <s v="LD1511"/>
    <s v="Rekha Shinde"/>
    <n v="9470093554"/>
    <x v="4"/>
    <x v="8"/>
    <s v="Instagram Kitchen Reels"/>
    <x v="12"/>
    <s v="2025-03-10"/>
    <x v="2"/>
    <x v="2"/>
    <x v="3"/>
    <n v="1"/>
    <n v="5"/>
    <s v="2025-04-21"/>
    <x v="4"/>
    <n v="1238362"/>
    <n v="1269974"/>
    <s v="2025-04-24"/>
    <x v="0"/>
    <n v="10.9"/>
    <s v="Hot"/>
    <s v="Final payment received, project handed over"/>
  </r>
  <r>
    <s v="LD1512"/>
    <s v="Alka Shelke"/>
    <n v="9455087512"/>
    <x v="3"/>
    <x v="2"/>
    <s v="Client Referral"/>
    <x v="10"/>
    <s v="2025-03-10"/>
    <x v="2"/>
    <x v="2"/>
    <x v="3"/>
    <n v="1"/>
    <n v="10"/>
    <s v="2025-04-21"/>
    <x v="0"/>
    <n v="434844"/>
    <m/>
    <m/>
    <x v="1"/>
    <n v="10.6"/>
    <s v="Cold"/>
    <s v="Lost - no follow up done in time"/>
  </r>
  <r>
    <s v="LD1513"/>
    <s v="Nilesh Holkar"/>
    <n v="9681708414"/>
    <x v="2"/>
    <x v="7"/>
    <s v="Website Chat Enquiry"/>
    <x v="0"/>
    <s v="2025-03-11"/>
    <x v="2"/>
    <x v="2"/>
    <x v="3"/>
    <n v="1"/>
    <n v="9"/>
    <s v="2025-05-03"/>
    <x v="0"/>
    <n v="581569"/>
    <m/>
    <m/>
    <x v="2"/>
    <n v="16.3"/>
    <s v="Cold"/>
    <s v="Customer got work done from relative"/>
  </r>
  <r>
    <s v="LD1514"/>
    <s v="Amit Tupe"/>
    <n v="9324181309"/>
    <x v="3"/>
    <x v="8"/>
    <s v="Instagram Wardrobe Showcase"/>
    <x v="0"/>
    <s v="2025-03-11"/>
    <x v="2"/>
    <x v="2"/>
    <x v="3"/>
    <n v="1"/>
    <n v="5"/>
    <s v="2025-04-11"/>
    <x v="4"/>
    <n v="659319"/>
    <n v="606471"/>
    <s v="2025-04-16"/>
    <x v="1"/>
    <n v="1.3"/>
    <s v="Warm"/>
    <s v="Deal closed, advance received"/>
  </r>
  <r>
    <s v="LD1515"/>
    <s v="Rekha Deshmukh"/>
    <n v="9833919725"/>
    <x v="2"/>
    <x v="8"/>
    <s v="Instagram Wardrobe Showcase"/>
    <x v="2"/>
    <s v="2025-03-11"/>
    <x v="2"/>
    <x v="2"/>
    <x v="3"/>
    <n v="1"/>
    <n v="9"/>
    <s v="2025-05-03"/>
    <x v="1"/>
    <n v="325826"/>
    <m/>
    <m/>
    <x v="2"/>
    <n v="32.799999999999997"/>
    <s v="Warm"/>
    <m/>
  </r>
  <r>
    <s v="LD1516"/>
    <s v="Hemant Bansode"/>
    <n v="9332344317"/>
    <x v="0"/>
    <x v="2"/>
    <s v="Contractor Referral"/>
    <x v="10"/>
    <s v="2025-03-11"/>
    <x v="2"/>
    <x v="2"/>
    <x v="3"/>
    <n v="1"/>
    <n v="12"/>
    <s v="2025-05-12"/>
    <x v="4"/>
    <n v="607901"/>
    <n v="618801"/>
    <s v="2025-06-02"/>
    <x v="2"/>
    <n v="18.2"/>
    <s v="Hot"/>
    <s v="Token paid, measurement done, work started"/>
  </r>
  <r>
    <s v="LD1517"/>
    <s v="Arun Sawant"/>
    <n v="9637997627"/>
    <x v="2"/>
    <x v="4"/>
    <s v="99acres New Project Enquiry — Inbound"/>
    <x v="12"/>
    <s v="2025-03-13"/>
    <x v="2"/>
    <x v="2"/>
    <x v="3"/>
    <n v="1"/>
    <n v="9"/>
    <s v="2025-04-14"/>
    <x v="0"/>
    <n v="1187669"/>
    <m/>
    <m/>
    <x v="1"/>
    <n v="19.5"/>
    <s v="Cold"/>
    <s v="Budget mismatch - too low"/>
  </r>
  <r>
    <s v="LD1518"/>
    <s v="Deepak Mane"/>
    <n v="9458462604"/>
    <x v="0"/>
    <x v="0"/>
    <s v="Family Reference"/>
    <x v="11"/>
    <s v="2025-03-13"/>
    <x v="2"/>
    <x v="2"/>
    <x v="3"/>
    <n v="1"/>
    <n v="7"/>
    <s v="2025-04-28"/>
    <x v="4"/>
    <n v="413088"/>
    <n v="397533"/>
    <s v="2025-05-18"/>
    <x v="0"/>
    <n v="35.9"/>
    <s v="Hot"/>
    <s v="Deal closed, advance received"/>
  </r>
  <r>
    <s v="LD1519"/>
    <s v="Archana Londhe"/>
    <n v="9338224905"/>
    <x v="0"/>
    <x v="1"/>
    <s v="Justdial Free Listing — Inbound"/>
    <x v="12"/>
    <s v="2025-03-13"/>
    <x v="2"/>
    <x v="2"/>
    <x v="3"/>
    <n v="1"/>
    <n v="11"/>
    <s v="2025-04-04"/>
    <x v="4"/>
    <n v="1109135"/>
    <n v="1055950"/>
    <s v="2025-04-19"/>
    <x v="1"/>
    <n v="10"/>
    <s v="Hot"/>
    <s v="Deal done, site work ongoing"/>
  </r>
  <r>
    <s v="LD1520"/>
    <s v="Vikas Mane"/>
    <n v="9494795773"/>
    <x v="4"/>
    <x v="8"/>
    <s v="Instagram Wardrobe Showcase"/>
    <x v="12"/>
    <s v="2025-03-13"/>
    <x v="2"/>
    <x v="2"/>
    <x v="3"/>
    <n v="1"/>
    <n v="6"/>
    <s v="2025-04-17"/>
    <x v="0"/>
    <n v="1651687"/>
    <m/>
    <m/>
    <x v="0"/>
    <n v="34.700000000000003"/>
    <s v="Cold"/>
    <s v="Lost - no follow up done in time"/>
  </r>
  <r>
    <s v="LD1521"/>
    <s v="Ashwini Mohite"/>
    <n v="9470663396"/>
    <x v="0"/>
    <x v="2"/>
    <s v="Neighbour Referral"/>
    <x v="8"/>
    <s v="2025-03-14"/>
    <x v="2"/>
    <x v="2"/>
    <x v="3"/>
    <n v="1"/>
    <n v="6"/>
    <s v="2025-04-09"/>
    <x v="1"/>
    <n v="604650"/>
    <m/>
    <m/>
    <x v="1"/>
    <n v="3.6"/>
    <s v="Warm"/>
    <s v="Under construction, possession in 3 months"/>
  </r>
  <r>
    <s v="LD1522"/>
    <s v="Sunil Sonawane"/>
    <n v="9965493516"/>
    <x v="0"/>
    <x v="2"/>
    <s v="Neighbour Referral"/>
    <x v="2"/>
    <s v="2025-03-14"/>
    <x v="2"/>
    <x v="2"/>
    <x v="3"/>
    <n v="1"/>
    <n v="0"/>
    <s v="2025-03-24"/>
    <x v="3"/>
    <n v="183355"/>
    <m/>
    <m/>
    <x v="0"/>
    <n v="3.9"/>
    <s v="Hot"/>
    <s v="Site visit done, quotation shared"/>
  </r>
  <r>
    <s v="LD1523"/>
    <s v="Divya Kadam"/>
    <n v="9656692246"/>
    <x v="0"/>
    <x v="7"/>
    <s v="SEO Organic"/>
    <x v="7"/>
    <s v="2025-03-14"/>
    <x v="2"/>
    <x v="2"/>
    <x v="3"/>
    <n v="1"/>
    <n v="0"/>
    <s v="2025-03-24"/>
    <x v="1"/>
    <n v="979757"/>
    <m/>
    <m/>
    <x v="3"/>
    <n v="33.9"/>
    <s v="Hot"/>
    <s v="Token amount discussed, decision this week"/>
  </r>
  <r>
    <s v="LD1524"/>
    <s v="Arun Suryawanshi"/>
    <n v="9467867499"/>
    <x v="0"/>
    <x v="8"/>
    <s v="Instagram Story Ads"/>
    <x v="9"/>
    <s v="2025-03-14"/>
    <x v="2"/>
    <x v="2"/>
    <x v="3"/>
    <n v="1"/>
    <n v="5"/>
    <s v="2025-04-16"/>
    <x v="0"/>
    <n v="521687"/>
    <m/>
    <m/>
    <x v="3"/>
    <n v="18.100000000000001"/>
    <s v="Cold"/>
    <s v="Lost to branded competitor"/>
  </r>
  <r>
    <s v="LD1525"/>
    <s v="Nilesh Shinde"/>
    <n v="9954444866"/>
    <x v="1"/>
    <x v="1"/>
    <s v="Justdial Sponsored — Inbound"/>
    <x v="1"/>
    <s v="2025-03-15"/>
    <x v="2"/>
    <x v="2"/>
    <x v="3"/>
    <n v="1"/>
    <n v="4"/>
    <s v="2025-04-07"/>
    <x v="4"/>
    <n v="370462"/>
    <n v="369122"/>
    <s v="2025-04-25"/>
    <x v="2"/>
    <n v="12.3"/>
    <s v="Warm"/>
    <s v="Customer referred 2 more leads after delivery"/>
  </r>
  <r>
    <s v="LD1526"/>
    <s v="Pravin Thorat"/>
    <n v="9805769648"/>
    <x v="4"/>
    <x v="6"/>
    <s v="Facebook Home Decor Ads"/>
    <x v="8"/>
    <s v="2025-03-15"/>
    <x v="2"/>
    <x v="2"/>
    <x v="3"/>
    <n v="1"/>
    <n v="12"/>
    <s v="2025-04-16"/>
    <x v="1"/>
    <n v="552825"/>
    <m/>
    <m/>
    <x v="3"/>
    <n v="11.9"/>
    <s v="Cold"/>
    <s v="Duplicate enquiry"/>
  </r>
  <r>
    <s v="LD1527"/>
    <s v="Rajesh Nikalje"/>
    <n v="9956342071"/>
    <x v="3"/>
    <x v="6"/>
    <s v="Facebook Kitchen Showcase"/>
    <x v="12"/>
    <s v="2025-03-15"/>
    <x v="2"/>
    <x v="2"/>
    <x v="3"/>
    <n v="1"/>
    <n v="0"/>
    <s v="2025-03-22"/>
    <x v="0"/>
    <n v="1456837"/>
    <m/>
    <m/>
    <x v="3"/>
    <n v="21.4"/>
    <s v="Cold"/>
    <s v="Project cancelled by customer"/>
  </r>
  <r>
    <s v="LD1528"/>
    <s v="Sanjay Nikalje"/>
    <n v="9406801200"/>
    <x v="0"/>
    <x v="2"/>
    <s v="Architect Referral"/>
    <x v="0"/>
    <s v="2025-03-15"/>
    <x v="2"/>
    <x v="2"/>
    <x v="3"/>
    <n v="1"/>
    <n v="11"/>
    <s v="2025-04-14"/>
    <x v="4"/>
    <n v="642360"/>
    <n v="606349"/>
    <s v="2025-04-21"/>
    <x v="2"/>
    <n v="31"/>
    <s v="Hot"/>
    <s v="Token paid, measurement done, work started"/>
  </r>
  <r>
    <s v="LD1529"/>
    <s v="Alka Phule"/>
    <n v="9902837921"/>
    <x v="2"/>
    <x v="6"/>
    <s v="Facebook Home Decor Ads"/>
    <x v="12"/>
    <s v="2025-03-15"/>
    <x v="2"/>
    <x v="2"/>
    <x v="3"/>
    <n v="1"/>
    <n v="0"/>
    <s v="2025-03-25"/>
    <x v="4"/>
    <n v="1710415"/>
    <n v="1703506"/>
    <s v="2025-04-04"/>
    <x v="1"/>
    <n v="22.4"/>
    <s v="Hot"/>
    <s v="Work order signed, production started"/>
  </r>
  <r>
    <s v="LD1530"/>
    <s v="Meena Bansode"/>
    <n v="9749140639"/>
    <x v="4"/>
    <x v="2"/>
    <s v="Contractor Referral"/>
    <x v="8"/>
    <s v="2025-03-17"/>
    <x v="2"/>
    <x v="2"/>
    <x v="3"/>
    <n v="1"/>
    <n v="3"/>
    <s v="2025-04-04"/>
    <x v="1"/>
    <n v="922083"/>
    <m/>
    <m/>
    <x v="0"/>
    <n v="16.5"/>
    <s v="Warm"/>
    <s v="Follow up after Diwali"/>
  </r>
  <r>
    <s v="LD1531"/>
    <s v="Pravin Holkar"/>
    <n v="9629454290"/>
    <x v="2"/>
    <x v="8"/>
    <s v="Instagram Story Ads"/>
    <x v="6"/>
    <s v="2025-03-17"/>
    <x v="2"/>
    <x v="2"/>
    <x v="3"/>
    <n v="1"/>
    <n v="4"/>
    <s v="2025-04-21"/>
    <x v="4"/>
    <n v="279445"/>
    <n v="281110"/>
    <s v="2025-05-01"/>
    <x v="0"/>
    <n v="6.1"/>
    <s v="Hot"/>
    <m/>
  </r>
  <r>
    <s v="LD1532"/>
    <s v="Jyoti Patil"/>
    <n v="9789868119"/>
    <x v="0"/>
    <x v="7"/>
    <s v="SEO Organic"/>
    <x v="7"/>
    <s v="2025-03-17"/>
    <x v="2"/>
    <x v="2"/>
    <x v="3"/>
    <n v="1"/>
    <n v="1"/>
    <s v="2025-03-26"/>
    <x v="0"/>
    <n v="1087718"/>
    <m/>
    <m/>
    <x v="1"/>
    <n v="29.8"/>
    <s v="Cold"/>
    <s v="Lost to competitor - cheaper quote"/>
  </r>
  <r>
    <s v="LD1533"/>
    <s v="Nilesh Londhe"/>
    <n v="9358897885"/>
    <x v="1"/>
    <x v="8"/>
    <s v="Instagram Kitchen Reels"/>
    <x v="10"/>
    <s v="2025-03-17"/>
    <x v="2"/>
    <x v="2"/>
    <x v="3"/>
    <n v="1"/>
    <n v="11"/>
    <s v="2025-05-22"/>
    <x v="4"/>
    <n v="229996"/>
    <n v="230063"/>
    <s v="2025-05-26"/>
    <x v="0"/>
    <n v="9.6999999999999993"/>
    <s v="Warm"/>
    <s v="Customer happy with sample, deal closed"/>
  </r>
  <r>
    <s v="LD1534"/>
    <s v="Manoj Mohite"/>
    <n v="9957440249"/>
    <x v="0"/>
    <x v="2"/>
    <s v="Architect Referral"/>
    <x v="2"/>
    <s v="2025-03-17"/>
    <x v="2"/>
    <x v="2"/>
    <x v="3"/>
    <n v="1"/>
    <n v="3"/>
    <s v="2025-04-11"/>
    <x v="4"/>
    <n v="370432"/>
    <n v="361503"/>
    <s v="2025-05-01"/>
    <x v="1"/>
    <n v="12.7"/>
    <s v="Hot"/>
    <m/>
  </r>
  <r>
    <s v="LD1535"/>
    <s v="Manisha Deshmukh"/>
    <n v="9468583030"/>
    <x v="2"/>
    <x v="7"/>
    <s v="Website Chat Enquiry"/>
    <x v="0"/>
    <s v="2025-03-18"/>
    <x v="2"/>
    <x v="2"/>
    <x v="3"/>
    <n v="1"/>
    <n v="3"/>
    <s v="2025-04-12"/>
    <x v="1"/>
    <n v="616081"/>
    <m/>
    <m/>
    <x v="2"/>
    <n v="31.4"/>
    <s v="Hot"/>
    <s v="Customer comparing 1-2 vendors only"/>
  </r>
  <r>
    <s v="LD1536"/>
    <s v="Bharati Salve"/>
    <n v="9692769282"/>
    <x v="2"/>
    <x v="6"/>
    <s v="Facebook Kitchen Showcase"/>
    <x v="3"/>
    <s v="2025-03-18"/>
    <x v="2"/>
    <x v="2"/>
    <x v="3"/>
    <n v="1"/>
    <n v="12"/>
    <s v="2025-05-16"/>
    <x v="4"/>
    <n v="72571"/>
    <n v="69066"/>
    <s v="2025-05-27"/>
    <x v="2"/>
    <n v="14.9"/>
    <s v="Hot"/>
    <s v="Deal done, site work ongoing"/>
  </r>
  <r>
    <s v="LD1537"/>
    <s v="Ganesh Shelke"/>
    <n v="9142341383"/>
    <x v="2"/>
    <x v="6"/>
    <s v="Facebook Kitchen Showcase"/>
    <x v="2"/>
    <s v="2025-03-18"/>
    <x v="2"/>
    <x v="2"/>
    <x v="3"/>
    <n v="1"/>
    <n v="9"/>
    <s v="2025-04-11"/>
    <x v="0"/>
    <n v="562872"/>
    <m/>
    <m/>
    <x v="0"/>
    <n v="1.4"/>
    <s v="Warm"/>
    <s v="No response, marked as lost after 60 days"/>
  </r>
  <r>
    <s v="LD1538"/>
    <s v="Sonal Kadam"/>
    <n v="9368557996"/>
    <x v="3"/>
    <x v="4"/>
    <s v="99acres New Project Enquiry — Inbound"/>
    <x v="2"/>
    <s v="2025-03-20"/>
    <x v="2"/>
    <x v="2"/>
    <x v="3"/>
    <n v="1"/>
    <n v="7"/>
    <s v="2025-05-01"/>
    <x v="1"/>
    <n v="457508"/>
    <m/>
    <m/>
    <x v="1"/>
    <n v="11.3"/>
    <s v="Hot"/>
    <s v="Sample seen at showroom, liked veneer finish"/>
  </r>
  <r>
    <s v="LD1539"/>
    <s v="Shweta Shinde"/>
    <n v="9595474385"/>
    <x v="2"/>
    <x v="2"/>
    <s v="Architect Referral"/>
    <x v="0"/>
    <s v="2025-03-20"/>
    <x v="2"/>
    <x v="2"/>
    <x v="3"/>
    <n v="1"/>
    <n v="7"/>
    <s v="2025-04-19"/>
    <x v="4"/>
    <n v="658191"/>
    <n v="621449"/>
    <s v="2025-04-28"/>
    <x v="3"/>
    <n v="6.6"/>
    <s v="Hot"/>
    <s v="Deal closed, advance received"/>
  </r>
  <r>
    <s v="LD1540"/>
    <s v="Santosh Raut"/>
    <m/>
    <x v="0"/>
    <x v="3"/>
    <s v="MagicBricks Enquiry — Inbound"/>
    <x v="5"/>
    <s v="2025-03-21"/>
    <x v="2"/>
    <x v="2"/>
    <x v="3"/>
    <n v="1"/>
    <n v="6"/>
    <s v="2025-04-09"/>
    <x v="0"/>
    <n v="152186"/>
    <m/>
    <m/>
    <x v="3"/>
    <n v="28.8"/>
    <s v="Cold"/>
    <s v="MagicBricks enquiry — number masked, customer did not unlock"/>
  </r>
  <r>
    <s v="LD1541"/>
    <s v="Sonal Kakade"/>
    <n v="9511863583"/>
    <x v="3"/>
    <x v="7"/>
    <s v="Website Chat Enquiry"/>
    <x v="11"/>
    <s v="2025-03-21"/>
    <x v="2"/>
    <x v="2"/>
    <x v="3"/>
    <n v="1"/>
    <n v="4"/>
    <s v="2025-04-28"/>
    <x v="1"/>
    <n v="474330"/>
    <m/>
    <m/>
    <x v="0"/>
    <n v="35.6"/>
    <s v="Cold"/>
    <s v="Budget too low for our range"/>
  </r>
  <r>
    <s v="LD1542"/>
    <s v="Ashwini Phule"/>
    <n v="9128894028"/>
    <x v="3"/>
    <x v="1"/>
    <s v="Justdial Premium Listing — Inbound"/>
    <x v="10"/>
    <s v="2025-03-21"/>
    <x v="2"/>
    <x v="2"/>
    <x v="3"/>
    <n v="1"/>
    <n v="5"/>
    <s v="2025-04-16"/>
    <x v="4"/>
    <n v="235000"/>
    <n v="218959"/>
    <s v="2025-05-06"/>
    <x v="0"/>
    <n v="1.9"/>
    <s v="Hot"/>
    <m/>
  </r>
  <r>
    <s v="LD1543"/>
    <s v="Manisha Kakade"/>
    <n v="9607870785"/>
    <x v="0"/>
    <x v="2"/>
    <s v="Contractor Referral"/>
    <x v="2"/>
    <s v="2025-03-21"/>
    <x v="2"/>
    <x v="2"/>
    <x v="3"/>
    <n v="1"/>
    <n v="3"/>
    <s v="2025-04-05"/>
    <x v="4"/>
    <n v="374805"/>
    <n v="346039"/>
    <s v="2025-04-14"/>
    <x v="1"/>
    <n v="34.4"/>
    <s v="Hot"/>
    <s v="Deal done, site work ongoing"/>
  </r>
  <r>
    <s v="LD1544"/>
    <s v="Lata Sawant"/>
    <n v="9590236437"/>
    <x v="0"/>
    <x v="2"/>
    <s v="Architect Referral"/>
    <x v="5"/>
    <s v="2025-03-21"/>
    <x v="2"/>
    <x v="2"/>
    <x v="3"/>
    <n v="1"/>
    <n v="1"/>
    <s v="2025-04-03"/>
    <x v="4"/>
    <n v="324618"/>
    <n v="300368"/>
    <s v="2025-04-18"/>
    <x v="0"/>
    <n v="23.6"/>
    <s v="Warm"/>
    <s v="Full payment cleared, delivery done"/>
  </r>
  <r>
    <s v="LD1545"/>
    <s v="Archana Sonawane"/>
    <n v="9925269638"/>
    <x v="0"/>
    <x v="8"/>
    <s v="Instagram Story Ads"/>
    <x v="5"/>
    <s v="2025-03-21"/>
    <x v="2"/>
    <x v="2"/>
    <x v="3"/>
    <n v="1"/>
    <n v="2"/>
    <s v="2025-04-09"/>
    <x v="0"/>
    <n v="159585"/>
    <m/>
    <m/>
    <x v="1"/>
    <n v="6.5"/>
    <s v="Cold"/>
    <s v="Project cancelled by customer"/>
  </r>
  <r>
    <s v="LD1546"/>
    <s v="Smita Pawar"/>
    <n v="9402625182"/>
    <x v="3"/>
    <x v="8"/>
    <s v="Instagram Story Ads"/>
    <x v="9"/>
    <s v="2025-03-22"/>
    <x v="2"/>
    <x v="2"/>
    <x v="3"/>
    <n v="1"/>
    <n v="4"/>
    <s v="2025-04-23"/>
    <x v="1"/>
    <n v="489763"/>
    <m/>
    <m/>
    <x v="1"/>
    <n v="26.7"/>
    <s v="Hot"/>
    <s v="Ready to proceed, discussing payment terms"/>
  </r>
  <r>
    <s v="LD1547"/>
    <s v="Suresh Kakade"/>
    <n v="9619980604"/>
    <x v="2"/>
    <x v="6"/>
    <s v="Facebook Kitchen Showcase"/>
    <x v="4"/>
    <s v="2025-03-22"/>
    <x v="2"/>
    <x v="2"/>
    <x v="3"/>
    <n v="1"/>
    <n v="8"/>
    <s v="2025-04-19"/>
    <x v="0"/>
    <n v="388935"/>
    <m/>
    <m/>
    <x v="3"/>
    <n v="30.7"/>
    <s v="Warm"/>
    <s v="Lost to branded competitor"/>
  </r>
  <r>
    <s v="LD1548"/>
    <s v="Sunanda Deshmukh"/>
    <n v="9798828107"/>
    <x v="0"/>
    <x v="2"/>
    <s v="Architect Referral"/>
    <x v="10"/>
    <s v="2025-03-24"/>
    <x v="2"/>
    <x v="2"/>
    <x v="3"/>
    <n v="1"/>
    <n v="0"/>
    <s v="2025-04-02"/>
    <x v="3"/>
    <n v="268008"/>
    <m/>
    <m/>
    <x v="1"/>
    <n v="4.7"/>
    <s v="Warm"/>
    <s v="Waiting for interior budget approval from family"/>
  </r>
  <r>
    <s v="LD1549"/>
    <s v="Ravi Suryawanshi"/>
    <n v="9439408512"/>
    <x v="4"/>
    <x v="2"/>
    <s v="Client Referral"/>
    <x v="2"/>
    <s v="2025-03-24"/>
    <x v="2"/>
    <x v="2"/>
    <x v="3"/>
    <n v="1"/>
    <n v="10"/>
    <s v="2025-05-17"/>
    <x v="4"/>
    <n v="199687"/>
    <n v="182497"/>
    <s v="2025-06-05"/>
    <x v="1"/>
    <n v="3.2"/>
    <s v="Hot"/>
    <m/>
  </r>
  <r>
    <s v="LD1550"/>
    <s v="Sachin Londhe"/>
    <n v="9855960167"/>
    <x v="2"/>
    <x v="2"/>
    <s v="Contractor Referral"/>
    <x v="5"/>
    <s v="2025-03-24"/>
    <x v="2"/>
    <x v="2"/>
    <x v="3"/>
    <n v="1"/>
    <n v="11"/>
    <s v="2025-04-22"/>
    <x v="0"/>
    <n v="118005"/>
    <m/>
    <m/>
    <x v="3"/>
    <n v="34.4"/>
    <s v="Cold"/>
    <s v="Lost - no follow up done in time"/>
  </r>
  <r>
    <s v="LD1551"/>
    <s v="Rohit Wagh"/>
    <n v="9319788155"/>
    <x v="3"/>
    <x v="7"/>
    <s v="Website Chat Enquiry"/>
    <x v="12"/>
    <s v="2025-03-24"/>
    <x v="2"/>
    <x v="2"/>
    <x v="3"/>
    <n v="1"/>
    <n v="6"/>
    <s v="2025-04-09"/>
    <x v="3"/>
    <n v="1466094"/>
    <m/>
    <m/>
    <x v="1"/>
    <n v="34.799999999999997"/>
    <s v="Warm"/>
    <s v="Customer interested, flat handover next month"/>
  </r>
  <r>
    <s v="LD1552"/>
    <s v="Kiran Shelke"/>
    <n v="9619962837"/>
    <x v="0"/>
    <x v="2"/>
    <s v="Neighbour Referral"/>
    <x v="2"/>
    <s v="2025-03-24"/>
    <x v="2"/>
    <x v="2"/>
    <x v="3"/>
    <n v="1"/>
    <n v="4"/>
    <s v="2025-04-23"/>
    <x v="2"/>
    <n v="435208"/>
    <m/>
    <m/>
    <x v="1"/>
    <n v="14.7"/>
    <s v="Cold"/>
    <s v="Price too high as per customer"/>
  </r>
  <r>
    <s v="LD1553"/>
    <s v="Manisha Phule"/>
    <n v="9644725216"/>
    <x v="0"/>
    <x v="3"/>
    <s v="MagicBricks Property Enquiry — Inbound"/>
    <x v="1"/>
    <s v="2025-03-25"/>
    <x v="2"/>
    <x v="2"/>
    <x v="3"/>
    <n v="1"/>
    <n v="0"/>
    <s v="2025-04-02"/>
    <x v="2"/>
    <n v="235480"/>
    <m/>
    <m/>
    <x v="2"/>
    <n v="14"/>
    <s v="Cold"/>
    <s v="Not interested anymore"/>
  </r>
  <r>
    <s v="LD1554"/>
    <s v="Devendra Sawant"/>
    <n v="9448297368"/>
    <x v="0"/>
    <x v="2"/>
    <s v="Contractor Referral"/>
    <x v="2"/>
    <s v="2025-03-25"/>
    <x v="2"/>
    <x v="2"/>
    <x v="3"/>
    <n v="1"/>
    <n v="10"/>
    <s v="2025-06-04"/>
    <x v="3"/>
    <n v="394322"/>
    <m/>
    <m/>
    <x v="1"/>
    <n v="25.2"/>
    <s v="Warm"/>
    <s v="Follow up after flat possession"/>
  </r>
  <r>
    <s v="LD1555"/>
    <s v="Archana Kale"/>
    <n v="9698565155"/>
    <x v="4"/>
    <x v="1"/>
    <s v="Justdial Premium Listing — Inbound"/>
    <x v="7"/>
    <s v="2025-03-25"/>
    <x v="2"/>
    <x v="2"/>
    <x v="3"/>
    <n v="1"/>
    <n v="10"/>
    <s v="2025-05-03"/>
    <x v="4"/>
    <n v="1100401"/>
    <n v="1001425"/>
    <s v="2025-05-05"/>
    <x v="0"/>
    <n v="31.4"/>
    <s v="Hot"/>
    <s v="Token paid, measurement done, work started"/>
  </r>
  <r>
    <s v="LD1556"/>
    <s v="Dinesh Nimbalkar"/>
    <n v="9681515528"/>
    <x v="0"/>
    <x v="5"/>
    <s v="Site Visit Walk-in"/>
    <x v="5"/>
    <s v="2025-03-25"/>
    <x v="2"/>
    <x v="2"/>
    <x v="3"/>
    <n v="1"/>
    <n v="2"/>
    <s v="2025-04-14"/>
    <x v="4"/>
    <n v="352781"/>
    <n v="331181"/>
    <s v="2025-05-01"/>
    <x v="3"/>
    <n v="19.100000000000001"/>
    <s v="Warm"/>
    <s v="Full payment cleared, delivery done"/>
  </r>
  <r>
    <s v="LD1557"/>
    <s v="Sunita Mane"/>
    <n v="9542311553"/>
    <x v="0"/>
    <x v="8"/>
    <s v="Instagram Diwali Campaign"/>
    <x v="13"/>
    <s v="2025-03-25"/>
    <x v="2"/>
    <x v="2"/>
    <x v="3"/>
    <n v="1"/>
    <n v="0"/>
    <s v="2025-04-08"/>
    <x v="3"/>
    <n v="1589611"/>
    <m/>
    <m/>
    <x v="2"/>
    <n v="20.8"/>
    <s v="Warm"/>
    <s v="Budget discussion pending"/>
  </r>
  <r>
    <s v="LD1558"/>
    <s v="Archana Sonawane"/>
    <n v="9294397388"/>
    <x v="4"/>
    <x v="2"/>
    <s v="Architect Referral"/>
    <x v="2"/>
    <s v="2025-03-26"/>
    <x v="2"/>
    <x v="2"/>
    <x v="3"/>
    <n v="1"/>
    <n v="10"/>
    <s v="2025-06-02"/>
    <x v="1"/>
    <n v="379868"/>
    <m/>
    <m/>
    <x v="3"/>
    <n v="25.1"/>
    <s v="Hot"/>
    <s v="Token amount discussed, decision this week"/>
  </r>
  <r>
    <s v="LD1559"/>
    <s v="Devendra Bhosale"/>
    <n v="9628219455"/>
    <x v="3"/>
    <x v="2"/>
    <s v="Contractor Referral"/>
    <x v="1"/>
    <s v="2025-03-26"/>
    <x v="2"/>
    <x v="2"/>
    <x v="3"/>
    <n v="1"/>
    <n v="11"/>
    <s v="2025-05-12"/>
    <x v="1"/>
    <n v="360915"/>
    <m/>
    <m/>
    <x v="1"/>
    <n v="24.4"/>
    <s v="Warm"/>
    <s v="New flat, moving in after 2 months"/>
  </r>
  <r>
    <s v="LD1560"/>
    <s v="Lata Kulkarni"/>
    <n v="9926025260"/>
    <x v="4"/>
    <x v="8"/>
    <s v="Instagram Before-After Posts"/>
    <x v="8"/>
    <s v="2025-03-27"/>
    <x v="2"/>
    <x v="2"/>
    <x v="3"/>
    <n v="1"/>
    <n v="11"/>
    <s v="2025-05-07"/>
    <x v="4"/>
    <n v="636896"/>
    <n v="570429"/>
    <s v="2025-05-20"/>
    <x v="2"/>
    <n v="13.8"/>
    <s v="Hot"/>
    <s v="Work order signed, production started"/>
  </r>
  <r>
    <s v="LD1561"/>
    <s v="Vijay Raut"/>
    <n v="9288387941"/>
    <x v="4"/>
    <x v="2"/>
    <s v="Client Referral"/>
    <x v="7"/>
    <s v="2025-03-28"/>
    <x v="2"/>
    <x v="2"/>
    <x v="3"/>
    <n v="1"/>
    <n v="5"/>
    <s v="2025-05-02"/>
    <x v="4"/>
    <n v="1398478"/>
    <n v="1311343"/>
    <s v="2025-05-12"/>
    <x v="1"/>
    <n v="28.3"/>
    <s v="Hot"/>
    <s v="Final payment received, project handed over"/>
  </r>
  <r>
    <s v="LD1562"/>
    <s v="Santosh Kale"/>
    <n v="9701842597"/>
    <x v="4"/>
    <x v="7"/>
    <s v="Website Chat Enquiry"/>
    <x v="5"/>
    <s v="2025-03-28"/>
    <x v="2"/>
    <x v="2"/>
    <x v="3"/>
    <n v="1"/>
    <n v="8"/>
    <s v="2025-05-17"/>
    <x v="2"/>
    <n v="243326"/>
    <m/>
    <m/>
    <x v="1"/>
    <n v="17.600000000000001"/>
    <s v="Cold"/>
    <m/>
  </r>
  <r>
    <s v="LD1563"/>
    <s v="Jyoti Shelke"/>
    <n v="9989841411"/>
    <x v="2"/>
    <x v="8"/>
    <s v="Instagram Wardrobe Showcase"/>
    <x v="2"/>
    <s v="2025-03-28"/>
    <x v="2"/>
    <x v="2"/>
    <x v="3"/>
    <n v="1"/>
    <n v="3"/>
    <s v="2025-04-21"/>
    <x v="4"/>
    <n v="382005"/>
    <n v="370260"/>
    <s v="2025-05-08"/>
    <x v="1"/>
    <n v="28.3"/>
    <s v="Hot"/>
    <s v="Deal done, site work ongoing"/>
  </r>
  <r>
    <s v="LD1564"/>
    <s v="Santosh Phule"/>
    <m/>
    <x v="3"/>
    <x v="6"/>
    <s v="Facebook Diwali Offer"/>
    <x v="13"/>
    <s v="2025-03-29"/>
    <x v="2"/>
    <x v="2"/>
    <x v="3"/>
    <n v="1"/>
    <n v="11"/>
    <s v="2025-05-29"/>
    <x v="2"/>
    <n v="1894356"/>
    <m/>
    <m/>
    <x v="0"/>
    <n v="33.4"/>
    <s v="Cold"/>
    <s v="Facebook enquiry — no phone shared in form"/>
  </r>
  <r>
    <s v="LD1565"/>
    <s v="Shweta Shelke"/>
    <n v="9697394405"/>
    <x v="4"/>
    <x v="5"/>
    <s v="Exhibition Walk-in"/>
    <x v="13"/>
    <s v="2025-03-29"/>
    <x v="2"/>
    <x v="2"/>
    <x v="3"/>
    <n v="1"/>
    <n v="6"/>
    <s v="2025-04-11"/>
    <x v="4"/>
    <n v="1576236"/>
    <n v="1490299"/>
    <s v="2025-04-15"/>
    <x v="0"/>
    <n v="24.8"/>
    <s v="Hot"/>
    <s v="Work order signed, production started"/>
  </r>
  <r>
    <s v="LD1566"/>
    <s v="Manisha Suryawanshi"/>
    <n v="9861626451"/>
    <x v="3"/>
    <x v="0"/>
    <s v="Colony Reference"/>
    <x v="8"/>
    <s v="2025-03-29"/>
    <x v="2"/>
    <x v="2"/>
    <x v="3"/>
    <n v="1"/>
    <n v="2"/>
    <s v="2025-04-07"/>
    <x v="0"/>
    <n v="458455"/>
    <m/>
    <m/>
    <x v="2"/>
    <n v="23.9"/>
    <s v="Cold"/>
    <s v="No response, marked as lost after 60 days"/>
  </r>
  <r>
    <s v="LD1567"/>
    <s v="Pravin Phule"/>
    <n v="9603309832"/>
    <x v="2"/>
    <x v="2"/>
    <s v="Contractor Referral"/>
    <x v="7"/>
    <s v="2025-03-29"/>
    <x v="2"/>
    <x v="2"/>
    <x v="3"/>
    <n v="1"/>
    <n v="11"/>
    <s v="2025-06-07"/>
    <x v="1"/>
    <n v="809253"/>
    <m/>
    <m/>
    <x v="0"/>
    <n v="18.899999999999999"/>
    <s v="Hot"/>
    <s v="Very interested, finalising design"/>
  </r>
  <r>
    <s v="LD1568"/>
    <s v="Mahesh Londhe"/>
    <n v="9632964809"/>
    <x v="1"/>
    <x v="2"/>
    <s v="Client Referral"/>
    <x v="7"/>
    <s v="2025-03-31"/>
    <x v="2"/>
    <x v="2"/>
    <x v="3"/>
    <n v="1"/>
    <n v="0"/>
    <s v="2025-04-08"/>
    <x v="1"/>
    <n v="1309133"/>
    <m/>
    <m/>
    <x v="0"/>
    <n v="20.8"/>
    <s v="Cold"/>
    <s v="Not responding to calls"/>
  </r>
  <r>
    <s v="LD1569"/>
    <s v="Rohit Aware"/>
    <n v="9979171439"/>
    <x v="0"/>
    <x v="6"/>
    <s v="Facebook Kitchen Showcase"/>
    <x v="7"/>
    <s v="2025-03-31"/>
    <x v="2"/>
    <x v="2"/>
    <x v="3"/>
    <n v="1"/>
    <n v="1"/>
    <s v="2025-04-16"/>
    <x v="3"/>
    <n v="1073823"/>
    <m/>
    <m/>
    <x v="0"/>
    <n v="2.6"/>
    <s v="Warm"/>
    <s v="Customer interested, flat handover next month"/>
  </r>
  <r>
    <s v="LD1570"/>
    <s v="Santosh Wagh"/>
    <n v="9559289592"/>
    <x v="0"/>
    <x v="8"/>
    <s v="Instagram Gudi Padwa Special"/>
    <x v="1"/>
    <s v="2025-03-31"/>
    <x v="2"/>
    <x v="2"/>
    <x v="3"/>
    <n v="1"/>
    <n v="4"/>
    <s v="2025-04-19"/>
    <x v="1"/>
    <n v="177752"/>
    <m/>
    <m/>
    <x v="0"/>
    <n v="21.6"/>
    <s v="Cold"/>
    <s v="No call back after site visit"/>
  </r>
  <r>
    <s v="LD1571"/>
    <s v="Kiran Kshirsagar"/>
    <n v="9674085777"/>
    <x v="2"/>
    <x v="2"/>
    <s v="Neighbour Referral"/>
    <x v="13"/>
    <s v="2025-03-31"/>
    <x v="2"/>
    <x v="2"/>
    <x v="3"/>
    <n v="1"/>
    <n v="4"/>
    <s v="2025-04-26"/>
    <x v="0"/>
    <n v="1824826"/>
    <m/>
    <m/>
    <x v="0"/>
    <n v="30.6"/>
    <s v="Warm"/>
    <s v="Lost to branded competitor"/>
  </r>
  <r>
    <s v="LD1572"/>
    <s v="Sonal Bansode"/>
    <n v="9708384780"/>
    <x v="2"/>
    <x v="8"/>
    <s v="Instagram Wardrobe Showcase"/>
    <x v="5"/>
    <s v="2025-03-31"/>
    <x v="2"/>
    <x v="2"/>
    <x v="3"/>
    <n v="1"/>
    <n v="10"/>
    <s v="2025-06-04"/>
    <x v="0"/>
    <n v="294718"/>
    <m/>
    <m/>
    <x v="0"/>
    <n v="28.9"/>
    <s v="Cold"/>
    <s v="Project cancelled by customer"/>
  </r>
  <r>
    <s v="LD1573"/>
    <s v="Dinesh Nimbalkar"/>
    <n v="9436684605"/>
    <x v="2"/>
    <x v="7"/>
    <s v="Google Ads"/>
    <x v="1"/>
    <s v="2025-03-31"/>
    <x v="2"/>
    <x v="2"/>
    <x v="3"/>
    <n v="1"/>
    <n v="5"/>
    <s v="2025-04-19"/>
    <x v="1"/>
    <n v="200619"/>
    <m/>
    <m/>
    <x v="2"/>
    <n v="33.5"/>
    <s v="Cold"/>
    <s v="Budget too low for our range"/>
  </r>
  <r>
    <s v="LD1574"/>
    <s v="Manoj Zende"/>
    <n v="9477172425"/>
    <x v="0"/>
    <x v="7"/>
    <s v="Google My Business"/>
    <x v="0"/>
    <s v="2025-04-02"/>
    <x v="3"/>
    <x v="3"/>
    <x v="3"/>
    <n v="2"/>
    <n v="3"/>
    <s v="2025-04-14"/>
    <x v="0"/>
    <n v="628248"/>
    <m/>
    <m/>
    <x v="1"/>
    <n v="26.4"/>
    <s v="Cold"/>
    <s v="No response, marked as lost after 60 days"/>
  </r>
  <r>
    <s v="LD1575"/>
    <s v="Manisha Bansode"/>
    <n v="9529518874"/>
    <x v="4"/>
    <x v="5"/>
    <s v="Exhibition Walk-in"/>
    <x v="13"/>
    <s v="2025-04-03"/>
    <x v="3"/>
    <x v="3"/>
    <x v="3"/>
    <n v="2"/>
    <n v="9"/>
    <s v="2025-05-26"/>
    <x v="0"/>
    <n v="1711629"/>
    <m/>
    <m/>
    <x v="1"/>
    <n v="27.8"/>
    <s v="Cold"/>
    <s v="Budget mismatch - too low"/>
  </r>
  <r>
    <s v="LD1576"/>
    <s v="Anita Nikalje"/>
    <n v="9863546214"/>
    <x v="0"/>
    <x v="7"/>
    <s v="Website Chat Enquiry"/>
    <x v="4"/>
    <s v="2025-04-04"/>
    <x v="3"/>
    <x v="3"/>
    <x v="3"/>
    <n v="2"/>
    <n v="3"/>
    <s v="2025-04-15"/>
    <x v="3"/>
    <n v="135346"/>
    <m/>
    <m/>
    <x v="1"/>
    <n v="8.6999999999999993"/>
    <s v="Cold"/>
    <s v="Budget too low for our range"/>
  </r>
  <r>
    <s v="LD1577"/>
    <s v="Devendra Bansode"/>
    <n v="9788108468"/>
    <x v="2"/>
    <x v="7"/>
    <s v="Google My Business"/>
    <x v="11"/>
    <s v="2025-04-04"/>
    <x v="3"/>
    <x v="3"/>
    <x v="3"/>
    <n v="2"/>
    <n v="6"/>
    <s v="2025-05-22"/>
    <x v="4"/>
    <n v="159977"/>
    <n v="164104"/>
    <s v="2025-06-03"/>
    <x v="2"/>
    <n v="29.5"/>
    <s v="Hot"/>
    <s v="Deal done, site work ongoing"/>
  </r>
  <r>
    <s v="LD1578"/>
    <s v="Alka Suryawanshi"/>
    <n v="9145778616"/>
    <x v="1"/>
    <x v="4"/>
    <s v="99acres Flat Owner Enquiry — Inbound"/>
    <x v="2"/>
    <s v="2025-04-05"/>
    <x v="3"/>
    <x v="3"/>
    <x v="3"/>
    <n v="2"/>
    <n v="1"/>
    <s v="2025-04-19"/>
    <x v="3"/>
    <n v="573341"/>
    <m/>
    <m/>
    <x v="0"/>
    <n v="33.9"/>
    <s v="Warm"/>
    <s v="Under construction, possession in 3 months"/>
  </r>
  <r>
    <s v="LD1579"/>
    <s v="Sonal Bhosale"/>
    <m/>
    <x v="0"/>
    <x v="7"/>
    <s v="Google Ads"/>
    <x v="4"/>
    <s v="2025-04-05"/>
    <x v="3"/>
    <x v="3"/>
    <x v="3"/>
    <n v="2"/>
    <n v="5"/>
    <s v="2025-04-28"/>
    <x v="2"/>
    <n v="336102"/>
    <m/>
    <m/>
    <x v="0"/>
    <n v="8.6"/>
    <s v="Warm"/>
    <s v="Website contact form submitted, no phone given"/>
  </r>
  <r>
    <s v="LD1580"/>
    <s v="Sanjay Pawar"/>
    <n v="9994319108"/>
    <x v="1"/>
    <x v="5"/>
    <s v="Exhibition Walk-in"/>
    <x v="8"/>
    <s v="2025-04-07"/>
    <x v="3"/>
    <x v="3"/>
    <x v="3"/>
    <n v="2"/>
    <n v="12"/>
    <s v="2025-06-20"/>
    <x v="4"/>
    <n v="713303"/>
    <n v="708651"/>
    <s v="2025-07-08"/>
    <x v="0"/>
    <n v="25.2"/>
    <s v="Warm"/>
    <s v="Full payment cleared, delivery done"/>
  </r>
  <r>
    <s v="LD1581"/>
    <s v="Rohit Jadhav"/>
    <n v="9558666619"/>
    <x v="2"/>
    <x v="4"/>
    <s v="99acres Flat Owner Enquiry — Inbound"/>
    <x v="12"/>
    <s v="2025-04-07"/>
    <x v="3"/>
    <x v="3"/>
    <x v="3"/>
    <n v="2"/>
    <n v="5"/>
    <s v="2025-05-15"/>
    <x v="0"/>
    <n v="1539002"/>
    <m/>
    <m/>
    <x v="1"/>
    <n v="19.899999999999999"/>
    <s v="Warm"/>
    <s v="Went with local vendor"/>
  </r>
  <r>
    <s v="LD1582"/>
    <s v="Rekha More"/>
    <n v="9847642896"/>
    <x v="4"/>
    <x v="1"/>
    <s v="Justdial Premium Listing — Inbound"/>
    <x v="4"/>
    <s v="2025-04-07"/>
    <x v="3"/>
    <x v="3"/>
    <x v="3"/>
    <n v="2"/>
    <n v="8"/>
    <s v="2025-05-28"/>
    <x v="0"/>
    <n v="191572"/>
    <m/>
    <m/>
    <x v="3"/>
    <n v="19.399999999999999"/>
    <s v="Cold"/>
    <s v="Went with local vendor"/>
  </r>
  <r>
    <s v="LD1583"/>
    <s v="Mahesh Suryawanshi"/>
    <n v="9280114633"/>
    <x v="0"/>
    <x v="1"/>
    <s v="Justdial Free Listing — Inbound"/>
    <x v="0"/>
    <s v="2025-04-07"/>
    <x v="3"/>
    <x v="3"/>
    <x v="3"/>
    <n v="2"/>
    <n v="6"/>
    <s v="2025-05-14"/>
    <x v="1"/>
    <n v="681178"/>
    <m/>
    <m/>
    <x v="1"/>
    <n v="34"/>
    <s v="Warm"/>
    <s v="Call back after 1 month"/>
  </r>
  <r>
    <s v="LD1584"/>
    <s v="Divya Sawant"/>
    <n v="9111962073"/>
    <x v="4"/>
    <x v="2"/>
    <s v="Neighbour Referral"/>
    <x v="12"/>
    <s v="2025-04-08"/>
    <x v="3"/>
    <x v="3"/>
    <x v="3"/>
    <n v="2"/>
    <n v="4"/>
    <s v="2025-04-18"/>
    <x v="3"/>
    <n v="943916"/>
    <m/>
    <m/>
    <x v="1"/>
    <n v="5.6"/>
    <s v="Warm"/>
    <s v="Call back after 1 month"/>
  </r>
  <r>
    <s v="LD1585"/>
    <s v="Pravin Aware"/>
    <n v="9595226894"/>
    <x v="2"/>
    <x v="7"/>
    <s v="SEO Organic"/>
    <x v="10"/>
    <s v="2025-04-08"/>
    <x v="3"/>
    <x v="3"/>
    <x v="3"/>
    <n v="2"/>
    <n v="9"/>
    <s v="2025-05-29"/>
    <x v="3"/>
    <n v="392965"/>
    <m/>
    <m/>
    <x v="2"/>
    <n v="25"/>
    <s v="Hot"/>
    <s v="Sample seen at showroom, liked veneer finish"/>
  </r>
  <r>
    <s v="LD1586"/>
    <s v="Mahesh Gaikwad"/>
    <n v="9632935024"/>
    <x v="3"/>
    <x v="2"/>
    <s v="Neighbour Referral"/>
    <x v="4"/>
    <s v="2025-04-08"/>
    <x v="3"/>
    <x v="3"/>
    <x v="3"/>
    <n v="2"/>
    <n v="12"/>
    <s v="2025-06-12"/>
    <x v="4"/>
    <n v="298976"/>
    <n v="303840"/>
    <s v="2025-06-23"/>
    <x v="1"/>
    <n v="27.1"/>
    <s v="Hot"/>
    <s v="Token paid, measurement done, work started"/>
  </r>
  <r>
    <s v="LD1587"/>
    <s v="Dinesh Londhe"/>
    <n v="9567592829"/>
    <x v="0"/>
    <x v="2"/>
    <s v="Neighbour Referral"/>
    <x v="10"/>
    <s v="2025-04-10"/>
    <x v="3"/>
    <x v="3"/>
    <x v="3"/>
    <n v="2"/>
    <n v="8"/>
    <s v="2025-06-02"/>
    <x v="4"/>
    <n v="292480"/>
    <n v="301052"/>
    <s v="2025-06-15"/>
    <x v="1"/>
    <n v="10.8"/>
    <s v="Warm"/>
    <s v="Token paid, measurement done, work started"/>
  </r>
  <r>
    <s v="LD1588"/>
    <s v="Smita More"/>
    <n v="9137008242"/>
    <x v="4"/>
    <x v="2"/>
    <s v="Architect Referral"/>
    <x v="0"/>
    <s v="2025-04-11"/>
    <x v="3"/>
    <x v="3"/>
    <x v="3"/>
    <n v="2"/>
    <n v="6"/>
    <s v="2025-05-02"/>
    <x v="1"/>
    <n v="741262"/>
    <m/>
    <m/>
    <x v="1"/>
    <n v="13.7"/>
    <s v="Hot"/>
    <s v="Very interested, finalising design"/>
  </r>
  <r>
    <s v="LD1589"/>
    <s v="Hemant Jadhav"/>
    <n v="9541009421"/>
    <x v="2"/>
    <x v="8"/>
    <s v="Instagram Wardrobe Showcase"/>
    <x v="9"/>
    <s v="2025-04-11"/>
    <x v="3"/>
    <x v="3"/>
    <x v="3"/>
    <n v="2"/>
    <n v="4"/>
    <s v="2025-05-19"/>
    <x v="4"/>
    <n v="194439"/>
    <n v="198828"/>
    <s v="2025-05-27"/>
    <x v="1"/>
    <n v="31.1"/>
    <s v="Warm"/>
    <s v="Customer referred 2 more leads after delivery"/>
  </r>
  <r>
    <s v="LD1590"/>
    <s v="Meena Londhe"/>
    <n v="9201658540"/>
    <x v="2"/>
    <x v="8"/>
    <s v="Instagram Kitchen Reels"/>
    <x v="0"/>
    <s v="2025-04-11"/>
    <x v="3"/>
    <x v="3"/>
    <x v="3"/>
    <n v="2"/>
    <n v="0"/>
    <s v="2025-04-14"/>
    <x v="4"/>
    <n v="901843"/>
    <n v="905050"/>
    <s v="2025-04-21"/>
    <x v="2"/>
    <n v="18.899999999999999"/>
    <s v="Hot"/>
    <s v="Final payment received, project handed over"/>
  </r>
  <r>
    <s v="LD1591"/>
    <s v="Devendra Naik"/>
    <n v="9879351567"/>
    <x v="0"/>
    <x v="2"/>
    <s v="Architect Referral"/>
    <x v="12"/>
    <s v="2025-04-11"/>
    <x v="3"/>
    <x v="3"/>
    <x v="3"/>
    <n v="2"/>
    <n v="8"/>
    <s v="2025-05-24"/>
    <x v="1"/>
    <n v="1679391"/>
    <m/>
    <m/>
    <x v="1"/>
    <n v="21.9"/>
    <s v="Cold"/>
    <s v="No call back after site visit"/>
  </r>
  <r>
    <s v="LD1592"/>
    <s v="Ashwini More"/>
    <n v="9339609781"/>
    <x v="1"/>
    <x v="8"/>
    <s v="Instagram Gudi Padwa Special"/>
    <x v="2"/>
    <s v="2025-04-12"/>
    <x v="3"/>
    <x v="3"/>
    <x v="3"/>
    <n v="2"/>
    <n v="6"/>
    <s v="2025-04-30"/>
    <x v="1"/>
    <n v="477974"/>
    <m/>
    <m/>
    <x v="0"/>
    <n v="15.9"/>
    <s v="Warm"/>
    <s v="Budget discussion pending"/>
  </r>
  <r>
    <s v="LD1593"/>
    <s v="Ravi Bhalerao"/>
    <n v="9795197878"/>
    <x v="1"/>
    <x v="0"/>
    <s v="Colony Reference"/>
    <x v="9"/>
    <s v="2025-04-12"/>
    <x v="3"/>
    <x v="3"/>
    <x v="3"/>
    <n v="2"/>
    <n v="4"/>
    <s v="2025-04-22"/>
    <x v="4"/>
    <n v="228435"/>
    <n v="207885"/>
    <s v="2025-05-05"/>
    <x v="3"/>
    <n v="25.9"/>
    <s v="Hot"/>
    <s v="Token received, design finalised"/>
  </r>
  <r>
    <s v="LD1594"/>
    <s v="Pravin Gaikwad"/>
    <n v="9422667659"/>
    <x v="4"/>
    <x v="7"/>
    <s v="Google My Business"/>
    <x v="8"/>
    <s v="2025-04-12"/>
    <x v="3"/>
    <x v="3"/>
    <x v="3"/>
    <n v="2"/>
    <n v="2"/>
    <s v="2025-05-01"/>
    <x v="3"/>
    <n v="914263"/>
    <m/>
    <m/>
    <x v="1"/>
    <n v="10.5"/>
    <s v="Warm"/>
    <s v="Call back after 1 month"/>
  </r>
  <r>
    <s v="LD1595"/>
    <s v="Sanjay Sawant"/>
    <n v="9258395879"/>
    <x v="4"/>
    <x v="5"/>
    <s v="Site Visit Walk-in"/>
    <x v="8"/>
    <s v="2025-04-14"/>
    <x v="3"/>
    <x v="3"/>
    <x v="3"/>
    <n v="2"/>
    <n v="2"/>
    <s v="2025-04-28"/>
    <x v="0"/>
    <n v="774160"/>
    <m/>
    <m/>
    <x v="0"/>
    <n v="29.7"/>
    <s v="Cold"/>
    <s v="Customer did not proceed with project"/>
  </r>
  <r>
    <s v="LD1596"/>
    <s v="Divya Sawant"/>
    <n v="9759901484"/>
    <x v="4"/>
    <x v="2"/>
    <s v="Client Referral"/>
    <x v="8"/>
    <s v="2025-04-14"/>
    <x v="3"/>
    <x v="3"/>
    <x v="3"/>
    <n v="2"/>
    <n v="1"/>
    <s v="2025-04-26"/>
    <x v="4"/>
    <n v="844877"/>
    <n v="809062"/>
    <s v="2025-05-02"/>
    <x v="1"/>
    <n v="2.8"/>
    <s v="Warm"/>
    <s v="Customer referred 2 more leads after delivery"/>
  </r>
  <r>
    <s v="LD1597"/>
    <s v="Jyoti Suryawanshi"/>
    <n v="9395103366"/>
    <x v="2"/>
    <x v="8"/>
    <s v="Instagram Story Ads"/>
    <x v="7"/>
    <s v="2025-04-14"/>
    <x v="3"/>
    <x v="3"/>
    <x v="3"/>
    <n v="2"/>
    <n v="3"/>
    <s v="2025-05-07"/>
    <x v="2"/>
    <n v="837963"/>
    <m/>
    <m/>
    <x v="2"/>
    <n v="28.2"/>
    <s v="Cold"/>
    <m/>
  </r>
  <r>
    <s v="LD1598"/>
    <s v="Divya Tupe"/>
    <n v="9848106289"/>
    <x v="1"/>
    <x v="8"/>
    <s v="Instagram Wardrobe Showcase"/>
    <x v="11"/>
    <s v="2025-04-14"/>
    <x v="3"/>
    <x v="3"/>
    <x v="3"/>
    <n v="2"/>
    <n v="4"/>
    <s v="2025-05-17"/>
    <x v="0"/>
    <n v="260701"/>
    <m/>
    <m/>
    <x v="1"/>
    <n v="25.6"/>
    <s v="Cold"/>
    <m/>
  </r>
  <r>
    <s v="LD1599"/>
    <s v="Varsha Chavan"/>
    <n v="9534930325"/>
    <x v="1"/>
    <x v="6"/>
    <s v="Facebook Home Decor Ads"/>
    <x v="13"/>
    <s v="2025-04-15"/>
    <x v="3"/>
    <x v="3"/>
    <x v="3"/>
    <n v="2"/>
    <n v="0"/>
    <s v="2025-04-21"/>
    <x v="1"/>
    <n v="1896792"/>
    <m/>
    <m/>
    <x v="1"/>
    <n v="4.5999999999999996"/>
    <s v="Hot"/>
    <s v="Ready to proceed, discussing payment terms"/>
  </r>
  <r>
    <s v="LD1600"/>
    <s v="Umesh Londhe"/>
    <n v="9997194472"/>
    <x v="3"/>
    <x v="4"/>
    <s v="99acres Flat Owner Enquiry — Inbound"/>
    <x v="8"/>
    <s v="2025-04-15"/>
    <x v="3"/>
    <x v="3"/>
    <x v="3"/>
    <n v="2"/>
    <n v="2"/>
    <s v="2025-04-29"/>
    <x v="3"/>
    <n v="939212"/>
    <m/>
    <m/>
    <x v="1"/>
    <n v="23.3"/>
    <s v="Warm"/>
    <s v="Waiting for interior budget approval from family"/>
  </r>
  <r>
    <s v="LD1601"/>
    <s v="Rajesh Bhosale"/>
    <n v="9624944510"/>
    <x v="0"/>
    <x v="5"/>
    <s v="Exhibition Walk-in"/>
    <x v="4"/>
    <s v="2025-04-15"/>
    <x v="3"/>
    <x v="3"/>
    <x v="3"/>
    <n v="2"/>
    <n v="9"/>
    <s v="2025-05-19"/>
    <x v="1"/>
    <n v="157869"/>
    <m/>
    <m/>
    <x v="1"/>
    <n v="13.4"/>
    <s v="Warm"/>
    <s v="Interested but waiting for loan approval"/>
  </r>
  <r>
    <s v="LD1602"/>
    <s v="Ravi More"/>
    <n v="9489840536"/>
    <x v="3"/>
    <x v="2"/>
    <s v="Architect Referral"/>
    <x v="13"/>
    <s v="2025-04-15"/>
    <x v="3"/>
    <x v="3"/>
    <x v="3"/>
    <n v="2"/>
    <n v="10"/>
    <s v="2025-06-05"/>
    <x v="0"/>
    <n v="1619195"/>
    <m/>
    <m/>
    <x v="1"/>
    <n v="32"/>
    <s v="Cold"/>
    <s v="Customer got work done from relative"/>
  </r>
  <r>
    <s v="LD1603"/>
    <s v="Nanda Nikalje"/>
    <n v="9647403478"/>
    <x v="0"/>
    <x v="8"/>
    <s v="Instagram Wardrobe Showcase"/>
    <x v="9"/>
    <s v="2025-04-15"/>
    <x v="3"/>
    <x v="3"/>
    <x v="3"/>
    <n v="2"/>
    <n v="0"/>
    <s v="2025-04-21"/>
    <x v="3"/>
    <n v="477115"/>
    <m/>
    <m/>
    <x v="1"/>
    <n v="8"/>
    <s v="Hot"/>
    <m/>
  </r>
  <r>
    <s v="LD1604"/>
    <s v="Vijay Bhalerao"/>
    <n v="9131131342"/>
    <x v="0"/>
    <x v="7"/>
    <s v="SEO Organic"/>
    <x v="10"/>
    <s v="2025-04-16"/>
    <x v="3"/>
    <x v="3"/>
    <x v="3"/>
    <n v="2"/>
    <n v="6"/>
    <s v="2025-05-01"/>
    <x v="3"/>
    <n v="436437"/>
    <m/>
    <m/>
    <x v="3"/>
    <n v="27.8"/>
    <s v="Warm"/>
    <s v="Interested but waiting for loan approval"/>
  </r>
  <r>
    <s v="LD1605"/>
    <s v="Pooja Suryawanshi"/>
    <n v="9873969007"/>
    <x v="0"/>
    <x v="7"/>
    <s v="Website Chat Enquiry"/>
    <x v="7"/>
    <s v="2025-04-16"/>
    <x v="3"/>
    <x v="3"/>
    <x v="3"/>
    <n v="2"/>
    <n v="11"/>
    <s v="2025-05-19"/>
    <x v="0"/>
    <n v="774051"/>
    <m/>
    <m/>
    <x v="0"/>
    <n v="14.7"/>
    <s v="Warm"/>
    <s v="Customer chose readymade furniture"/>
  </r>
  <r>
    <s v="LD1606"/>
    <s v="Smita Tupe"/>
    <n v="9773344310"/>
    <x v="4"/>
    <x v="2"/>
    <s v="Contractor Referral"/>
    <x v="2"/>
    <s v="2025-04-16"/>
    <x v="3"/>
    <x v="3"/>
    <x v="3"/>
    <n v="2"/>
    <n v="10"/>
    <s v="2025-06-06"/>
    <x v="4"/>
    <n v="486149"/>
    <n v="438940"/>
    <s v="2025-06-21"/>
    <x v="1"/>
    <n v="22.5"/>
    <s v="Hot"/>
    <s v="Customer referred 2 more leads after delivery"/>
  </r>
  <r>
    <s v="LD1607"/>
    <s v="Prashant Londhe"/>
    <n v="9892542863"/>
    <x v="0"/>
    <x v="8"/>
    <s v="Instagram Kitchen Reels"/>
    <x v="12"/>
    <s v="2025-04-16"/>
    <x v="3"/>
    <x v="3"/>
    <x v="3"/>
    <n v="2"/>
    <n v="11"/>
    <s v="2025-06-03"/>
    <x v="0"/>
    <n v="1545584"/>
    <m/>
    <m/>
    <x v="1"/>
    <n v="19.3"/>
    <s v="Cold"/>
    <s v="Project cancelled by customer"/>
  </r>
  <r>
    <s v="LD1608"/>
    <s v="Bharati Nikalje"/>
    <n v="9490751319"/>
    <x v="0"/>
    <x v="4"/>
    <s v="99acres New Project Enquiry — Inbound"/>
    <x v="9"/>
    <s v="2025-04-16"/>
    <x v="3"/>
    <x v="3"/>
    <x v="3"/>
    <n v="2"/>
    <n v="9"/>
    <s v="2025-05-12"/>
    <x v="2"/>
    <n v="382615"/>
    <m/>
    <m/>
    <x v="0"/>
    <n v="33.200000000000003"/>
    <s v="Cold"/>
    <s v="Budget too low for our range"/>
  </r>
  <r>
    <s v="LD1609"/>
    <s v="Archana Sonawane"/>
    <n v="9281351053"/>
    <x v="2"/>
    <x v="6"/>
    <s v="Facebook Kitchen Showcase"/>
    <x v="5"/>
    <s v="2025-04-18"/>
    <x v="3"/>
    <x v="3"/>
    <x v="3"/>
    <n v="2"/>
    <n v="5"/>
    <s v="2025-05-07"/>
    <x v="0"/>
    <n v="85015"/>
    <m/>
    <m/>
    <x v="1"/>
    <n v="0.5"/>
    <s v="Cold"/>
    <s v="Went with local vendor"/>
  </r>
  <r>
    <s v="LD1610"/>
    <s v="Madhuri Gavhane"/>
    <n v="9750934690"/>
    <x v="0"/>
    <x v="2"/>
    <s v="Neighbour Referral"/>
    <x v="13"/>
    <s v="2025-04-18"/>
    <x v="3"/>
    <x v="3"/>
    <x v="3"/>
    <n v="2"/>
    <n v="4"/>
    <s v="2025-05-06"/>
    <x v="0"/>
    <n v="1914181"/>
    <m/>
    <m/>
    <x v="3"/>
    <n v="8.9"/>
    <s v="Cold"/>
    <s v="Went with local vendor"/>
  </r>
  <r>
    <s v="LD1611"/>
    <s v="Ashwini Yadav"/>
    <n v="9196166978"/>
    <x v="0"/>
    <x v="8"/>
    <s v="Instagram Kitchen Reels"/>
    <x v="0"/>
    <s v="2025-04-19"/>
    <x v="3"/>
    <x v="3"/>
    <x v="3"/>
    <n v="2"/>
    <n v="7"/>
    <s v="2025-06-12"/>
    <x v="4"/>
    <n v="821675"/>
    <n v="838483"/>
    <s v="2025-06-14"/>
    <x v="0"/>
    <n v="28.1"/>
    <s v="Warm"/>
    <s v="Customer happy with sample, deal closed"/>
  </r>
  <r>
    <s v="LD1612"/>
    <s v="Sanjay Jadhav"/>
    <n v="9564230567"/>
    <x v="0"/>
    <x v="8"/>
    <s v="Instagram Wardrobe Showcase"/>
    <x v="7"/>
    <s v="2025-04-21"/>
    <x v="3"/>
    <x v="3"/>
    <x v="3"/>
    <n v="2"/>
    <n v="0"/>
    <s v="2025-04-24"/>
    <x v="1"/>
    <n v="746086"/>
    <m/>
    <m/>
    <x v="0"/>
    <n v="24.5"/>
    <s v="Hot"/>
    <s v="Measurement done, quote pending approval"/>
  </r>
  <r>
    <s v="LD1613"/>
    <s v="Shweta Naik"/>
    <n v="9635948640"/>
    <x v="4"/>
    <x v="3"/>
    <s v="MagicBricks Enquiry — Inbound"/>
    <x v="13"/>
    <s v="2025-04-21"/>
    <x v="3"/>
    <x v="3"/>
    <x v="3"/>
    <n v="2"/>
    <n v="1"/>
    <s v="2025-04-29"/>
    <x v="3"/>
    <n v="1957717"/>
    <m/>
    <m/>
    <x v="1"/>
    <n v="35.9"/>
    <s v="Cold"/>
    <s v="No call back after site visit"/>
  </r>
  <r>
    <s v="LD1614"/>
    <s v="Sunita Suryawanshi"/>
    <n v="9265377971"/>
    <x v="2"/>
    <x v="2"/>
    <s v="Contractor Referral"/>
    <x v="5"/>
    <s v="2025-04-21"/>
    <x v="3"/>
    <x v="3"/>
    <x v="3"/>
    <n v="2"/>
    <n v="10"/>
    <s v="2025-06-03"/>
    <x v="0"/>
    <n v="262597"/>
    <m/>
    <m/>
    <x v="3"/>
    <n v="4.5"/>
    <s v="Cold"/>
    <s v="Customer chose readymade furniture"/>
  </r>
  <r>
    <s v="LD1615"/>
    <s v="Sunanda Chavan"/>
    <n v="9526374925"/>
    <x v="4"/>
    <x v="2"/>
    <s v="Client Referral"/>
    <x v="3"/>
    <s v="2025-04-21"/>
    <x v="3"/>
    <x v="3"/>
    <x v="3"/>
    <n v="2"/>
    <n v="2"/>
    <s v="2025-04-30"/>
    <x v="3"/>
    <n v="198508"/>
    <m/>
    <m/>
    <x v="1"/>
    <n v="30.3"/>
    <s v="Warm"/>
    <s v="Budget discussion pending"/>
  </r>
  <r>
    <s v="LD1616"/>
    <s v="Ashwini Kadam"/>
    <n v="9739047308"/>
    <x v="0"/>
    <x v="5"/>
    <s v="Exhibition Walk-in"/>
    <x v="0"/>
    <s v="2025-04-21"/>
    <x v="3"/>
    <x v="3"/>
    <x v="3"/>
    <n v="2"/>
    <n v="5"/>
    <s v="2025-05-26"/>
    <x v="4"/>
    <n v="514529"/>
    <n v="478708"/>
    <s v="2025-06-11"/>
    <x v="0"/>
    <n v="21.7"/>
    <s v="Hot"/>
    <s v="Customer referred 2 more leads after delivery"/>
  </r>
  <r>
    <s v="LD1617"/>
    <s v="Sonal Suryawanshi"/>
    <n v="9115380459"/>
    <x v="2"/>
    <x v="0"/>
    <s v="Friend Reference"/>
    <x v="3"/>
    <s v="2025-04-21"/>
    <x v="3"/>
    <x v="3"/>
    <x v="3"/>
    <n v="2"/>
    <n v="4"/>
    <s v="2025-05-23"/>
    <x v="4"/>
    <n v="232982"/>
    <n v="236926"/>
    <s v="2025-06-06"/>
    <x v="0"/>
    <n v="14.7"/>
    <s v="Warm"/>
    <s v="Final payment received, project handed over"/>
  </r>
  <r>
    <s v="LD1618"/>
    <s v="Pooja Naik"/>
    <n v="9928573268"/>
    <x v="0"/>
    <x v="6"/>
    <s v="Facebook Kitchen Showcase"/>
    <x v="2"/>
    <s v="2025-04-21"/>
    <x v="3"/>
    <x v="3"/>
    <x v="3"/>
    <n v="2"/>
    <n v="5"/>
    <s v="2025-05-10"/>
    <x v="2"/>
    <n v="506314"/>
    <m/>
    <m/>
    <x v="2"/>
    <n v="7.4"/>
    <s v="Warm"/>
    <m/>
  </r>
  <r>
    <s v="LD1619"/>
    <s v="Kavita Mohite"/>
    <n v="9106319796"/>
    <x v="3"/>
    <x v="4"/>
    <s v="99acres Flat Owner Enquiry — Inbound"/>
    <x v="10"/>
    <s v="2025-04-21"/>
    <x v="3"/>
    <x v="3"/>
    <x v="3"/>
    <n v="2"/>
    <n v="12"/>
    <s v="2025-05-19"/>
    <x v="3"/>
    <n v="276827"/>
    <m/>
    <m/>
    <x v="1"/>
    <n v="3.7"/>
    <s v="Hot"/>
    <s v="Measurement done, quote pending approval"/>
  </r>
  <r>
    <s v="LD1620"/>
    <s v="Vijay Nikalje"/>
    <n v="9673032343"/>
    <x v="2"/>
    <x v="2"/>
    <s v="Client Referral"/>
    <x v="1"/>
    <s v="2025-04-21"/>
    <x v="3"/>
    <x v="3"/>
    <x v="3"/>
    <n v="2"/>
    <n v="8"/>
    <s v="2025-05-10"/>
    <x v="4"/>
    <n v="264418"/>
    <n v="256530"/>
    <s v="2025-05-23"/>
    <x v="1"/>
    <n v="27.9"/>
    <s v="Warm"/>
    <s v="Customer referred 2 more leads after delivery"/>
  </r>
  <r>
    <s v="LD1621"/>
    <s v="Shweta Kale"/>
    <n v="9943826924"/>
    <x v="4"/>
    <x v="1"/>
    <s v="Justdial Premium Listing — Inbound"/>
    <x v="4"/>
    <s v="2025-04-22"/>
    <x v="3"/>
    <x v="3"/>
    <x v="3"/>
    <n v="2"/>
    <n v="8"/>
    <s v="2025-06-12"/>
    <x v="1"/>
    <n v="198564"/>
    <m/>
    <m/>
    <x v="1"/>
    <n v="7.2"/>
    <s v="Warm"/>
    <s v="Call back after 1 month"/>
  </r>
  <r>
    <s v="LD1622"/>
    <s v="Bharati Londhe"/>
    <n v="9909424732"/>
    <x v="0"/>
    <x v="8"/>
    <s v="Instagram Before-After Posts"/>
    <x v="5"/>
    <s v="2025-04-23"/>
    <x v="3"/>
    <x v="3"/>
    <x v="3"/>
    <n v="2"/>
    <n v="7"/>
    <s v="2025-06-13"/>
    <x v="0"/>
    <n v="240839"/>
    <m/>
    <m/>
    <x v="0"/>
    <n v="18.399999999999999"/>
    <s v="Cold"/>
    <s v="Customer did not proceed with project"/>
  </r>
  <r>
    <s v="LD1623"/>
    <s v="Shweta Kshirsagar"/>
    <n v="9676797964"/>
    <x v="1"/>
    <x v="5"/>
    <s v="Site Visit Walk-in"/>
    <x v="3"/>
    <s v="2025-04-23"/>
    <x v="3"/>
    <x v="3"/>
    <x v="3"/>
    <n v="2"/>
    <n v="3"/>
    <s v="2025-05-20"/>
    <x v="3"/>
    <n v="265291"/>
    <m/>
    <m/>
    <x v="2"/>
    <n v="5"/>
    <s v="Warm"/>
    <s v="Budget discussion pending"/>
  </r>
  <r>
    <s v="LD1624"/>
    <s v="Nanda Gaikwad"/>
    <n v="9617235868"/>
    <x v="4"/>
    <x v="4"/>
    <s v="99acres New Project Enquiry — Inbound"/>
    <x v="4"/>
    <s v="2025-04-24"/>
    <x v="3"/>
    <x v="3"/>
    <x v="3"/>
    <n v="2"/>
    <n v="4"/>
    <s v="2025-05-26"/>
    <x v="4"/>
    <n v="349837"/>
    <n v="327380"/>
    <s v="2025-06-03"/>
    <x v="3"/>
    <n v="17.7"/>
    <s v="Warm"/>
    <s v="Token received, design finalised"/>
  </r>
  <r>
    <s v="LD1625"/>
    <s v="Shweta Bhalerao"/>
    <n v="9349316808"/>
    <x v="2"/>
    <x v="2"/>
    <s v="Architect Referral"/>
    <x v="0"/>
    <s v="2025-04-24"/>
    <x v="3"/>
    <x v="3"/>
    <x v="3"/>
    <n v="2"/>
    <n v="12"/>
    <s v="2025-06-30"/>
    <x v="4"/>
    <n v="491218"/>
    <n v="463201"/>
    <s v="2025-07-07"/>
    <x v="1"/>
    <n v="14.3"/>
    <s v="Warm"/>
    <s v="Customer referred 2 more leads after delivery"/>
  </r>
  <r>
    <s v="LD1626"/>
    <s v="Manisha Kadam"/>
    <n v="9642127147"/>
    <x v="1"/>
    <x v="7"/>
    <s v="Google My Business"/>
    <x v="14"/>
    <s v="2025-04-24"/>
    <x v="3"/>
    <x v="3"/>
    <x v="3"/>
    <n v="2"/>
    <n v="10"/>
    <s v="2025-06-06"/>
    <x v="0"/>
    <n v="2049803"/>
    <m/>
    <m/>
    <x v="1"/>
    <n v="4.5999999999999996"/>
    <s v="Warm"/>
    <s v="Lost to branded competitor"/>
  </r>
  <r>
    <s v="LD1627"/>
    <s v="Varsha Kshirsagar"/>
    <n v="9383023047"/>
    <x v="2"/>
    <x v="7"/>
    <s v="Website Chat Enquiry"/>
    <x v="2"/>
    <s v="2025-04-26"/>
    <x v="3"/>
    <x v="3"/>
    <x v="3"/>
    <n v="2"/>
    <n v="3"/>
    <s v="2025-05-21"/>
    <x v="4"/>
    <n v="176402"/>
    <n v="169379"/>
    <s v="2025-05-29"/>
    <x v="0"/>
    <n v="17.399999999999999"/>
    <s v="Warm"/>
    <s v="Deal closed, advance received"/>
  </r>
  <r>
    <s v="LD1628"/>
    <s v="Mahesh Nikalje"/>
    <n v="9201886166"/>
    <x v="2"/>
    <x v="4"/>
    <s v="99acres Flat Owner Enquiry — Inbound"/>
    <x v="10"/>
    <s v="2025-04-26"/>
    <x v="3"/>
    <x v="3"/>
    <x v="3"/>
    <n v="2"/>
    <n v="0"/>
    <s v="2025-05-05"/>
    <x v="1"/>
    <n v="560610"/>
    <m/>
    <m/>
    <x v="0"/>
    <n v="22.7"/>
    <s v="Cold"/>
    <s v="Wrong number provided"/>
  </r>
  <r>
    <s v="LD1629"/>
    <s v="Bharati Londhe"/>
    <n v="9960010071"/>
    <x v="2"/>
    <x v="7"/>
    <s v="Website Chat Enquiry"/>
    <x v="5"/>
    <s v="2025-04-26"/>
    <x v="3"/>
    <x v="3"/>
    <x v="3"/>
    <n v="2"/>
    <n v="4"/>
    <s v="2025-05-19"/>
    <x v="0"/>
    <n v="67620"/>
    <m/>
    <m/>
    <x v="1"/>
    <n v="19.899999999999999"/>
    <s v="Cold"/>
    <s v="No response, marked as lost after 60 days"/>
  </r>
  <r>
    <s v="LD1630"/>
    <s v="Shweta Aware"/>
    <n v="9313470239"/>
    <x v="2"/>
    <x v="7"/>
    <s v="Google Ads"/>
    <x v="7"/>
    <s v="2025-04-26"/>
    <x v="3"/>
    <x v="3"/>
    <x v="3"/>
    <n v="2"/>
    <n v="4"/>
    <s v="2025-05-22"/>
    <x v="0"/>
    <n v="1434401"/>
    <m/>
    <m/>
    <x v="0"/>
    <n v="22.1"/>
    <s v="Warm"/>
    <s v="Lost to competitor - cheaper quote"/>
  </r>
  <r>
    <s v="LD1631"/>
    <s v="Hemant Gaikwad"/>
    <n v="9958400060"/>
    <x v="0"/>
    <x v="7"/>
    <s v="Google Ads"/>
    <x v="7"/>
    <s v="2025-04-26"/>
    <x v="3"/>
    <x v="3"/>
    <x v="3"/>
    <n v="2"/>
    <n v="5"/>
    <s v="2025-05-17"/>
    <x v="4"/>
    <n v="769639"/>
    <n v="771230"/>
    <s v="2025-06-05"/>
    <x v="0"/>
    <m/>
    <s v="Hot"/>
    <s v="Deal done, site work ongoing"/>
  </r>
  <r>
    <s v="LD1632"/>
    <s v="Ravi Mohite"/>
    <n v="9795482770"/>
    <x v="3"/>
    <x v="1"/>
    <s v="Justdial Free Listing — Inbound"/>
    <x v="1"/>
    <s v="2025-04-28"/>
    <x v="3"/>
    <x v="3"/>
    <x v="3"/>
    <n v="2"/>
    <n v="6"/>
    <s v="2025-05-27"/>
    <x v="4"/>
    <n v="175515"/>
    <n v="174807"/>
    <s v="2025-06-04"/>
    <x v="1"/>
    <n v="19.399999999999999"/>
    <s v="Hot"/>
    <s v="Customer very satisfied, 5 star review given"/>
  </r>
  <r>
    <s v="LD1633"/>
    <s v="Sachin Chavan"/>
    <n v="9456219248"/>
    <x v="3"/>
    <x v="2"/>
    <s v="Neighbour Referral"/>
    <x v="5"/>
    <s v="2025-04-28"/>
    <x v="3"/>
    <x v="3"/>
    <x v="3"/>
    <n v="2"/>
    <n v="2"/>
    <s v="2025-05-20"/>
    <x v="3"/>
    <n v="270284"/>
    <m/>
    <m/>
    <x v="1"/>
    <n v="2.5"/>
    <s v="Warm"/>
    <m/>
  </r>
  <r>
    <s v="LD1634"/>
    <s v="Meena Kulkarni"/>
    <n v="9975868905"/>
    <x v="0"/>
    <x v="5"/>
    <s v="Showroom Walk-in"/>
    <x v="8"/>
    <s v="2025-04-28"/>
    <x v="3"/>
    <x v="3"/>
    <x v="3"/>
    <n v="2"/>
    <n v="11"/>
    <s v="2025-07-07"/>
    <x v="3"/>
    <n v="796561"/>
    <m/>
    <m/>
    <x v="1"/>
    <n v="21.6"/>
    <s v="Hot"/>
    <s v="Ready to proceed, discussing payment terms"/>
  </r>
  <r>
    <s v="LD1635"/>
    <s v="Hemant Kale"/>
    <n v="9475884257"/>
    <x v="2"/>
    <x v="8"/>
    <s v="Instagram Kitchen Reels"/>
    <x v="11"/>
    <s v="2025-04-28"/>
    <x v="3"/>
    <x v="3"/>
    <x v="3"/>
    <n v="2"/>
    <n v="10"/>
    <s v="2025-06-24"/>
    <x v="1"/>
    <n v="444707"/>
    <m/>
    <m/>
    <x v="3"/>
    <n v="33.799999999999997"/>
    <s v="Hot"/>
    <m/>
  </r>
  <r>
    <s v="LD1636"/>
    <s v="Pravin Zende"/>
    <n v="9747689820"/>
    <x v="0"/>
    <x v="5"/>
    <s v="Site Visit Walk-in"/>
    <x v="3"/>
    <s v="2025-04-28"/>
    <x v="3"/>
    <x v="3"/>
    <x v="3"/>
    <n v="2"/>
    <n v="10"/>
    <s v="2025-06-16"/>
    <x v="4"/>
    <n v="88839"/>
    <n v="83967"/>
    <s v="2025-06-18"/>
    <x v="0"/>
    <n v="35.299999999999997"/>
    <s v="Hot"/>
    <s v="Customer happy with sample, deal closed"/>
  </r>
  <r>
    <s v="LD1637"/>
    <s v="Shweta Nikalje"/>
    <n v="9513402278"/>
    <x v="4"/>
    <x v="7"/>
    <s v="Google My Business"/>
    <x v="11"/>
    <s v="2025-04-28"/>
    <x v="3"/>
    <x v="3"/>
    <x v="3"/>
    <n v="2"/>
    <n v="8"/>
    <s v="2025-06-13"/>
    <x v="3"/>
    <n v="258123"/>
    <m/>
    <m/>
    <x v="1"/>
    <n v="9.9"/>
    <s v="Cold"/>
    <s v="Just enquiring, no serious intent"/>
  </r>
  <r>
    <s v="LD1638"/>
    <s v="Sunil Gaikwad"/>
    <n v="9336694122"/>
    <x v="3"/>
    <x v="6"/>
    <s v="Facebook Diwali Offer"/>
    <x v="0"/>
    <s v="2025-04-28"/>
    <x v="3"/>
    <x v="3"/>
    <x v="3"/>
    <n v="2"/>
    <n v="5"/>
    <s v="2025-05-22"/>
    <x v="3"/>
    <n v="618082"/>
    <m/>
    <m/>
    <x v="1"/>
    <n v="34"/>
    <s v="Hot"/>
    <s v="Customer comparing 1-2 vendors only"/>
  </r>
  <r>
    <s v="LD1639"/>
    <s v="Jyoti Yadav"/>
    <n v="9261274696"/>
    <x v="1"/>
    <x v="1"/>
    <s v="Justdial Sponsored — Inbound"/>
    <x v="0"/>
    <s v="2025-04-28"/>
    <x v="3"/>
    <x v="3"/>
    <x v="3"/>
    <n v="2"/>
    <n v="1"/>
    <s v="2025-05-06"/>
    <x v="0"/>
    <n v="788489"/>
    <m/>
    <m/>
    <x v="0"/>
    <n v="2.7"/>
    <s v="Cold"/>
    <s v="Lost to competitor - cheaper quote"/>
  </r>
  <r>
    <s v="LD1640"/>
    <s v="Divya Shelke"/>
    <n v="9367928645"/>
    <x v="0"/>
    <x v="8"/>
    <s v="Instagram Story Ads"/>
    <x v="2"/>
    <s v="2025-04-28"/>
    <x v="3"/>
    <x v="3"/>
    <x v="3"/>
    <n v="2"/>
    <n v="8"/>
    <s v="2025-06-21"/>
    <x v="0"/>
    <n v="309332"/>
    <m/>
    <m/>
    <x v="1"/>
    <n v="4.5999999999999996"/>
    <s v="Cold"/>
    <s v="Budget mismatch - too low"/>
  </r>
  <r>
    <s v="LD1641"/>
    <s v="Alka Gavhane"/>
    <n v="9393319570"/>
    <x v="0"/>
    <x v="7"/>
    <s v="Google Ads"/>
    <x v="14"/>
    <s v="2025-04-29"/>
    <x v="3"/>
    <x v="3"/>
    <x v="3"/>
    <n v="2"/>
    <n v="1"/>
    <s v="2025-05-08"/>
    <x v="4"/>
    <n v="2295266"/>
    <n v="2209768"/>
    <s v="2025-05-11"/>
    <x v="3"/>
    <n v="25.1"/>
    <s v="Hot"/>
    <s v="Deal done, site work ongoing"/>
  </r>
  <r>
    <s v="LD1642"/>
    <s v="Vijay Deshmukh"/>
    <n v="9918535069"/>
    <x v="4"/>
    <x v="7"/>
    <s v="Google My Business"/>
    <x v="5"/>
    <s v="2025-04-29"/>
    <x v="3"/>
    <x v="3"/>
    <x v="3"/>
    <n v="2"/>
    <m/>
    <s v="2025-05-06"/>
    <x v="0"/>
    <n v="236558"/>
    <m/>
    <m/>
    <x v="1"/>
    <n v="9.6"/>
    <s v="Cold"/>
    <s v="Customer chose readymade furniture"/>
  </r>
  <r>
    <s v="LD1643"/>
    <s v="Umesh Mohite"/>
    <n v="9546659274"/>
    <x v="2"/>
    <x v="8"/>
    <s v="Instagram Gudi Padwa Special"/>
    <x v="0"/>
    <s v="2025-04-30"/>
    <x v="3"/>
    <x v="3"/>
    <x v="3"/>
    <n v="2"/>
    <m/>
    <s v="2025-05-17"/>
    <x v="0"/>
    <n v="775104"/>
    <m/>
    <m/>
    <x v="2"/>
    <n v="11.6"/>
    <s v="Cold"/>
    <s v="No response, marked as lost after 60 days"/>
  </r>
  <r>
    <s v="LD1644"/>
    <s v="Nilesh Phule"/>
    <n v="9661083824"/>
    <x v="4"/>
    <x v="0"/>
    <s v="Colony Reference"/>
    <x v="13"/>
    <s v="2025-05-01"/>
    <x v="4"/>
    <x v="4"/>
    <x v="3"/>
    <n v="2"/>
    <n v="12"/>
    <s v="2025-05-29"/>
    <x v="3"/>
    <n v="1684079"/>
    <m/>
    <m/>
    <x v="0"/>
    <n v="11.8"/>
    <s v="Warm"/>
    <m/>
  </r>
  <r>
    <s v="LD1645"/>
    <s v="Prashant Phule"/>
    <n v="9127655311"/>
    <x v="1"/>
    <x v="2"/>
    <s v="Neighbour Referral"/>
    <x v="0"/>
    <s v="2025-05-01"/>
    <x v="4"/>
    <x v="4"/>
    <x v="3"/>
    <n v="2"/>
    <n v="10"/>
    <s v="2025-06-20"/>
    <x v="1"/>
    <n v="737883"/>
    <m/>
    <m/>
    <x v="1"/>
    <n v="30.4"/>
    <s v="Cold"/>
    <s v="No response after 4 follow ups"/>
  </r>
  <r>
    <s v="LD1646"/>
    <s v="Manisha Shelke"/>
    <n v="9733144678"/>
    <x v="3"/>
    <x v="0"/>
    <s v="Friend Reference"/>
    <x v="9"/>
    <s v="2025-05-02"/>
    <x v="4"/>
    <x v="4"/>
    <x v="3"/>
    <n v="2"/>
    <n v="0"/>
    <s v="2025-05-08"/>
    <x v="0"/>
    <n v="528944"/>
    <m/>
    <m/>
    <x v="3"/>
    <n v="9"/>
    <s v="Cold"/>
    <s v="Project cancelled by customer"/>
  </r>
  <r>
    <s v="LD1647"/>
    <s v="Ravi Kshirsagar"/>
    <n v="9111514805"/>
    <x v="0"/>
    <x v="1"/>
    <s v="Justdial Sponsored — Inbound"/>
    <x v="10"/>
    <s v="2025-05-02"/>
    <x v="4"/>
    <x v="4"/>
    <x v="3"/>
    <n v="2"/>
    <n v="0"/>
    <s v="2025-05-08"/>
    <x v="3"/>
    <n v="232344"/>
    <m/>
    <m/>
    <x v="2"/>
    <n v="16.5"/>
    <s v="Hot"/>
    <s v="Very interested, finalising design"/>
  </r>
  <r>
    <s v="LD1648"/>
    <s v="Ashwini Jadhav"/>
    <n v="9535061395"/>
    <x v="2"/>
    <x v="6"/>
    <s v="Facebook Diwali Offer"/>
    <x v="7"/>
    <s v="2025-05-03"/>
    <x v="4"/>
    <x v="4"/>
    <x v="3"/>
    <n v="2"/>
    <n v="6"/>
    <s v="2025-06-16"/>
    <x v="0"/>
    <n v="940390"/>
    <m/>
    <m/>
    <x v="0"/>
    <n v="12.3"/>
    <s v="Cold"/>
    <s v="Budget mismatch - too low"/>
  </r>
  <r>
    <s v="LD1649"/>
    <s v="Manoj Sonawane"/>
    <n v="9975580042"/>
    <x v="1"/>
    <x v="8"/>
    <s v="Instagram Diwali Campaign"/>
    <x v="12"/>
    <s v="2025-05-03"/>
    <x v="4"/>
    <x v="4"/>
    <x v="3"/>
    <n v="2"/>
    <n v="10"/>
    <s v="2025-05-31"/>
    <x v="0"/>
    <n v="1581304"/>
    <m/>
    <m/>
    <x v="1"/>
    <n v="14.3"/>
    <s v="Warm"/>
    <s v="Went with local vendor"/>
  </r>
  <r>
    <s v="LD1650"/>
    <s v="Deepak Kadam"/>
    <n v="9559676086"/>
    <x v="2"/>
    <x v="2"/>
    <s v="Contractor Referral"/>
    <x v="5"/>
    <s v="2025-05-05"/>
    <x v="4"/>
    <x v="4"/>
    <x v="3"/>
    <n v="2"/>
    <n v="7"/>
    <s v="2025-06-14"/>
    <x v="3"/>
    <n v="149891"/>
    <m/>
    <m/>
    <x v="0"/>
    <n v="0.7"/>
    <s v="Cold"/>
    <s v="Went with local carpenter"/>
  </r>
  <r>
    <s v="LD1651"/>
    <s v="Amit Thorat"/>
    <n v="9715830727"/>
    <x v="2"/>
    <x v="5"/>
    <s v="Site Visit Walk-in"/>
    <x v="2"/>
    <s v="2025-05-07"/>
    <x v="4"/>
    <x v="4"/>
    <x v="3"/>
    <n v="2"/>
    <n v="12"/>
    <s v="2025-06-26"/>
    <x v="0"/>
    <n v="545872"/>
    <m/>
    <m/>
    <x v="0"/>
    <n v="9.9"/>
    <s v="Cold"/>
    <s v="Project cancelled by customer"/>
  </r>
  <r>
    <s v="LD1652"/>
    <s v="Deepak Jadhav"/>
    <n v="9207107884"/>
    <x v="2"/>
    <x v="6"/>
    <s v="Facebook Kitchen Showcase"/>
    <x v="7"/>
    <s v="2025-05-09"/>
    <x v="4"/>
    <x v="4"/>
    <x v="3"/>
    <n v="2"/>
    <n v="6"/>
    <s v="2025-06-23"/>
    <x v="3"/>
    <n v="846639"/>
    <m/>
    <m/>
    <x v="0"/>
    <n v="5.9"/>
    <s v="Hot"/>
    <s v="Design presentation done, waiting for confirmation"/>
  </r>
  <r>
    <s v="LD1653"/>
    <s v="Sunita Kshirsagar"/>
    <n v="9354828019"/>
    <x v="2"/>
    <x v="8"/>
    <s v="Instagram Kitchen Reels"/>
    <x v="13"/>
    <s v="2025-05-10"/>
    <x v="4"/>
    <x v="4"/>
    <x v="3"/>
    <n v="2"/>
    <n v="4"/>
    <s v="2025-06-02"/>
    <x v="3"/>
    <n v="1762957"/>
    <m/>
    <m/>
    <x v="2"/>
    <n v="5.3"/>
    <s v="Warm"/>
    <s v="Waiting for interior budget approval from family"/>
  </r>
  <r>
    <s v="LD1654"/>
    <s v="Lata Kale"/>
    <n v="9743462316"/>
    <x v="4"/>
    <x v="7"/>
    <s v="SEO Organic"/>
    <x v="4"/>
    <s v="2025-05-10"/>
    <x v="4"/>
    <x v="4"/>
    <x v="3"/>
    <n v="2"/>
    <n v="3"/>
    <s v="2025-06-10"/>
    <x v="1"/>
    <n v="182737"/>
    <m/>
    <m/>
    <x v="0"/>
    <n v="16.899999999999999"/>
    <s v="Hot"/>
    <s v="Sample seen at showroom, liked veneer finish"/>
  </r>
  <r>
    <s v="LD1655"/>
    <s v="Pramod Nikalje"/>
    <n v="9624607651"/>
    <x v="2"/>
    <x v="7"/>
    <s v="Google My Business"/>
    <x v="1"/>
    <s v="2025-05-10"/>
    <x v="4"/>
    <x v="4"/>
    <x v="3"/>
    <n v="2"/>
    <n v="10"/>
    <s v="2025-07-07"/>
    <x v="0"/>
    <n v="333857"/>
    <m/>
    <m/>
    <x v="2"/>
    <n v="15.6"/>
    <s v="Warm"/>
    <s v="Project cancelled by customer"/>
  </r>
  <r>
    <s v="LD1656"/>
    <s v="Amit Tupe"/>
    <n v="9299920368"/>
    <x v="0"/>
    <x v="8"/>
    <s v="Instagram Diwali Campaign"/>
    <x v="9"/>
    <s v="2025-05-12"/>
    <x v="4"/>
    <x v="4"/>
    <x v="3"/>
    <n v="2"/>
    <n v="11"/>
    <s v="2025-07-12"/>
    <x v="3"/>
    <n v="460429"/>
    <m/>
    <m/>
    <x v="3"/>
    <m/>
    <s v="Warm"/>
    <m/>
  </r>
  <r>
    <s v="LD1657"/>
    <s v="Arun Jadhav"/>
    <n v="9134931693"/>
    <x v="0"/>
    <x v="1"/>
    <s v="Justdial Premium Listing — Inbound"/>
    <x v="0"/>
    <s v="2025-05-12"/>
    <x v="4"/>
    <x v="4"/>
    <x v="3"/>
    <n v="2"/>
    <n v="8"/>
    <s v="2025-06-09"/>
    <x v="4"/>
    <n v="598510"/>
    <n v="596040"/>
    <s v="2025-06-12"/>
    <x v="3"/>
    <n v="1.9"/>
    <s v="Hot"/>
    <s v="Work order signed, production started"/>
  </r>
  <r>
    <s v="LD1658"/>
    <s v="Lata Shinde"/>
    <n v="9360457376"/>
    <x v="4"/>
    <x v="8"/>
    <s v="Instagram Diwali Campaign"/>
    <x v="6"/>
    <s v="2025-05-12"/>
    <x v="4"/>
    <x v="4"/>
    <x v="3"/>
    <n v="2"/>
    <n v="6"/>
    <s v="2025-06-18"/>
    <x v="0"/>
    <n v="273953"/>
    <m/>
    <m/>
    <x v="1"/>
    <n v="21.2"/>
    <s v="Cold"/>
    <s v="Lost to competitor - cheaper quote"/>
  </r>
  <r>
    <s v="LD1659"/>
    <s v="Ravi Nikalje"/>
    <n v="9964581060"/>
    <x v="4"/>
    <x v="2"/>
    <s v="Neighbour Referral"/>
    <x v="7"/>
    <s v="2025-05-12"/>
    <x v="4"/>
    <x v="4"/>
    <x v="3"/>
    <n v="2"/>
    <n v="12"/>
    <s v="2025-07-28"/>
    <x v="4"/>
    <n v="1319068"/>
    <n v="1230519"/>
    <s v="2025-08-17"/>
    <x v="1"/>
    <n v="5.9"/>
    <s v="Hot"/>
    <s v="Deal done, site work ongoing"/>
  </r>
  <r>
    <s v="LD1660"/>
    <s v="Umesh Londhe"/>
    <n v="9355675142"/>
    <x v="2"/>
    <x v="8"/>
    <s v="Instagram Diwali Campaign"/>
    <x v="1"/>
    <s v="2025-05-12"/>
    <x v="4"/>
    <x v="4"/>
    <x v="3"/>
    <n v="2"/>
    <n v="11"/>
    <s v="2025-06-20"/>
    <x v="0"/>
    <n v="247957"/>
    <m/>
    <m/>
    <x v="0"/>
    <n v="10.6"/>
    <s v="Cold"/>
    <s v="No response, marked as lost after 60 days"/>
  </r>
  <r>
    <s v="LD1661"/>
    <s v="Ganesh Kshirsagar"/>
    <n v="9933185188"/>
    <x v="2"/>
    <x v="0"/>
    <s v="Colony Reference"/>
    <x v="10"/>
    <s v="2025-05-12"/>
    <x v="4"/>
    <x v="4"/>
    <x v="3"/>
    <n v="2"/>
    <n v="8"/>
    <s v="2025-06-05"/>
    <x v="3"/>
    <n v="290635"/>
    <m/>
    <m/>
    <x v="1"/>
    <n v="18.600000000000001"/>
    <s v="Hot"/>
    <s v="Sample seen at showroom, liked veneer finish"/>
  </r>
  <r>
    <s v="LD1662"/>
    <s v="Seema Gavhane"/>
    <n v="9452034845"/>
    <x v="0"/>
    <x v="8"/>
    <s v="Instagram Kitchen Reels"/>
    <x v="12"/>
    <s v="2025-05-13"/>
    <x v="4"/>
    <x v="4"/>
    <x v="3"/>
    <n v="2"/>
    <n v="7"/>
    <s v="2025-06-30"/>
    <x v="4"/>
    <n v="1038175"/>
    <n v="1059918"/>
    <s v="2025-07-09"/>
    <x v="3"/>
    <n v="35.6"/>
    <s v="Hot"/>
    <s v="Token paid, measurement done, work started"/>
  </r>
  <r>
    <s v="LD1663"/>
    <s v="Hemant Shinde"/>
    <n v="9183129352"/>
    <x v="0"/>
    <x v="8"/>
    <s v="Instagram Before-After Posts"/>
    <x v="5"/>
    <s v="2025-05-14"/>
    <x v="4"/>
    <x v="4"/>
    <x v="3"/>
    <n v="2"/>
    <n v="6"/>
    <s v="2025-05-28"/>
    <x v="3"/>
    <n v="207397"/>
    <m/>
    <m/>
    <x v="0"/>
    <n v="20"/>
    <s v="Hot"/>
    <s v="Customer visited showroom twice, very interested"/>
  </r>
  <r>
    <s v="LD1664"/>
    <s v="Pooja Wagh"/>
    <n v="9118282463"/>
    <x v="1"/>
    <x v="2"/>
    <s v="Architect Referral"/>
    <x v="7"/>
    <s v="2025-05-16"/>
    <x v="4"/>
    <x v="4"/>
    <x v="3"/>
    <n v="2"/>
    <n v="11"/>
    <s v="2025-07-17"/>
    <x v="4"/>
    <n v="791847"/>
    <n v="710655"/>
    <s v="2025-07-26"/>
    <x v="0"/>
    <n v="16.399999999999999"/>
    <s v="Hot"/>
    <s v="Token received, design finalised"/>
  </r>
  <r>
    <s v="LD1665"/>
    <s v="Pooja Wagh"/>
    <n v="9915112141"/>
    <x v="0"/>
    <x v="8"/>
    <s v="Instagram Wardrobe Showcase"/>
    <x v="13"/>
    <s v="2025-05-16"/>
    <x v="4"/>
    <x v="4"/>
    <x v="3"/>
    <n v="2"/>
    <n v="12"/>
    <s v="2025-07-29"/>
    <x v="0"/>
    <n v="1908847"/>
    <m/>
    <m/>
    <x v="2"/>
    <n v="27.4"/>
    <s v="Cold"/>
    <m/>
  </r>
  <r>
    <s v="LD1666"/>
    <s v="Sunita Pawar"/>
    <n v="9242491462"/>
    <x v="0"/>
    <x v="2"/>
    <s v="Neighbour Referral"/>
    <x v="7"/>
    <s v="2025-05-17"/>
    <x v="4"/>
    <x v="4"/>
    <x v="3"/>
    <n v="2"/>
    <n v="5"/>
    <s v="2025-06-18"/>
    <x v="3"/>
    <n v="1055428"/>
    <m/>
    <m/>
    <x v="2"/>
    <n v="30"/>
    <s v="Hot"/>
    <m/>
  </r>
  <r>
    <s v="LD1667"/>
    <s v="Meena Pawar"/>
    <n v="9650296570"/>
    <x v="0"/>
    <x v="4"/>
    <s v="99acres Flat Owner Enquiry — Inbound"/>
    <x v="13"/>
    <s v="2025-05-17"/>
    <x v="4"/>
    <x v="4"/>
    <x v="3"/>
    <n v="2"/>
    <n v="11"/>
    <s v="2025-06-10"/>
    <x v="1"/>
    <n v="1492807"/>
    <m/>
    <m/>
    <x v="0"/>
    <n v="31.8"/>
    <s v="Cold"/>
    <s v="Customer relocated"/>
  </r>
  <r>
    <s v="LD1668"/>
    <s v="Manoj Yadav"/>
    <n v="9299435532"/>
    <x v="2"/>
    <x v="3"/>
    <s v="MagicBricks Enquiry — Inbound"/>
    <x v="2"/>
    <s v="2025-05-17"/>
    <x v="4"/>
    <x v="4"/>
    <x v="3"/>
    <n v="2"/>
    <n v="4"/>
    <s v="2025-06-09"/>
    <x v="3"/>
    <n v="559027"/>
    <m/>
    <m/>
    <x v="2"/>
    <n v="27.9"/>
    <s v="Hot"/>
    <s v="Customer visited showroom twice, very interested"/>
  </r>
  <r>
    <s v="LD1669"/>
    <s v="Smita Jadhav"/>
    <n v="9273692135"/>
    <x v="3"/>
    <x v="7"/>
    <s v="Google Ads"/>
    <x v="7"/>
    <s v="2025-05-17"/>
    <x v="4"/>
    <x v="4"/>
    <x v="3"/>
    <n v="2"/>
    <n v="1"/>
    <s v="2025-05-20"/>
    <x v="2"/>
    <n v="929297"/>
    <m/>
    <m/>
    <x v="1"/>
    <n v="7.5"/>
    <s v="Cold"/>
    <s v="Wrong number provided"/>
  </r>
  <r>
    <s v="LD1670"/>
    <s v="Santosh Deshmukh"/>
    <n v="9516268889"/>
    <x v="3"/>
    <x v="3"/>
    <s v="MagicBricks Enquiry — Inbound"/>
    <x v="5"/>
    <s v="2025-05-19"/>
    <x v="4"/>
    <x v="4"/>
    <x v="3"/>
    <n v="2"/>
    <n v="4"/>
    <s v="2025-06-06"/>
    <x v="3"/>
    <n v="348427"/>
    <m/>
    <m/>
    <x v="1"/>
    <n v="30"/>
    <s v="Warm"/>
    <s v="Waiting for interior budget approval from family"/>
  </r>
  <r>
    <s v="LD1671"/>
    <s v="Archana Mane"/>
    <n v="9775899482"/>
    <x v="2"/>
    <x v="2"/>
    <s v="Contractor Referral"/>
    <x v="7"/>
    <s v="2025-05-19"/>
    <x v="4"/>
    <x v="4"/>
    <x v="3"/>
    <n v="2"/>
    <n v="6"/>
    <s v="2025-06-23"/>
    <x v="1"/>
    <n v="1057629"/>
    <m/>
    <m/>
    <x v="1"/>
    <n v="26.2"/>
    <s v="Cold"/>
    <s v="Price too high as per customer"/>
  </r>
  <r>
    <s v="LD1672"/>
    <s v="Sanjay Sonawane"/>
    <n v="9382513593"/>
    <x v="3"/>
    <x v="7"/>
    <s v="Google Ads"/>
    <x v="7"/>
    <s v="2025-05-19"/>
    <x v="4"/>
    <x v="4"/>
    <x v="3"/>
    <n v="2"/>
    <n v="5"/>
    <s v="2025-06-03"/>
    <x v="3"/>
    <n v="1241925"/>
    <m/>
    <m/>
    <x v="1"/>
    <n v="11.7"/>
    <s v="Hot"/>
    <m/>
  </r>
  <r>
    <s v="LD1673"/>
    <s v="Meena Gaikwad"/>
    <n v="9665074570"/>
    <x v="4"/>
    <x v="6"/>
    <s v="Facebook Diwali Offer"/>
    <x v="5"/>
    <s v="2025-05-23"/>
    <x v="4"/>
    <x v="4"/>
    <x v="3"/>
    <n v="2"/>
    <n v="4"/>
    <s v="2025-06-27"/>
    <x v="0"/>
    <n v="278118"/>
    <m/>
    <m/>
    <x v="1"/>
    <n v="29.3"/>
    <s v="Cold"/>
    <s v="Project cancelled by customer"/>
  </r>
  <r>
    <s v="LD1674"/>
    <s v="Seema Bhalerao"/>
    <n v="9678829360"/>
    <x v="3"/>
    <x v="8"/>
    <s v="Instagram Diwali Campaign"/>
    <x v="3"/>
    <s v="2025-05-23"/>
    <x v="4"/>
    <x v="4"/>
    <x v="3"/>
    <n v="2"/>
    <n v="1"/>
    <s v="2025-06-04"/>
    <x v="3"/>
    <n v="212542"/>
    <m/>
    <m/>
    <x v="3"/>
    <n v="20.6"/>
    <s v="Warm"/>
    <s v="Customer interested, flat handover next month"/>
  </r>
  <r>
    <s v="LD1675"/>
    <s v="Nikhil Kale"/>
    <n v="9122903758"/>
    <x v="0"/>
    <x v="2"/>
    <s v="Neighbour Referral"/>
    <x v="2"/>
    <s v="2025-05-23"/>
    <x v="4"/>
    <x v="4"/>
    <x v="3"/>
    <n v="2"/>
    <n v="2"/>
    <s v="2025-06-09"/>
    <x v="1"/>
    <n v="209486"/>
    <m/>
    <m/>
    <x v="2"/>
    <n v="30.1"/>
    <s v="Hot"/>
    <s v="Customer comparing 1-2 vendors only"/>
  </r>
  <r>
    <s v="LD1676"/>
    <s v="Sunil Naik"/>
    <n v="9803175580"/>
    <x v="1"/>
    <x v="2"/>
    <s v="Architect Referral"/>
    <x v="12"/>
    <s v="2025-05-24"/>
    <x v="4"/>
    <x v="4"/>
    <x v="3"/>
    <n v="2"/>
    <n v="8"/>
    <s v="2025-07-16"/>
    <x v="3"/>
    <n v="1373060"/>
    <m/>
    <m/>
    <x v="1"/>
    <n v="32.799999999999997"/>
    <s v="Hot"/>
    <s v="Final quote shared, awaiting approval"/>
  </r>
  <r>
    <s v="LD1677"/>
    <s v="Archana Mohite"/>
    <n v="9556324251"/>
    <x v="2"/>
    <x v="2"/>
    <s v="Client Referral"/>
    <x v="6"/>
    <s v="2025-05-26"/>
    <x v="4"/>
    <x v="4"/>
    <x v="3"/>
    <n v="2"/>
    <n v="9"/>
    <s v="2025-06-21"/>
    <x v="4"/>
    <n v="382016"/>
    <n v="368063"/>
    <s v="2025-07-07"/>
    <x v="3"/>
    <n v="10.6"/>
    <s v="Hot"/>
    <s v="Work order signed, production started"/>
  </r>
  <r>
    <s v="LD1678"/>
    <s v="Santosh Holkar"/>
    <n v="9187940157"/>
    <x v="0"/>
    <x v="2"/>
    <s v="Architect Referral"/>
    <x v="10"/>
    <s v="2025-05-26"/>
    <x v="4"/>
    <x v="4"/>
    <x v="3"/>
    <n v="2"/>
    <n v="11"/>
    <s v="2025-07-26"/>
    <x v="1"/>
    <n v="563715"/>
    <m/>
    <m/>
    <x v="0"/>
    <n v="10.199999999999999"/>
    <s v="Cold"/>
    <s v="Price too high as per customer"/>
  </r>
  <r>
    <s v="LD1679"/>
    <s v="Pravin Bhalerao"/>
    <n v="9549685986"/>
    <x v="3"/>
    <x v="7"/>
    <s v="Google My Business"/>
    <x v="2"/>
    <s v="2025-05-26"/>
    <x v="4"/>
    <x v="4"/>
    <x v="3"/>
    <n v="2"/>
    <n v="5"/>
    <s v="2025-06-17"/>
    <x v="3"/>
    <n v="277307"/>
    <m/>
    <m/>
    <x v="1"/>
    <n v="18.399999999999999"/>
    <s v="Cold"/>
    <s v="Just enquiring, no serious intent"/>
  </r>
  <r>
    <s v="LD1680"/>
    <s v="Kavita Sawant"/>
    <n v="9167381273"/>
    <x v="2"/>
    <x v="6"/>
    <s v="Facebook Gudi Padwa Offer"/>
    <x v="7"/>
    <s v="2025-05-26"/>
    <x v="4"/>
    <x v="4"/>
    <x v="3"/>
    <n v="2"/>
    <n v="7"/>
    <s v="2025-06-19"/>
    <x v="0"/>
    <n v="1167494"/>
    <m/>
    <m/>
    <x v="0"/>
    <n v="28.3"/>
    <s v="Cold"/>
    <s v="Lost - no follow up done in time"/>
  </r>
  <r>
    <s v="LD1681"/>
    <s v="Lata Yadav"/>
    <n v="9746021462"/>
    <x v="3"/>
    <x v="8"/>
    <s v="Instagram Wardrobe Showcase"/>
    <x v="7"/>
    <s v="2025-05-27"/>
    <x v="4"/>
    <x v="4"/>
    <x v="3"/>
    <n v="2"/>
    <n v="6"/>
    <s v="2025-07-09"/>
    <x v="0"/>
    <n v="1417288"/>
    <m/>
    <m/>
    <x v="0"/>
    <n v="12.5"/>
    <s v="Cold"/>
    <s v="Customer chose readymade furniture"/>
  </r>
  <r>
    <s v="LD1682"/>
    <s v="Dinesh Naik"/>
    <n v="9555226448"/>
    <x v="4"/>
    <x v="3"/>
    <s v="MagicBricks Property Enquiry — Inbound"/>
    <x v="0"/>
    <s v="2025-05-27"/>
    <x v="4"/>
    <x v="4"/>
    <x v="3"/>
    <n v="2"/>
    <n v="5"/>
    <s v="2025-07-08"/>
    <x v="4"/>
    <n v="822976"/>
    <n v="840258"/>
    <s v="2025-07-21"/>
    <x v="1"/>
    <n v="13"/>
    <s v="Hot"/>
    <s v="Full payment cleared, delivery done"/>
  </r>
  <r>
    <s v="LD1683"/>
    <s v="Sanjay Kshirsagar"/>
    <n v="9800673406"/>
    <x v="0"/>
    <x v="0"/>
    <s v="Friend Reference"/>
    <x v="6"/>
    <s v="2025-05-27"/>
    <x v="4"/>
    <x v="4"/>
    <x v="3"/>
    <n v="2"/>
    <n v="7"/>
    <s v="2025-07-14"/>
    <x v="1"/>
    <n v="385216"/>
    <m/>
    <m/>
    <x v="0"/>
    <n v="6.9"/>
    <s v="Hot"/>
    <s v="Token amount discussed, decision this week"/>
  </r>
  <r>
    <s v="LD1684"/>
    <s v="Dinesh Nikalje"/>
    <n v="9942774345"/>
    <x v="0"/>
    <x v="7"/>
    <s v="Google My Business"/>
    <x v="0"/>
    <s v="2025-06-02"/>
    <x v="5"/>
    <x v="5"/>
    <x v="3"/>
    <n v="2"/>
    <n v="5"/>
    <s v="2025-07-11"/>
    <x v="4"/>
    <n v="719940"/>
    <n v="684833"/>
    <s v="2025-07-29"/>
    <x v="1"/>
    <n v="6.5"/>
    <s v="Hot"/>
    <s v="Token received, design finalised"/>
  </r>
  <r>
    <s v="LD1685"/>
    <s v="Ashwini Deshmukh"/>
    <n v="9873002691"/>
    <x v="0"/>
    <x v="7"/>
    <s v="Website Chat Enquiry"/>
    <x v="9"/>
    <s v="2025-06-03"/>
    <x v="5"/>
    <x v="5"/>
    <x v="3"/>
    <n v="2"/>
    <n v="10"/>
    <s v="2025-07-05"/>
    <x v="0"/>
    <n v="521266"/>
    <m/>
    <m/>
    <x v="2"/>
    <n v="21.6"/>
    <s v="Cold"/>
    <s v="Project cancelled by customer"/>
  </r>
  <r>
    <s v="LD1686"/>
    <s v="Sunita Thorat"/>
    <n v="9609046922"/>
    <x v="0"/>
    <x v="8"/>
    <s v="Instagram Before-After Posts"/>
    <x v="5"/>
    <s v="2025-06-03"/>
    <x v="5"/>
    <x v="5"/>
    <x v="3"/>
    <n v="2"/>
    <n v="2"/>
    <s v="2025-06-16"/>
    <x v="4"/>
    <n v="299965"/>
    <n v="277628"/>
    <s v="2025-07-05"/>
    <x v="0"/>
    <n v="27.4"/>
    <s v="Warm"/>
    <s v="Deal closed, advance received"/>
  </r>
  <r>
    <s v="LD1687"/>
    <s v="Dinesh Kadam"/>
    <n v="9335719022"/>
    <x v="2"/>
    <x v="6"/>
    <s v="Facebook Kitchen Showcase"/>
    <x v="13"/>
    <s v="2025-06-03"/>
    <x v="5"/>
    <x v="5"/>
    <x v="3"/>
    <n v="2"/>
    <n v="9"/>
    <s v="2025-07-28"/>
    <x v="1"/>
    <n v="1521027"/>
    <m/>
    <m/>
    <x v="2"/>
    <n v="25.7"/>
    <s v="Cold"/>
    <s v="Wrong number provided"/>
  </r>
  <r>
    <s v="LD1688"/>
    <s v="Pramod Kshirsagar"/>
    <n v="9735144219"/>
    <x v="1"/>
    <x v="3"/>
    <s v="MagicBricks Property Enquiry — Inbound"/>
    <x v="12"/>
    <s v="2025-06-03"/>
    <x v="5"/>
    <x v="5"/>
    <x v="3"/>
    <n v="2"/>
    <n v="4"/>
    <s v="2025-07-01"/>
    <x v="0"/>
    <n v="1283704"/>
    <m/>
    <m/>
    <x v="0"/>
    <n v="6.1"/>
    <s v="Cold"/>
    <s v="Lost to competitor - cheaper quote"/>
  </r>
  <r>
    <s v="LD1689"/>
    <s v="Sanjay Thorat"/>
    <n v="9707544198"/>
    <x v="0"/>
    <x v="7"/>
    <s v="Google Ads"/>
    <x v="1"/>
    <s v="2025-06-05"/>
    <x v="5"/>
    <x v="5"/>
    <x v="3"/>
    <n v="2"/>
    <n v="1"/>
    <s v="2025-06-21"/>
    <x v="0"/>
    <n v="111304"/>
    <m/>
    <m/>
    <x v="2"/>
    <n v="4.5999999999999996"/>
    <s v="Cold"/>
    <s v="Project cancelled by customer"/>
  </r>
  <r>
    <s v="LD1690"/>
    <s v="Sanjay Chavan"/>
    <n v="9819642239"/>
    <x v="0"/>
    <x v="1"/>
    <s v="Justdial Free Listing — Inbound"/>
    <x v="7"/>
    <s v="2025-06-05"/>
    <x v="5"/>
    <x v="5"/>
    <x v="3"/>
    <n v="2"/>
    <n v="12"/>
    <s v="2025-07-21"/>
    <x v="2"/>
    <n v="1318228"/>
    <m/>
    <m/>
    <x v="0"/>
    <n v="30.1"/>
    <s v="Cold"/>
    <s v="Price too high as per customer"/>
  </r>
  <r>
    <s v="LD1691"/>
    <s v="Santosh Deshmukh"/>
    <n v="9648341923"/>
    <x v="0"/>
    <x v="6"/>
    <s v="Facebook Kitchen Showcase"/>
    <x v="10"/>
    <s v="2025-06-06"/>
    <x v="5"/>
    <x v="5"/>
    <x v="3"/>
    <n v="2"/>
    <n v="2"/>
    <s v="2025-06-30"/>
    <x v="0"/>
    <n v="263880"/>
    <m/>
    <m/>
    <x v="1"/>
    <n v="6.4"/>
    <s v="Cold"/>
    <m/>
  </r>
  <r>
    <s v="LD1692"/>
    <s v="Anita Bhosale"/>
    <n v="9398935205"/>
    <x v="4"/>
    <x v="2"/>
    <s v="Client Referral"/>
    <x v="2"/>
    <s v="2025-06-09"/>
    <x v="5"/>
    <x v="5"/>
    <x v="3"/>
    <n v="2"/>
    <n v="7"/>
    <s v="2025-07-14"/>
    <x v="1"/>
    <m/>
    <m/>
    <m/>
    <x v="0"/>
    <n v="28.2"/>
    <s v="Cold"/>
    <s v="No call back after site visit"/>
  </r>
  <r>
    <s v="LD1693"/>
    <s v="Sonal Sawant"/>
    <n v="9389709060"/>
    <x v="0"/>
    <x v="8"/>
    <s v="Instagram Wardrobe Showcase"/>
    <x v="2"/>
    <s v="2025-06-10"/>
    <x v="5"/>
    <x v="5"/>
    <x v="3"/>
    <n v="2"/>
    <n v="10"/>
    <s v="2025-07-07"/>
    <x v="0"/>
    <n v="174691"/>
    <m/>
    <m/>
    <x v="1"/>
    <n v="12.5"/>
    <s v="Cold"/>
    <s v="Customer got work done from relative"/>
  </r>
  <r>
    <s v="LD1694"/>
    <s v="Madhuri Raut"/>
    <n v="9853595916"/>
    <x v="2"/>
    <x v="5"/>
    <s v="Exhibition Walk-in"/>
    <x v="7"/>
    <s v="2025-06-10"/>
    <x v="5"/>
    <x v="5"/>
    <x v="3"/>
    <n v="2"/>
    <n v="4"/>
    <s v="2025-06-23"/>
    <x v="4"/>
    <n v="832581"/>
    <n v="755191"/>
    <s v="2025-06-29"/>
    <x v="2"/>
    <n v="1.6"/>
    <s v="Warm"/>
    <s v="Deal done, site work ongoing"/>
  </r>
  <r>
    <s v="LD1695"/>
    <s v="Kavita Gavhane"/>
    <n v="9786404877"/>
    <x v="0"/>
    <x v="7"/>
    <s v="SEO Organic"/>
    <x v="0"/>
    <s v="2025-06-10"/>
    <x v="5"/>
    <x v="5"/>
    <x v="3"/>
    <n v="2"/>
    <n v="1"/>
    <s v="2025-06-30"/>
    <x v="0"/>
    <n v="632605"/>
    <m/>
    <m/>
    <x v="1"/>
    <n v="24.2"/>
    <s v="Cold"/>
    <s v="Customer chose readymade furniture"/>
  </r>
  <r>
    <s v="LD1696"/>
    <s v="Hemant Deshpande"/>
    <n v="9825352106"/>
    <x v="2"/>
    <x v="8"/>
    <s v="Instagram Diwali Campaign"/>
    <x v="7"/>
    <s v="2025-06-11"/>
    <x v="5"/>
    <x v="5"/>
    <x v="3"/>
    <n v="2"/>
    <n v="5"/>
    <s v="2025-06-28"/>
    <x v="4"/>
    <n v="821085"/>
    <n v="782202"/>
    <s v="2025-07-13"/>
    <x v="2"/>
    <n v="8.6999999999999993"/>
    <s v="Hot"/>
    <s v="Deal closed, advance received"/>
  </r>
  <r>
    <s v="LD1697"/>
    <s v="Pooja Kakade"/>
    <n v="9345966210"/>
    <x v="1"/>
    <x v="8"/>
    <s v="Instagram Wardrobe Showcase"/>
    <x v="5"/>
    <s v="2025-06-11"/>
    <x v="5"/>
    <x v="5"/>
    <x v="3"/>
    <n v="2"/>
    <n v="12"/>
    <s v="2025-08-02"/>
    <x v="1"/>
    <n v="85867"/>
    <m/>
    <m/>
    <x v="1"/>
    <n v="0.6"/>
    <s v="Warm"/>
    <s v="Call back after 1 month"/>
  </r>
  <r>
    <s v="LD1698"/>
    <s v="Jyoti Kulkarni"/>
    <n v="9110540297"/>
    <x v="4"/>
    <x v="2"/>
    <s v="Contractor Referral"/>
    <x v="11"/>
    <s v="2025-06-14"/>
    <x v="5"/>
    <x v="5"/>
    <x v="3"/>
    <n v="2"/>
    <n v="10"/>
    <s v="2025-07-18"/>
    <x v="4"/>
    <n v="214362"/>
    <n v="210324"/>
    <s v="2025-08-02"/>
    <x v="0"/>
    <n v="11.5"/>
    <s v="Hot"/>
    <s v="Final payment received, project handed over"/>
  </r>
  <r>
    <s v="LD1699"/>
    <s v="Rekha Phule"/>
    <n v="9402959443"/>
    <x v="0"/>
    <x v="8"/>
    <s v="Instagram Gudi Padwa Special"/>
    <x v="4"/>
    <s v="2025-06-16"/>
    <x v="5"/>
    <x v="5"/>
    <x v="3"/>
    <n v="2"/>
    <n v="7"/>
    <s v="2025-07-31"/>
    <x v="0"/>
    <n v="149403"/>
    <m/>
    <m/>
    <x v="0"/>
    <n v="20.100000000000001"/>
    <s v="Cold"/>
    <s v="Went with local vendor"/>
  </r>
  <r>
    <s v="LD1700"/>
    <s v="Vikas Kale"/>
    <m/>
    <x v="0"/>
    <x v="8"/>
    <s v="Instagram Diwali Campaign"/>
    <x v="4"/>
    <s v="2025-06-18"/>
    <x v="5"/>
    <x v="5"/>
    <x v="3"/>
    <n v="2"/>
    <n v="7"/>
    <s v="2025-07-28"/>
    <x v="0"/>
    <m/>
    <m/>
    <m/>
    <x v="1"/>
    <n v="7.5"/>
    <s v="Cold"/>
    <s v="Instagram story enquiry, no contact details given"/>
  </r>
  <r>
    <s v="LD1701"/>
    <s v="Mahesh Gavhane"/>
    <n v="9310608533"/>
    <x v="2"/>
    <x v="0"/>
    <s v="Colony Reference"/>
    <x v="0"/>
    <s v="2025-06-19"/>
    <x v="5"/>
    <x v="5"/>
    <x v="3"/>
    <n v="2"/>
    <n v="5"/>
    <s v="2025-07-18"/>
    <x v="1"/>
    <n v="624172"/>
    <m/>
    <m/>
    <x v="0"/>
    <n v="27.1"/>
    <s v="Warm"/>
    <s v="Follow up after Gudi Padwa"/>
  </r>
  <r>
    <s v="LD1702"/>
    <s v="Divya Chavan"/>
    <n v="9394417023"/>
    <x v="3"/>
    <x v="2"/>
    <s v="Architect Referral"/>
    <x v="7"/>
    <s v="2025-06-19"/>
    <x v="5"/>
    <x v="5"/>
    <x v="3"/>
    <n v="2"/>
    <n v="0"/>
    <s v="2025-07-01"/>
    <x v="2"/>
    <n v="1482480"/>
    <m/>
    <m/>
    <x v="2"/>
    <n v="23.6"/>
    <s v="Cold"/>
    <s v="Price too high as per customer"/>
  </r>
  <r>
    <s v="LD1703"/>
    <s v="Alka Joshi"/>
    <n v="9117794810"/>
    <x v="3"/>
    <x v="2"/>
    <s v="Architect Referral"/>
    <x v="3"/>
    <s v="2025-06-20"/>
    <x v="5"/>
    <x v="5"/>
    <x v="3"/>
    <n v="2"/>
    <n v="12"/>
    <s v="2025-08-16"/>
    <x v="0"/>
    <n v="159639"/>
    <m/>
    <m/>
    <x v="1"/>
    <n v="16.899999999999999"/>
    <s v="Cold"/>
    <s v="Customer got work done from relative"/>
  </r>
  <r>
    <s v="LD1704"/>
    <s v="Sunil Sawant"/>
    <n v="9930025272"/>
    <x v="0"/>
    <x v="8"/>
    <s v="Instagram Story Ads"/>
    <x v="11"/>
    <s v="2025-06-20"/>
    <x v="5"/>
    <x v="5"/>
    <x v="3"/>
    <n v="2"/>
    <n v="7"/>
    <s v="2025-07-15"/>
    <x v="1"/>
    <n v="373285"/>
    <m/>
    <m/>
    <x v="1"/>
    <n v="22"/>
    <s v="Warm"/>
    <s v="Interested but waiting for loan approval"/>
  </r>
  <r>
    <s v="LD1705"/>
    <s v="Hemant Gaikwad"/>
    <n v="9852478284"/>
    <x v="0"/>
    <x v="8"/>
    <s v="Instagram Gudi Padwa Special"/>
    <x v="11"/>
    <s v="2025-06-21"/>
    <x v="5"/>
    <x v="5"/>
    <x v="3"/>
    <n v="2"/>
    <n v="7"/>
    <s v="2025-07-28"/>
    <x v="1"/>
    <n v="379726"/>
    <m/>
    <m/>
    <x v="1"/>
    <n v="15.6"/>
    <s v="Cold"/>
    <s v="Not responding to calls"/>
  </r>
  <r>
    <s v="LD1706"/>
    <s v="Anita Deshpande"/>
    <n v="9868010430"/>
    <x v="2"/>
    <x v="1"/>
    <s v="Justdial Free Listing — Inbound"/>
    <x v="2"/>
    <s v="2025-06-21"/>
    <x v="5"/>
    <x v="5"/>
    <x v="3"/>
    <n v="2"/>
    <n v="12"/>
    <s v="2025-07-29"/>
    <x v="4"/>
    <n v="550336"/>
    <n v="490454"/>
    <s v="2025-08-07"/>
    <x v="3"/>
    <n v="13.3"/>
    <s v="Hot"/>
    <s v="Deal done, site work ongoing"/>
  </r>
  <r>
    <s v="LD1707"/>
    <s v="Vikas Kale"/>
    <n v="9997319236"/>
    <x v="0"/>
    <x v="8"/>
    <s v="Instagram Before-After Posts"/>
    <x v="2"/>
    <s v="2025-06-21"/>
    <x v="5"/>
    <x v="5"/>
    <x v="3"/>
    <n v="2"/>
    <n v="3"/>
    <s v="2025-07-07"/>
    <x v="0"/>
    <n v="581305"/>
    <m/>
    <m/>
    <x v="1"/>
    <n v="34.700000000000003"/>
    <s v="Cold"/>
    <s v="Project cancelled by customer"/>
  </r>
  <r>
    <s v="LD1708"/>
    <s v="Mahesh More"/>
    <n v="9180056716"/>
    <x v="3"/>
    <x v="3"/>
    <s v="MagicBricks Enquiry — Inbound"/>
    <x v="12"/>
    <s v="2025-06-23"/>
    <x v="5"/>
    <x v="5"/>
    <x v="3"/>
    <n v="2"/>
    <n v="12"/>
    <s v="2025-08-12"/>
    <x v="0"/>
    <m/>
    <m/>
    <m/>
    <x v="1"/>
    <n v="2.2999999999999998"/>
    <s v="Cold"/>
    <s v="Customer did not proceed with project"/>
  </r>
  <r>
    <s v="LD1709"/>
    <s v="Bharati Gavhane"/>
    <m/>
    <x v="0"/>
    <x v="6"/>
    <s v="Facebook Home Decor Ads"/>
    <x v="7"/>
    <s v="2025-06-24"/>
    <x v="5"/>
    <x v="5"/>
    <x v="3"/>
    <n v="2"/>
    <n v="1"/>
    <s v="2025-07-07"/>
    <x v="0"/>
    <n v="1098931"/>
    <m/>
    <m/>
    <x v="1"/>
    <n v="28.2"/>
    <s v="Cold"/>
    <s v="Facebook lead — customer did not pick up on callback"/>
  </r>
  <r>
    <s v="LD1710"/>
    <s v="Rajesh Nikalje"/>
    <n v="9946052129"/>
    <x v="2"/>
    <x v="5"/>
    <s v="Site Visit Walk-in"/>
    <x v="9"/>
    <s v="2025-06-25"/>
    <x v="5"/>
    <x v="5"/>
    <x v="3"/>
    <n v="2"/>
    <n v="11"/>
    <s v="2025-07-24"/>
    <x v="0"/>
    <n v="262722"/>
    <m/>
    <m/>
    <x v="0"/>
    <n v="31.1"/>
    <s v="Cold"/>
    <s v="Lost to competitor - cheaper quote"/>
  </r>
  <r>
    <s v="LD1711-DUP"/>
    <s v="Madhuri Patil"/>
    <n v="9444627657"/>
    <x v="3"/>
    <x v="3"/>
    <s v="MagicBricks Property Enquiry — Inbound"/>
    <x v="8"/>
    <s v="2025-06-26"/>
    <x v="5"/>
    <x v="5"/>
    <x v="3"/>
    <n v="2"/>
    <n v="3"/>
    <s v="2025-07-17"/>
    <x v="1"/>
    <n v="602053"/>
    <m/>
    <m/>
    <x v="0"/>
    <n v="27.6"/>
    <s v="Cold"/>
    <s v="Duplicate enquiry"/>
  </r>
  <r>
    <s v="LD1712"/>
    <s v="Madhuri Patil"/>
    <n v="9444627657"/>
    <x v="2"/>
    <x v="3"/>
    <s v="MagicBricks Property Enquiry — Inbound"/>
    <x v="8"/>
    <s v="2025-06-26"/>
    <x v="5"/>
    <x v="5"/>
    <x v="3"/>
    <n v="2"/>
    <n v="3"/>
    <s v="2025-07-17"/>
    <x v="1"/>
    <n v="519084"/>
    <m/>
    <m/>
    <x v="0"/>
    <n v="27.6"/>
    <s v="Cold"/>
    <s v="Duplicate enquiry"/>
  </r>
  <r>
    <s v="LD1713"/>
    <s v="Deepak Chavan"/>
    <n v="9255306960"/>
    <x v="0"/>
    <x v="2"/>
    <s v="Client Referral"/>
    <x v="12"/>
    <s v="2025-06-26"/>
    <x v="5"/>
    <x v="5"/>
    <x v="3"/>
    <n v="2"/>
    <n v="11"/>
    <s v="2025-08-30"/>
    <x v="4"/>
    <n v="1080440"/>
    <n v="961428"/>
    <s v="2025-09-20"/>
    <x v="0"/>
    <n v="30.8"/>
    <s v="Hot"/>
    <s v="Token received, design finalised"/>
  </r>
  <r>
    <s v="LD1714"/>
    <s v="Nikhil Deshmukh"/>
    <n v="9404762660"/>
    <x v="0"/>
    <x v="2"/>
    <s v="Neighbour Referral"/>
    <x v="4"/>
    <s v="2025-06-28"/>
    <x v="5"/>
    <x v="5"/>
    <x v="3"/>
    <n v="2"/>
    <n v="6"/>
    <s v="2025-07-23"/>
    <x v="4"/>
    <n v="102854"/>
    <n v="102412"/>
    <s v="2025-08-03"/>
    <x v="0"/>
    <n v="15.1"/>
    <s v="Warm"/>
    <s v="Final payment received, project handed over"/>
  </r>
  <r>
    <s v="LD1715"/>
    <s v="Kiran Mohite"/>
    <n v="9651075873"/>
    <x v="2"/>
    <x v="5"/>
    <s v="Site Visit Walk-in"/>
    <x v="9"/>
    <s v="2025-06-28"/>
    <x v="5"/>
    <x v="5"/>
    <x v="3"/>
    <n v="2"/>
    <n v="4"/>
    <s v="2025-07-09"/>
    <x v="4"/>
    <n v="465424"/>
    <n v="436089"/>
    <s v="2025-07-20"/>
    <x v="1"/>
    <n v="10.1"/>
    <s v="Warm"/>
    <s v="Work order signed, production started"/>
  </r>
  <r>
    <s v="LD1716"/>
    <s v="Kiran Sonawane"/>
    <n v="9488712773"/>
    <x v="4"/>
    <x v="4"/>
    <s v="99acres Flat Owner Enquiry — Inbound"/>
    <x v="2"/>
    <s v="2025-06-30"/>
    <x v="5"/>
    <x v="5"/>
    <x v="3"/>
    <n v="2"/>
    <n v="7"/>
    <s v="2025-08-11"/>
    <x v="0"/>
    <n v="216219"/>
    <m/>
    <m/>
    <x v="2"/>
    <n v="11.4"/>
    <s v="Cold"/>
    <s v="No response, marked as lost after 60 days"/>
  </r>
  <r>
    <s v="LD1717"/>
    <s v="Pravin Kakade"/>
    <n v="9654001915"/>
    <x v="3"/>
    <x v="5"/>
    <s v="Showroom Walk-in"/>
    <x v="2"/>
    <s v="2025-06-30"/>
    <x v="5"/>
    <x v="5"/>
    <x v="3"/>
    <n v="2"/>
    <n v="11"/>
    <s v="2025-08-04"/>
    <x v="4"/>
    <n v="227882"/>
    <n v="221420"/>
    <s v="2025-08-11"/>
    <x v="1"/>
    <n v="29.2"/>
    <s v="Hot"/>
    <s v="Deal done, site work ongoing"/>
  </r>
  <r>
    <s v="LD1718"/>
    <s v="Devendra Holkar"/>
    <n v="9517205836"/>
    <x v="3"/>
    <x v="3"/>
    <s v="MagicBricks Enquiry — Inbound"/>
    <x v="2"/>
    <s v="2025-07-02"/>
    <x v="6"/>
    <x v="6"/>
    <x v="3"/>
    <n v="3"/>
    <n v="2"/>
    <s v="2025-07-22"/>
    <x v="0"/>
    <n v="574128"/>
    <m/>
    <m/>
    <x v="2"/>
    <n v="3.6"/>
    <s v="Warm"/>
    <s v="Went with local vendor"/>
  </r>
  <r>
    <s v="LD1719"/>
    <s v="Prashant Deshpande"/>
    <n v="9759810373"/>
    <x v="1"/>
    <x v="5"/>
    <s v="Exhibition Walk-in"/>
    <x v="0"/>
    <s v="2025-07-05"/>
    <x v="6"/>
    <x v="6"/>
    <x v="3"/>
    <n v="3"/>
    <n v="6"/>
    <s v="2025-07-23"/>
    <x v="4"/>
    <n v="530000"/>
    <n v="497389"/>
    <s v="2025-07-27"/>
    <x v="0"/>
    <n v="26.5"/>
    <s v="Warm"/>
    <s v="Deal closed, advance received"/>
  </r>
  <r>
    <s v="LD1720"/>
    <s v="Sunil Bhalerao"/>
    <m/>
    <x v="3"/>
    <x v="8"/>
    <s v="Instagram Diwali Campaign"/>
    <x v="2"/>
    <s v="2025-07-07"/>
    <x v="6"/>
    <x v="6"/>
    <x v="3"/>
    <n v="3"/>
    <n v="9"/>
    <s v="2025-08-22"/>
    <x v="0"/>
    <n v="288667"/>
    <m/>
    <m/>
    <x v="0"/>
    <n v="23.3"/>
    <s v="Cold"/>
    <s v="Replied to Instagram reel, no further response"/>
  </r>
  <r>
    <s v="LD1721"/>
    <s v="Jyoti Aware"/>
    <n v="9260246011"/>
    <x v="0"/>
    <x v="4"/>
    <s v="99acres Flat Owner Enquiry — Inbound"/>
    <x v="7"/>
    <s v="2025-07-07"/>
    <x v="6"/>
    <x v="6"/>
    <x v="3"/>
    <n v="3"/>
    <n v="8"/>
    <s v="2025-08-21"/>
    <x v="1"/>
    <n v="844633"/>
    <m/>
    <m/>
    <x v="2"/>
    <n v="9.6"/>
    <s v="Warm"/>
    <s v="Budget discussion pending"/>
  </r>
  <r>
    <s v="LD1722"/>
    <s v="Amit Bansode"/>
    <n v="9429409906"/>
    <x v="0"/>
    <x v="8"/>
    <s v="Instagram Story Ads"/>
    <x v="0"/>
    <s v="2025-07-07"/>
    <x v="6"/>
    <x v="6"/>
    <x v="3"/>
    <n v="3"/>
    <n v="10"/>
    <s v="2025-08-16"/>
    <x v="0"/>
    <n v="459315"/>
    <m/>
    <m/>
    <x v="0"/>
    <n v="1.2"/>
    <s v="Warm"/>
    <s v="Lost - no follow up done in time"/>
  </r>
  <r>
    <s v="LD1723"/>
    <s v="Sonal Sawant"/>
    <n v="9666287551"/>
    <x v="2"/>
    <x v="7"/>
    <s v="Google My Business"/>
    <x v="2"/>
    <s v="2025-07-08"/>
    <x v="6"/>
    <x v="6"/>
    <x v="3"/>
    <n v="3"/>
    <n v="9"/>
    <s v="2025-08-08"/>
    <x v="0"/>
    <n v="553964"/>
    <m/>
    <m/>
    <x v="1"/>
    <n v="5.6"/>
    <s v="Cold"/>
    <s v="Went with local vendor"/>
  </r>
  <r>
    <s v="LD1724"/>
    <s v="Lata Thorat"/>
    <n v="9960245981"/>
    <x v="0"/>
    <x v="4"/>
    <s v="99acres Flat Owner Enquiry — Inbound"/>
    <x v="0"/>
    <s v="2025-07-08"/>
    <x v="6"/>
    <x v="6"/>
    <x v="3"/>
    <n v="3"/>
    <n v="4"/>
    <s v="2025-08-11"/>
    <x v="4"/>
    <n v="488432"/>
    <n v="461877"/>
    <s v="2025-08-13"/>
    <x v="2"/>
    <n v="12.4"/>
    <s v="Hot"/>
    <m/>
  </r>
  <r>
    <s v="LD1725"/>
    <s v="Ravi Shinde"/>
    <n v="9922964651"/>
    <x v="0"/>
    <x v="1"/>
    <s v="Justdial Free Listing — Inbound"/>
    <x v="3"/>
    <s v="2025-07-09"/>
    <x v="6"/>
    <x v="6"/>
    <x v="3"/>
    <n v="3"/>
    <n v="7"/>
    <s v="2025-08-18"/>
    <x v="1"/>
    <n v="189678"/>
    <m/>
    <m/>
    <x v="3"/>
    <n v="17.399999999999999"/>
    <s v="Cold"/>
    <s v="Project on hold"/>
  </r>
  <r>
    <s v="LD1726"/>
    <s v="Sonal Gaikwad"/>
    <n v="9257562174"/>
    <x v="1"/>
    <x v="6"/>
    <s v="Facebook Home Decor Ads"/>
    <x v="0"/>
    <s v="2025-07-10"/>
    <x v="6"/>
    <x v="6"/>
    <x v="3"/>
    <n v="3"/>
    <n v="9"/>
    <s v="2025-08-20"/>
    <x v="4"/>
    <n v="340787"/>
    <n v="339635"/>
    <s v="2025-08-26"/>
    <x v="0"/>
    <n v="13.5"/>
    <s v="Hot"/>
    <s v="Token received, design finalised"/>
  </r>
  <r>
    <s v="LD1727"/>
    <s v="Nanda Tupe"/>
    <n v="9363851115"/>
    <x v="0"/>
    <x v="2"/>
    <s v="Architect Referral"/>
    <x v="2"/>
    <s v="2025-07-10"/>
    <x v="6"/>
    <x v="6"/>
    <x v="3"/>
    <n v="3"/>
    <n v="2"/>
    <s v="2025-07-28"/>
    <x v="4"/>
    <n v="251892"/>
    <n v="235690"/>
    <s v="2025-08-10"/>
    <x v="2"/>
    <n v="3.9"/>
    <s v="Warm"/>
    <m/>
  </r>
  <r>
    <s v="LD1728"/>
    <s v="Pooja Naik"/>
    <n v="9970670161"/>
    <x v="2"/>
    <x v="2"/>
    <s v="Client Referral"/>
    <x v="13"/>
    <s v="2025-07-10"/>
    <x v="6"/>
    <x v="6"/>
    <x v="3"/>
    <n v="3"/>
    <n v="9"/>
    <s v="2025-09-01"/>
    <x v="0"/>
    <n v="1830811"/>
    <m/>
    <m/>
    <x v="2"/>
    <n v="27.9"/>
    <s v="Cold"/>
    <s v="Went with local vendor"/>
  </r>
  <r>
    <s v="LD1729"/>
    <s v="Manoj Patil"/>
    <n v="9913273570"/>
    <x v="2"/>
    <x v="8"/>
    <s v="Instagram Gudi Padwa Special"/>
    <x v="6"/>
    <s v="2025-07-10"/>
    <x v="6"/>
    <x v="6"/>
    <x v="3"/>
    <n v="3"/>
    <n v="11"/>
    <s v="2025-08-25"/>
    <x v="1"/>
    <n v="307403"/>
    <m/>
    <m/>
    <x v="3"/>
    <n v="32.6"/>
    <s v="Hot"/>
    <s v="Ready to proceed, discussing payment terms"/>
  </r>
  <r>
    <s v="LD1730"/>
    <s v="Ashwini Patil"/>
    <n v="9550874397"/>
    <x v="0"/>
    <x v="8"/>
    <s v="Instagram Kitchen Reels"/>
    <x v="0"/>
    <s v="2025-07-11"/>
    <x v="6"/>
    <x v="6"/>
    <x v="3"/>
    <n v="3"/>
    <n v="11"/>
    <s v="2025-08-22"/>
    <x v="0"/>
    <n v="583466"/>
    <m/>
    <m/>
    <x v="3"/>
    <n v="25.2"/>
    <s v="Warm"/>
    <s v="Customer got work done from relative"/>
  </r>
  <r>
    <s v="LD1731"/>
    <s v="Santosh Gavhane"/>
    <n v="9853526776"/>
    <x v="4"/>
    <x v="8"/>
    <s v="Instagram Kitchen Reels"/>
    <x v="7"/>
    <s v="2025-07-11"/>
    <x v="6"/>
    <x v="6"/>
    <x v="3"/>
    <n v="3"/>
    <n v="11"/>
    <s v="2025-09-15"/>
    <x v="4"/>
    <n v="1433567"/>
    <n v="1338133"/>
    <s v="2025-09-26"/>
    <x v="3"/>
    <n v="27.6"/>
    <s v="Hot"/>
    <s v="Full payment cleared, delivery done"/>
  </r>
  <r>
    <s v="LD1732"/>
    <s v="Devendra Londhe"/>
    <n v="9305625712"/>
    <x v="4"/>
    <x v="7"/>
    <s v="Google My Business"/>
    <x v="2"/>
    <s v="2025-07-11"/>
    <x v="6"/>
    <x v="6"/>
    <x v="3"/>
    <n v="3"/>
    <n v="9"/>
    <s v="2025-09-13"/>
    <x v="0"/>
    <n v="185829"/>
    <m/>
    <m/>
    <x v="1"/>
    <n v="4.3"/>
    <s v="Warm"/>
    <s v="Went with local vendor"/>
  </r>
  <r>
    <s v="LD1733"/>
    <s v="Rekha Gaikwad"/>
    <n v="9377755785"/>
    <x v="0"/>
    <x v="2"/>
    <s v="Neighbour Referral"/>
    <x v="6"/>
    <s v="2025-07-11"/>
    <x v="6"/>
    <x v="6"/>
    <x v="3"/>
    <n v="3"/>
    <n v="5"/>
    <s v="2025-08-14"/>
    <x v="4"/>
    <n v="212138"/>
    <n v="217794"/>
    <s v="2025-09-04"/>
    <x v="1"/>
    <n v="4.4000000000000004"/>
    <s v="Warm"/>
    <s v="Full payment cleared, delivery done"/>
  </r>
  <r>
    <s v="LD1734"/>
    <s v="Rohit Mohite"/>
    <n v="9132879120"/>
    <x v="3"/>
    <x v="8"/>
    <s v="Instagram Wardrobe Showcase"/>
    <x v="8"/>
    <s v="2025-07-11"/>
    <x v="6"/>
    <x v="6"/>
    <x v="3"/>
    <n v="3"/>
    <n v="1"/>
    <s v="2025-07-24"/>
    <x v="3"/>
    <n v="840513"/>
    <m/>
    <m/>
    <x v="2"/>
    <n v="26.2"/>
    <s v="Warm"/>
    <s v="Follow up after flat possession"/>
  </r>
  <r>
    <s v="LD1735"/>
    <s v="Ravi Patil"/>
    <n v="9320696200"/>
    <x v="2"/>
    <x v="8"/>
    <s v="Instagram Wardrobe Showcase"/>
    <x v="7"/>
    <s v="2025-07-11"/>
    <x v="6"/>
    <x v="6"/>
    <x v="3"/>
    <n v="3"/>
    <n v="7"/>
    <s v="2025-09-01"/>
    <x v="4"/>
    <n v="972945"/>
    <n v="917581"/>
    <s v="2025-09-09"/>
    <x v="2"/>
    <n v="31.6"/>
    <s v="Warm"/>
    <m/>
  </r>
  <r>
    <s v="LD1736"/>
    <s v="Bharati Wagh"/>
    <n v="9611990049"/>
    <x v="2"/>
    <x v="4"/>
    <s v="99acres New Project Enquiry — Inbound"/>
    <x v="2"/>
    <s v="2025-07-12"/>
    <x v="6"/>
    <x v="6"/>
    <x v="3"/>
    <n v="3"/>
    <n v="2"/>
    <s v="2025-07-21"/>
    <x v="0"/>
    <n v="222435"/>
    <m/>
    <m/>
    <x v="0"/>
    <n v="1.1000000000000001"/>
    <s v="Warm"/>
    <s v="Customer got work done from relative"/>
  </r>
  <r>
    <s v="LD1737"/>
    <s v="Ravi Bhosale"/>
    <n v="9281784499"/>
    <x v="3"/>
    <x v="6"/>
    <s v="Facebook Home Decor Ads"/>
    <x v="9"/>
    <s v="2025-07-12"/>
    <x v="6"/>
    <x v="6"/>
    <x v="3"/>
    <n v="3"/>
    <n v="0"/>
    <s v="2025-07-25"/>
    <x v="4"/>
    <n v="389033"/>
    <n v="371951"/>
    <s v="2025-08-05"/>
    <x v="2"/>
    <n v="19.600000000000001"/>
    <s v="Hot"/>
    <s v="Token received, design finalised"/>
  </r>
  <r>
    <s v="LD1738"/>
    <s v="Rohit Bhalerao"/>
    <n v="9866390862"/>
    <x v="4"/>
    <x v="2"/>
    <s v="Client Referral"/>
    <x v="9"/>
    <s v="2025-07-12"/>
    <x v="6"/>
    <x v="6"/>
    <x v="3"/>
    <n v="3"/>
    <n v="11"/>
    <s v="2025-08-21"/>
    <x v="4"/>
    <n v="538739"/>
    <n v="516247"/>
    <s v="2025-09-10"/>
    <x v="1"/>
    <n v="6.6"/>
    <s v="Hot"/>
    <s v="Full payment cleared, delivery done"/>
  </r>
  <r>
    <s v="LD1739"/>
    <s v="Pramod Jadhav"/>
    <n v="9444300978"/>
    <x v="0"/>
    <x v="6"/>
    <s v="Facebook Gudi Padwa Offer"/>
    <x v="5"/>
    <s v="2025-07-14"/>
    <x v="6"/>
    <x v="6"/>
    <x v="3"/>
    <n v="3"/>
    <n v="10"/>
    <s v="2025-08-13"/>
    <x v="2"/>
    <n v="123816"/>
    <m/>
    <m/>
    <x v="1"/>
    <n v="24.3"/>
    <s v="Warm"/>
    <s v="Follow up after Akshaya Tritiya"/>
  </r>
  <r>
    <s v="LD1740"/>
    <s v="Divya Shelke"/>
    <n v="9142262603"/>
    <x v="0"/>
    <x v="6"/>
    <s v="Facebook Diwali Offer"/>
    <x v="9"/>
    <s v="2025-07-14"/>
    <x v="6"/>
    <x v="6"/>
    <x v="3"/>
    <n v="3"/>
    <n v="1"/>
    <s v="2025-07-24"/>
    <x v="1"/>
    <n v="429208"/>
    <m/>
    <m/>
    <x v="0"/>
    <n v="12.5"/>
    <s v="Warm"/>
    <s v="Follow up after Dussehra"/>
  </r>
  <r>
    <s v="LD1741"/>
    <s v="Ravi Suryawanshi"/>
    <n v="9126729712"/>
    <x v="0"/>
    <x v="2"/>
    <s v="Architect Referral"/>
    <x v="11"/>
    <s v="2025-07-14"/>
    <x v="6"/>
    <x v="6"/>
    <x v="3"/>
    <n v="3"/>
    <n v="7"/>
    <s v="2025-08-29"/>
    <x v="4"/>
    <n v="240123"/>
    <n v="223289"/>
    <s v="2025-08-31"/>
    <x v="1"/>
    <n v="10"/>
    <s v="Warm"/>
    <s v="Deal closed, advance received"/>
  </r>
  <r>
    <s v="LD1742"/>
    <s v="Nikhil Gavhane"/>
    <n v="9936002765"/>
    <x v="0"/>
    <x v="5"/>
    <s v="Exhibition Walk-in"/>
    <x v="14"/>
    <s v="2025-07-14"/>
    <x v="6"/>
    <x v="6"/>
    <x v="3"/>
    <n v="3"/>
    <n v="1"/>
    <s v="2025-07-28"/>
    <x v="4"/>
    <n v="2133417"/>
    <n v="1884376"/>
    <s v="2025-07-30"/>
    <x v="2"/>
    <n v="15.2"/>
    <s v="Hot"/>
    <s v="Deal done, site work ongoing"/>
  </r>
  <r>
    <s v="LD1743"/>
    <s v="Devendra Joshi"/>
    <n v="9311763175"/>
    <x v="1"/>
    <x v="4"/>
    <s v="99acres Flat Owner Enquiry — Inbound"/>
    <x v="11"/>
    <s v="2025-07-15"/>
    <x v="6"/>
    <x v="6"/>
    <x v="3"/>
    <n v="3"/>
    <n v="2"/>
    <s v="2025-07-21"/>
    <x v="4"/>
    <n v="303224"/>
    <n v="269703"/>
    <s v="2025-08-06"/>
    <x v="1"/>
    <n v="32.299999999999997"/>
    <s v="Warm"/>
    <s v="Work order signed, production started"/>
  </r>
  <r>
    <s v="LD1744"/>
    <s v="Rohit Bhosale"/>
    <n v="9718590452"/>
    <x v="2"/>
    <x v="5"/>
    <s v="Exhibition Walk-in"/>
    <x v="2"/>
    <s v="2025-07-16"/>
    <x v="6"/>
    <x v="6"/>
    <x v="3"/>
    <n v="3"/>
    <n v="8"/>
    <s v="2025-08-22"/>
    <x v="0"/>
    <n v="196847"/>
    <m/>
    <m/>
    <x v="3"/>
    <n v="9.3000000000000007"/>
    <s v="Warm"/>
    <s v="Lost - no follow up done in time"/>
  </r>
  <r>
    <s v="LD1745"/>
    <s v="Divya Salve"/>
    <n v="9296359490"/>
    <x v="2"/>
    <x v="8"/>
    <s v="Instagram Before-After Posts"/>
    <x v="10"/>
    <s v="2025-07-16"/>
    <x v="6"/>
    <x v="6"/>
    <x v="3"/>
    <n v="3"/>
    <n v="2"/>
    <s v="2025-08-07"/>
    <x v="0"/>
    <n v="374289"/>
    <m/>
    <m/>
    <x v="1"/>
    <n v="14.5"/>
    <s v="Cold"/>
    <s v="Lost to branded competitor"/>
  </r>
  <r>
    <s v="LD1746"/>
    <s v="Smita Kakade"/>
    <n v="9204116448"/>
    <x v="4"/>
    <x v="8"/>
    <s v="Instagram Wardrobe Showcase"/>
    <x v="8"/>
    <s v="2025-07-17"/>
    <x v="6"/>
    <x v="6"/>
    <x v="3"/>
    <n v="3"/>
    <n v="5"/>
    <s v="2025-08-30"/>
    <x v="0"/>
    <n v="1071031"/>
    <m/>
    <m/>
    <x v="2"/>
    <n v="12.6"/>
    <s v="Cold"/>
    <s v="Lost to competitor - cheaper quote"/>
  </r>
  <r>
    <s v="LD1747"/>
    <s v="Ravi Thorat"/>
    <n v="9873408373"/>
    <x v="0"/>
    <x v="8"/>
    <s v="Instagram Story Ads"/>
    <x v="2"/>
    <s v="2025-07-21"/>
    <x v="6"/>
    <x v="6"/>
    <x v="3"/>
    <n v="3"/>
    <n v="10"/>
    <s v="2025-09-03"/>
    <x v="3"/>
    <n v="587902"/>
    <m/>
    <m/>
    <x v="0"/>
    <n v="20.7"/>
    <s v="Hot"/>
    <s v="Measurement done, quote pending approval"/>
  </r>
  <r>
    <s v="LD1748"/>
    <s v="Sunil Thorat"/>
    <n v="9455933673"/>
    <x v="4"/>
    <x v="8"/>
    <s v="Instagram Before-After Posts"/>
    <x v="13"/>
    <s v="2025-07-21"/>
    <x v="6"/>
    <x v="6"/>
    <x v="3"/>
    <n v="3"/>
    <n v="10"/>
    <s v="2025-09-22"/>
    <x v="2"/>
    <n v="1521883"/>
    <m/>
    <m/>
    <x v="2"/>
    <n v="1.9"/>
    <s v="Warm"/>
    <s v="Follow up after Diwali"/>
  </r>
  <r>
    <s v="LD1749"/>
    <s v="Devendra Shelke"/>
    <n v="9135983523"/>
    <x v="1"/>
    <x v="8"/>
    <s v="Instagram Wardrobe Showcase"/>
    <x v="4"/>
    <s v="2025-07-22"/>
    <x v="6"/>
    <x v="6"/>
    <x v="3"/>
    <n v="3"/>
    <n v="9"/>
    <s v="2025-08-28"/>
    <x v="4"/>
    <n v="315782"/>
    <n v="297410"/>
    <s v="2025-09-02"/>
    <x v="0"/>
    <n v="11"/>
    <s v="Hot"/>
    <s v="Customer very satisfied, 5 star review given"/>
  </r>
  <r>
    <s v="LD1750"/>
    <s v="Pravin Gaikwad"/>
    <n v="9850055508"/>
    <x v="0"/>
    <x v="8"/>
    <s v="Instagram Gudi Padwa Special"/>
    <x v="7"/>
    <s v="2025-07-22"/>
    <x v="6"/>
    <x v="6"/>
    <x v="3"/>
    <n v="3"/>
    <n v="7"/>
    <s v="2025-09-08"/>
    <x v="0"/>
    <n v="809866"/>
    <m/>
    <m/>
    <x v="0"/>
    <n v="27.5"/>
    <s v="Cold"/>
    <s v="Lost to branded competitor"/>
  </r>
  <r>
    <s v="LD1751"/>
    <s v="Sanjay Kulkarni"/>
    <n v="9752293380"/>
    <x v="1"/>
    <x v="8"/>
    <s v="Instagram Gudi Padwa Special"/>
    <x v="6"/>
    <s v="2025-07-22"/>
    <x v="6"/>
    <x v="6"/>
    <x v="3"/>
    <n v="3"/>
    <n v="6"/>
    <s v="2025-09-08"/>
    <x v="3"/>
    <n v="167042"/>
    <m/>
    <m/>
    <x v="1"/>
    <n v="1.5"/>
    <s v="Cold"/>
    <m/>
  </r>
  <r>
    <s v="LD1752"/>
    <s v="Prashant Kshirsagar"/>
    <n v="9645976531"/>
    <x v="2"/>
    <x v="2"/>
    <s v="Contractor Referral"/>
    <x v="11"/>
    <s v="2025-07-23"/>
    <x v="6"/>
    <x v="6"/>
    <x v="3"/>
    <n v="3"/>
    <n v="5"/>
    <s v="2025-08-06"/>
    <x v="3"/>
    <n v="241771"/>
    <m/>
    <m/>
    <x v="1"/>
    <n v="33.4"/>
    <s v="Hot"/>
    <s v="Final quote shared, awaiting approval"/>
  </r>
  <r>
    <s v="LD1753"/>
    <s v="Sunil Kale"/>
    <m/>
    <x v="2"/>
    <x v="8"/>
    <s v="Instagram Diwali Campaign"/>
    <x v="7"/>
    <s v="2025-07-24"/>
    <x v="6"/>
    <x v="6"/>
    <x v="3"/>
    <n v="3"/>
    <n v="7"/>
    <s v="2025-08-20"/>
    <x v="0"/>
    <n v="706298"/>
    <m/>
    <m/>
    <x v="0"/>
    <n v="2.4"/>
    <s v="Cold"/>
    <s v="DM received on Instagram, no phone shared"/>
  </r>
  <r>
    <s v="LD1754"/>
    <s v="Suresh Bhalerao"/>
    <n v="9807324732"/>
    <x v="4"/>
    <x v="0"/>
    <s v="Colony Reference"/>
    <x v="12"/>
    <s v="2025-07-24"/>
    <x v="6"/>
    <x v="6"/>
    <x v="3"/>
    <n v="3"/>
    <n v="11"/>
    <s v="2025-08-22"/>
    <x v="4"/>
    <n v="1733739"/>
    <n v="1709508"/>
    <s v="2025-09-08"/>
    <x v="1"/>
    <n v="16.399999999999999"/>
    <s v="Hot"/>
    <s v="Token paid, measurement done, work started"/>
  </r>
  <r>
    <s v="LD1755"/>
    <s v="Rekha Mohite"/>
    <n v="9627797972"/>
    <x v="2"/>
    <x v="7"/>
    <s v="Google My Business"/>
    <x v="11"/>
    <s v="2025-07-24"/>
    <x v="6"/>
    <x v="6"/>
    <x v="3"/>
    <n v="3"/>
    <n v="1"/>
    <s v="2025-08-01"/>
    <x v="0"/>
    <n v="364029"/>
    <m/>
    <m/>
    <x v="1"/>
    <n v="8.6999999999999993"/>
    <s v="Cold"/>
    <s v="Went with local vendor"/>
  </r>
  <r>
    <s v="LD1756"/>
    <s v="Nanda Londhe"/>
    <n v="9362362386"/>
    <x v="1"/>
    <x v="6"/>
    <s v="Facebook Kitchen Showcase"/>
    <x v="11"/>
    <s v="2025-07-24"/>
    <x v="6"/>
    <x v="6"/>
    <x v="3"/>
    <n v="3"/>
    <n v="4"/>
    <s v="2025-08-08"/>
    <x v="4"/>
    <n v="477423"/>
    <n v="481846"/>
    <s v="2025-08-23"/>
    <x v="3"/>
    <n v="35.200000000000003"/>
    <s v="Hot"/>
    <s v="Token received, design finalised"/>
  </r>
  <r>
    <s v="LD1757"/>
    <s v="Nilesh Aware"/>
    <n v="9868062907"/>
    <x v="2"/>
    <x v="8"/>
    <s v="Instagram Before-After Posts"/>
    <x v="6"/>
    <s v="2025-07-25"/>
    <x v="6"/>
    <x v="6"/>
    <x v="3"/>
    <n v="3"/>
    <n v="12"/>
    <s v="2025-09-26"/>
    <x v="1"/>
    <n v="259076"/>
    <m/>
    <m/>
    <x v="2"/>
    <n v="19.100000000000001"/>
    <s v="Hot"/>
    <s v="Ready to proceed, discussing payment terms"/>
  </r>
  <r>
    <s v="LD1758"/>
    <s v="Nilesh Sawant"/>
    <n v="9980381933"/>
    <x v="3"/>
    <x v="7"/>
    <s v="SEO Organic"/>
    <x v="12"/>
    <s v="2025-07-26"/>
    <x v="6"/>
    <x v="6"/>
    <x v="3"/>
    <n v="3"/>
    <n v="5"/>
    <s v="2025-08-29"/>
    <x v="0"/>
    <n v="1121145"/>
    <m/>
    <m/>
    <x v="1"/>
    <n v="7.8"/>
    <s v="Cold"/>
    <s v="Went with local vendor"/>
  </r>
  <r>
    <s v="LD1759"/>
    <s v="Meena Bhalerao"/>
    <n v="9539004547"/>
    <x v="1"/>
    <x v="5"/>
    <s v="Exhibition Walk-in"/>
    <x v="4"/>
    <s v="2025-07-26"/>
    <x v="6"/>
    <x v="6"/>
    <x v="3"/>
    <n v="3"/>
    <n v="1"/>
    <s v="2025-08-13"/>
    <x v="4"/>
    <n v="192550"/>
    <n v="176948"/>
    <s v="2025-08-15"/>
    <x v="2"/>
    <n v="1.1000000000000001"/>
    <s v="Hot"/>
    <s v="Token paid, measurement done, work started"/>
  </r>
  <r>
    <s v="LD1760"/>
    <s v="Ganesh Bhalerao"/>
    <n v="9191949852"/>
    <x v="0"/>
    <x v="8"/>
    <s v="Instagram Kitchen Reels"/>
    <x v="7"/>
    <s v="2025-07-26"/>
    <x v="6"/>
    <x v="6"/>
    <x v="3"/>
    <n v="3"/>
    <n v="2"/>
    <s v="2025-08-14"/>
    <x v="0"/>
    <n v="1394834"/>
    <m/>
    <m/>
    <x v="1"/>
    <n v="32.6"/>
    <s v="Cold"/>
    <s v="No response, marked as lost after 60 days"/>
  </r>
  <r>
    <s v="LD1761"/>
    <s v="Prashant Suryawanshi"/>
    <n v="9809010556"/>
    <x v="2"/>
    <x v="6"/>
    <s v="Facebook Home Decor Ads"/>
    <x v="0"/>
    <s v="2025-07-28"/>
    <x v="6"/>
    <x v="6"/>
    <x v="3"/>
    <n v="3"/>
    <n v="3"/>
    <s v="2025-08-18"/>
    <x v="1"/>
    <n v="670034"/>
    <m/>
    <m/>
    <x v="3"/>
    <n v="11.5"/>
    <s v="Warm"/>
    <s v="Follow up after flat possession"/>
  </r>
  <r>
    <s v="LD1762"/>
    <s v="Pooja Zende"/>
    <n v="9558635938"/>
    <x v="1"/>
    <x v="2"/>
    <s v="Contractor Referral"/>
    <x v="2"/>
    <s v="2025-07-28"/>
    <x v="6"/>
    <x v="6"/>
    <x v="3"/>
    <n v="3"/>
    <m/>
    <s v="2025-09-10"/>
    <x v="4"/>
    <n v="184285"/>
    <n v="189600"/>
    <s v="2025-09-20"/>
    <x v="1"/>
    <n v="9.5"/>
    <s v="Hot"/>
    <m/>
  </r>
  <r>
    <s v="LD1763"/>
    <s v="Divya Shinde"/>
    <n v="9144796232"/>
    <x v="2"/>
    <x v="3"/>
    <s v="MagicBricks Property Enquiry — Inbound"/>
    <x v="5"/>
    <s v="2025-07-28"/>
    <x v="6"/>
    <x v="6"/>
    <x v="3"/>
    <n v="3"/>
    <n v="3"/>
    <s v="2025-08-26"/>
    <x v="0"/>
    <n v="269405"/>
    <m/>
    <m/>
    <x v="2"/>
    <n v="3.5"/>
    <s v="Cold"/>
    <s v="Lost - no follow up done in time"/>
  </r>
  <r>
    <s v="LD1764"/>
    <s v="Sunita Gaikwad"/>
    <n v="9783960103"/>
    <x v="0"/>
    <x v="6"/>
    <s v="Facebook Gudi Padwa Offer"/>
    <x v="12"/>
    <s v="2025-07-29"/>
    <x v="6"/>
    <x v="6"/>
    <x v="3"/>
    <n v="3"/>
    <n v="3"/>
    <s v="2025-08-08"/>
    <x v="0"/>
    <m/>
    <m/>
    <m/>
    <x v="1"/>
    <n v="31.6"/>
    <s v="Cold"/>
    <s v="Customer did not proceed with project"/>
  </r>
  <r>
    <s v="LD1765"/>
    <s v="Devendra Sawant"/>
    <n v="9225958808"/>
    <x v="0"/>
    <x v="8"/>
    <s v="Instagram Wardrobe Showcase"/>
    <x v="11"/>
    <s v="2025-07-29"/>
    <x v="6"/>
    <x v="6"/>
    <x v="3"/>
    <n v="3"/>
    <n v="3"/>
    <s v="2025-08-11"/>
    <x v="2"/>
    <n v="503735"/>
    <m/>
    <m/>
    <x v="3"/>
    <n v="32.5"/>
    <s v="Warm"/>
    <s v="Follow up after Diwali"/>
  </r>
  <r>
    <s v="LD1766"/>
    <s v="Lata Deshpande"/>
    <n v="9384107070"/>
    <x v="4"/>
    <x v="7"/>
    <s v="Website Chat Enquiry"/>
    <x v="4"/>
    <s v="2025-07-30"/>
    <x v="6"/>
    <x v="6"/>
    <x v="3"/>
    <n v="3"/>
    <n v="1"/>
    <s v="2025-08-16"/>
    <x v="3"/>
    <n v="196462"/>
    <m/>
    <m/>
    <x v="1"/>
    <n v="33.299999999999997"/>
    <s v="Hot"/>
    <s v="Final quote shared, awaiting approval"/>
  </r>
  <r>
    <s v="LD1767"/>
    <s v="Archana Wagh"/>
    <n v="9975716657"/>
    <x v="3"/>
    <x v="5"/>
    <s v="Exhibition Walk-in"/>
    <x v="7"/>
    <s v="2025-07-30"/>
    <x v="6"/>
    <x v="6"/>
    <x v="3"/>
    <n v="3"/>
    <n v="7"/>
    <s v="2025-09-12"/>
    <x v="0"/>
    <n v="1096659"/>
    <m/>
    <m/>
    <x v="2"/>
    <n v="13.5"/>
    <s v="Cold"/>
    <s v="Lost to branded competitor"/>
  </r>
  <r>
    <s v="LD1768"/>
    <s v="Divya Nikalje"/>
    <n v="9163047349"/>
    <x v="4"/>
    <x v="5"/>
    <s v="Site Visit Walk-in"/>
    <x v="7"/>
    <s v="2025-07-31"/>
    <x v="6"/>
    <x v="6"/>
    <x v="3"/>
    <n v="3"/>
    <n v="12"/>
    <s v="2025-09-01"/>
    <x v="3"/>
    <n v="1170622"/>
    <m/>
    <m/>
    <x v="2"/>
    <n v="4.9000000000000004"/>
    <s v="Hot"/>
    <s v="Measurement done, quote pending approval"/>
  </r>
  <r>
    <s v="LD1769"/>
    <s v="Ritu Deshpande"/>
    <n v="9912382694"/>
    <x v="0"/>
    <x v="2"/>
    <s v="Neighbour Referral"/>
    <x v="9"/>
    <s v="2025-07-31"/>
    <x v="6"/>
    <x v="6"/>
    <x v="3"/>
    <n v="3"/>
    <n v="2"/>
    <s v="2025-08-16"/>
    <x v="1"/>
    <n v="298620"/>
    <m/>
    <m/>
    <x v="0"/>
    <n v="4.7"/>
    <s v="Cold"/>
    <s v="Not responding to calls"/>
  </r>
  <r>
    <s v="LD1770"/>
    <s v="Ashwini Bhosale"/>
    <n v="9334847209"/>
    <x v="2"/>
    <x v="8"/>
    <s v="Instagram Gudi Padwa Special"/>
    <x v="0"/>
    <s v="2025-08-01"/>
    <x v="7"/>
    <x v="7"/>
    <x v="3"/>
    <n v="3"/>
    <n v="12"/>
    <s v="2025-09-06"/>
    <x v="4"/>
    <n v="514535"/>
    <n v="509387"/>
    <s v="2025-09-17"/>
    <x v="1"/>
    <n v="34.6"/>
    <s v="Hot"/>
    <s v="Deal done, site work ongoing"/>
  </r>
  <r>
    <s v="LD1771"/>
    <s v="Sanjay Holkar"/>
    <n v="9193611341"/>
    <x v="3"/>
    <x v="6"/>
    <s v="Facebook Diwali Offer"/>
    <x v="0"/>
    <s v="2025-08-01"/>
    <x v="7"/>
    <x v="7"/>
    <x v="3"/>
    <n v="3"/>
    <n v="2"/>
    <s v="2025-08-11"/>
    <x v="0"/>
    <n v="466753"/>
    <m/>
    <m/>
    <x v="0"/>
    <n v="6.3"/>
    <s v="Warm"/>
    <s v="Customer did not proceed with project"/>
  </r>
  <r>
    <s v="LD1772"/>
    <s v="Kavita Holkar"/>
    <n v="9692199586"/>
    <x v="0"/>
    <x v="8"/>
    <s v="Instagram Before-After Posts"/>
    <x v="7"/>
    <s v="2025-08-02"/>
    <x v="7"/>
    <x v="7"/>
    <x v="3"/>
    <n v="3"/>
    <n v="7"/>
    <s v="2025-09-09"/>
    <x v="1"/>
    <n v="926836"/>
    <m/>
    <m/>
    <x v="1"/>
    <n v="23.4"/>
    <s v="Cold"/>
    <s v="Project on hold"/>
  </r>
  <r>
    <s v="LD1773"/>
    <s v="Hemant Gavhane"/>
    <n v="9930306578"/>
    <x v="3"/>
    <x v="5"/>
    <s v="Showroom Walk-in"/>
    <x v="5"/>
    <s v="2025-08-02"/>
    <x v="7"/>
    <x v="7"/>
    <x v="3"/>
    <n v="3"/>
    <n v="9"/>
    <s v="2025-08-23"/>
    <x v="0"/>
    <n v="244082"/>
    <m/>
    <m/>
    <x v="0"/>
    <n v="7"/>
    <s v="Cold"/>
    <m/>
  </r>
  <r>
    <s v="LD1774"/>
    <s v="Mahesh Sawant"/>
    <n v="9698831315"/>
    <x v="0"/>
    <x v="7"/>
    <s v="Google Ads"/>
    <x v="1"/>
    <s v="2025-08-02"/>
    <x v="7"/>
    <x v="7"/>
    <x v="3"/>
    <n v="3"/>
    <n v="2"/>
    <s v="2025-08-18"/>
    <x v="4"/>
    <n v="290695"/>
    <n v="263478"/>
    <s v="2025-08-21"/>
    <x v="1"/>
    <n v="17.5"/>
    <s v="Warm"/>
    <s v="Token received, design finalised"/>
  </r>
  <r>
    <s v="LD1775"/>
    <s v="Varsha Bansode"/>
    <n v="9722679879"/>
    <x v="0"/>
    <x v="7"/>
    <s v="Google My Business"/>
    <x v="1"/>
    <s v="2025-08-04"/>
    <x v="7"/>
    <x v="7"/>
    <x v="3"/>
    <n v="3"/>
    <n v="6"/>
    <s v="2025-09-12"/>
    <x v="4"/>
    <n v="206071"/>
    <n v="208093"/>
    <s v="2025-09-25"/>
    <x v="1"/>
    <n v="30.4"/>
    <s v="Hot"/>
    <s v="Customer happy with sample, deal closed"/>
  </r>
  <r>
    <s v="LD1776-DUP"/>
    <s v="Vikas Joshi"/>
    <n v="9978288665"/>
    <x v="3"/>
    <x v="2"/>
    <s v="Contractor Referral"/>
    <x v="7"/>
    <s v="2025-08-05"/>
    <x v="7"/>
    <x v="7"/>
    <x v="3"/>
    <n v="3"/>
    <n v="2"/>
    <s v="2025-08-21"/>
    <x v="3"/>
    <n v="1050945"/>
    <m/>
    <m/>
    <x v="1"/>
    <n v="29.8"/>
    <s v="Warm"/>
    <s v="Call back after 1 month"/>
  </r>
  <r>
    <s v="LD1777"/>
    <s v="Vikas Joshi"/>
    <n v="9978288665"/>
    <x v="4"/>
    <x v="2"/>
    <s v="Contractor Referral"/>
    <x v="7"/>
    <s v="2025-08-05"/>
    <x v="7"/>
    <x v="7"/>
    <x v="3"/>
    <n v="3"/>
    <n v="2"/>
    <s v="2025-08-21"/>
    <x v="3"/>
    <n v="1156959"/>
    <m/>
    <m/>
    <x v="1"/>
    <n v="29.8"/>
    <s v="Warm"/>
    <s v="Call back after 1 month"/>
  </r>
  <r>
    <s v="LD1778"/>
    <s v="Nikhil Phule"/>
    <n v="9691618458"/>
    <x v="4"/>
    <x v="8"/>
    <s v="Instagram Diwali Campaign"/>
    <x v="10"/>
    <s v="2025-08-05"/>
    <x v="7"/>
    <x v="7"/>
    <x v="3"/>
    <n v="3"/>
    <n v="6"/>
    <s v="2025-08-21"/>
    <x v="0"/>
    <n v="545562"/>
    <m/>
    <m/>
    <x v="1"/>
    <n v="5.5"/>
    <s v="Cold"/>
    <s v="Customer got work done from relative"/>
  </r>
  <r>
    <s v="LD1779"/>
    <s v="Nanda More"/>
    <n v="9208999772"/>
    <x v="4"/>
    <x v="8"/>
    <s v="Instagram Before-After Posts"/>
    <x v="0"/>
    <s v="2025-08-05"/>
    <x v="7"/>
    <x v="7"/>
    <x v="3"/>
    <n v="3"/>
    <n v="8"/>
    <s v="2025-09-04"/>
    <x v="4"/>
    <n v="413780"/>
    <n v="379198"/>
    <s v="2025-09-11"/>
    <x v="1"/>
    <n v="26.3"/>
    <s v="Hot"/>
    <s v="Token received, design finalised"/>
  </r>
  <r>
    <s v="LD1780"/>
    <s v="Pooja Kakade"/>
    <n v="9446384079"/>
    <x v="3"/>
    <x v="5"/>
    <s v="Showroom Walk-in"/>
    <x v="11"/>
    <s v="2025-08-05"/>
    <x v="7"/>
    <x v="7"/>
    <x v="3"/>
    <n v="3"/>
    <n v="2"/>
    <s v="2025-08-27"/>
    <x v="0"/>
    <n v="178941"/>
    <m/>
    <m/>
    <x v="3"/>
    <n v="11.3"/>
    <s v="Cold"/>
    <s v="Lost - no follow up done in time"/>
  </r>
  <r>
    <s v="LD1781"/>
    <s v="Nikhil Nikalje"/>
    <n v="9753698659"/>
    <x v="0"/>
    <x v="7"/>
    <s v="Website Chat Enquiry"/>
    <x v="12"/>
    <s v="2025-08-06"/>
    <x v="7"/>
    <x v="7"/>
    <x v="3"/>
    <n v="3"/>
    <n v="12"/>
    <s v="2025-10-27"/>
    <x v="1"/>
    <n v="1676779"/>
    <m/>
    <m/>
    <x v="3"/>
    <n v="25.3"/>
    <s v="Warm"/>
    <s v="Site visit to be scheduled"/>
  </r>
  <r>
    <s v="LD1782"/>
    <s v="Kiran Holkar"/>
    <n v="9878198036"/>
    <x v="3"/>
    <x v="7"/>
    <s v="Google My Business"/>
    <x v="4"/>
    <s v="2025-08-06"/>
    <x v="7"/>
    <x v="7"/>
    <x v="3"/>
    <n v="3"/>
    <n v="9"/>
    <s v="2025-10-02"/>
    <x v="1"/>
    <n v="387250"/>
    <m/>
    <m/>
    <x v="1"/>
    <n v="16.8"/>
    <s v="Hot"/>
    <s v="Measurement done, quote pending approval"/>
  </r>
  <r>
    <s v="LD1783"/>
    <s v="Pooja Nikalje"/>
    <n v="9297671965"/>
    <x v="2"/>
    <x v="3"/>
    <s v="MagicBricks Property Enquiry — Inbound"/>
    <x v="2"/>
    <s v="2025-08-06"/>
    <x v="7"/>
    <x v="7"/>
    <x v="3"/>
    <n v="3"/>
    <n v="12"/>
    <s v="2025-10-16"/>
    <x v="0"/>
    <n v="396351"/>
    <m/>
    <m/>
    <x v="3"/>
    <n v="10.4"/>
    <s v="Warm"/>
    <s v="Lost to branded competitor"/>
  </r>
  <r>
    <s v="LD1784"/>
    <s v="Dinesh Tupe"/>
    <n v="9301726789"/>
    <x v="1"/>
    <x v="6"/>
    <s v="Facebook Home Decor Ads"/>
    <x v="6"/>
    <s v="2025-08-07"/>
    <x v="7"/>
    <x v="7"/>
    <x v="3"/>
    <n v="3"/>
    <n v="9"/>
    <s v="2025-08-28"/>
    <x v="4"/>
    <n v="178590"/>
    <n v="163974"/>
    <s v="2025-09-18"/>
    <x v="1"/>
    <n v="30.6"/>
    <s v="Warm"/>
    <s v="Full payment cleared, delivery done"/>
  </r>
  <r>
    <s v="LD1785"/>
    <s v="Mahesh Chavan"/>
    <n v="9249070105"/>
    <x v="2"/>
    <x v="2"/>
    <s v="Client Referral"/>
    <x v="9"/>
    <s v="2025-08-07"/>
    <x v="7"/>
    <x v="7"/>
    <x v="3"/>
    <n v="3"/>
    <n v="9"/>
    <s v="2025-10-11"/>
    <x v="4"/>
    <n v="318055"/>
    <n v="309791"/>
    <s v="2025-10-19"/>
    <x v="0"/>
    <n v="0.9"/>
    <s v="Hot"/>
    <s v="Work order signed, production started"/>
  </r>
  <r>
    <s v="LD1786"/>
    <s v="Manisha Bhalerao"/>
    <n v="9437024777"/>
    <x v="4"/>
    <x v="8"/>
    <s v="Instagram Kitchen Reels"/>
    <x v="7"/>
    <s v="2025-08-07"/>
    <x v="7"/>
    <x v="7"/>
    <x v="3"/>
    <n v="3"/>
    <n v="1"/>
    <s v="2025-08-18"/>
    <x v="0"/>
    <n v="1085878"/>
    <m/>
    <m/>
    <x v="2"/>
    <n v="12"/>
    <s v="Cold"/>
    <s v="Lost to competitor - cheaper quote"/>
  </r>
  <r>
    <s v="LD1787"/>
    <s v="Smita Deshmukh"/>
    <n v="9836300510"/>
    <x v="0"/>
    <x v="4"/>
    <s v="99acres Flat Owner Enquiry — Inbound"/>
    <x v="8"/>
    <s v="2025-08-07"/>
    <x v="7"/>
    <x v="7"/>
    <x v="3"/>
    <n v="3"/>
    <n v="1"/>
    <s v="2025-08-25"/>
    <x v="4"/>
    <n v="637765"/>
    <n v="617175"/>
    <s v="2025-09-02"/>
    <x v="0"/>
    <n v="13.4"/>
    <s v="Hot"/>
    <s v="Customer very satisfied, 5 star review given"/>
  </r>
  <r>
    <s v="LD1788"/>
    <s v="Meena Kale"/>
    <n v="9589923248"/>
    <x v="0"/>
    <x v="6"/>
    <s v="Facebook Gudi Padwa Offer"/>
    <x v="9"/>
    <s v="2025-08-07"/>
    <x v="7"/>
    <x v="7"/>
    <x v="3"/>
    <n v="3"/>
    <n v="9"/>
    <s v="2025-10-02"/>
    <x v="3"/>
    <n v="301874"/>
    <m/>
    <m/>
    <x v="2"/>
    <n v="11.8"/>
    <s v="Warm"/>
    <s v="Call back after 1 month"/>
  </r>
  <r>
    <s v="LD1789"/>
    <s v="Jyoti Gavhane"/>
    <n v="9520473312"/>
    <x v="0"/>
    <x v="8"/>
    <s v="Instagram Story Ads"/>
    <x v="12"/>
    <s v="2025-08-08"/>
    <x v="7"/>
    <x v="7"/>
    <x v="3"/>
    <n v="3"/>
    <n v="10"/>
    <s v="2025-09-11"/>
    <x v="0"/>
    <n v="1555228"/>
    <m/>
    <m/>
    <x v="2"/>
    <n v="26.7"/>
    <s v="Warm"/>
    <m/>
  </r>
  <r>
    <s v="LD1790"/>
    <s v="Jyoti Yadav"/>
    <n v="9700363977"/>
    <x v="0"/>
    <x v="7"/>
    <s v="SEO Organic"/>
    <x v="1"/>
    <s v="2025-08-09"/>
    <x v="7"/>
    <x v="7"/>
    <x v="3"/>
    <n v="3"/>
    <n v="6"/>
    <s v="2025-09-20"/>
    <x v="0"/>
    <n v="113559"/>
    <m/>
    <m/>
    <x v="1"/>
    <n v="18.100000000000001"/>
    <s v="Cold"/>
    <s v="Lost to branded competitor"/>
  </r>
  <r>
    <s v="LD1791"/>
    <s v="Sachin Kadam"/>
    <n v="9518366204"/>
    <x v="2"/>
    <x v="2"/>
    <s v="Neighbour Referral"/>
    <x v="6"/>
    <s v="2025-08-11"/>
    <x v="7"/>
    <x v="7"/>
    <x v="3"/>
    <n v="3"/>
    <n v="8"/>
    <s v="2025-09-04"/>
    <x v="4"/>
    <n v="405109"/>
    <n v="388868"/>
    <s v="2025-09-15"/>
    <x v="1"/>
    <n v="12.5"/>
    <s v="Warm"/>
    <s v="Work order signed, production started"/>
  </r>
  <r>
    <s v="LD1792"/>
    <s v="Ganesh Naik"/>
    <n v="9706736633"/>
    <x v="4"/>
    <x v="7"/>
    <s v="Google Ads"/>
    <x v="12"/>
    <s v="2025-08-13"/>
    <x v="7"/>
    <x v="7"/>
    <x v="3"/>
    <n v="3"/>
    <n v="6"/>
    <s v="2025-09-16"/>
    <x v="4"/>
    <n v="929694"/>
    <n v="919747"/>
    <s v="2025-10-05"/>
    <x v="0"/>
    <n v="15.8"/>
    <s v="Hot"/>
    <s v="Deal closed, advance received"/>
  </r>
  <r>
    <s v="LD1793"/>
    <s v="Sunil Phule"/>
    <n v="9919114609"/>
    <x v="0"/>
    <x v="7"/>
    <s v="SEO Organic"/>
    <x v="5"/>
    <s v="2025-08-14"/>
    <x v="7"/>
    <x v="7"/>
    <x v="3"/>
    <n v="3"/>
    <n v="8"/>
    <s v="2025-09-22"/>
    <x v="4"/>
    <n v="150848"/>
    <n v="147305"/>
    <s v="2025-09-28"/>
    <x v="1"/>
    <n v="9.9"/>
    <s v="Warm"/>
    <s v="Token received, design finalised"/>
  </r>
  <r>
    <s v="LD1794"/>
    <s v="Pravin Shelke"/>
    <n v="9546249621"/>
    <x v="2"/>
    <x v="2"/>
    <s v="Contractor Referral"/>
    <x v="5"/>
    <s v="2025-08-14"/>
    <x v="7"/>
    <x v="7"/>
    <x v="3"/>
    <n v="3"/>
    <n v="4"/>
    <s v="2025-09-15"/>
    <x v="1"/>
    <n v="121226"/>
    <m/>
    <m/>
    <x v="2"/>
    <n v="13.8"/>
    <s v="Hot"/>
    <s v="Token amount discussed, decision this week"/>
  </r>
  <r>
    <s v="LD1795"/>
    <s v="Sunita Salve"/>
    <n v="9351107288"/>
    <x v="2"/>
    <x v="7"/>
    <s v="Google My Business"/>
    <x v="13"/>
    <s v="2025-08-14"/>
    <x v="7"/>
    <x v="7"/>
    <x v="3"/>
    <n v="3"/>
    <n v="6"/>
    <s v="2025-09-15"/>
    <x v="1"/>
    <n v="1937060"/>
    <m/>
    <m/>
    <x v="0"/>
    <n v="12.3"/>
    <s v="Hot"/>
    <s v="Sample seen at showroom, liked veneer finish"/>
  </r>
  <r>
    <s v="LD1796"/>
    <s v="Hemant Holkar"/>
    <n v="9359336731"/>
    <x v="2"/>
    <x v="1"/>
    <s v="Justdial Premium Listing — Inbound"/>
    <x v="2"/>
    <s v="2025-08-15"/>
    <x v="7"/>
    <x v="7"/>
    <x v="3"/>
    <n v="3"/>
    <n v="7"/>
    <s v="2025-09-08"/>
    <x v="4"/>
    <n v="379225"/>
    <n v="389522"/>
    <s v="2025-09-27"/>
    <x v="0"/>
    <n v="22.5"/>
    <s v="Hot"/>
    <s v="Final payment received, project handed over"/>
  </r>
  <r>
    <s v="LD1797"/>
    <s v="Shweta Sonawane"/>
    <n v="9601639941"/>
    <x v="0"/>
    <x v="1"/>
    <s v="Justdial Premium Listing — Inbound"/>
    <x v="4"/>
    <s v="2025-08-15"/>
    <x v="7"/>
    <x v="7"/>
    <x v="3"/>
    <n v="3"/>
    <n v="3"/>
    <s v="2025-09-01"/>
    <x v="4"/>
    <n v="181760"/>
    <n v="167570"/>
    <s v="2025-09-12"/>
    <x v="2"/>
    <n v="31.9"/>
    <s v="Hot"/>
    <m/>
  </r>
  <r>
    <s v="LD1798"/>
    <s v="Vikas Holkar"/>
    <n v="9429019866"/>
    <x v="2"/>
    <x v="6"/>
    <s v="Facebook Home Decor Ads"/>
    <x v="7"/>
    <s v="2025-08-15"/>
    <x v="7"/>
    <x v="7"/>
    <x v="3"/>
    <n v="3"/>
    <n v="0"/>
    <s v="2025-08-28"/>
    <x v="0"/>
    <n v="746223"/>
    <m/>
    <m/>
    <x v="0"/>
    <n v="1.5"/>
    <s v="Cold"/>
    <s v="Budget mismatch - too low"/>
  </r>
  <r>
    <s v="LD1799"/>
    <s v="Santosh Kulkarni"/>
    <n v="9165120960"/>
    <x v="3"/>
    <x v="8"/>
    <s v="Instagram Before-After Posts"/>
    <x v="1"/>
    <s v="2025-08-16"/>
    <x v="7"/>
    <x v="7"/>
    <x v="3"/>
    <n v="3"/>
    <n v="9"/>
    <s v="2025-10-06"/>
    <x v="1"/>
    <n v="234924"/>
    <m/>
    <m/>
    <x v="3"/>
    <m/>
    <s v="Hot"/>
    <s v="Design presentation done, waiting for confirmation"/>
  </r>
  <r>
    <s v="LD1800"/>
    <s v="Dinesh Bhalerao"/>
    <n v="9157153967"/>
    <x v="3"/>
    <x v="2"/>
    <s v="Client Referral"/>
    <x v="7"/>
    <s v="2025-08-16"/>
    <x v="7"/>
    <x v="7"/>
    <x v="3"/>
    <n v="3"/>
    <m/>
    <s v="2025-09-10"/>
    <x v="4"/>
    <n v="1420675"/>
    <n v="1405703"/>
    <s v="2025-09-29"/>
    <x v="3"/>
    <n v="16.600000000000001"/>
    <s v="Hot"/>
    <s v="Deal closed, advance received"/>
  </r>
  <r>
    <s v="LD1801"/>
    <s v="Sonal Salve"/>
    <n v="9197773793"/>
    <x v="4"/>
    <x v="6"/>
    <s v="Facebook Home Decor Ads"/>
    <x v="10"/>
    <s v="2025-08-16"/>
    <x v="7"/>
    <x v="7"/>
    <x v="3"/>
    <n v="3"/>
    <n v="10"/>
    <s v="2025-10-16"/>
    <x v="3"/>
    <n v="400231"/>
    <m/>
    <m/>
    <x v="3"/>
    <n v="18"/>
    <s v="Warm"/>
    <s v="Follow up after flat possession"/>
  </r>
  <r>
    <s v="LD1802"/>
    <s v="Amit Mohite"/>
    <n v="9490709679"/>
    <x v="4"/>
    <x v="2"/>
    <s v="Client Referral"/>
    <x v="2"/>
    <s v="2025-08-18"/>
    <x v="7"/>
    <x v="7"/>
    <x v="3"/>
    <n v="3"/>
    <n v="3"/>
    <s v="2025-09-08"/>
    <x v="4"/>
    <n v="181967"/>
    <n v="178735"/>
    <s v="2025-09-27"/>
    <x v="0"/>
    <n v="9.6"/>
    <s v="Warm"/>
    <s v="Customer happy with sample, deal closed"/>
  </r>
  <r>
    <s v="LD1803"/>
    <s v="Kavita Phule"/>
    <m/>
    <x v="0"/>
    <x v="8"/>
    <s v="Instagram Story Ads"/>
    <x v="9"/>
    <s v="2025-08-18"/>
    <x v="7"/>
    <x v="7"/>
    <x v="3"/>
    <n v="3"/>
    <n v="1"/>
    <s v="2025-09-06"/>
    <x v="0"/>
    <n v="239401"/>
    <m/>
    <m/>
    <x v="1"/>
    <n v="25.5"/>
    <s v="Cold"/>
    <s v="Replied to Instagram reel, no further response"/>
  </r>
  <r>
    <s v="LD1804"/>
    <s v="Divya Sonawane"/>
    <n v="9211000079"/>
    <x v="3"/>
    <x v="7"/>
    <s v="SEO Organic"/>
    <x v="11"/>
    <s v="2025-08-19"/>
    <x v="7"/>
    <x v="7"/>
    <x v="3"/>
    <n v="3"/>
    <n v="9"/>
    <s v="2025-09-22"/>
    <x v="0"/>
    <n v="334196"/>
    <m/>
    <m/>
    <x v="1"/>
    <n v="4"/>
    <s v="Cold"/>
    <s v="Lost to branded competitor"/>
  </r>
  <r>
    <s v="LD1805"/>
    <s v="Sunanda Kulkarni"/>
    <n v="9352689382"/>
    <x v="2"/>
    <x v="8"/>
    <s v="Instagram Story Ads"/>
    <x v="9"/>
    <s v="2025-08-21"/>
    <x v="7"/>
    <x v="7"/>
    <x v="3"/>
    <n v="3"/>
    <n v="4"/>
    <s v="2025-09-01"/>
    <x v="4"/>
    <n v="389436"/>
    <n v="371283"/>
    <s v="2025-09-20"/>
    <x v="2"/>
    <n v="3.6"/>
    <s v="Hot"/>
    <s v="Customer referred 2 more leads after delivery"/>
  </r>
  <r>
    <s v="LD1806"/>
    <s v="Kiran Sawant"/>
    <n v="9159710478"/>
    <x v="4"/>
    <x v="7"/>
    <s v="Website Chat Enquiry"/>
    <x v="7"/>
    <s v="2025-08-21"/>
    <x v="7"/>
    <x v="7"/>
    <x v="3"/>
    <n v="3"/>
    <n v="3"/>
    <s v="2025-09-18"/>
    <x v="4"/>
    <n v="733339"/>
    <n v="715055"/>
    <s v="2025-09-21"/>
    <x v="1"/>
    <n v="31.1"/>
    <s v="Hot"/>
    <s v="Work order signed, production started"/>
  </r>
  <r>
    <s v="LD1807"/>
    <s v="Kavita Bansode"/>
    <n v="9180095075"/>
    <x v="2"/>
    <x v="2"/>
    <s v="Client Referral"/>
    <x v="3"/>
    <s v="2025-08-21"/>
    <x v="7"/>
    <x v="7"/>
    <x v="3"/>
    <n v="3"/>
    <n v="3"/>
    <s v="2025-09-16"/>
    <x v="1"/>
    <n v="158698"/>
    <m/>
    <m/>
    <x v="0"/>
    <n v="27.8"/>
    <s v="Cold"/>
    <s v="Went with local carpenter"/>
  </r>
  <r>
    <s v="LD1808"/>
    <s v="Sachin Bansode"/>
    <n v="9785083321"/>
    <x v="0"/>
    <x v="2"/>
    <s v="Neighbour Referral"/>
    <x v="12"/>
    <s v="2025-08-21"/>
    <x v="7"/>
    <x v="7"/>
    <x v="3"/>
    <n v="3"/>
    <n v="3"/>
    <s v="2025-09-18"/>
    <x v="3"/>
    <n v="1509964"/>
    <m/>
    <m/>
    <x v="3"/>
    <n v="10.1"/>
    <s v="Warm"/>
    <s v="Customer interested, flat handover next month"/>
  </r>
  <r>
    <s v="LD1809"/>
    <s v="Vikas Nimbalkar"/>
    <n v="9982952076"/>
    <x v="2"/>
    <x v="1"/>
    <s v="Justdial Premium Listing — Inbound"/>
    <x v="5"/>
    <s v="2025-08-21"/>
    <x v="7"/>
    <x v="7"/>
    <x v="3"/>
    <n v="3"/>
    <n v="5"/>
    <s v="2025-09-24"/>
    <x v="4"/>
    <n v="117851"/>
    <n v="105056"/>
    <s v="2025-10-09"/>
    <x v="0"/>
    <n v="10.7"/>
    <s v="Hot"/>
    <s v="Deal done, site work ongoing"/>
  </r>
  <r>
    <s v="LD1810"/>
    <s v="Deepak Shelke"/>
    <n v="9575335722"/>
    <x v="3"/>
    <x v="2"/>
    <s v="Contractor Referral"/>
    <x v="0"/>
    <s v="2025-08-22"/>
    <x v="7"/>
    <x v="7"/>
    <x v="3"/>
    <n v="3"/>
    <n v="7"/>
    <s v="2025-09-16"/>
    <x v="3"/>
    <n v="365087"/>
    <m/>
    <m/>
    <x v="0"/>
    <n v="3.5"/>
    <s v="Cold"/>
    <s v="Duplicate enquiry"/>
  </r>
  <r>
    <s v="LD1811"/>
    <s v="Dinesh More"/>
    <n v="9309640161"/>
    <x v="4"/>
    <x v="2"/>
    <s v="Client Referral"/>
    <x v="6"/>
    <s v="2025-08-23"/>
    <x v="7"/>
    <x v="7"/>
    <x v="3"/>
    <n v="3"/>
    <n v="9"/>
    <s v="2025-10-10"/>
    <x v="1"/>
    <n v="241104"/>
    <m/>
    <m/>
    <x v="2"/>
    <n v="13"/>
    <s v="Hot"/>
    <s v="Customer visited showroom twice, very interested"/>
  </r>
  <r>
    <s v="LD1812"/>
    <s v="Anita Gavhane"/>
    <n v="9906145163"/>
    <x v="2"/>
    <x v="0"/>
    <s v="Friend Reference"/>
    <x v="13"/>
    <s v="2025-08-25"/>
    <x v="7"/>
    <x v="7"/>
    <x v="3"/>
    <n v="3"/>
    <n v="7"/>
    <s v="2025-09-23"/>
    <x v="0"/>
    <n v="1475988"/>
    <m/>
    <m/>
    <x v="0"/>
    <n v="15.7"/>
    <s v="Cold"/>
    <s v="Customer chose readymade furniture"/>
  </r>
  <r>
    <s v="LD1813"/>
    <s v="Hemant Phule"/>
    <n v="9257877777"/>
    <x v="0"/>
    <x v="8"/>
    <s v="Instagram Kitchen Reels"/>
    <x v="7"/>
    <s v="2025-08-25"/>
    <x v="7"/>
    <x v="7"/>
    <x v="3"/>
    <n v="3"/>
    <n v="4"/>
    <s v="2025-09-24"/>
    <x v="1"/>
    <n v="784593"/>
    <m/>
    <m/>
    <x v="3"/>
    <n v="9.1"/>
    <s v="Warm"/>
    <s v="Under construction, possession in 3 months"/>
  </r>
  <r>
    <s v="LD1814"/>
    <s v="Deepak Gavhane"/>
    <n v="9705540625"/>
    <x v="4"/>
    <x v="2"/>
    <s v="Architect Referral"/>
    <x v="12"/>
    <s v="2025-08-25"/>
    <x v="7"/>
    <x v="7"/>
    <x v="3"/>
    <n v="3"/>
    <n v="4"/>
    <s v="2025-09-26"/>
    <x v="0"/>
    <n v="1772764"/>
    <m/>
    <m/>
    <x v="0"/>
    <n v="26.7"/>
    <s v="Cold"/>
    <m/>
  </r>
  <r>
    <s v="LD1815"/>
    <s v="Pravin Londhe"/>
    <m/>
    <x v="2"/>
    <x v="8"/>
    <s v="Instagram Gudi Padwa Special"/>
    <x v="2"/>
    <s v="2025-08-25"/>
    <x v="7"/>
    <x v="7"/>
    <x v="3"/>
    <n v="3"/>
    <n v="9"/>
    <s v="2025-09-25"/>
    <x v="0"/>
    <n v="411739"/>
    <m/>
    <m/>
    <x v="3"/>
    <n v="17.2"/>
    <s v="Cold"/>
    <s v="DM received on Instagram, no phone shared"/>
  </r>
  <r>
    <s v="LD1816"/>
    <s v="Rajesh Suryawanshi"/>
    <n v="9342394731"/>
    <x v="2"/>
    <x v="8"/>
    <s v="Instagram Before-After Posts"/>
    <x v="7"/>
    <s v="2025-08-26"/>
    <x v="7"/>
    <x v="7"/>
    <x v="3"/>
    <n v="3"/>
    <n v="2"/>
    <s v="2025-09-06"/>
    <x v="1"/>
    <n v="1277329"/>
    <m/>
    <m/>
    <x v="1"/>
    <n v="24"/>
    <s v="Warm"/>
    <s v="Site visit to be scheduled"/>
  </r>
  <r>
    <s v="LD1817"/>
    <s v="Prashant Londhe"/>
    <n v="9278451152"/>
    <x v="4"/>
    <x v="7"/>
    <s v="SEO Organic"/>
    <x v="2"/>
    <s v="2025-08-26"/>
    <x v="7"/>
    <x v="7"/>
    <x v="3"/>
    <n v="3"/>
    <n v="4"/>
    <s v="2025-09-25"/>
    <x v="1"/>
    <n v="398278"/>
    <m/>
    <m/>
    <x v="0"/>
    <n v="13.3"/>
    <s v="Warm"/>
    <s v="Call back after 1 month"/>
  </r>
  <r>
    <s v="LD1818"/>
    <s v="Alka Jadhav"/>
    <n v="9373464167"/>
    <x v="1"/>
    <x v="8"/>
    <s v="Instagram Gudi Padwa Special"/>
    <x v="10"/>
    <s v="2025-08-26"/>
    <x v="7"/>
    <x v="7"/>
    <x v="3"/>
    <n v="3"/>
    <n v="5"/>
    <s v="2025-09-06"/>
    <x v="3"/>
    <n v="248931"/>
    <m/>
    <m/>
    <x v="0"/>
    <n v="30"/>
    <s v="Warm"/>
    <m/>
  </r>
  <r>
    <s v="LD1819"/>
    <s v="Archana Mane"/>
    <n v="9498928031"/>
    <x v="0"/>
    <x v="1"/>
    <s v="Justdial Free Listing — Inbound"/>
    <x v="2"/>
    <s v="2025-08-27"/>
    <x v="7"/>
    <x v="7"/>
    <x v="3"/>
    <n v="3"/>
    <n v="5"/>
    <s v="2025-09-22"/>
    <x v="3"/>
    <n v="412731"/>
    <m/>
    <m/>
    <x v="2"/>
    <n v="9.4"/>
    <s v="Warm"/>
    <s v="Follow up after flat possession"/>
  </r>
  <r>
    <s v="LD1820"/>
    <s v="Ravi Nimbalkar"/>
    <n v="9936143345"/>
    <x v="2"/>
    <x v="3"/>
    <s v="MagicBricks Enquiry — Inbound"/>
    <x v="6"/>
    <s v="2025-08-27"/>
    <x v="7"/>
    <x v="7"/>
    <x v="3"/>
    <n v="3"/>
    <n v="1"/>
    <s v="2025-09-12"/>
    <x v="0"/>
    <n v="356412"/>
    <m/>
    <m/>
    <x v="2"/>
    <n v="19.8"/>
    <s v="Cold"/>
    <s v="Lost to competitor - cheaper quote"/>
  </r>
  <r>
    <s v="LD1821"/>
    <s v="Umesh Deshmukh"/>
    <n v="9840901333"/>
    <x v="3"/>
    <x v="2"/>
    <s v="Neighbour Referral"/>
    <x v="3"/>
    <s v="2025-08-27"/>
    <x v="7"/>
    <x v="7"/>
    <x v="3"/>
    <n v="3"/>
    <n v="12"/>
    <s v="2025-11-14"/>
    <x v="4"/>
    <n v="184405"/>
    <n v="163122"/>
    <s v="2025-11-29"/>
    <x v="0"/>
    <n v="29.7"/>
    <s v="Hot"/>
    <s v="Token paid, measurement done, work started"/>
  </r>
  <r>
    <s v="LD1822"/>
    <s v="Santosh Zende"/>
    <n v="9261602831"/>
    <x v="2"/>
    <x v="0"/>
    <s v="Friend Reference"/>
    <x v="9"/>
    <s v="2025-08-28"/>
    <x v="7"/>
    <x v="7"/>
    <x v="3"/>
    <n v="3"/>
    <n v="11"/>
    <s v="2025-10-08"/>
    <x v="0"/>
    <n v="551727"/>
    <m/>
    <m/>
    <x v="3"/>
    <n v="14.1"/>
    <s v="Cold"/>
    <s v="Customer chose readymade furniture"/>
  </r>
  <r>
    <s v="LD1823"/>
    <s v="Sunanda Zende"/>
    <n v="9624348514"/>
    <x v="2"/>
    <x v="2"/>
    <s v="Client Referral"/>
    <x v="3"/>
    <s v="2025-08-29"/>
    <x v="7"/>
    <x v="7"/>
    <x v="3"/>
    <n v="3"/>
    <n v="6"/>
    <s v="2025-09-13"/>
    <x v="3"/>
    <n v="50000"/>
    <m/>
    <m/>
    <x v="0"/>
    <n v="10.1"/>
    <s v="Hot"/>
    <s v="Final quote shared, awaiting approval"/>
  </r>
  <r>
    <s v="LD1824"/>
    <s v="Arun Nikalje"/>
    <n v="9386224283"/>
    <x v="4"/>
    <x v="2"/>
    <s v="Architect Referral"/>
    <x v="0"/>
    <s v="2025-08-29"/>
    <x v="7"/>
    <x v="7"/>
    <x v="3"/>
    <n v="3"/>
    <n v="12"/>
    <s v="2025-10-20"/>
    <x v="0"/>
    <n v="401772"/>
    <m/>
    <m/>
    <x v="1"/>
    <n v="28.9"/>
    <s v="Cold"/>
    <s v="Went with local vendor"/>
  </r>
  <r>
    <s v="LD1825"/>
    <s v="Nanda Sonawane"/>
    <n v="9632406749"/>
    <x v="2"/>
    <x v="2"/>
    <s v="Neighbour Referral"/>
    <x v="11"/>
    <s v="2025-08-29"/>
    <x v="7"/>
    <x v="7"/>
    <x v="3"/>
    <n v="3"/>
    <n v="11"/>
    <s v="2025-10-06"/>
    <x v="4"/>
    <n v="369982"/>
    <n v="372579"/>
    <s v="2025-10-18"/>
    <x v="3"/>
    <n v="6.7"/>
    <s v="Warm"/>
    <s v="Customer happy with sample, deal closed"/>
  </r>
  <r>
    <s v="LD1826"/>
    <s v="Sanjay Kakade"/>
    <n v="9561326429"/>
    <x v="0"/>
    <x v="8"/>
    <s v="Instagram Story Ads"/>
    <x v="9"/>
    <s v="2025-08-30"/>
    <x v="7"/>
    <x v="7"/>
    <x v="3"/>
    <n v="3"/>
    <n v="4"/>
    <s v="2025-09-09"/>
    <x v="3"/>
    <n v="320497"/>
    <m/>
    <m/>
    <x v="1"/>
    <n v="14.6"/>
    <s v="Hot"/>
    <s v="Design presentation done, waiting for confirmation"/>
  </r>
  <r>
    <s v="LD1827"/>
    <s v="Pramod Naik"/>
    <n v="9334397084"/>
    <x v="2"/>
    <x v="6"/>
    <s v="Facebook Kitchen Showcase"/>
    <x v="7"/>
    <s v="2025-08-30"/>
    <x v="7"/>
    <x v="7"/>
    <x v="3"/>
    <n v="3"/>
    <n v="8"/>
    <s v="2025-10-08"/>
    <x v="0"/>
    <n v="879877"/>
    <m/>
    <m/>
    <x v="0"/>
    <n v="32.5"/>
    <s v="Cold"/>
    <m/>
  </r>
  <r>
    <s v="LD1828"/>
    <s v="Sonal Suryawanshi"/>
    <n v="9673254269"/>
    <x v="2"/>
    <x v="8"/>
    <s v="Instagram Before-After Posts"/>
    <x v="7"/>
    <s v="2025-08-30"/>
    <x v="7"/>
    <x v="7"/>
    <x v="3"/>
    <n v="3"/>
    <n v="6"/>
    <s v="2025-10-01"/>
    <x v="1"/>
    <n v="1039402"/>
    <m/>
    <m/>
    <x v="2"/>
    <n v="20.9"/>
    <s v="Warm"/>
    <s v="Under construction, possession in 3 months"/>
  </r>
  <r>
    <s v="LD1829"/>
    <s v="Suresh Salve"/>
    <n v="9813636544"/>
    <x v="2"/>
    <x v="8"/>
    <s v="Instagram Gudi Padwa Special"/>
    <x v="7"/>
    <s v="2025-09-01"/>
    <x v="8"/>
    <x v="8"/>
    <x v="3"/>
    <n v="3"/>
    <n v="8"/>
    <s v="2025-10-08"/>
    <x v="1"/>
    <n v="1311299"/>
    <m/>
    <m/>
    <x v="1"/>
    <n v="34.799999999999997"/>
    <s v="Cold"/>
    <s v="No response after 4 follow ups"/>
  </r>
  <r>
    <s v="LD1830"/>
    <s v="Sunanda Naik"/>
    <n v="9686016056"/>
    <x v="0"/>
    <x v="2"/>
    <s v="Neighbour Referral"/>
    <x v="10"/>
    <s v="2025-09-01"/>
    <x v="8"/>
    <x v="8"/>
    <x v="3"/>
    <n v="3"/>
    <n v="12"/>
    <s v="2025-10-20"/>
    <x v="3"/>
    <n v="291520"/>
    <m/>
    <m/>
    <x v="0"/>
    <n v="24.5"/>
    <s v="Cold"/>
    <s v="No response after 4 follow ups"/>
  </r>
  <r>
    <s v="LD1831"/>
    <s v="Shweta Kulkarni"/>
    <n v="9391885050"/>
    <x v="4"/>
    <x v="2"/>
    <s v="Neighbour Referral"/>
    <x v="10"/>
    <s v="2025-09-01"/>
    <x v="8"/>
    <x v="8"/>
    <x v="3"/>
    <n v="3"/>
    <n v="6"/>
    <s v="2025-10-20"/>
    <x v="4"/>
    <n v="236387"/>
    <n v="223147"/>
    <s v="2025-11-07"/>
    <x v="2"/>
    <n v="18.3"/>
    <s v="Hot"/>
    <s v="Customer happy with sample, deal closed"/>
  </r>
  <r>
    <s v="LD1832"/>
    <s v="Vijay Wagh"/>
    <n v="9599649398"/>
    <x v="3"/>
    <x v="6"/>
    <s v="Facebook Gudi Padwa Offer"/>
    <x v="6"/>
    <s v="2025-09-01"/>
    <x v="8"/>
    <x v="8"/>
    <x v="3"/>
    <n v="3"/>
    <n v="10"/>
    <s v="2025-10-06"/>
    <x v="0"/>
    <n v="265187"/>
    <m/>
    <m/>
    <x v="2"/>
    <n v="27.5"/>
    <s v="Warm"/>
    <s v="Customer chose readymade furniture"/>
  </r>
  <r>
    <s v="LD1833"/>
    <s v="Devendra Gaikwad"/>
    <n v="9313907122"/>
    <x v="4"/>
    <x v="2"/>
    <s v="Architect Referral"/>
    <x v="3"/>
    <s v="2025-09-02"/>
    <x v="8"/>
    <x v="8"/>
    <x v="3"/>
    <n v="3"/>
    <n v="10"/>
    <s v="2025-10-22"/>
    <x v="4"/>
    <n v="99901"/>
    <n v="95336"/>
    <s v="2025-10-25"/>
    <x v="0"/>
    <n v="11.2"/>
    <s v="Hot"/>
    <s v="Deal closed, advance received"/>
  </r>
  <r>
    <s v="LD1834"/>
    <s v="Sunil Jadhav"/>
    <n v="9420828896"/>
    <x v="0"/>
    <x v="8"/>
    <s v="Instagram Wardrobe Showcase"/>
    <x v="5"/>
    <s v="2025-09-02"/>
    <x v="8"/>
    <x v="8"/>
    <x v="3"/>
    <n v="3"/>
    <n v="5"/>
    <s v="2025-10-09"/>
    <x v="0"/>
    <n v="282688"/>
    <m/>
    <m/>
    <x v="2"/>
    <n v="16.600000000000001"/>
    <s v="Cold"/>
    <s v="Lost - no follow up done in time"/>
  </r>
  <r>
    <s v="LD1835"/>
    <s v="Mahesh Salve"/>
    <n v="9905737525"/>
    <x v="4"/>
    <x v="7"/>
    <s v="SEO Organic"/>
    <x v="13"/>
    <s v="2025-09-02"/>
    <x v="8"/>
    <x v="8"/>
    <x v="3"/>
    <n v="3"/>
    <n v="4"/>
    <s v="2025-09-22"/>
    <x v="2"/>
    <n v="1849360"/>
    <m/>
    <m/>
    <x v="1"/>
    <n v="8.6999999999999993"/>
    <s v="Cold"/>
    <s v="Not responding to calls"/>
  </r>
  <r>
    <s v="LD1836"/>
    <s v="Pramod Nikalje"/>
    <n v="9895908205"/>
    <x v="2"/>
    <x v="8"/>
    <s v="Instagram Kitchen Reels"/>
    <x v="10"/>
    <s v="2025-09-02"/>
    <x v="8"/>
    <x v="8"/>
    <x v="3"/>
    <n v="3"/>
    <n v="3"/>
    <s v="2025-09-27"/>
    <x v="1"/>
    <n v="198704"/>
    <m/>
    <m/>
    <x v="1"/>
    <n v="18.8"/>
    <s v="Warm"/>
    <s v="Waiting for interior budget approval from family"/>
  </r>
  <r>
    <s v="LD1837"/>
    <s v="Ravi Chavan"/>
    <n v="9900749320"/>
    <x v="3"/>
    <x v="8"/>
    <s v="Instagram Before-After Posts"/>
    <x v="8"/>
    <s v="2025-09-02"/>
    <x v="8"/>
    <x v="8"/>
    <x v="3"/>
    <n v="3"/>
    <n v="0"/>
    <s v="2025-09-12"/>
    <x v="0"/>
    <n v="480319"/>
    <m/>
    <m/>
    <x v="1"/>
    <n v="4"/>
    <s v="Warm"/>
    <s v="Lost to branded competitor"/>
  </r>
  <r>
    <s v="LD1838"/>
    <s v="Smita Kadam"/>
    <n v="9553748478"/>
    <x v="1"/>
    <x v="2"/>
    <s v="Client Referral"/>
    <x v="7"/>
    <s v="2025-09-03"/>
    <x v="8"/>
    <x v="8"/>
    <x v="3"/>
    <n v="3"/>
    <n v="2"/>
    <s v="2025-09-19"/>
    <x v="4"/>
    <n v="1464907"/>
    <n v="1399926"/>
    <s v="2025-09-29"/>
    <x v="0"/>
    <n v="1.5"/>
    <s v="Hot"/>
    <s v="Full payment cleared, delivery done"/>
  </r>
  <r>
    <s v="LD1839"/>
    <s v="Dinesh Kulkarni"/>
    <n v="9860675831"/>
    <x v="0"/>
    <x v="6"/>
    <s v="Facebook Gudi Padwa Offer"/>
    <x v="7"/>
    <s v="2025-09-03"/>
    <x v="8"/>
    <x v="8"/>
    <x v="3"/>
    <n v="3"/>
    <n v="1"/>
    <s v="2025-09-22"/>
    <x v="0"/>
    <n v="1459643"/>
    <m/>
    <m/>
    <x v="1"/>
    <n v="34.5"/>
    <s v="Cold"/>
    <s v="Lost to branded competitor"/>
  </r>
  <r>
    <s v="LD1840"/>
    <s v="Rajesh Gaikwad"/>
    <n v="9411497109"/>
    <x v="4"/>
    <x v="3"/>
    <s v="MagicBricks Enquiry — Inbound"/>
    <x v="12"/>
    <s v="2025-09-04"/>
    <x v="8"/>
    <x v="8"/>
    <x v="3"/>
    <n v="3"/>
    <n v="8"/>
    <s v="2025-10-08"/>
    <x v="0"/>
    <n v="1250039"/>
    <m/>
    <m/>
    <x v="0"/>
    <n v="27.2"/>
    <s v="Warm"/>
    <s v="Project cancelled by customer"/>
  </r>
  <r>
    <s v="LD1841"/>
    <s v="Deepak Deshmukh"/>
    <n v="9144654931"/>
    <x v="0"/>
    <x v="8"/>
    <s v="Instagram Story Ads"/>
    <x v="14"/>
    <s v="2025-09-04"/>
    <x v="8"/>
    <x v="8"/>
    <x v="3"/>
    <n v="3"/>
    <n v="10"/>
    <s v="2025-10-10"/>
    <x v="4"/>
    <n v="1969916"/>
    <n v="1938886"/>
    <s v="2025-10-25"/>
    <x v="0"/>
    <n v="20.399999999999999"/>
    <s v="Hot"/>
    <s v="Deal done, site work ongoing"/>
  </r>
  <r>
    <s v="LD1842"/>
    <s v="Ashwini Aware"/>
    <n v="9110023895"/>
    <x v="2"/>
    <x v="2"/>
    <s v="Client Referral"/>
    <x v="10"/>
    <s v="2025-09-05"/>
    <x v="8"/>
    <x v="8"/>
    <x v="3"/>
    <n v="3"/>
    <n v="6"/>
    <s v="2025-10-22"/>
    <x v="4"/>
    <n v="248995"/>
    <n v="232453"/>
    <s v="2025-11-10"/>
    <x v="0"/>
    <n v="35.200000000000003"/>
    <s v="Warm"/>
    <s v="Token paid, measurement done, work started"/>
  </r>
  <r>
    <s v="LD1843"/>
    <s v="Nikhil Sonawane"/>
    <n v="9903147187"/>
    <x v="4"/>
    <x v="8"/>
    <s v="Instagram Gudi Padwa Special"/>
    <x v="8"/>
    <s v="2025-09-05"/>
    <x v="8"/>
    <x v="8"/>
    <x v="3"/>
    <n v="3"/>
    <n v="10"/>
    <s v="2025-10-01"/>
    <x v="0"/>
    <n v="469945"/>
    <m/>
    <m/>
    <x v="1"/>
    <n v="34.799999999999997"/>
    <s v="Warm"/>
    <s v="No response, marked as lost after 60 days"/>
  </r>
  <r>
    <s v="LD1844"/>
    <s v="Ashwini Kulkarni"/>
    <n v="9331498678"/>
    <x v="2"/>
    <x v="8"/>
    <s v="Instagram Diwali Campaign"/>
    <x v="12"/>
    <s v="2025-09-06"/>
    <x v="8"/>
    <x v="8"/>
    <x v="3"/>
    <n v="3"/>
    <n v="11"/>
    <s v="2025-11-21"/>
    <x v="3"/>
    <n v="1344882"/>
    <m/>
    <m/>
    <x v="2"/>
    <n v="9.4"/>
    <s v="Cold"/>
    <s v="Budget too low for our range"/>
  </r>
  <r>
    <s v="LD1845"/>
    <s v="Rohit Wagh"/>
    <n v="9397880730"/>
    <x v="4"/>
    <x v="4"/>
    <s v="99acres New Project Enquiry — Inbound"/>
    <x v="0"/>
    <s v="2025-09-06"/>
    <x v="8"/>
    <x v="8"/>
    <x v="3"/>
    <n v="3"/>
    <n v="1"/>
    <s v="2025-09-18"/>
    <x v="0"/>
    <n v="835312"/>
    <m/>
    <m/>
    <x v="0"/>
    <n v="11.5"/>
    <s v="Warm"/>
    <s v="Lost to competitor - cheaper quote"/>
  </r>
  <r>
    <s v="LD1846"/>
    <s v="Arun Raut"/>
    <n v="9907572553"/>
    <x v="0"/>
    <x v="1"/>
    <s v="Justdial Free Listing — Inbound"/>
    <x v="8"/>
    <s v="2025-09-08"/>
    <x v="8"/>
    <x v="8"/>
    <x v="3"/>
    <n v="3"/>
    <n v="10"/>
    <s v="2025-10-30"/>
    <x v="0"/>
    <m/>
    <m/>
    <m/>
    <x v="0"/>
    <n v="24.1"/>
    <s v="Cold"/>
    <s v="Lost to competitor - cheaper quote"/>
  </r>
  <r>
    <s v="LD1847"/>
    <s v="Anita Kulkarni"/>
    <m/>
    <x v="4"/>
    <x v="8"/>
    <s v="Instagram Wardrobe Showcase"/>
    <x v="9"/>
    <s v="2025-09-08"/>
    <x v="8"/>
    <x v="8"/>
    <x v="3"/>
    <n v="3"/>
    <n v="11"/>
    <s v="2025-10-28"/>
    <x v="0"/>
    <n v="458253"/>
    <m/>
    <m/>
    <x v="0"/>
    <n v="3"/>
    <s v="Cold"/>
    <s v="Replied to Instagram reel, no further response"/>
  </r>
  <r>
    <s v="LD1848"/>
    <s v="Nikhil Kulkarni"/>
    <n v="9336050892"/>
    <x v="1"/>
    <x v="8"/>
    <s v="Instagram Before-After Posts"/>
    <x v="12"/>
    <s v="2025-09-08"/>
    <x v="8"/>
    <x v="8"/>
    <x v="3"/>
    <n v="3"/>
    <n v="9"/>
    <s v="2025-10-27"/>
    <x v="0"/>
    <n v="1585741"/>
    <m/>
    <m/>
    <x v="2"/>
    <n v="27.4"/>
    <s v="Warm"/>
    <s v="Customer chose readymade furniture"/>
  </r>
  <r>
    <s v="LD1849"/>
    <s v="Nanda Nikalje"/>
    <n v="9414291521"/>
    <x v="0"/>
    <x v="8"/>
    <s v="Instagram Wardrobe Showcase"/>
    <x v="2"/>
    <s v="2025-09-08"/>
    <x v="8"/>
    <x v="8"/>
    <x v="3"/>
    <n v="3"/>
    <n v="2"/>
    <s v="2025-09-30"/>
    <x v="1"/>
    <m/>
    <m/>
    <m/>
    <x v="1"/>
    <n v="9.6"/>
    <s v="Hot"/>
    <s v="Customer visited showroom twice, very interested"/>
  </r>
  <r>
    <s v="LD1850"/>
    <s v="Ravi More"/>
    <n v="9877286011"/>
    <x v="4"/>
    <x v="7"/>
    <s v="Google My Business"/>
    <x v="10"/>
    <s v="2025-09-09"/>
    <x v="8"/>
    <x v="8"/>
    <x v="3"/>
    <n v="3"/>
    <n v="1"/>
    <s v="2025-09-24"/>
    <x v="1"/>
    <n v="211873"/>
    <m/>
    <m/>
    <x v="1"/>
    <n v="35.700000000000003"/>
    <s v="Hot"/>
    <s v="Ready to proceed, discussing payment terms"/>
  </r>
  <r>
    <s v="LD1851"/>
    <s v="Lata Aware"/>
    <n v="9308076891"/>
    <x v="4"/>
    <x v="7"/>
    <s v="Google My Business"/>
    <x v="5"/>
    <s v="2025-09-09"/>
    <x v="8"/>
    <x v="8"/>
    <x v="3"/>
    <n v="3"/>
    <n v="5"/>
    <s v="2025-10-01"/>
    <x v="0"/>
    <n v="248610"/>
    <m/>
    <m/>
    <x v="1"/>
    <n v="22.8"/>
    <s v="Warm"/>
    <s v="Project cancelled by customer"/>
  </r>
  <r>
    <s v="LD1852"/>
    <s v="Hemant Gavhane"/>
    <n v="9787433751"/>
    <x v="2"/>
    <x v="7"/>
    <s v="Website Chat Enquiry"/>
    <x v="13"/>
    <s v="2025-09-09"/>
    <x v="8"/>
    <x v="8"/>
    <x v="3"/>
    <n v="3"/>
    <n v="4"/>
    <s v="2025-10-04"/>
    <x v="1"/>
    <n v="1448017"/>
    <m/>
    <m/>
    <x v="0"/>
    <n v="34"/>
    <s v="Hot"/>
    <s v="Final quote shared, awaiting approval"/>
  </r>
  <r>
    <s v="LD1853"/>
    <s v="Nilesh Kale"/>
    <n v="9996873958"/>
    <x v="0"/>
    <x v="2"/>
    <s v="Neighbour Referral"/>
    <x v="8"/>
    <s v="2025-09-10"/>
    <x v="8"/>
    <x v="8"/>
    <x v="3"/>
    <n v="3"/>
    <n v="10"/>
    <s v="2025-10-10"/>
    <x v="0"/>
    <n v="827058"/>
    <m/>
    <m/>
    <x v="2"/>
    <n v="9.1999999999999993"/>
    <s v="Cold"/>
    <s v="Lost - no follow up done in time"/>
  </r>
  <r>
    <s v="LD1854"/>
    <s v="Madhuri Mane"/>
    <n v="9543624839"/>
    <x v="0"/>
    <x v="8"/>
    <s v="Instagram Before-After Posts"/>
    <x v="8"/>
    <s v="2025-09-10"/>
    <x v="8"/>
    <x v="8"/>
    <x v="3"/>
    <n v="3"/>
    <n v="10"/>
    <s v="2025-11-17"/>
    <x v="1"/>
    <n v="965171"/>
    <m/>
    <m/>
    <x v="2"/>
    <n v="28.7"/>
    <s v="Hot"/>
    <s v="Measurement done, quote pending approval"/>
  </r>
  <r>
    <s v="LD1855"/>
    <s v="Nikhil Aware"/>
    <n v="9162765720"/>
    <x v="3"/>
    <x v="7"/>
    <s v="Google My Business"/>
    <x v="13"/>
    <s v="2025-09-10"/>
    <x v="8"/>
    <x v="8"/>
    <x v="3"/>
    <n v="3"/>
    <n v="6"/>
    <s v="2025-10-09"/>
    <x v="0"/>
    <n v="1938404"/>
    <m/>
    <m/>
    <x v="1"/>
    <n v="29.9"/>
    <s v="Cold"/>
    <s v="Customer did not proceed with project"/>
  </r>
  <r>
    <s v="LD1856"/>
    <s v="Vijay Bhalerao"/>
    <n v="9830203668"/>
    <x v="4"/>
    <x v="8"/>
    <s v="Instagram Gudi Padwa Special"/>
    <x v="3"/>
    <s v="2025-09-10"/>
    <x v="8"/>
    <x v="8"/>
    <x v="3"/>
    <n v="3"/>
    <n v="10"/>
    <s v="2025-11-04"/>
    <x v="0"/>
    <n v="75241"/>
    <m/>
    <m/>
    <x v="2"/>
    <n v="27.3"/>
    <s v="Cold"/>
    <s v="Project cancelled by customer"/>
  </r>
  <r>
    <s v="LD1857"/>
    <s v="Deepak Thorat"/>
    <n v="9872080151"/>
    <x v="0"/>
    <x v="1"/>
    <s v="Justdial Premium Listing — Inbound"/>
    <x v="4"/>
    <s v="2025-09-13"/>
    <x v="8"/>
    <x v="8"/>
    <x v="3"/>
    <n v="3"/>
    <n v="10"/>
    <s v="2025-11-15"/>
    <x v="1"/>
    <n v="394067"/>
    <m/>
    <m/>
    <x v="1"/>
    <n v="12.4"/>
    <s v="Warm"/>
    <s v="Under construction, possession in 3 months"/>
  </r>
  <r>
    <s v="LD1858"/>
    <s v="Nanda Yadav"/>
    <n v="9443840059"/>
    <x v="4"/>
    <x v="5"/>
    <s v="Site Visit Walk-in"/>
    <x v="1"/>
    <s v="2025-09-13"/>
    <x v="8"/>
    <x v="8"/>
    <x v="3"/>
    <n v="3"/>
    <n v="7"/>
    <s v="2025-10-10"/>
    <x v="1"/>
    <n v="259279"/>
    <m/>
    <m/>
    <x v="0"/>
    <n v="24.3"/>
    <s v="Cold"/>
    <s v="Customer relocated"/>
  </r>
  <r>
    <s v="LD1859"/>
    <s v="Dinesh Jadhav"/>
    <n v="9358864998"/>
    <x v="1"/>
    <x v="2"/>
    <s v="Architect Referral"/>
    <x v="10"/>
    <s v="2025-09-15"/>
    <x v="8"/>
    <x v="8"/>
    <x v="3"/>
    <n v="3"/>
    <n v="4"/>
    <s v="2025-10-08"/>
    <x v="4"/>
    <n v="377531"/>
    <n v="388524"/>
    <s v="2025-10-27"/>
    <x v="1"/>
    <n v="26.9"/>
    <s v="Hot"/>
    <s v="Token received, design finalised"/>
  </r>
  <r>
    <s v="LD1860"/>
    <s v="Varsha Kshirsagar"/>
    <n v="9486080542"/>
    <x v="3"/>
    <x v="3"/>
    <s v="MagicBricks Property Enquiry — Inbound"/>
    <x v="5"/>
    <s v="2025-09-15"/>
    <x v="8"/>
    <x v="8"/>
    <x v="3"/>
    <n v="3"/>
    <n v="9"/>
    <s v="2025-10-16"/>
    <x v="1"/>
    <n v="182988"/>
    <m/>
    <m/>
    <x v="0"/>
    <n v="7.8"/>
    <s v="Hot"/>
    <s v="Measurement done, quote pending approval"/>
  </r>
  <r>
    <s v="LD1861"/>
    <s v="Suresh Deshpande"/>
    <n v="9565704491"/>
    <x v="4"/>
    <x v="3"/>
    <s v="MagicBricks Enquiry — Inbound"/>
    <x v="0"/>
    <s v="2025-09-15"/>
    <x v="8"/>
    <x v="8"/>
    <x v="3"/>
    <n v="3"/>
    <n v="5"/>
    <s v="2025-10-15"/>
    <x v="1"/>
    <n v="407611"/>
    <m/>
    <m/>
    <x v="1"/>
    <n v="9.1999999999999993"/>
    <s v="Hot"/>
    <s v="Site visit done, quotation shared"/>
  </r>
  <r>
    <s v="LD1862"/>
    <s v="Anita Zende"/>
    <n v="9737221653"/>
    <x v="3"/>
    <x v="5"/>
    <s v="Showroom Walk-in"/>
    <x v="0"/>
    <s v="2025-09-15"/>
    <x v="8"/>
    <x v="8"/>
    <x v="3"/>
    <n v="3"/>
    <n v="1"/>
    <s v="2025-09-27"/>
    <x v="4"/>
    <n v="517031"/>
    <n v="492050"/>
    <s v="2025-10-03"/>
    <x v="2"/>
    <n v="9.8000000000000007"/>
    <s v="Hot"/>
    <s v="Customer happy with sample, deal closed"/>
  </r>
  <r>
    <s v="LD1863"/>
    <s v="Rajesh Nimbalkar"/>
    <n v="9537369594"/>
    <x v="2"/>
    <x v="5"/>
    <s v="Exhibition Walk-in"/>
    <x v="12"/>
    <s v="2025-09-15"/>
    <x v="8"/>
    <x v="8"/>
    <x v="3"/>
    <n v="3"/>
    <n v="4"/>
    <s v="2025-09-29"/>
    <x v="4"/>
    <n v="1721635"/>
    <n v="1556131"/>
    <s v="2025-10-19"/>
    <x v="1"/>
    <n v="15.2"/>
    <s v="Warm"/>
    <s v="Customer referred 2 more leads after delivery"/>
  </r>
  <r>
    <s v="LD1864"/>
    <s v="Smita Suryawanshi"/>
    <n v="9362086408"/>
    <x v="2"/>
    <x v="6"/>
    <s v="Facebook Kitchen Showcase"/>
    <x v="0"/>
    <s v="2025-09-15"/>
    <x v="8"/>
    <x v="8"/>
    <x v="3"/>
    <n v="3"/>
    <n v="6"/>
    <s v="2025-10-28"/>
    <x v="4"/>
    <n v="733490"/>
    <n v="746323"/>
    <s v="2025-11-05"/>
    <x v="1"/>
    <n v="21.7"/>
    <s v="Hot"/>
    <s v="Work order signed, production started"/>
  </r>
  <r>
    <s v="LD1865"/>
    <s v="Sunil Patil"/>
    <n v="9379553019"/>
    <x v="4"/>
    <x v="3"/>
    <s v="MagicBricks Property Enquiry — Inbound"/>
    <x v="0"/>
    <s v="2025-09-15"/>
    <x v="8"/>
    <x v="8"/>
    <x v="3"/>
    <n v="3"/>
    <n v="9"/>
    <s v="2025-10-17"/>
    <x v="0"/>
    <n v="856293"/>
    <m/>
    <m/>
    <x v="0"/>
    <n v="14.1"/>
    <s v="Warm"/>
    <s v="No response, marked as lost after 60 days"/>
  </r>
  <r>
    <s v="LD1866"/>
    <s v="Sachin Shinde"/>
    <n v="9602790542"/>
    <x v="2"/>
    <x v="8"/>
    <s v="Instagram Gudi Padwa Special"/>
    <x v="9"/>
    <s v="2025-09-15"/>
    <x v="8"/>
    <x v="8"/>
    <x v="3"/>
    <n v="3"/>
    <n v="8"/>
    <s v="2025-11-03"/>
    <x v="3"/>
    <n v="338964"/>
    <m/>
    <m/>
    <x v="1"/>
    <n v="5.5"/>
    <s v="Warm"/>
    <s v="Customer interested, flat handover next month"/>
  </r>
  <r>
    <s v="LD1867"/>
    <s v="Kiran Jadhav"/>
    <n v="9339808863"/>
    <x v="2"/>
    <x v="1"/>
    <s v="Justdial Premium Listing — Inbound"/>
    <x v="11"/>
    <s v="2025-09-16"/>
    <x v="8"/>
    <x v="8"/>
    <x v="3"/>
    <n v="3"/>
    <n v="8"/>
    <s v="2025-10-18"/>
    <x v="4"/>
    <n v="300033"/>
    <n v="266190"/>
    <s v="2025-11-05"/>
    <x v="2"/>
    <n v="0.8"/>
    <s v="Warm"/>
    <s v="Work order signed, production started"/>
  </r>
  <r>
    <s v="LD1868-DUP"/>
    <s v="Mahesh Salve"/>
    <n v="9862287210"/>
    <x v="4"/>
    <x v="7"/>
    <s v="Google My Business"/>
    <x v="7"/>
    <s v="2025-09-16"/>
    <x v="8"/>
    <x v="8"/>
    <x v="3"/>
    <n v="3"/>
    <n v="12"/>
    <s v="2025-10-29"/>
    <x v="1"/>
    <n v="928726"/>
    <m/>
    <m/>
    <x v="1"/>
    <n v="28.9"/>
    <s v="Warm"/>
    <s v="Follow up after Diwali"/>
  </r>
  <r>
    <s v="LD1869"/>
    <s v="Mahesh Salve"/>
    <n v="9862287210"/>
    <x v="0"/>
    <x v="7"/>
    <s v="Google My Business"/>
    <x v="7"/>
    <s v="2025-09-16"/>
    <x v="8"/>
    <x v="8"/>
    <x v="3"/>
    <n v="3"/>
    <n v="12"/>
    <s v="2025-10-29"/>
    <x v="1"/>
    <n v="1020609"/>
    <m/>
    <m/>
    <x v="1"/>
    <n v="28.9"/>
    <s v="Warm"/>
    <s v="Follow up after Diwali"/>
  </r>
  <r>
    <s v="LD1870"/>
    <s v="Varsha Yadav"/>
    <n v="9894349577"/>
    <x v="2"/>
    <x v="2"/>
    <s v="Client Referral"/>
    <x v="4"/>
    <s v="2025-09-17"/>
    <x v="8"/>
    <x v="8"/>
    <x v="3"/>
    <n v="3"/>
    <n v="2"/>
    <s v="2025-09-30"/>
    <x v="0"/>
    <n v="244701"/>
    <m/>
    <m/>
    <x v="0"/>
    <n v="20.7"/>
    <s v="Warm"/>
    <s v="Budget mismatch - too low"/>
  </r>
  <r>
    <s v="LD1871"/>
    <s v="Sachin Salve"/>
    <n v="9229061832"/>
    <x v="2"/>
    <x v="8"/>
    <s v="Instagram Kitchen Reels"/>
    <x v="10"/>
    <s v="2025-09-17"/>
    <x v="8"/>
    <x v="8"/>
    <x v="3"/>
    <n v="3"/>
    <n v="2"/>
    <s v="2025-09-26"/>
    <x v="0"/>
    <n v="261812"/>
    <m/>
    <m/>
    <x v="0"/>
    <n v="36"/>
    <s v="Cold"/>
    <s v="Lost - no follow up done in time"/>
  </r>
  <r>
    <s v="LD1872"/>
    <s v="Santosh Nimbalkar"/>
    <n v="9675585469"/>
    <x v="3"/>
    <x v="2"/>
    <s v="Contractor Referral"/>
    <x v="10"/>
    <s v="2025-09-18"/>
    <x v="8"/>
    <x v="8"/>
    <x v="3"/>
    <n v="3"/>
    <n v="12"/>
    <s v="2025-11-11"/>
    <x v="4"/>
    <n v="525682"/>
    <n v="467353"/>
    <s v="2025-11-25"/>
    <x v="2"/>
    <n v="11.9"/>
    <s v="Hot"/>
    <s v="Customer referred 2 more leads after delivery"/>
  </r>
  <r>
    <s v="LD1873"/>
    <s v="Pravin Jadhav"/>
    <n v="9837038603"/>
    <x v="2"/>
    <x v="5"/>
    <s v="Showroom Walk-in"/>
    <x v="0"/>
    <s v="2025-09-18"/>
    <x v="8"/>
    <x v="8"/>
    <x v="3"/>
    <n v="3"/>
    <n v="2"/>
    <s v="2025-10-06"/>
    <x v="4"/>
    <n v="453205"/>
    <n v="402227"/>
    <s v="2025-10-16"/>
    <x v="2"/>
    <n v="15.5"/>
    <s v="Warm"/>
    <s v="Deal done, site work ongoing"/>
  </r>
  <r>
    <s v="LD1874"/>
    <s v="Pravin Shelke"/>
    <n v="9686475619"/>
    <x v="0"/>
    <x v="2"/>
    <s v="Architect Referral"/>
    <x v="6"/>
    <s v="2025-09-19"/>
    <x v="8"/>
    <x v="8"/>
    <x v="3"/>
    <n v="3"/>
    <n v="9"/>
    <s v="2025-10-24"/>
    <x v="4"/>
    <n v="174910"/>
    <n v="177392"/>
    <s v="2025-11-09"/>
    <x v="0"/>
    <n v="34.5"/>
    <s v="Hot"/>
    <s v="Work order signed, production started"/>
  </r>
  <r>
    <s v="LD1875"/>
    <s v="Alka Kakade"/>
    <n v="9828687999"/>
    <x v="2"/>
    <x v="8"/>
    <s v="Instagram Before-After Posts"/>
    <x v="9"/>
    <s v="2025-09-19"/>
    <x v="8"/>
    <x v="8"/>
    <x v="3"/>
    <n v="3"/>
    <n v="3"/>
    <s v="2025-10-15"/>
    <x v="1"/>
    <n v="426348"/>
    <m/>
    <m/>
    <x v="1"/>
    <n v="12.1"/>
    <s v="Cold"/>
    <s v="Not interested anymore"/>
  </r>
  <r>
    <s v="LD1876"/>
    <s v="Rajesh Bhosale"/>
    <n v="9871472708"/>
    <x v="1"/>
    <x v="5"/>
    <s v="Exhibition Walk-in"/>
    <x v="3"/>
    <s v="2025-09-19"/>
    <x v="8"/>
    <x v="8"/>
    <x v="3"/>
    <n v="3"/>
    <n v="2"/>
    <s v="2025-10-08"/>
    <x v="3"/>
    <n v="168891"/>
    <m/>
    <m/>
    <x v="1"/>
    <n v="0.7"/>
    <s v="Hot"/>
    <s v="Design presentation done, waiting for confirmation"/>
  </r>
  <r>
    <s v="LD1877"/>
    <s v="Deepak Sawant"/>
    <n v="9885531796"/>
    <x v="1"/>
    <x v="2"/>
    <s v="Contractor Referral"/>
    <x v="12"/>
    <s v="2025-09-20"/>
    <x v="8"/>
    <x v="8"/>
    <x v="3"/>
    <n v="3"/>
    <n v="5"/>
    <s v="2025-10-15"/>
    <x v="4"/>
    <n v="988820"/>
    <n v="937542"/>
    <s v="2025-10-23"/>
    <x v="2"/>
    <n v="22.7"/>
    <s v="Hot"/>
    <s v="Deal closed, advance received"/>
  </r>
  <r>
    <s v="LD1878"/>
    <s v="Ritu Chavan"/>
    <n v="9112960981"/>
    <x v="0"/>
    <x v="4"/>
    <s v="99acres Flat Owner Enquiry — Inbound"/>
    <x v="10"/>
    <s v="2025-09-20"/>
    <x v="8"/>
    <x v="8"/>
    <x v="3"/>
    <n v="3"/>
    <n v="12"/>
    <s v="2025-11-10"/>
    <x v="4"/>
    <n v="439525"/>
    <n v="441120"/>
    <s v="2025-11-12"/>
    <x v="0"/>
    <n v="24.2"/>
    <s v="Hot"/>
    <s v="Full payment cleared, delivery done"/>
  </r>
  <r>
    <s v="LD1879"/>
    <s v="Varsha Nikalje"/>
    <n v="9364423201"/>
    <x v="4"/>
    <x v="1"/>
    <s v="Justdial Sponsored — Inbound"/>
    <x v="5"/>
    <s v="2025-09-20"/>
    <x v="8"/>
    <x v="8"/>
    <x v="3"/>
    <n v="3"/>
    <n v="7"/>
    <s v="2025-10-17"/>
    <x v="0"/>
    <n v="274930"/>
    <m/>
    <m/>
    <x v="0"/>
    <n v="33.799999999999997"/>
    <s v="Cold"/>
    <m/>
  </r>
  <r>
    <s v="LD1880"/>
    <s v="Pramod Gavhane"/>
    <n v="9548132929"/>
    <x v="2"/>
    <x v="2"/>
    <s v="Neighbour Referral"/>
    <x v="1"/>
    <s v="2025-09-22"/>
    <x v="8"/>
    <x v="8"/>
    <x v="3"/>
    <n v="3"/>
    <n v="12"/>
    <s v="2025-12-04"/>
    <x v="4"/>
    <n v="221500"/>
    <n v="205260"/>
    <s v="2025-12-24"/>
    <x v="2"/>
    <n v="17.2"/>
    <s v="Hot"/>
    <s v="Token received, design finalised"/>
  </r>
  <r>
    <s v="LD1881"/>
    <s v="Archana Patil"/>
    <n v="9368065921"/>
    <x v="3"/>
    <x v="8"/>
    <s v="Instagram Kitchen Reels"/>
    <x v="10"/>
    <s v="2025-09-22"/>
    <x v="8"/>
    <x v="8"/>
    <x v="3"/>
    <n v="3"/>
    <n v="5"/>
    <s v="2025-10-25"/>
    <x v="1"/>
    <n v="629955"/>
    <m/>
    <m/>
    <x v="0"/>
    <n v="33.4"/>
    <s v="Hot"/>
    <s v="Customer comparing 1-2 vendors only"/>
  </r>
  <r>
    <s v="LD1882"/>
    <s v="Suresh Sawant"/>
    <n v="9839266037"/>
    <x v="4"/>
    <x v="7"/>
    <s v="Google Ads"/>
    <x v="9"/>
    <s v="2025-09-22"/>
    <x v="8"/>
    <x v="8"/>
    <x v="3"/>
    <n v="3"/>
    <n v="7"/>
    <s v="2025-10-30"/>
    <x v="1"/>
    <n v="351107"/>
    <m/>
    <m/>
    <x v="1"/>
    <n v="1.6"/>
    <s v="Cold"/>
    <s v="No response after 4 follow ups"/>
  </r>
  <r>
    <s v="LD1883"/>
    <s v="Ritu Chavan"/>
    <n v="9663533894"/>
    <x v="2"/>
    <x v="7"/>
    <s v="Website Chat Enquiry"/>
    <x v="8"/>
    <s v="2025-09-22"/>
    <x v="8"/>
    <x v="8"/>
    <x v="3"/>
    <n v="3"/>
    <n v="0"/>
    <s v="2025-09-27"/>
    <x v="0"/>
    <n v="683214"/>
    <m/>
    <m/>
    <x v="2"/>
    <n v="3.2"/>
    <s v="Warm"/>
    <s v="Went with local vendor"/>
  </r>
  <r>
    <s v="LD1884"/>
    <s v="Sunil Salve"/>
    <n v="9398720089"/>
    <x v="0"/>
    <x v="2"/>
    <s v="Client Referral"/>
    <x v="2"/>
    <s v="2025-09-23"/>
    <x v="8"/>
    <x v="8"/>
    <x v="3"/>
    <n v="3"/>
    <n v="8"/>
    <s v="2025-11-01"/>
    <x v="3"/>
    <n v="308682"/>
    <m/>
    <m/>
    <x v="0"/>
    <n v="9.4"/>
    <s v="Warm"/>
    <s v="Wants more design options before deciding"/>
  </r>
  <r>
    <s v="LD1885"/>
    <s v="Sunanda Mane"/>
    <n v="9984332817"/>
    <x v="2"/>
    <x v="0"/>
    <s v="Colony Reference"/>
    <x v="2"/>
    <s v="2025-09-23"/>
    <x v="8"/>
    <x v="8"/>
    <x v="3"/>
    <n v="3"/>
    <n v="12"/>
    <s v="2025-11-07"/>
    <x v="1"/>
    <n v="541379"/>
    <m/>
    <m/>
    <x v="1"/>
    <n v="13.1"/>
    <s v="Warm"/>
    <s v="Customer interested, flat handover next month"/>
  </r>
  <r>
    <s v="LD1886"/>
    <s v="Vijay Kulkarni"/>
    <n v="9826400572"/>
    <x v="0"/>
    <x v="1"/>
    <s v="Justdial Sponsored — Inbound"/>
    <x v="2"/>
    <s v="2025-09-24"/>
    <x v="8"/>
    <x v="8"/>
    <x v="3"/>
    <n v="3"/>
    <n v="9"/>
    <s v="2025-11-07"/>
    <x v="0"/>
    <n v="214273"/>
    <m/>
    <m/>
    <x v="1"/>
    <n v="14.1"/>
    <s v="Cold"/>
    <s v="No response, marked as lost after 60 days"/>
  </r>
  <r>
    <s v="LD1887"/>
    <s v="Manoj Gaikwad"/>
    <n v="9605071631"/>
    <x v="0"/>
    <x v="7"/>
    <s v="Website Chat Enquiry"/>
    <x v="10"/>
    <s v="2025-09-24"/>
    <x v="8"/>
    <x v="8"/>
    <x v="3"/>
    <n v="3"/>
    <n v="10"/>
    <s v="2025-10-27"/>
    <x v="3"/>
    <n v="280344"/>
    <m/>
    <m/>
    <x v="2"/>
    <n v="30"/>
    <s v="Warm"/>
    <s v="Follow up after Akshaya Tritiya"/>
  </r>
  <r>
    <s v="LD1888"/>
    <s v="Sunanda Gavhane"/>
    <n v="9679707525"/>
    <x v="3"/>
    <x v="7"/>
    <s v="Website Chat Enquiry"/>
    <x v="7"/>
    <s v="2025-09-25"/>
    <x v="8"/>
    <x v="8"/>
    <x v="3"/>
    <n v="3"/>
    <n v="3"/>
    <s v="2025-10-06"/>
    <x v="0"/>
    <n v="793169"/>
    <m/>
    <m/>
    <x v="1"/>
    <n v="23.7"/>
    <s v="Cold"/>
    <m/>
  </r>
  <r>
    <s v="LD1889"/>
    <s v="Sunil Pawar"/>
    <n v="9483886007"/>
    <x v="4"/>
    <x v="8"/>
    <s v="Instagram Diwali Campaign"/>
    <x v="10"/>
    <s v="2025-09-26"/>
    <x v="8"/>
    <x v="8"/>
    <x v="3"/>
    <n v="3"/>
    <n v="5"/>
    <s v="2025-11-03"/>
    <x v="1"/>
    <n v="561684"/>
    <m/>
    <m/>
    <x v="2"/>
    <n v="6"/>
    <s v="Hot"/>
    <s v="Final quote shared, awaiting approval"/>
  </r>
  <r>
    <s v="LD1890"/>
    <s v="Hemant Bansode"/>
    <n v="9601228068"/>
    <x v="3"/>
    <x v="7"/>
    <s v="Google Ads"/>
    <x v="9"/>
    <s v="2025-09-26"/>
    <x v="8"/>
    <x v="8"/>
    <x v="3"/>
    <n v="3"/>
    <n v="2"/>
    <s v="2025-10-04"/>
    <x v="0"/>
    <n v="346808"/>
    <m/>
    <m/>
    <x v="1"/>
    <n v="8.9"/>
    <s v="Cold"/>
    <s v="Customer did not proceed with project"/>
  </r>
  <r>
    <s v="LD1891"/>
    <s v="Rohit Joshi"/>
    <n v="9740083464"/>
    <x v="0"/>
    <x v="2"/>
    <s v="Architect Referral"/>
    <x v="10"/>
    <s v="2025-09-26"/>
    <x v="8"/>
    <x v="8"/>
    <x v="3"/>
    <n v="3"/>
    <n v="7"/>
    <s v="2025-11-05"/>
    <x v="0"/>
    <n v="190688"/>
    <m/>
    <m/>
    <x v="0"/>
    <n v="34.200000000000003"/>
    <s v="Cold"/>
    <s v="Project cancelled by customer"/>
  </r>
  <r>
    <s v="LD1892"/>
    <s v="Dinesh Wagh"/>
    <n v="9436690332"/>
    <x v="2"/>
    <x v="8"/>
    <s v="Instagram Story Ads"/>
    <x v="10"/>
    <s v="2025-09-27"/>
    <x v="8"/>
    <x v="8"/>
    <x v="3"/>
    <n v="3"/>
    <n v="11"/>
    <s v="2025-12-03"/>
    <x v="3"/>
    <n v="219451"/>
    <m/>
    <m/>
    <x v="0"/>
    <n v="22.7"/>
    <s v="Warm"/>
    <s v="Waiting for interior budget approval from family"/>
  </r>
  <r>
    <s v="LD1893"/>
    <s v="Seema Bhosale"/>
    <n v="9893479752"/>
    <x v="4"/>
    <x v="2"/>
    <s v="Neighbour Referral"/>
    <x v="12"/>
    <s v="2025-09-29"/>
    <x v="8"/>
    <x v="8"/>
    <x v="3"/>
    <n v="3"/>
    <n v="12"/>
    <s v="2025-11-03"/>
    <x v="3"/>
    <n v="1070165"/>
    <m/>
    <m/>
    <x v="0"/>
    <n v="29.7"/>
    <s v="Warm"/>
    <s v="Wants more design options before deciding"/>
  </r>
  <r>
    <s v="LD1894"/>
    <s v="Vijay Nimbalkar"/>
    <n v="9589713565"/>
    <x v="3"/>
    <x v="8"/>
    <s v="Instagram Gudi Padwa Special"/>
    <x v="6"/>
    <s v="2025-09-29"/>
    <x v="8"/>
    <x v="8"/>
    <x v="3"/>
    <n v="3"/>
    <n v="0"/>
    <s v="2025-10-06"/>
    <x v="0"/>
    <n v="297350"/>
    <m/>
    <m/>
    <x v="1"/>
    <n v="29.4"/>
    <s v="Cold"/>
    <s v="Customer chose readymade furniture"/>
  </r>
  <r>
    <s v="LD1895"/>
    <s v="Bharati Yadav"/>
    <n v="9565045321"/>
    <x v="4"/>
    <x v="5"/>
    <s v="Showroom Walk-in"/>
    <x v="8"/>
    <s v="2025-09-29"/>
    <x v="8"/>
    <x v="8"/>
    <x v="3"/>
    <n v="3"/>
    <n v="12"/>
    <s v="2025-12-20"/>
    <x v="4"/>
    <n v="927619"/>
    <n v="820999"/>
    <s v="2026-01-06"/>
    <x v="2"/>
    <n v="2.2000000000000002"/>
    <s v="Hot"/>
    <s v="Work order signed, production started"/>
  </r>
  <r>
    <s v="LD1896-DUP"/>
    <s v="Divya Mane"/>
    <n v="9172674671"/>
    <x v="0"/>
    <x v="6"/>
    <s v="Facebook Kitchen Showcase"/>
    <x v="13"/>
    <s v="2025-09-29"/>
    <x v="8"/>
    <x v="8"/>
    <x v="3"/>
    <n v="3"/>
    <n v="8"/>
    <s v="2025-11-08"/>
    <x v="3"/>
    <n v="1879952"/>
    <m/>
    <m/>
    <x v="1"/>
    <n v="8"/>
    <s v="Hot"/>
    <s v="Ready to proceed, discussing payment terms"/>
  </r>
  <r>
    <s v="LD1897"/>
    <s v="Divya Mane"/>
    <n v="9172674671"/>
    <x v="0"/>
    <x v="6"/>
    <s v="Facebook Kitchen Showcase"/>
    <x v="13"/>
    <s v="2025-09-29"/>
    <x v="8"/>
    <x v="8"/>
    <x v="3"/>
    <n v="3"/>
    <n v="8"/>
    <s v="2025-11-08"/>
    <x v="3"/>
    <n v="1844661"/>
    <m/>
    <m/>
    <x v="1"/>
    <n v="8"/>
    <s v="Hot"/>
    <s v="Ready to proceed, discussing payment terms"/>
  </r>
  <r>
    <s v="LD1898"/>
    <s v="Lata Shinde"/>
    <n v="9885028033"/>
    <x v="0"/>
    <x v="6"/>
    <s v="Facebook Kitchen Showcase"/>
    <x v="2"/>
    <s v="2025-09-29"/>
    <x v="8"/>
    <x v="8"/>
    <x v="3"/>
    <n v="3"/>
    <n v="8"/>
    <s v="2025-11-13"/>
    <x v="3"/>
    <n v="192557"/>
    <m/>
    <m/>
    <x v="1"/>
    <n v="0.6"/>
    <s v="Hot"/>
    <m/>
  </r>
  <r>
    <s v="LD1899"/>
    <s v="Kiran Thorat"/>
    <n v="9849126901"/>
    <x v="2"/>
    <x v="8"/>
    <s v="Instagram Wardrobe Showcase"/>
    <x v="4"/>
    <s v="2025-09-29"/>
    <x v="8"/>
    <x v="8"/>
    <x v="3"/>
    <n v="3"/>
    <n v="2"/>
    <s v="2025-10-16"/>
    <x v="0"/>
    <n v="253320"/>
    <m/>
    <m/>
    <x v="2"/>
    <n v="8.6"/>
    <s v="Cold"/>
    <s v="Lost to competitor - cheaper quote"/>
  </r>
  <r>
    <s v="LD1900"/>
    <s v="Vijay Kshirsagar"/>
    <n v="9990355677"/>
    <x v="2"/>
    <x v="2"/>
    <s v="Client Referral"/>
    <x v="10"/>
    <s v="2025-09-30"/>
    <x v="8"/>
    <x v="8"/>
    <x v="3"/>
    <n v="3"/>
    <n v="8"/>
    <s v="2025-11-14"/>
    <x v="0"/>
    <n v="300541"/>
    <m/>
    <m/>
    <x v="0"/>
    <n v="3.3"/>
    <s v="Cold"/>
    <s v="Lost to competitor - cheaper quote"/>
  </r>
  <r>
    <s v="LD1901"/>
    <s v="Ganesh Kakade"/>
    <n v="9450451596"/>
    <x v="0"/>
    <x v="2"/>
    <s v="Contractor Referral"/>
    <x v="2"/>
    <s v="2025-09-30"/>
    <x v="8"/>
    <x v="8"/>
    <x v="3"/>
    <n v="3"/>
    <m/>
    <s v="2025-10-27"/>
    <x v="1"/>
    <n v="436406"/>
    <m/>
    <m/>
    <x v="0"/>
    <n v="7.7"/>
    <s v="Hot"/>
    <s v="Customer comparing 1-2 vendors only"/>
  </r>
  <r>
    <s v="LD1902"/>
    <s v="Jyoti Bhosale"/>
    <n v="9920670645"/>
    <x v="2"/>
    <x v="4"/>
    <s v="99acres New Project Enquiry — Inbound"/>
    <x v="4"/>
    <s v="2025-10-01"/>
    <x v="9"/>
    <x v="9"/>
    <x v="3"/>
    <n v="4"/>
    <n v="9"/>
    <s v="2025-12-05"/>
    <x v="4"/>
    <n v="262830"/>
    <n v="265812"/>
    <s v="2025-12-15"/>
    <x v="1"/>
    <n v="2"/>
    <s v="Hot"/>
    <s v="Token paid, measurement done, work started"/>
  </r>
  <r>
    <s v="LD1903"/>
    <s v="Jyoti Chavan"/>
    <m/>
    <x v="0"/>
    <x v="4"/>
    <s v="99acres Flat Owner Enquiry — Inbound"/>
    <x v="7"/>
    <s v="2025-10-03"/>
    <x v="9"/>
    <x v="9"/>
    <x v="3"/>
    <n v="4"/>
    <n v="6"/>
    <s v="2025-11-15"/>
    <x v="0"/>
    <n v="891569"/>
    <m/>
    <m/>
    <x v="2"/>
    <n v="3.2"/>
    <s v="Cold"/>
    <s v="99acres portal lead — customer did not share direct contact"/>
  </r>
  <r>
    <s v="LD1904"/>
    <s v="Sachin Deshmukh"/>
    <n v="9190687993"/>
    <x v="2"/>
    <x v="0"/>
    <s v="Colony Reference"/>
    <x v="4"/>
    <s v="2025-10-04"/>
    <x v="9"/>
    <x v="9"/>
    <x v="3"/>
    <n v="4"/>
    <n v="12"/>
    <s v="2025-11-04"/>
    <x v="3"/>
    <n v="200163"/>
    <m/>
    <m/>
    <x v="1"/>
    <n v="17.7"/>
    <s v="Hot"/>
    <s v="Token amount discussed, decision this week"/>
  </r>
  <r>
    <s v="LD1905"/>
    <s v="Mahesh Thorat"/>
    <m/>
    <x v="0"/>
    <x v="3"/>
    <s v="MagicBricks Property Enquiry — Inbound"/>
    <x v="13"/>
    <s v="2025-10-04"/>
    <x v="9"/>
    <x v="9"/>
    <x v="3"/>
    <n v="4"/>
    <n v="6"/>
    <s v="2025-11-22"/>
    <x v="0"/>
    <n v="1577984"/>
    <m/>
    <m/>
    <x v="1"/>
    <n v="17.8"/>
    <s v="Cold"/>
    <s v="MagicBricks portal lead — masked number, no response"/>
  </r>
  <r>
    <s v="LD1906"/>
    <s v="Hemant Kshirsagar"/>
    <n v="9481610870"/>
    <x v="4"/>
    <x v="5"/>
    <s v="Exhibition Walk-in"/>
    <x v="10"/>
    <s v="2025-10-06"/>
    <x v="9"/>
    <x v="9"/>
    <x v="3"/>
    <n v="4"/>
    <n v="9"/>
    <s v="2025-11-24"/>
    <x v="4"/>
    <n v="611469"/>
    <n v="608387"/>
    <s v="2025-12-14"/>
    <x v="0"/>
    <n v="27.2"/>
    <s v="Hot"/>
    <m/>
  </r>
  <r>
    <s v="LD1907"/>
    <s v="Umesh Tupe"/>
    <n v="9579263682"/>
    <x v="2"/>
    <x v="6"/>
    <s v="Facebook Gudi Padwa Offer"/>
    <x v="6"/>
    <s v="2025-10-06"/>
    <x v="9"/>
    <x v="9"/>
    <x v="3"/>
    <n v="4"/>
    <n v="9"/>
    <s v="2025-12-03"/>
    <x v="0"/>
    <n v="88273"/>
    <m/>
    <m/>
    <x v="0"/>
    <n v="18.600000000000001"/>
    <s v="Cold"/>
    <s v="Went with local vendor"/>
  </r>
  <r>
    <s v="LD1908"/>
    <s v="Sunanda Chavan"/>
    <n v="9526416754"/>
    <x v="4"/>
    <x v="8"/>
    <s v="Instagram Before-After Posts"/>
    <x v="8"/>
    <s v="2025-10-06"/>
    <x v="9"/>
    <x v="9"/>
    <x v="3"/>
    <n v="4"/>
    <n v="9"/>
    <s v="2025-11-17"/>
    <x v="1"/>
    <n v="668434"/>
    <m/>
    <m/>
    <x v="0"/>
    <n v="35.200000000000003"/>
    <s v="Warm"/>
    <s v="Interested but waiting for loan approval"/>
  </r>
  <r>
    <s v="LD1909"/>
    <s v="Sunanda Raut"/>
    <n v="9464286742"/>
    <x v="4"/>
    <x v="4"/>
    <s v="99acres Flat Owner Enquiry — Inbound"/>
    <x v="5"/>
    <s v="2025-10-06"/>
    <x v="9"/>
    <x v="9"/>
    <x v="3"/>
    <n v="4"/>
    <n v="2"/>
    <s v="2025-10-23"/>
    <x v="3"/>
    <n v="213547"/>
    <m/>
    <m/>
    <x v="0"/>
    <n v="24.2"/>
    <s v="Hot"/>
    <s v="Sample seen at showroom, liked veneer finish"/>
  </r>
  <r>
    <s v="LD1910"/>
    <s v="Vijay Kshirsagar"/>
    <n v="9917282107"/>
    <x v="4"/>
    <x v="7"/>
    <s v="Google My Business"/>
    <x v="7"/>
    <s v="2025-10-06"/>
    <x v="9"/>
    <x v="9"/>
    <x v="3"/>
    <n v="4"/>
    <n v="1"/>
    <s v="2025-10-14"/>
    <x v="1"/>
    <n v="1438043"/>
    <m/>
    <m/>
    <x v="0"/>
    <n v="12"/>
    <s v="Hot"/>
    <s v="Ready to proceed, discussing payment terms"/>
  </r>
  <r>
    <s v="LD1911"/>
    <s v="Pramod Mane"/>
    <n v="9515384922"/>
    <x v="0"/>
    <x v="8"/>
    <s v="Instagram Wardrobe Showcase"/>
    <x v="2"/>
    <s v="2025-10-06"/>
    <x v="9"/>
    <x v="9"/>
    <x v="3"/>
    <n v="4"/>
    <n v="12"/>
    <s v="2025-12-17"/>
    <x v="4"/>
    <n v="445097"/>
    <n v="436996"/>
    <s v="2025-12-20"/>
    <x v="1"/>
    <n v="15.5"/>
    <s v="Hot"/>
    <s v="Final payment received, project handed over"/>
  </r>
  <r>
    <s v="LD1912"/>
    <s v="Sunita Sonawane"/>
    <n v="9513198053"/>
    <x v="4"/>
    <x v="8"/>
    <s v="Instagram Wardrobe Showcase"/>
    <x v="12"/>
    <s v="2025-10-06"/>
    <x v="9"/>
    <x v="9"/>
    <x v="3"/>
    <n v="4"/>
    <n v="9"/>
    <s v="2025-12-05"/>
    <x v="2"/>
    <n v="1167722"/>
    <m/>
    <m/>
    <x v="0"/>
    <n v="17.100000000000001"/>
    <s v="Cold"/>
    <s v="Customer relocated"/>
  </r>
  <r>
    <s v="LD1913"/>
    <s v="Anita Deshmukh"/>
    <n v="9104831696"/>
    <x v="0"/>
    <x v="3"/>
    <s v="MagicBricks Property Enquiry — Inbound"/>
    <x v="6"/>
    <s v="2025-10-06"/>
    <x v="9"/>
    <x v="9"/>
    <x v="3"/>
    <n v="4"/>
    <n v="9"/>
    <s v="2025-10-30"/>
    <x v="1"/>
    <n v="377418"/>
    <m/>
    <m/>
    <x v="2"/>
    <n v="25"/>
    <s v="Warm"/>
    <s v="New flat, moving in after 2 months"/>
  </r>
  <r>
    <s v="LD1914"/>
    <s v="Hemant Kale"/>
    <n v="9689930051"/>
    <x v="2"/>
    <x v="7"/>
    <s v="SEO Organic"/>
    <x v="10"/>
    <s v="2025-10-07"/>
    <x v="9"/>
    <x v="9"/>
    <x v="3"/>
    <n v="4"/>
    <n v="1"/>
    <s v="2025-10-18"/>
    <x v="4"/>
    <n v="388641"/>
    <n v="345350"/>
    <s v="2025-10-20"/>
    <x v="1"/>
    <n v="18.3"/>
    <s v="Warm"/>
    <s v="Token received, design finalised"/>
  </r>
  <r>
    <s v="LD1915"/>
    <s v="Sunita Mohite"/>
    <n v="9832349194"/>
    <x v="4"/>
    <x v="8"/>
    <s v="Instagram Story Ads"/>
    <x v="0"/>
    <s v="2025-10-08"/>
    <x v="9"/>
    <x v="9"/>
    <x v="3"/>
    <n v="4"/>
    <n v="6"/>
    <s v="2025-11-20"/>
    <x v="0"/>
    <n v="575727"/>
    <m/>
    <m/>
    <x v="2"/>
    <n v="15.4"/>
    <s v="Warm"/>
    <s v="Customer got work done from relative"/>
  </r>
  <r>
    <s v="LD1916"/>
    <s v="Seema Kakade"/>
    <n v="9511322328"/>
    <x v="0"/>
    <x v="2"/>
    <s v="Architect Referral"/>
    <x v="0"/>
    <s v="2025-10-08"/>
    <x v="9"/>
    <x v="9"/>
    <x v="3"/>
    <n v="4"/>
    <n v="8"/>
    <s v="2025-12-01"/>
    <x v="4"/>
    <n v="671411"/>
    <n v="665574"/>
    <s v="2025-12-06"/>
    <x v="1"/>
    <n v="19.3"/>
    <s v="Hot"/>
    <s v="Deal closed, advance received"/>
  </r>
  <r>
    <s v="LD1917"/>
    <s v="Sachin Aware"/>
    <m/>
    <x v="0"/>
    <x v="8"/>
    <s v="Instagram Gudi Padwa Special"/>
    <x v="3"/>
    <s v="2025-10-08"/>
    <x v="9"/>
    <x v="9"/>
    <x v="3"/>
    <n v="4"/>
    <n v="3"/>
    <s v="2025-10-17"/>
    <x v="2"/>
    <n v="145423"/>
    <m/>
    <m/>
    <x v="0"/>
    <n v="12.8"/>
    <s v="Cold"/>
    <s v="Instagram story enquiry, no contact details given"/>
  </r>
  <r>
    <s v="LD1918"/>
    <s v="Pramod Raut"/>
    <n v="9445425792"/>
    <x v="3"/>
    <x v="8"/>
    <s v="Instagram Wardrobe Showcase"/>
    <x v="12"/>
    <s v="2025-10-09"/>
    <x v="9"/>
    <x v="9"/>
    <x v="3"/>
    <n v="4"/>
    <n v="11"/>
    <s v="2025-11-17"/>
    <x v="0"/>
    <n v="1383016"/>
    <m/>
    <m/>
    <x v="0"/>
    <n v="33.1"/>
    <s v="Cold"/>
    <s v="Customer chose readymade furniture"/>
  </r>
  <r>
    <s v="LD1919"/>
    <s v="Santosh Kale"/>
    <n v="9919267773"/>
    <x v="4"/>
    <x v="2"/>
    <s v="Contractor Referral"/>
    <x v="3"/>
    <s v="2025-10-09"/>
    <x v="9"/>
    <x v="9"/>
    <x v="3"/>
    <n v="4"/>
    <n v="3"/>
    <s v="2025-10-27"/>
    <x v="0"/>
    <n v="261434"/>
    <m/>
    <m/>
    <x v="2"/>
    <n v="5.3"/>
    <s v="Warm"/>
    <s v="Lost to competitor - cheaper quote"/>
  </r>
  <r>
    <s v="LD1920"/>
    <s v="Sachin Patil"/>
    <n v="9637492693"/>
    <x v="0"/>
    <x v="8"/>
    <s v="Instagram Story Ads"/>
    <x v="0"/>
    <s v="2025-10-10"/>
    <x v="9"/>
    <x v="9"/>
    <x v="3"/>
    <n v="4"/>
    <n v="9"/>
    <s v="2025-11-17"/>
    <x v="4"/>
    <n v="389954"/>
    <n v="366548"/>
    <s v="2025-11-26"/>
    <x v="0"/>
    <n v="4.5"/>
    <s v="Warm"/>
    <s v="Full payment cleared, delivery done"/>
  </r>
  <r>
    <s v="LD1921"/>
    <s v="Manoj Nikalje"/>
    <m/>
    <x v="0"/>
    <x v="8"/>
    <s v="Instagram Before-After Posts"/>
    <x v="11"/>
    <s v="2025-10-10"/>
    <x v="9"/>
    <x v="9"/>
    <x v="3"/>
    <n v="4"/>
    <n v="6"/>
    <s v="2025-11-10"/>
    <x v="0"/>
    <n v="469307"/>
    <m/>
    <m/>
    <x v="2"/>
    <n v="30"/>
    <s v="Cold"/>
    <s v="Instagram story enquiry, no contact details given"/>
  </r>
  <r>
    <s v="LD1922"/>
    <s v="Meena Shelke"/>
    <m/>
    <x v="1"/>
    <x v="8"/>
    <s v="Instagram Kitchen Reels"/>
    <x v="11"/>
    <s v="2025-10-10"/>
    <x v="9"/>
    <x v="9"/>
    <x v="3"/>
    <n v="4"/>
    <n v="3"/>
    <s v="2025-10-27"/>
    <x v="0"/>
    <n v="393635"/>
    <m/>
    <m/>
    <x v="2"/>
    <n v="6.5"/>
    <s v="Warm"/>
    <s v="Customer messaged on Instagram, did not share contact"/>
  </r>
  <r>
    <s v="LD1923"/>
    <s v="Arun Gavhane"/>
    <n v="9320838571"/>
    <x v="2"/>
    <x v="7"/>
    <s v="Google Ads"/>
    <x v="3"/>
    <s v="2025-10-10"/>
    <x v="9"/>
    <x v="9"/>
    <x v="3"/>
    <n v="4"/>
    <n v="1"/>
    <s v="2025-10-17"/>
    <x v="2"/>
    <n v="244025"/>
    <m/>
    <m/>
    <x v="1"/>
    <n v="6"/>
    <s v="Cold"/>
    <s v="Just enquiring, no serious intent"/>
  </r>
  <r>
    <s v="LD1924"/>
    <s v="Umesh Pawar"/>
    <n v="9687270179"/>
    <x v="0"/>
    <x v="7"/>
    <s v="SEO Organic"/>
    <x v="10"/>
    <s v="2025-10-11"/>
    <x v="9"/>
    <x v="9"/>
    <x v="3"/>
    <n v="4"/>
    <n v="7"/>
    <s v="2025-10-30"/>
    <x v="4"/>
    <n v="614014"/>
    <n v="595255"/>
    <s v="2025-11-14"/>
    <x v="0"/>
    <n v="19.899999999999999"/>
    <s v="Hot"/>
    <s v="Full payment cleared, delivery done"/>
  </r>
  <r>
    <s v="LD1925"/>
    <s v="Santosh Zende"/>
    <n v="9751742023"/>
    <x v="2"/>
    <x v="7"/>
    <s v="Google Ads"/>
    <x v="4"/>
    <s v="2025-10-11"/>
    <x v="9"/>
    <x v="9"/>
    <x v="3"/>
    <n v="4"/>
    <n v="9"/>
    <s v="2025-12-15"/>
    <x v="2"/>
    <n v="179719"/>
    <m/>
    <m/>
    <x v="0"/>
    <n v="1.3"/>
    <s v="Cold"/>
    <s v="Not responding to calls"/>
  </r>
  <r>
    <s v="LD1926"/>
    <s v="Shweta Bansode"/>
    <n v="9309418096"/>
    <x v="2"/>
    <x v="2"/>
    <s v="Architect Referral"/>
    <x v="12"/>
    <s v="2025-10-11"/>
    <x v="9"/>
    <x v="9"/>
    <x v="3"/>
    <n v="4"/>
    <n v="3"/>
    <s v="2025-10-21"/>
    <x v="2"/>
    <n v="1144855"/>
    <m/>
    <m/>
    <x v="0"/>
    <n v="9.3000000000000007"/>
    <s v="Warm"/>
    <s v="Budget discussion pending"/>
  </r>
  <r>
    <s v="LD1927"/>
    <s v="Jyoti Sonawane"/>
    <n v="9927755180"/>
    <x v="1"/>
    <x v="6"/>
    <s v="Facebook Kitchen Showcase"/>
    <x v="10"/>
    <s v="2025-10-11"/>
    <x v="9"/>
    <x v="9"/>
    <x v="3"/>
    <n v="4"/>
    <n v="5"/>
    <s v="2025-11-01"/>
    <x v="0"/>
    <n v="222592"/>
    <m/>
    <m/>
    <x v="2"/>
    <n v="31.2"/>
    <s v="Cold"/>
    <s v="Lost - no follow up done in time"/>
  </r>
  <r>
    <s v="LD1928"/>
    <s v="Bharati Salve"/>
    <n v="9646417745"/>
    <x v="4"/>
    <x v="7"/>
    <s v="SEO Organic"/>
    <x v="12"/>
    <s v="2025-10-11"/>
    <x v="9"/>
    <x v="9"/>
    <x v="3"/>
    <n v="4"/>
    <n v="2"/>
    <s v="2025-10-30"/>
    <x v="0"/>
    <n v="1755789"/>
    <m/>
    <m/>
    <x v="2"/>
    <n v="21.3"/>
    <s v="Cold"/>
    <s v="Customer got work done from relative"/>
  </r>
  <r>
    <s v="LD1929"/>
    <s v="Pravin Phule"/>
    <n v="9307189872"/>
    <x v="4"/>
    <x v="6"/>
    <s v="Facebook Gudi Padwa Offer"/>
    <x v="0"/>
    <s v="2025-10-13"/>
    <x v="9"/>
    <x v="9"/>
    <x v="3"/>
    <n v="4"/>
    <n v="4"/>
    <s v="2025-10-27"/>
    <x v="4"/>
    <n v="461936"/>
    <n v="470426"/>
    <s v="2025-11-02"/>
    <x v="1"/>
    <n v="30.7"/>
    <s v="Hot"/>
    <s v="Work order signed, production started"/>
  </r>
  <r>
    <s v="LD1930"/>
    <s v="Sonal Mohite"/>
    <n v="9206947491"/>
    <x v="0"/>
    <x v="1"/>
    <s v="Justdial Sponsored — Inbound"/>
    <x v="14"/>
    <s v="2025-10-13"/>
    <x v="9"/>
    <x v="9"/>
    <x v="3"/>
    <n v="4"/>
    <n v="5"/>
    <s v="2025-11-05"/>
    <x v="4"/>
    <n v="2228987"/>
    <n v="2125537"/>
    <s v="2025-11-08"/>
    <x v="1"/>
    <n v="34.700000000000003"/>
    <s v="Hot"/>
    <s v="Work order signed, production started"/>
  </r>
  <r>
    <s v="LD1931"/>
    <s v="Hemant Nikalje"/>
    <n v="9727068900"/>
    <x v="2"/>
    <x v="5"/>
    <s v="Exhibition Walk-in"/>
    <x v="7"/>
    <s v="2025-10-13"/>
    <x v="9"/>
    <x v="9"/>
    <x v="3"/>
    <n v="4"/>
    <n v="8"/>
    <s v="2025-12-01"/>
    <x v="4"/>
    <n v="698764"/>
    <n v="666064"/>
    <s v="2025-12-15"/>
    <x v="0"/>
    <n v="16.2"/>
    <s v="Hot"/>
    <s v="Full payment cleared, delivery done"/>
  </r>
  <r>
    <s v="LD1932"/>
    <s v="Alka Bhosale"/>
    <n v="9808518921"/>
    <x v="3"/>
    <x v="5"/>
    <s v="Exhibition Walk-in"/>
    <x v="7"/>
    <s v="2025-10-13"/>
    <x v="9"/>
    <x v="9"/>
    <x v="3"/>
    <n v="4"/>
    <n v="11"/>
    <s v="2025-12-15"/>
    <x v="4"/>
    <n v="1448686"/>
    <n v="1304882"/>
    <s v="2025-12-26"/>
    <x v="1"/>
    <n v="5.6"/>
    <s v="Hot"/>
    <s v="Final payment received, project handed over"/>
  </r>
  <r>
    <s v="LD1933"/>
    <s v="Hemant Phule"/>
    <n v="9984439266"/>
    <x v="3"/>
    <x v="8"/>
    <s v="Instagram Gudi Padwa Special"/>
    <x v="0"/>
    <s v="2025-10-13"/>
    <x v="9"/>
    <x v="9"/>
    <x v="3"/>
    <n v="4"/>
    <n v="8"/>
    <s v="2025-12-09"/>
    <x v="1"/>
    <n v="394952"/>
    <m/>
    <m/>
    <x v="1"/>
    <n v="0.9"/>
    <s v="Hot"/>
    <s v="Customer visited showroom twice, very interested"/>
  </r>
  <r>
    <s v="LD1934"/>
    <s v="Rekha Kshirsagar"/>
    <n v="9335426469"/>
    <x v="2"/>
    <x v="4"/>
    <s v="99acres New Project Enquiry — Inbound"/>
    <x v="10"/>
    <s v="2025-10-14"/>
    <x v="9"/>
    <x v="9"/>
    <x v="3"/>
    <n v="4"/>
    <n v="12"/>
    <s v="2025-12-20"/>
    <x v="0"/>
    <n v="237463"/>
    <m/>
    <m/>
    <x v="1"/>
    <n v="13.9"/>
    <s v="Cold"/>
    <s v="Went with local vendor"/>
  </r>
  <r>
    <s v="LD1935"/>
    <s v="Mahesh Phule"/>
    <n v="9321040838"/>
    <x v="2"/>
    <x v="5"/>
    <s v="Exhibition Walk-in"/>
    <x v="6"/>
    <s v="2025-10-14"/>
    <x v="9"/>
    <x v="9"/>
    <x v="3"/>
    <n v="4"/>
    <n v="5"/>
    <s v="2025-11-03"/>
    <x v="1"/>
    <n v="361649"/>
    <m/>
    <m/>
    <x v="1"/>
    <n v="29.1"/>
    <s v="Hot"/>
    <s v="Design presentation done, waiting for confirmation"/>
  </r>
  <r>
    <s v="LD1936"/>
    <s v="Sunil Shinde"/>
    <n v="9139665046"/>
    <x v="2"/>
    <x v="2"/>
    <s v="Client Referral"/>
    <x v="4"/>
    <s v="2025-10-15"/>
    <x v="9"/>
    <x v="9"/>
    <x v="3"/>
    <n v="4"/>
    <n v="5"/>
    <s v="2025-11-05"/>
    <x v="4"/>
    <n v="178102"/>
    <n v="162486"/>
    <s v="2025-11-22"/>
    <x v="2"/>
    <n v="26.1"/>
    <s v="Hot"/>
    <s v="Token received, design finalised"/>
  </r>
  <r>
    <s v="LD1937"/>
    <s v="Rohit Kshirsagar"/>
    <n v="9109744303"/>
    <x v="0"/>
    <x v="8"/>
    <s v="Instagram Wardrobe Showcase"/>
    <x v="6"/>
    <s v="2025-10-15"/>
    <x v="9"/>
    <x v="9"/>
    <x v="3"/>
    <n v="4"/>
    <n v="8"/>
    <s v="2025-12-02"/>
    <x v="0"/>
    <n v="148595"/>
    <m/>
    <m/>
    <x v="2"/>
    <n v="28.9"/>
    <s v="Warm"/>
    <m/>
  </r>
  <r>
    <s v="LD1938"/>
    <s v="Varsha Gavhane"/>
    <n v="9673344060"/>
    <x v="4"/>
    <x v="7"/>
    <s v="SEO Organic"/>
    <x v="11"/>
    <s v="2025-10-15"/>
    <x v="9"/>
    <x v="9"/>
    <x v="3"/>
    <n v="4"/>
    <n v="10"/>
    <s v="2025-12-18"/>
    <x v="0"/>
    <n v="324164"/>
    <m/>
    <m/>
    <x v="0"/>
    <n v="29.8"/>
    <s v="Cold"/>
    <s v="Customer got work done from relative"/>
  </r>
  <r>
    <s v="LD1939"/>
    <s v="Varsha Kakade"/>
    <n v="9341404158"/>
    <x v="2"/>
    <x v="8"/>
    <s v="Instagram Diwali Campaign"/>
    <x v="6"/>
    <s v="2025-10-15"/>
    <x v="9"/>
    <x v="9"/>
    <x v="3"/>
    <n v="4"/>
    <n v="11"/>
    <s v="2025-12-03"/>
    <x v="1"/>
    <n v="175747"/>
    <m/>
    <m/>
    <x v="2"/>
    <n v="28.5"/>
    <s v="Warm"/>
    <s v="Waiting for interior budget approval from family"/>
  </r>
  <r>
    <s v="LD1940"/>
    <s v="Nanda Sonawane"/>
    <m/>
    <x v="4"/>
    <x v="7"/>
    <s v="SEO Organic"/>
    <x v="4"/>
    <s v="2025-10-16"/>
    <x v="9"/>
    <x v="9"/>
    <x v="3"/>
    <n v="4"/>
    <n v="5"/>
    <s v="2025-11-11"/>
    <x v="0"/>
    <n v="279147"/>
    <m/>
    <m/>
    <x v="0"/>
    <n v="18.8"/>
    <s v="Cold"/>
    <s v="Website contact form submitted, no phone given"/>
  </r>
  <r>
    <s v="LD1941"/>
    <s v="Sachin Shinde"/>
    <n v="9207167502"/>
    <x v="1"/>
    <x v="6"/>
    <s v="Facebook Kitchen Showcase"/>
    <x v="14"/>
    <s v="2025-10-16"/>
    <x v="9"/>
    <x v="9"/>
    <x v="3"/>
    <n v="4"/>
    <n v="10"/>
    <s v="2025-12-08"/>
    <x v="0"/>
    <n v="2059523"/>
    <m/>
    <m/>
    <x v="1"/>
    <n v="6.4"/>
    <s v="Cold"/>
    <s v="Customer got work done from relative"/>
  </r>
  <r>
    <s v="LD1942"/>
    <s v="Nanda Bhalerao"/>
    <n v="9556395881"/>
    <x v="0"/>
    <x v="2"/>
    <s v="Neighbour Referral"/>
    <x v="0"/>
    <s v="2025-10-16"/>
    <x v="9"/>
    <x v="9"/>
    <x v="3"/>
    <n v="4"/>
    <n v="10"/>
    <s v="2025-12-09"/>
    <x v="1"/>
    <n v="444256"/>
    <m/>
    <m/>
    <x v="0"/>
    <n v="15"/>
    <s v="Hot"/>
    <s v="Measurement done, quote pending approval"/>
  </r>
  <r>
    <s v="LD1943"/>
    <s v="Mahesh Deshmukh"/>
    <n v="9227313593"/>
    <x v="2"/>
    <x v="6"/>
    <s v="Facebook Home Decor Ads"/>
    <x v="5"/>
    <s v="2025-10-16"/>
    <x v="9"/>
    <x v="9"/>
    <x v="3"/>
    <n v="4"/>
    <n v="7"/>
    <s v="2025-11-17"/>
    <x v="3"/>
    <n v="262873"/>
    <m/>
    <m/>
    <x v="2"/>
    <n v="20.7"/>
    <s v="Warm"/>
    <s v="Follow up after Gudi Padwa"/>
  </r>
  <r>
    <s v="LD1944"/>
    <s v="Manoj Wagh"/>
    <n v="9229641690"/>
    <x v="1"/>
    <x v="8"/>
    <s v="Instagram Before-After Posts"/>
    <x v="10"/>
    <s v="2025-10-16"/>
    <x v="9"/>
    <x v="9"/>
    <x v="3"/>
    <n v="4"/>
    <n v="9"/>
    <s v="2025-11-07"/>
    <x v="4"/>
    <n v="212169"/>
    <n v="187106"/>
    <s v="2025-11-19"/>
    <x v="2"/>
    <n v="19.7"/>
    <s v="Hot"/>
    <m/>
  </r>
  <r>
    <s v="LD1945"/>
    <s v="Shweta Kshirsagar"/>
    <n v="9251545105"/>
    <x v="0"/>
    <x v="6"/>
    <s v="Facebook Kitchen Showcase"/>
    <x v="12"/>
    <s v="2025-10-16"/>
    <x v="9"/>
    <x v="9"/>
    <x v="3"/>
    <n v="4"/>
    <n v="5"/>
    <s v="2025-10-30"/>
    <x v="4"/>
    <n v="1410801"/>
    <n v="1362695"/>
    <s v="2025-11-14"/>
    <x v="1"/>
    <n v="24.8"/>
    <s v="Hot"/>
    <s v="Customer referred 2 more leads after delivery"/>
  </r>
  <r>
    <s v="LD1946"/>
    <s v="Lata Phule"/>
    <n v="9522019748"/>
    <x v="4"/>
    <x v="3"/>
    <s v="MagicBricks Enquiry — Inbound"/>
    <x v="9"/>
    <s v="2025-10-16"/>
    <x v="9"/>
    <x v="9"/>
    <x v="3"/>
    <n v="4"/>
    <n v="0"/>
    <s v="2025-10-28"/>
    <x v="3"/>
    <n v="380154"/>
    <m/>
    <m/>
    <x v="1"/>
    <n v="35.700000000000003"/>
    <s v="Cold"/>
    <s v="Project on hold"/>
  </r>
  <r>
    <s v="LD1947"/>
    <s v="Mahesh Thorat"/>
    <n v="9947407268"/>
    <x v="1"/>
    <x v="2"/>
    <s v="Contractor Referral"/>
    <x v="13"/>
    <s v="2025-10-17"/>
    <x v="9"/>
    <x v="9"/>
    <x v="3"/>
    <n v="4"/>
    <n v="0"/>
    <s v="2025-10-22"/>
    <x v="1"/>
    <n v="1811010"/>
    <m/>
    <m/>
    <x v="0"/>
    <n v="10.7"/>
    <s v="Hot"/>
    <s v="Very interested, finalising design"/>
  </r>
  <r>
    <s v="LD1948"/>
    <s v="Bharati Chavan"/>
    <n v="9856588608"/>
    <x v="0"/>
    <x v="8"/>
    <s v="Instagram Wardrobe Showcase"/>
    <x v="2"/>
    <s v="2025-10-17"/>
    <x v="9"/>
    <x v="9"/>
    <x v="3"/>
    <n v="4"/>
    <n v="1"/>
    <s v="2025-10-25"/>
    <x v="1"/>
    <n v="285548"/>
    <m/>
    <m/>
    <x v="0"/>
    <n v="14.1"/>
    <s v="Warm"/>
    <s v="Customer interested, flat handover next month"/>
  </r>
  <r>
    <s v="LD1949"/>
    <s v="Varsha Kulkarni"/>
    <n v="9150259551"/>
    <x v="0"/>
    <x v="1"/>
    <s v="Justdial Free Listing — Inbound"/>
    <x v="3"/>
    <s v="2025-10-17"/>
    <x v="9"/>
    <x v="9"/>
    <x v="3"/>
    <n v="4"/>
    <n v="10"/>
    <s v="2025-11-24"/>
    <x v="2"/>
    <n v="164725"/>
    <m/>
    <m/>
    <x v="1"/>
    <n v="10.7"/>
    <s v="Cold"/>
    <s v="Budget too low for our range"/>
  </r>
  <r>
    <s v="LD1950"/>
    <s v="Sonal Gaikwad"/>
    <n v="9322663959"/>
    <x v="0"/>
    <x v="2"/>
    <s v="Architect Referral"/>
    <x v="13"/>
    <s v="2025-10-17"/>
    <x v="9"/>
    <x v="9"/>
    <x v="3"/>
    <n v="4"/>
    <n v="7"/>
    <s v="2025-11-28"/>
    <x v="4"/>
    <n v="2004279"/>
    <n v="1795006"/>
    <s v="2025-12-19"/>
    <x v="0"/>
    <n v="28.1"/>
    <s v="Hot"/>
    <s v="Customer referred 2 more leads after delivery"/>
  </r>
  <r>
    <s v="LD1951"/>
    <s v="Deepak Gaikwad"/>
    <n v="9342640759"/>
    <x v="3"/>
    <x v="6"/>
    <s v="Facebook Gudi Padwa Offer"/>
    <x v="6"/>
    <s v="2025-10-18"/>
    <x v="9"/>
    <x v="9"/>
    <x v="3"/>
    <n v="4"/>
    <n v="2"/>
    <s v="2025-10-28"/>
    <x v="1"/>
    <n v="184840"/>
    <m/>
    <m/>
    <x v="0"/>
    <n v="27"/>
    <s v="Cold"/>
    <s v="Wrong number provided"/>
  </r>
  <r>
    <s v="LD1952"/>
    <s v="Rohit Shinde"/>
    <n v="9961154235"/>
    <x v="0"/>
    <x v="8"/>
    <s v="Instagram Gudi Padwa Special"/>
    <x v="2"/>
    <s v="2025-10-18"/>
    <x v="9"/>
    <x v="9"/>
    <x v="3"/>
    <n v="4"/>
    <n v="11"/>
    <s v="2026-01-05"/>
    <x v="1"/>
    <n v="439276"/>
    <m/>
    <m/>
    <x v="0"/>
    <n v="8.4"/>
    <s v="Cold"/>
    <s v="Just enquiring, no serious intent"/>
  </r>
  <r>
    <s v="LD1953"/>
    <s v="Lata Nimbalkar"/>
    <n v="9926778447"/>
    <x v="0"/>
    <x v="3"/>
    <s v="MagicBricks Property Enquiry — Inbound"/>
    <x v="9"/>
    <s v="2025-10-18"/>
    <x v="9"/>
    <x v="9"/>
    <x v="3"/>
    <n v="4"/>
    <n v="6"/>
    <s v="2025-11-01"/>
    <x v="4"/>
    <n v="548379"/>
    <n v="548760"/>
    <s v="2025-11-11"/>
    <x v="0"/>
    <n v="28"/>
    <s v="Hot"/>
    <s v="Work order signed, production started"/>
  </r>
  <r>
    <s v="LD1954"/>
    <s v="Nanda More"/>
    <n v="9955232186"/>
    <x v="3"/>
    <x v="7"/>
    <s v="Google Ads"/>
    <x v="4"/>
    <s v="2025-10-18"/>
    <x v="9"/>
    <x v="9"/>
    <x v="3"/>
    <n v="4"/>
    <n v="4"/>
    <s v="2025-11-04"/>
    <x v="0"/>
    <n v="376505"/>
    <m/>
    <m/>
    <x v="1"/>
    <n v="35.700000000000003"/>
    <s v="Cold"/>
    <m/>
  </r>
  <r>
    <s v="LD1955"/>
    <s v="Sanjay Holkar"/>
    <n v="9890212452"/>
    <x v="4"/>
    <x v="3"/>
    <s v="MagicBricks Property Enquiry — Inbound"/>
    <x v="5"/>
    <s v="2025-10-18"/>
    <x v="9"/>
    <x v="9"/>
    <x v="3"/>
    <n v="4"/>
    <n v="3"/>
    <s v="2025-11-15"/>
    <x v="3"/>
    <m/>
    <m/>
    <m/>
    <x v="1"/>
    <n v="29.2"/>
    <s v="Cold"/>
    <s v="Not interested anymore"/>
  </r>
  <r>
    <s v="LD1956"/>
    <s v="Rajesh Gavhane"/>
    <n v="9908961357"/>
    <x v="0"/>
    <x v="6"/>
    <s v="Facebook Diwali Offer"/>
    <x v="7"/>
    <s v="2025-10-18"/>
    <x v="9"/>
    <x v="9"/>
    <x v="3"/>
    <n v="4"/>
    <n v="5"/>
    <s v="2025-11-15"/>
    <x v="1"/>
    <n v="999072"/>
    <m/>
    <m/>
    <x v="1"/>
    <n v="33.700000000000003"/>
    <s v="Warm"/>
    <s v="Follow up after Dussehra"/>
  </r>
  <r>
    <s v="LD1957"/>
    <s v="Varsha Sawant"/>
    <n v="9453616276"/>
    <x v="3"/>
    <x v="7"/>
    <s v="Google My Business"/>
    <x v="14"/>
    <s v="2025-10-20"/>
    <x v="9"/>
    <x v="9"/>
    <x v="3"/>
    <n v="4"/>
    <n v="7"/>
    <s v="2025-11-10"/>
    <x v="4"/>
    <n v="2210476"/>
    <n v="1962006"/>
    <s v="2025-11-28"/>
    <x v="1"/>
    <n v="21.5"/>
    <s v="Hot"/>
    <m/>
  </r>
  <r>
    <s v="LD1958"/>
    <s v="Anita Joshi"/>
    <n v="9124660552"/>
    <x v="1"/>
    <x v="8"/>
    <s v="Instagram Wardrobe Showcase"/>
    <x v="13"/>
    <s v="2025-10-20"/>
    <x v="9"/>
    <x v="9"/>
    <x v="3"/>
    <n v="4"/>
    <n v="5"/>
    <s v="2025-11-10"/>
    <x v="0"/>
    <n v="1911310"/>
    <m/>
    <m/>
    <x v="0"/>
    <n v="14.2"/>
    <s v="Warm"/>
    <s v="Budget mismatch - too low"/>
  </r>
  <r>
    <s v="LD1959"/>
    <s v="Santosh Yadav"/>
    <n v="9748044381"/>
    <x v="0"/>
    <x v="2"/>
    <s v="Architect Referral"/>
    <x v="4"/>
    <s v="2025-10-20"/>
    <x v="9"/>
    <x v="9"/>
    <x v="3"/>
    <n v="4"/>
    <n v="6"/>
    <s v="2025-12-06"/>
    <x v="1"/>
    <n v="142396"/>
    <m/>
    <m/>
    <x v="1"/>
    <n v="18.100000000000001"/>
    <s v="Warm"/>
    <s v="Wants more design options before deciding"/>
  </r>
  <r>
    <s v="LD1960"/>
    <s v="Madhuri Tupe"/>
    <n v="9160651818"/>
    <x v="3"/>
    <x v="2"/>
    <s v="Contractor Referral"/>
    <x v="0"/>
    <s v="2025-10-20"/>
    <x v="9"/>
    <x v="9"/>
    <x v="3"/>
    <n v="4"/>
    <n v="2"/>
    <s v="2025-10-30"/>
    <x v="4"/>
    <n v="817109"/>
    <n v="764937"/>
    <s v="2025-11-02"/>
    <x v="2"/>
    <n v="14.5"/>
    <s v="Hot"/>
    <s v="Work order signed, production started"/>
  </r>
  <r>
    <s v="LD1961"/>
    <s v="Dinesh Holkar"/>
    <n v="9550634895"/>
    <x v="1"/>
    <x v="8"/>
    <s v="Instagram Before-After Posts"/>
    <x v="12"/>
    <s v="2025-10-20"/>
    <x v="9"/>
    <x v="9"/>
    <x v="3"/>
    <n v="4"/>
    <n v="5"/>
    <s v="2025-11-10"/>
    <x v="1"/>
    <n v="1630772"/>
    <m/>
    <m/>
    <x v="0"/>
    <n v="23.2"/>
    <s v="Hot"/>
    <m/>
  </r>
  <r>
    <s v="LD1962"/>
    <s v="Ashwini Naik"/>
    <n v="9837840430"/>
    <x v="4"/>
    <x v="2"/>
    <s v="Neighbour Referral"/>
    <x v="7"/>
    <s v="2025-10-20"/>
    <x v="9"/>
    <x v="9"/>
    <x v="3"/>
    <n v="4"/>
    <n v="12"/>
    <s v="2025-11-15"/>
    <x v="2"/>
    <n v="1411182"/>
    <m/>
    <m/>
    <x v="1"/>
    <n v="22.1"/>
    <s v="Cold"/>
    <s v="Just enquiring, no serious intent"/>
  </r>
  <r>
    <s v="LD1963"/>
    <s v="Santosh Bhalerao"/>
    <n v="9921660774"/>
    <x v="4"/>
    <x v="8"/>
    <s v="Instagram Gudi Padwa Special"/>
    <x v="6"/>
    <s v="2025-10-20"/>
    <x v="9"/>
    <x v="9"/>
    <x v="3"/>
    <n v="4"/>
    <n v="3"/>
    <s v="2025-10-30"/>
    <x v="2"/>
    <n v="209914"/>
    <m/>
    <m/>
    <x v="0"/>
    <n v="9.4"/>
    <s v="Cold"/>
    <s v="Budget too low for our range"/>
  </r>
  <r>
    <s v="LD1964"/>
    <s v="Archana Bhalerao"/>
    <m/>
    <x v="4"/>
    <x v="7"/>
    <s v="Website Chat Enquiry"/>
    <x v="13"/>
    <s v="2025-10-20"/>
    <x v="9"/>
    <x v="9"/>
    <x v="3"/>
    <n v="4"/>
    <n v="6"/>
    <s v="2025-11-29"/>
    <x v="0"/>
    <n v="1698567"/>
    <m/>
    <m/>
    <x v="0"/>
    <n v="17.7"/>
    <s v="Cold"/>
    <s v="Website contact form submitted, no phone given"/>
  </r>
  <r>
    <s v="LD1965"/>
    <s v="Varsha Londhe"/>
    <n v="9547027951"/>
    <x v="0"/>
    <x v="6"/>
    <s v="Facebook Diwali Offer"/>
    <x v="0"/>
    <s v="2025-10-20"/>
    <x v="9"/>
    <x v="9"/>
    <x v="3"/>
    <n v="4"/>
    <n v="7"/>
    <s v="2025-11-18"/>
    <x v="4"/>
    <n v="389466"/>
    <n v="388058"/>
    <s v="2025-11-21"/>
    <x v="2"/>
    <n v="31.6"/>
    <s v="Hot"/>
    <s v="Token paid, measurement done, work started"/>
  </r>
  <r>
    <s v="LD1966"/>
    <s v="Manisha Thorat"/>
    <n v="9812306253"/>
    <x v="0"/>
    <x v="6"/>
    <s v="Facebook Gudi Padwa Offer"/>
    <x v="12"/>
    <s v="2025-10-20"/>
    <x v="9"/>
    <x v="9"/>
    <x v="3"/>
    <n v="4"/>
    <n v="7"/>
    <s v="2025-11-26"/>
    <x v="0"/>
    <n v="1108694"/>
    <m/>
    <m/>
    <x v="0"/>
    <n v="27.4"/>
    <s v="Cold"/>
    <s v="Lost to branded competitor"/>
  </r>
  <r>
    <s v="LD1967"/>
    <s v="Pooja Kadam"/>
    <m/>
    <x v="4"/>
    <x v="7"/>
    <s v="Google My Business"/>
    <x v="2"/>
    <s v="2025-10-20"/>
    <x v="9"/>
    <x v="9"/>
    <x v="3"/>
    <n v="4"/>
    <n v="4"/>
    <s v="2025-11-13"/>
    <x v="2"/>
    <n v="309671"/>
    <m/>
    <m/>
    <x v="0"/>
    <n v="8.6999999999999993"/>
    <s v="Cold"/>
    <s v="Google Ads lead — customer filled form without phone"/>
  </r>
  <r>
    <s v="LD1968"/>
    <s v="Smita Shinde"/>
    <n v="9507790010"/>
    <x v="3"/>
    <x v="8"/>
    <s v="Instagram Before-After Posts"/>
    <x v="8"/>
    <s v="2025-10-20"/>
    <x v="9"/>
    <x v="9"/>
    <x v="3"/>
    <n v="4"/>
    <n v="9"/>
    <s v="2025-11-10"/>
    <x v="4"/>
    <n v="822692"/>
    <n v="750858"/>
    <s v="2025-11-22"/>
    <x v="0"/>
    <n v="33.1"/>
    <s v="Hot"/>
    <s v="Work order signed, production started"/>
  </r>
  <r>
    <s v="LD1969"/>
    <s v="Dinesh Sonawane"/>
    <n v="9119037569"/>
    <x v="4"/>
    <x v="7"/>
    <s v="Google Ads"/>
    <x v="10"/>
    <s v="2025-10-21"/>
    <x v="9"/>
    <x v="9"/>
    <x v="3"/>
    <n v="4"/>
    <n v="1"/>
    <s v="2025-11-05"/>
    <x v="4"/>
    <n v="436096"/>
    <n v="436888"/>
    <s v="2025-11-07"/>
    <x v="2"/>
    <n v="31.1"/>
    <s v="Hot"/>
    <s v="Customer happy with sample, deal closed"/>
  </r>
  <r>
    <s v="LD1970"/>
    <s v="Rohit Phule"/>
    <n v="9295578761"/>
    <x v="0"/>
    <x v="5"/>
    <s v="Site Visit Walk-in"/>
    <x v="13"/>
    <s v="2025-10-21"/>
    <x v="9"/>
    <x v="9"/>
    <x v="3"/>
    <n v="4"/>
    <n v="5"/>
    <s v="2025-11-11"/>
    <x v="4"/>
    <n v="1491158"/>
    <n v="1526740"/>
    <s v="2025-11-29"/>
    <x v="1"/>
    <n v="25.2"/>
    <s v="Hot"/>
    <s v="Deal closed, advance received"/>
  </r>
  <r>
    <s v="LD1971"/>
    <s v="Pravin Yadav"/>
    <n v="9898649496"/>
    <x v="0"/>
    <x v="7"/>
    <s v="SEO Organic"/>
    <x v="0"/>
    <s v="2025-10-21"/>
    <x v="9"/>
    <x v="9"/>
    <x v="3"/>
    <n v="4"/>
    <n v="4"/>
    <s v="2025-11-10"/>
    <x v="1"/>
    <n v="370838"/>
    <m/>
    <m/>
    <x v="1"/>
    <n v="17.8"/>
    <s v="Warm"/>
    <s v="Follow up after Gudi Padwa"/>
  </r>
  <r>
    <s v="LD1972"/>
    <s v="Sachin Zende"/>
    <n v="9987966276"/>
    <x v="0"/>
    <x v="2"/>
    <s v="Client Referral"/>
    <x v="4"/>
    <s v="2025-10-22"/>
    <x v="9"/>
    <x v="9"/>
    <x v="3"/>
    <n v="4"/>
    <n v="2"/>
    <s v="2025-11-03"/>
    <x v="2"/>
    <n v="366386"/>
    <m/>
    <m/>
    <x v="1"/>
    <n v="1.6"/>
    <s v="Cold"/>
    <s v="Price too high as per customer"/>
  </r>
  <r>
    <s v="LD1973"/>
    <s v="Ashwini Gavhane"/>
    <n v="9152739714"/>
    <x v="2"/>
    <x v="0"/>
    <s v="Friend Reference"/>
    <x v="1"/>
    <s v="2025-10-22"/>
    <x v="9"/>
    <x v="9"/>
    <x v="3"/>
    <n v="4"/>
    <n v="8"/>
    <s v="2025-11-29"/>
    <x v="0"/>
    <n v="221858"/>
    <m/>
    <m/>
    <x v="0"/>
    <n v="33.299999999999997"/>
    <s v="Cold"/>
    <s v="Lost to competitor - cheaper quote"/>
  </r>
  <r>
    <s v="LD1974"/>
    <s v="Vijay Thorat"/>
    <n v="9573946809"/>
    <x v="0"/>
    <x v="6"/>
    <s v="Facebook Diwali Offer"/>
    <x v="2"/>
    <s v="2025-10-22"/>
    <x v="9"/>
    <x v="9"/>
    <x v="3"/>
    <n v="4"/>
    <n v="1"/>
    <s v="2025-11-06"/>
    <x v="1"/>
    <n v="607586"/>
    <m/>
    <m/>
    <x v="1"/>
    <n v="24.3"/>
    <s v="Warm"/>
    <s v="Follow up after Akshaya Tritiya"/>
  </r>
  <r>
    <s v="LD1975"/>
    <s v="Arun Sonawane"/>
    <n v="9519084745"/>
    <x v="3"/>
    <x v="8"/>
    <s v="Instagram Gudi Padwa Special"/>
    <x v="7"/>
    <s v="2025-10-22"/>
    <x v="9"/>
    <x v="9"/>
    <x v="3"/>
    <n v="4"/>
    <n v="4"/>
    <s v="2025-11-10"/>
    <x v="3"/>
    <n v="775924"/>
    <m/>
    <m/>
    <x v="0"/>
    <n v="22.2"/>
    <s v="Warm"/>
    <s v="Follow up after Dussehra"/>
  </r>
  <r>
    <s v="LD1976"/>
    <s v="Madhuri Kshirsagar"/>
    <n v="9569794395"/>
    <x v="2"/>
    <x v="8"/>
    <s v="Instagram Diwali Campaign"/>
    <x v="10"/>
    <s v="2025-10-23"/>
    <x v="9"/>
    <x v="9"/>
    <x v="3"/>
    <n v="4"/>
    <n v="10"/>
    <s v="2025-12-18"/>
    <x v="3"/>
    <n v="597748"/>
    <m/>
    <m/>
    <x v="1"/>
    <m/>
    <s v="Cold"/>
    <m/>
  </r>
  <r>
    <s v="LD1977"/>
    <s v="Hemant Naik"/>
    <n v="9453855809"/>
    <x v="3"/>
    <x v="3"/>
    <s v="MagicBricks Enquiry — Inbound"/>
    <x v="6"/>
    <s v="2025-10-23"/>
    <x v="9"/>
    <x v="9"/>
    <x v="3"/>
    <n v="4"/>
    <n v="8"/>
    <s v="2025-12-15"/>
    <x v="0"/>
    <n v="141519"/>
    <m/>
    <m/>
    <x v="0"/>
    <n v="9.6"/>
    <s v="Cold"/>
    <s v="Went with local vendor"/>
  </r>
  <r>
    <s v="LD1978"/>
    <s v="Nanda Gavhane"/>
    <n v="9701446009"/>
    <x v="2"/>
    <x v="0"/>
    <s v="Family Reference"/>
    <x v="9"/>
    <s v="2025-10-23"/>
    <x v="9"/>
    <x v="9"/>
    <x v="3"/>
    <n v="4"/>
    <n v="8"/>
    <s v="2025-11-20"/>
    <x v="4"/>
    <n v="556603"/>
    <n v="506614"/>
    <s v="2025-11-25"/>
    <x v="1"/>
    <n v="35.9"/>
    <s v="Hot"/>
    <s v="Deal closed, advance received"/>
  </r>
  <r>
    <s v="LD1979"/>
    <s v="Pooja Zende"/>
    <n v="9927642026"/>
    <x v="2"/>
    <x v="0"/>
    <s v="Colony Reference"/>
    <x v="0"/>
    <s v="2025-10-23"/>
    <x v="9"/>
    <x v="9"/>
    <x v="3"/>
    <n v="4"/>
    <n v="3"/>
    <s v="2025-11-04"/>
    <x v="3"/>
    <n v="553899"/>
    <m/>
    <m/>
    <x v="0"/>
    <n v="22.6"/>
    <s v="Hot"/>
    <s v="Sample seen at showroom, liked veneer finish"/>
  </r>
  <r>
    <s v="LD1980"/>
    <s v="Lata Kshirsagar"/>
    <m/>
    <x v="1"/>
    <x v="6"/>
    <s v="Facebook Home Decor Ads"/>
    <x v="10"/>
    <s v="2025-10-24"/>
    <x v="9"/>
    <x v="9"/>
    <x v="3"/>
    <n v="4"/>
    <n v="1"/>
    <s v="2025-10-27"/>
    <x v="0"/>
    <n v="482149"/>
    <m/>
    <m/>
    <x v="0"/>
    <n v="11.4"/>
    <s v="Cold"/>
    <s v="Facebook lead — customer did not pick up on callback"/>
  </r>
  <r>
    <s v="LD1981"/>
    <s v="Sunil Chavan"/>
    <n v="9406456153"/>
    <x v="4"/>
    <x v="6"/>
    <s v="Facebook Gudi Padwa Offer"/>
    <x v="7"/>
    <s v="2025-10-24"/>
    <x v="9"/>
    <x v="9"/>
    <x v="3"/>
    <n v="4"/>
    <n v="5"/>
    <s v="2025-11-21"/>
    <x v="2"/>
    <n v="877949"/>
    <m/>
    <m/>
    <x v="1"/>
    <n v="27.4"/>
    <s v="Cold"/>
    <s v="Customer relocated"/>
  </r>
  <r>
    <s v="LD1982"/>
    <s v="Madhuri Raut"/>
    <n v="9273459843"/>
    <x v="0"/>
    <x v="8"/>
    <s v="Instagram Kitchen Reels"/>
    <x v="2"/>
    <s v="2025-10-24"/>
    <x v="9"/>
    <x v="9"/>
    <x v="3"/>
    <n v="4"/>
    <n v="6"/>
    <s v="2025-11-25"/>
    <x v="0"/>
    <n v="277827"/>
    <m/>
    <m/>
    <x v="2"/>
    <n v="18.100000000000001"/>
    <s v="Cold"/>
    <m/>
  </r>
  <r>
    <s v="LD1983"/>
    <s v="Archana Thorat"/>
    <n v="9254443361"/>
    <x v="0"/>
    <x v="8"/>
    <s v="Instagram Gudi Padwa Special"/>
    <x v="0"/>
    <s v="2025-10-24"/>
    <x v="9"/>
    <x v="9"/>
    <x v="3"/>
    <n v="4"/>
    <n v="6"/>
    <s v="2025-11-17"/>
    <x v="0"/>
    <n v="576491"/>
    <m/>
    <m/>
    <x v="1"/>
    <n v="26"/>
    <s v="Cold"/>
    <s v="Budget mismatch - too low"/>
  </r>
  <r>
    <s v="LD1984"/>
    <s v="Lata Kshirsagar"/>
    <n v="9538887667"/>
    <x v="0"/>
    <x v="6"/>
    <s v="Facebook Gudi Padwa Offer"/>
    <x v="1"/>
    <s v="2025-10-24"/>
    <x v="9"/>
    <x v="9"/>
    <x v="3"/>
    <n v="4"/>
    <n v="11"/>
    <s v="2026-01-01"/>
    <x v="4"/>
    <n v="353818"/>
    <n v="359719"/>
    <s v="2026-01-03"/>
    <x v="2"/>
    <n v="1.7"/>
    <s v="Warm"/>
    <s v="Customer referred 2 more leads after delivery"/>
  </r>
  <r>
    <s v="LD1985"/>
    <s v="Ravi Bansode"/>
    <n v="9595265233"/>
    <x v="1"/>
    <x v="6"/>
    <s v="Facebook Kitchen Showcase"/>
    <x v="8"/>
    <s v="2025-10-24"/>
    <x v="9"/>
    <x v="9"/>
    <x v="3"/>
    <n v="4"/>
    <n v="2"/>
    <s v="2025-11-17"/>
    <x v="0"/>
    <n v="824873"/>
    <m/>
    <m/>
    <x v="2"/>
    <n v="27"/>
    <s v="Cold"/>
    <s v="No response, marked as lost after 60 days"/>
  </r>
  <r>
    <s v="LD1986"/>
    <s v="Deepak Sawant"/>
    <n v="9956677870"/>
    <x v="1"/>
    <x v="0"/>
    <s v="Family Reference"/>
    <x v="11"/>
    <s v="2025-10-24"/>
    <x v="9"/>
    <x v="9"/>
    <x v="3"/>
    <n v="4"/>
    <n v="8"/>
    <s v="2025-12-04"/>
    <x v="2"/>
    <n v="493916"/>
    <m/>
    <m/>
    <x v="2"/>
    <n v="34.1"/>
    <s v="Warm"/>
    <s v="Follow up after flat possession"/>
  </r>
  <r>
    <s v="LD1987"/>
    <s v="Nanda Wagh"/>
    <n v="9109954228"/>
    <x v="4"/>
    <x v="1"/>
    <s v="Justdial Free Listing — Inbound"/>
    <x v="6"/>
    <s v="2025-10-25"/>
    <x v="9"/>
    <x v="9"/>
    <x v="3"/>
    <n v="4"/>
    <n v="6"/>
    <s v="2025-11-22"/>
    <x v="2"/>
    <n v="359693"/>
    <m/>
    <m/>
    <x v="2"/>
    <n v="17.100000000000001"/>
    <s v="Cold"/>
    <s v="Price too high as per customer"/>
  </r>
  <r>
    <s v="LD1988"/>
    <s v="Mahesh Kulkarni"/>
    <n v="9754764917"/>
    <x v="4"/>
    <x v="2"/>
    <s v="Client Referral"/>
    <x v="1"/>
    <s v="2025-10-27"/>
    <x v="9"/>
    <x v="9"/>
    <x v="3"/>
    <n v="4"/>
    <n v="7"/>
    <s v="2025-11-18"/>
    <x v="1"/>
    <n v="305809"/>
    <m/>
    <m/>
    <x v="1"/>
    <n v="13.4"/>
    <s v="Hot"/>
    <s v="Ready to proceed, discussing payment terms"/>
  </r>
  <r>
    <s v="LD1989"/>
    <s v="Alka Zende"/>
    <m/>
    <x v="2"/>
    <x v="8"/>
    <s v="Instagram Gudi Padwa Special"/>
    <x v="2"/>
    <s v="2025-10-27"/>
    <x v="9"/>
    <x v="9"/>
    <x v="3"/>
    <n v="4"/>
    <n v="10"/>
    <s v="2025-11-21"/>
    <x v="2"/>
    <n v="589877"/>
    <m/>
    <m/>
    <x v="1"/>
    <n v="6.6"/>
    <s v="Cold"/>
    <s v="DM received on Instagram, no phone shared"/>
  </r>
  <r>
    <s v="LD1990"/>
    <s v="Bharati Bhosale"/>
    <m/>
    <x v="2"/>
    <x v="8"/>
    <s v="Instagram Story Ads"/>
    <x v="7"/>
    <s v="2025-10-27"/>
    <x v="9"/>
    <x v="9"/>
    <x v="3"/>
    <n v="4"/>
    <n v="8"/>
    <s v="2025-12-25"/>
    <x v="0"/>
    <n v="1245322"/>
    <m/>
    <m/>
    <x v="2"/>
    <n v="20.7"/>
    <s v="Cold"/>
    <s v="Instagram story enquiry, no contact details given"/>
  </r>
  <r>
    <s v="LD1991"/>
    <s v="Kiran Kakade"/>
    <n v="9741014837"/>
    <x v="4"/>
    <x v="8"/>
    <s v="Instagram Kitchen Reels"/>
    <x v="13"/>
    <s v="2025-10-27"/>
    <x v="9"/>
    <x v="9"/>
    <x v="3"/>
    <n v="4"/>
    <n v="6"/>
    <s v="2025-11-17"/>
    <x v="0"/>
    <n v="1537660"/>
    <m/>
    <m/>
    <x v="1"/>
    <n v="0.9"/>
    <s v="Cold"/>
    <m/>
  </r>
  <r>
    <s v="LD1992"/>
    <s v="Pramod Bansode"/>
    <n v="9391766357"/>
    <x v="4"/>
    <x v="5"/>
    <s v="Site Visit Walk-in"/>
    <x v="7"/>
    <s v="2025-10-27"/>
    <x v="9"/>
    <x v="9"/>
    <x v="3"/>
    <n v="4"/>
    <n v="0"/>
    <s v="2025-10-30"/>
    <x v="3"/>
    <n v="1182045"/>
    <m/>
    <m/>
    <x v="1"/>
    <n v="10.1"/>
    <s v="Cold"/>
    <s v="Not responding to calls"/>
  </r>
  <r>
    <s v="LD1993"/>
    <s v="Rohit Mohite"/>
    <n v="9873841783"/>
    <x v="2"/>
    <x v="1"/>
    <s v="Justdial Sponsored — Inbound"/>
    <x v="11"/>
    <s v="2025-10-27"/>
    <x v="9"/>
    <x v="9"/>
    <x v="3"/>
    <n v="4"/>
    <n v="4"/>
    <s v="2025-11-10"/>
    <x v="4"/>
    <n v="411683"/>
    <n v="376366"/>
    <s v="2025-11-17"/>
    <x v="1"/>
    <n v="25.2"/>
    <s v="Hot"/>
    <s v="Token paid, measurement done, work started"/>
  </r>
  <r>
    <s v="LD1994"/>
    <s v="Umesh Nimbalkar"/>
    <n v="9752513351"/>
    <x v="2"/>
    <x v="5"/>
    <s v="Site Visit Walk-in"/>
    <x v="8"/>
    <s v="2025-10-28"/>
    <x v="9"/>
    <x v="9"/>
    <x v="3"/>
    <n v="4"/>
    <n v="1"/>
    <s v="2025-11-07"/>
    <x v="2"/>
    <n v="706715"/>
    <m/>
    <m/>
    <x v="0"/>
    <n v="9.3000000000000007"/>
    <s v="Cold"/>
    <s v="Not responding to calls"/>
  </r>
  <r>
    <s v="LD1995"/>
    <s v="Archana Patil"/>
    <m/>
    <x v="2"/>
    <x v="8"/>
    <s v="Instagram Diwali Campaign"/>
    <x v="8"/>
    <s v="2025-10-28"/>
    <x v="9"/>
    <x v="9"/>
    <x v="3"/>
    <n v="4"/>
    <n v="5"/>
    <s v="2025-11-21"/>
    <x v="0"/>
    <n v="889556"/>
    <m/>
    <m/>
    <x v="1"/>
    <n v="31.5"/>
    <s v="Cold"/>
    <s v="Replied to Instagram reel, no further response"/>
  </r>
  <r>
    <s v="LD1996"/>
    <s v="Arun Phule"/>
    <n v="9820293268"/>
    <x v="2"/>
    <x v="8"/>
    <s v="Instagram Story Ads"/>
    <x v="0"/>
    <s v="2025-10-28"/>
    <x v="9"/>
    <x v="9"/>
    <x v="3"/>
    <n v="4"/>
    <n v="11"/>
    <s v="2026-01-05"/>
    <x v="3"/>
    <n v="776875"/>
    <m/>
    <m/>
    <x v="0"/>
    <n v="13.4"/>
    <s v="Warm"/>
    <s v="Site visit to be scheduled"/>
  </r>
  <r>
    <s v="LD1997"/>
    <s v="Deepak Bansode"/>
    <m/>
    <x v="4"/>
    <x v="3"/>
    <s v="MagicBricks Enquiry — Inbound"/>
    <x v="5"/>
    <s v="2025-10-29"/>
    <x v="9"/>
    <x v="9"/>
    <x v="3"/>
    <n v="4"/>
    <n v="8"/>
    <s v="2025-12-29"/>
    <x v="2"/>
    <n v="231577"/>
    <m/>
    <m/>
    <x v="0"/>
    <n v="28"/>
    <s v="Cold"/>
    <s v="MagicBricks portal lead — masked number, no response"/>
  </r>
  <r>
    <s v="LD1998"/>
    <s v="Nilesh Shelke"/>
    <n v="9646853354"/>
    <x v="2"/>
    <x v="6"/>
    <s v="Facebook Gudi Padwa Offer"/>
    <x v="7"/>
    <s v="2025-10-29"/>
    <x v="9"/>
    <x v="9"/>
    <x v="3"/>
    <n v="4"/>
    <n v="1"/>
    <s v="2025-11-10"/>
    <x v="2"/>
    <n v="1315248"/>
    <m/>
    <m/>
    <x v="1"/>
    <n v="27.2"/>
    <s v="Cold"/>
    <s v="Not responding to calls"/>
  </r>
  <r>
    <s v="LD1999"/>
    <s v="Ashwini Salve"/>
    <n v="9887378269"/>
    <x v="0"/>
    <x v="7"/>
    <s v="Google Ads"/>
    <x v="3"/>
    <s v="2025-10-29"/>
    <x v="9"/>
    <x v="9"/>
    <x v="3"/>
    <n v="4"/>
    <n v="10"/>
    <s v="2025-12-29"/>
    <x v="0"/>
    <n v="244086"/>
    <m/>
    <m/>
    <x v="0"/>
    <n v="11.4"/>
    <s v="Cold"/>
    <s v="No response, marked as lost after 60 days"/>
  </r>
  <r>
    <s v="LD2000"/>
    <s v="Vikas Kale"/>
    <n v="9795275059"/>
    <x v="4"/>
    <x v="6"/>
    <s v="Facebook Diwali Offer"/>
    <x v="7"/>
    <s v="2025-10-30"/>
    <x v="9"/>
    <x v="9"/>
    <x v="3"/>
    <n v="4"/>
    <n v="8"/>
    <s v="2025-11-24"/>
    <x v="2"/>
    <n v="1375195"/>
    <m/>
    <m/>
    <x v="1"/>
    <n v="7.5"/>
    <s v="Warm"/>
    <s v="Site visit to be scheduled"/>
  </r>
  <r>
    <s v="LD2001"/>
    <s v="Smita Deshpande"/>
    <n v="9759587793"/>
    <x v="2"/>
    <x v="8"/>
    <s v="Instagram Wardrobe Showcase"/>
    <x v="8"/>
    <s v="2025-10-30"/>
    <x v="9"/>
    <x v="9"/>
    <x v="3"/>
    <n v="4"/>
    <n v="7"/>
    <s v="2025-12-15"/>
    <x v="1"/>
    <n v="1031516"/>
    <m/>
    <m/>
    <x v="0"/>
    <n v="20.3"/>
    <s v="Hot"/>
    <m/>
  </r>
  <r>
    <s v="LD2002"/>
    <s v="Kiran Aware"/>
    <n v="9159209775"/>
    <x v="2"/>
    <x v="8"/>
    <s v="Instagram Before-After Posts"/>
    <x v="13"/>
    <s v="2025-10-31"/>
    <x v="9"/>
    <x v="9"/>
    <x v="3"/>
    <n v="4"/>
    <n v="11"/>
    <s v="2026-01-09"/>
    <x v="2"/>
    <n v="1647824"/>
    <m/>
    <m/>
    <x v="2"/>
    <n v="12"/>
    <s v="Cold"/>
    <s v="Budget too low for our range"/>
  </r>
  <r>
    <s v="LD2003"/>
    <s v="Pravin Thorat"/>
    <n v="9268200232"/>
    <x v="0"/>
    <x v="5"/>
    <s v="Exhibition Walk-in"/>
    <x v="8"/>
    <s v="2025-10-31"/>
    <x v="9"/>
    <x v="9"/>
    <x v="3"/>
    <n v="4"/>
    <n v="10"/>
    <s v="2025-12-20"/>
    <x v="0"/>
    <n v="1043498"/>
    <m/>
    <m/>
    <x v="0"/>
    <n v="13"/>
    <s v="Cold"/>
    <s v="Went with local vendor"/>
  </r>
  <r>
    <s v="LD2004"/>
    <s v="Anita Wagh"/>
    <n v="9569963145"/>
    <x v="0"/>
    <x v="3"/>
    <s v="MagicBricks Enquiry — Inbound"/>
    <x v="10"/>
    <s v="2025-11-01"/>
    <x v="10"/>
    <x v="10"/>
    <x v="3"/>
    <n v="4"/>
    <n v="12"/>
    <s v="2025-12-22"/>
    <x v="1"/>
    <n v="585116"/>
    <m/>
    <m/>
    <x v="2"/>
    <n v="10.8"/>
    <s v="Cold"/>
    <m/>
  </r>
  <r>
    <s v="LD2005"/>
    <s v="Suresh Zende"/>
    <m/>
    <x v="4"/>
    <x v="8"/>
    <s v="Instagram Wardrobe Showcase"/>
    <x v="3"/>
    <s v="2025-11-01"/>
    <x v="10"/>
    <x v="10"/>
    <x v="3"/>
    <n v="4"/>
    <n v="3"/>
    <s v="2025-12-01"/>
    <x v="0"/>
    <n v="196719"/>
    <m/>
    <m/>
    <x v="1"/>
    <n v="27.8"/>
    <s v="Cold"/>
    <s v="Replied to Instagram reel, no further response"/>
  </r>
  <r>
    <s v="LD2006"/>
    <s v="Bharati Aware"/>
    <n v="9287334627"/>
    <x v="3"/>
    <x v="8"/>
    <s v="Instagram Before-After Posts"/>
    <x v="12"/>
    <s v="2025-11-01"/>
    <x v="10"/>
    <x v="10"/>
    <x v="3"/>
    <n v="4"/>
    <n v="11"/>
    <s v="2025-12-03"/>
    <x v="0"/>
    <n v="1145326"/>
    <m/>
    <m/>
    <x v="2"/>
    <n v="6.7"/>
    <s v="Warm"/>
    <m/>
  </r>
  <r>
    <s v="LD2007"/>
    <s v="Nilesh Suryawanshi"/>
    <n v="9370496308"/>
    <x v="3"/>
    <x v="2"/>
    <s v="Neighbour Referral"/>
    <x v="4"/>
    <s v="2025-11-03"/>
    <x v="10"/>
    <x v="10"/>
    <x v="3"/>
    <n v="4"/>
    <n v="0"/>
    <s v="2025-11-06"/>
    <x v="4"/>
    <n v="321062"/>
    <n v="307347"/>
    <s v="2025-11-17"/>
    <x v="0"/>
    <n v="1.9"/>
    <s v="Hot"/>
    <s v="Token paid, measurement done, work started"/>
  </r>
  <r>
    <s v="LD2008"/>
    <s v="Kiran Sawant"/>
    <n v="9475749951"/>
    <x v="0"/>
    <x v="5"/>
    <s v="Exhibition Walk-in"/>
    <x v="9"/>
    <s v="2025-11-03"/>
    <x v="10"/>
    <x v="10"/>
    <x v="3"/>
    <n v="4"/>
    <n v="6"/>
    <s v="2025-12-05"/>
    <x v="0"/>
    <n v="515414"/>
    <m/>
    <m/>
    <x v="0"/>
    <n v="21"/>
    <s v="Cold"/>
    <s v="No response, marked as lost after 60 days"/>
  </r>
  <r>
    <s v="LD2009"/>
    <s v="Meena Pawar"/>
    <n v="9272003278"/>
    <x v="2"/>
    <x v="6"/>
    <s v="Facebook Kitchen Showcase"/>
    <x v="8"/>
    <s v="2025-11-03"/>
    <x v="10"/>
    <x v="10"/>
    <x v="3"/>
    <n v="4"/>
    <n v="5"/>
    <s v="2025-12-06"/>
    <x v="4"/>
    <n v="610795"/>
    <n v="583261"/>
    <s v="2025-12-12"/>
    <x v="2"/>
    <n v="16.8"/>
    <s v="Warm"/>
    <s v="Full payment cleared, delivery done"/>
  </r>
  <r>
    <s v="LD2010"/>
    <s v="Sunita Raut"/>
    <m/>
    <x v="1"/>
    <x v="6"/>
    <s v="Facebook Kitchen Showcase"/>
    <x v="5"/>
    <s v="2025-11-03"/>
    <x v="10"/>
    <x v="10"/>
    <x v="3"/>
    <n v="4"/>
    <n v="12"/>
    <s v="2026-01-10"/>
    <x v="0"/>
    <n v="233380"/>
    <m/>
    <m/>
    <x v="0"/>
    <n v="31.1"/>
    <s v="Cold"/>
    <s v="Facebook lead — customer did not pick up on callback"/>
  </r>
  <r>
    <s v="LD2011"/>
    <s v="Ravi Thorat"/>
    <n v="9199124492"/>
    <x v="2"/>
    <x v="2"/>
    <s v="Architect Referral"/>
    <x v="6"/>
    <s v="2025-11-03"/>
    <x v="10"/>
    <x v="10"/>
    <x v="3"/>
    <n v="4"/>
    <n v="12"/>
    <s v="2026-01-05"/>
    <x v="4"/>
    <n v="181242"/>
    <n v="186369"/>
    <s v="2026-01-21"/>
    <x v="1"/>
    <n v="29.5"/>
    <s v="Hot"/>
    <s v="Final payment received, project handed over"/>
  </r>
  <r>
    <s v="LD2012"/>
    <s v="Manoj Holkar"/>
    <n v="9953799524"/>
    <x v="3"/>
    <x v="4"/>
    <s v="99acres Flat Owner Enquiry — Inbound"/>
    <x v="11"/>
    <s v="2025-11-03"/>
    <x v="10"/>
    <x v="10"/>
    <x v="3"/>
    <n v="4"/>
    <n v="12"/>
    <s v="2026-01-24"/>
    <x v="0"/>
    <n v="316459"/>
    <m/>
    <m/>
    <x v="2"/>
    <n v="9.1"/>
    <s v="Cold"/>
    <m/>
  </r>
  <r>
    <s v="LD2013"/>
    <s v="Jyoti Wagh"/>
    <n v="9450146178"/>
    <x v="4"/>
    <x v="8"/>
    <s v="Instagram Gudi Padwa Special"/>
    <x v="8"/>
    <s v="2025-11-03"/>
    <x v="10"/>
    <x v="10"/>
    <x v="3"/>
    <n v="4"/>
    <n v="11"/>
    <s v="2026-01-02"/>
    <x v="1"/>
    <n v="812251"/>
    <m/>
    <m/>
    <x v="2"/>
    <n v="6.5"/>
    <s v="Hot"/>
    <s v="Customer comparing 1-2 vendors only"/>
  </r>
  <r>
    <s v="LD2014"/>
    <s v="Vijay Gavhane"/>
    <n v="9840285525"/>
    <x v="0"/>
    <x v="4"/>
    <s v="99acres Flat Owner Enquiry — Inbound"/>
    <x v="7"/>
    <s v="2025-11-03"/>
    <x v="10"/>
    <x v="10"/>
    <x v="3"/>
    <n v="4"/>
    <n v="10"/>
    <s v="2026-01-06"/>
    <x v="0"/>
    <n v="1320578"/>
    <m/>
    <m/>
    <x v="2"/>
    <n v="29.2"/>
    <s v="Cold"/>
    <s v="Project cancelled by customer"/>
  </r>
  <r>
    <s v="LD2015"/>
    <s v="Pravin Patil"/>
    <n v="9861386885"/>
    <x v="0"/>
    <x v="8"/>
    <s v="Instagram Story Ads"/>
    <x v="5"/>
    <s v="2025-11-04"/>
    <x v="10"/>
    <x v="10"/>
    <x v="3"/>
    <n v="4"/>
    <n v="7"/>
    <s v="2025-12-27"/>
    <x v="4"/>
    <n v="312304"/>
    <n v="315772"/>
    <s v="2026-01-13"/>
    <x v="0"/>
    <n v="1.7"/>
    <s v="Hot"/>
    <s v="Deal closed, advance received"/>
  </r>
  <r>
    <s v="LD2016"/>
    <s v="Divya Chavan"/>
    <n v="9207041853"/>
    <x v="3"/>
    <x v="8"/>
    <s v="Instagram Before-After Posts"/>
    <x v="0"/>
    <s v="2025-11-04"/>
    <x v="10"/>
    <x v="10"/>
    <x v="3"/>
    <n v="4"/>
    <n v="6"/>
    <s v="2025-12-10"/>
    <x v="1"/>
    <n v="747707"/>
    <m/>
    <m/>
    <x v="2"/>
    <n v="2.5"/>
    <s v="Hot"/>
    <s v="Final quote shared, awaiting approval"/>
  </r>
  <r>
    <s v="LD2017"/>
    <s v="Sachin Naik"/>
    <n v="9502404000"/>
    <x v="3"/>
    <x v="6"/>
    <s v="Facebook Gudi Padwa Offer"/>
    <x v="7"/>
    <s v="2025-11-04"/>
    <x v="10"/>
    <x v="10"/>
    <x v="3"/>
    <n v="4"/>
    <n v="5"/>
    <s v="2025-12-05"/>
    <x v="3"/>
    <n v="1378748"/>
    <m/>
    <m/>
    <x v="1"/>
    <n v="27.2"/>
    <s v="Warm"/>
    <m/>
  </r>
  <r>
    <s v="LD2018"/>
    <s v="Santosh Salve"/>
    <n v="9497063326"/>
    <x v="3"/>
    <x v="7"/>
    <s v="Website Chat Enquiry"/>
    <x v="3"/>
    <s v="2025-11-06"/>
    <x v="10"/>
    <x v="10"/>
    <x v="3"/>
    <n v="4"/>
    <n v="8"/>
    <s v="2025-12-16"/>
    <x v="1"/>
    <n v="239204"/>
    <m/>
    <m/>
    <x v="0"/>
    <n v="1"/>
    <s v="Hot"/>
    <s v="Very interested, finalising design"/>
  </r>
  <r>
    <s v="LD2019"/>
    <s v="Rekha Suryawanshi"/>
    <n v="9232338378"/>
    <x v="2"/>
    <x v="8"/>
    <s v="Instagram Gudi Padwa Special"/>
    <x v="0"/>
    <s v="2025-11-06"/>
    <x v="10"/>
    <x v="10"/>
    <x v="3"/>
    <n v="4"/>
    <n v="5"/>
    <s v="2025-12-18"/>
    <x v="1"/>
    <n v="369426"/>
    <m/>
    <m/>
    <x v="0"/>
    <n v="33.4"/>
    <s v="Cold"/>
    <m/>
  </r>
  <r>
    <s v="LD2020"/>
    <s v="Sunanda Yadav"/>
    <n v="9431046214"/>
    <x v="3"/>
    <x v="0"/>
    <s v="Family Reference"/>
    <x v="1"/>
    <s v="2025-11-06"/>
    <x v="10"/>
    <x v="10"/>
    <x v="3"/>
    <n v="4"/>
    <n v="5"/>
    <s v="2025-12-12"/>
    <x v="4"/>
    <n v="375404"/>
    <n v="332060"/>
    <s v="2025-12-30"/>
    <x v="2"/>
    <n v="21.6"/>
    <s v="Hot"/>
    <s v="Full payment cleared, delivery done"/>
  </r>
  <r>
    <s v="LD2021"/>
    <s v="Sanjay Mane"/>
    <n v="9672250107"/>
    <x v="2"/>
    <x v="8"/>
    <s v="Instagram Wardrobe Showcase"/>
    <x v="4"/>
    <s v="2025-11-06"/>
    <x v="10"/>
    <x v="10"/>
    <x v="3"/>
    <n v="4"/>
    <n v="9"/>
    <s v="2025-12-08"/>
    <x v="0"/>
    <n v="269822"/>
    <m/>
    <m/>
    <x v="1"/>
    <n v="19.5"/>
    <s v="Cold"/>
    <s v="Customer did not proceed with project"/>
  </r>
  <r>
    <s v="LD2022"/>
    <s v="Mahesh Chavan"/>
    <n v="9653455076"/>
    <x v="2"/>
    <x v="8"/>
    <s v="Instagram Gudi Padwa Special"/>
    <x v="11"/>
    <s v="2025-11-06"/>
    <x v="10"/>
    <x v="10"/>
    <x v="3"/>
    <n v="4"/>
    <n v="7"/>
    <s v="2025-12-22"/>
    <x v="4"/>
    <n v="339521"/>
    <n v="347051"/>
    <s v="2026-01-11"/>
    <x v="2"/>
    <n v="32.799999999999997"/>
    <s v="Hot"/>
    <s v="Full payment cleared, delivery done"/>
  </r>
  <r>
    <s v="LD2023"/>
    <s v="Rajesh Gaikwad"/>
    <n v="9682092538"/>
    <x v="1"/>
    <x v="1"/>
    <s v="Justdial Free Listing — Inbound"/>
    <x v="12"/>
    <s v="2025-11-07"/>
    <x v="10"/>
    <x v="10"/>
    <x v="3"/>
    <n v="4"/>
    <n v="5"/>
    <s v="2025-11-29"/>
    <x v="0"/>
    <n v="1471478"/>
    <m/>
    <m/>
    <x v="2"/>
    <n v="34.299999999999997"/>
    <s v="Cold"/>
    <s v="Lost - no follow up done in time"/>
  </r>
  <r>
    <s v="LD2024"/>
    <s v="Kiran Tupe"/>
    <n v="9868613905"/>
    <x v="3"/>
    <x v="3"/>
    <s v="MagicBricks Enquiry — Inbound"/>
    <x v="11"/>
    <s v="2025-11-07"/>
    <x v="10"/>
    <x v="10"/>
    <x v="3"/>
    <n v="4"/>
    <n v="1"/>
    <s v="2025-11-24"/>
    <x v="4"/>
    <n v="375623"/>
    <n v="372772"/>
    <s v="2025-12-03"/>
    <x v="0"/>
    <n v="14.5"/>
    <s v="Hot"/>
    <s v="Deal closed, advance received"/>
  </r>
  <r>
    <s v="LD2025"/>
    <s v="Nilesh Aware"/>
    <n v="9699524746"/>
    <x v="4"/>
    <x v="5"/>
    <s v="Exhibition Walk-in"/>
    <x v="7"/>
    <s v="2025-11-07"/>
    <x v="10"/>
    <x v="10"/>
    <x v="3"/>
    <n v="4"/>
    <n v="3"/>
    <s v="2025-12-09"/>
    <x v="1"/>
    <n v="1486884"/>
    <m/>
    <m/>
    <x v="2"/>
    <n v="11.3"/>
    <s v="Warm"/>
    <s v="Site visit to be scheduled"/>
  </r>
  <r>
    <s v="LD2026"/>
    <s v="Kavita Naik"/>
    <n v="9186923306"/>
    <x v="0"/>
    <x v="3"/>
    <s v="MagicBricks Enquiry — Inbound"/>
    <x v="10"/>
    <s v="2025-11-07"/>
    <x v="10"/>
    <x v="10"/>
    <x v="3"/>
    <n v="4"/>
    <n v="3"/>
    <s v="2025-11-29"/>
    <x v="1"/>
    <n v="299835"/>
    <m/>
    <m/>
    <x v="1"/>
    <n v="2.2999999999999998"/>
    <s v="Warm"/>
    <m/>
  </r>
  <r>
    <s v="LD2027"/>
    <s v="Sunita Aware"/>
    <n v="9941199569"/>
    <x v="0"/>
    <x v="6"/>
    <s v="Facebook Gudi Padwa Offer"/>
    <x v="7"/>
    <s v="2025-11-08"/>
    <x v="10"/>
    <x v="10"/>
    <x v="3"/>
    <n v="4"/>
    <n v="11"/>
    <s v="2025-12-09"/>
    <x v="4"/>
    <n v="1004593"/>
    <n v="1026364"/>
    <s v="2025-12-12"/>
    <x v="1"/>
    <n v="17.100000000000001"/>
    <s v="Hot"/>
    <s v="Work order signed, production started"/>
  </r>
  <r>
    <s v="LD2028"/>
    <s v="Vijay Salve"/>
    <n v="9717889979"/>
    <x v="4"/>
    <x v="7"/>
    <s v="Google My Business"/>
    <x v="12"/>
    <s v="2025-11-08"/>
    <x v="10"/>
    <x v="10"/>
    <x v="3"/>
    <n v="4"/>
    <n v="7"/>
    <s v="2025-12-24"/>
    <x v="4"/>
    <n v="1783508"/>
    <n v="1641921"/>
    <s v="2025-12-30"/>
    <x v="2"/>
    <n v="9.1"/>
    <s v="Hot"/>
    <s v="Work order signed, production started"/>
  </r>
  <r>
    <s v="LD2029"/>
    <s v="Rajesh Mane"/>
    <n v="9712029978"/>
    <x v="1"/>
    <x v="8"/>
    <s v="Instagram Kitchen Reels"/>
    <x v="13"/>
    <s v="2025-11-08"/>
    <x v="10"/>
    <x v="10"/>
    <x v="3"/>
    <n v="4"/>
    <n v="11"/>
    <s v="2026-01-05"/>
    <x v="4"/>
    <n v="1663711"/>
    <n v="1670715"/>
    <s v="2026-01-23"/>
    <x v="0"/>
    <n v="9"/>
    <s v="Warm"/>
    <m/>
  </r>
  <r>
    <s v="LD2030"/>
    <s v="Madhuri Tupe"/>
    <n v="9496872075"/>
    <x v="2"/>
    <x v="8"/>
    <s v="Instagram Story Ads"/>
    <x v="8"/>
    <s v="2025-11-08"/>
    <x v="10"/>
    <x v="10"/>
    <x v="3"/>
    <n v="4"/>
    <n v="2"/>
    <s v="2025-11-15"/>
    <x v="4"/>
    <n v="476072"/>
    <n v="484506"/>
    <s v="2025-12-01"/>
    <x v="2"/>
    <n v="0.9"/>
    <s v="Hot"/>
    <s v="Token received, design finalised"/>
  </r>
  <r>
    <s v="LD2031"/>
    <s v="Prashant Londhe"/>
    <n v="9476224478"/>
    <x v="2"/>
    <x v="7"/>
    <s v="Google Ads"/>
    <x v="8"/>
    <s v="2025-11-10"/>
    <x v="10"/>
    <x v="10"/>
    <x v="3"/>
    <n v="4"/>
    <n v="6"/>
    <s v="2025-12-19"/>
    <x v="4"/>
    <n v="912104"/>
    <n v="909564"/>
    <s v="2026-01-09"/>
    <x v="0"/>
    <n v="27.3"/>
    <s v="Warm"/>
    <s v="Customer referred 2 more leads after delivery"/>
  </r>
  <r>
    <s v="LD2032"/>
    <s v="Meena Londhe"/>
    <n v="9782730453"/>
    <x v="2"/>
    <x v="2"/>
    <s v="Neighbour Referral"/>
    <x v="1"/>
    <s v="2025-11-10"/>
    <x v="10"/>
    <x v="10"/>
    <x v="3"/>
    <n v="4"/>
    <n v="4"/>
    <s v="2025-12-01"/>
    <x v="4"/>
    <n v="365655"/>
    <n v="324245"/>
    <s v="2025-12-08"/>
    <x v="1"/>
    <n v="3.3"/>
    <s v="Hot"/>
    <s v="Final payment received, project handed over"/>
  </r>
  <r>
    <s v="LD2033"/>
    <s v="Amit Suryawanshi"/>
    <n v="9775078650"/>
    <x v="3"/>
    <x v="2"/>
    <s v="Architect Referral"/>
    <x v="12"/>
    <s v="2025-11-10"/>
    <x v="10"/>
    <x v="10"/>
    <x v="3"/>
    <n v="4"/>
    <n v="0"/>
    <s v="2025-11-22"/>
    <x v="2"/>
    <n v="1614721"/>
    <m/>
    <m/>
    <x v="1"/>
    <n v="29.3"/>
    <s v="Cold"/>
    <s v="No call back after site visit"/>
  </r>
  <r>
    <s v="LD2034"/>
    <s v="Mahesh Raut"/>
    <n v="9410522047"/>
    <x v="0"/>
    <x v="1"/>
    <s v="Justdial Sponsored — Inbound"/>
    <x v="0"/>
    <s v="2025-11-10"/>
    <x v="10"/>
    <x v="10"/>
    <x v="3"/>
    <n v="4"/>
    <n v="3"/>
    <s v="2025-12-08"/>
    <x v="1"/>
    <n v="468015"/>
    <m/>
    <m/>
    <x v="2"/>
    <n v="9.6"/>
    <s v="Cold"/>
    <s v="Budget too low for our range"/>
  </r>
  <r>
    <s v="LD2035"/>
    <s v="Rohit Deshpande"/>
    <n v="9703180271"/>
    <x v="3"/>
    <x v="8"/>
    <s v="Instagram Kitchen Reels"/>
    <x v="7"/>
    <s v="2025-11-10"/>
    <x v="10"/>
    <x v="10"/>
    <x v="3"/>
    <n v="4"/>
    <n v="7"/>
    <s v="2025-12-22"/>
    <x v="0"/>
    <n v="796177"/>
    <m/>
    <m/>
    <x v="2"/>
    <n v="29"/>
    <s v="Cold"/>
    <s v="Lost to branded competitor"/>
  </r>
  <r>
    <s v="LD2036"/>
    <s v="Shweta Joshi"/>
    <n v="9332432465"/>
    <x v="4"/>
    <x v="8"/>
    <s v="Instagram Kitchen Reels"/>
    <x v="4"/>
    <s v="2025-11-10"/>
    <x v="10"/>
    <x v="10"/>
    <x v="3"/>
    <n v="4"/>
    <n v="2"/>
    <s v="2025-11-27"/>
    <x v="1"/>
    <n v="179125"/>
    <m/>
    <m/>
    <x v="1"/>
    <n v="16.8"/>
    <s v="Warm"/>
    <s v="Budget discussion pending"/>
  </r>
  <r>
    <s v="LD2037"/>
    <s v="Pooja Deshpande"/>
    <n v="9324267288"/>
    <x v="0"/>
    <x v="2"/>
    <s v="Architect Referral"/>
    <x v="12"/>
    <s v="2025-11-10"/>
    <x v="10"/>
    <x v="10"/>
    <x v="3"/>
    <n v="4"/>
    <n v="8"/>
    <s v="2025-12-04"/>
    <x v="0"/>
    <n v="1413637"/>
    <m/>
    <m/>
    <x v="1"/>
    <n v="16"/>
    <s v="Cold"/>
    <s v="Customer did not proceed with project"/>
  </r>
  <r>
    <s v="LD2038"/>
    <s v="Pooja Zende"/>
    <n v="9667117479"/>
    <x v="2"/>
    <x v="8"/>
    <s v="Instagram Before-After Posts"/>
    <x v="12"/>
    <s v="2025-11-10"/>
    <x v="10"/>
    <x v="10"/>
    <x v="3"/>
    <n v="4"/>
    <n v="10"/>
    <s v="2025-12-27"/>
    <x v="0"/>
    <n v="945803"/>
    <m/>
    <m/>
    <x v="0"/>
    <n v="11.8"/>
    <s v="Cold"/>
    <s v="Customer chose readymade furniture"/>
  </r>
  <r>
    <s v="LD2039"/>
    <s v="Sunil Kakade"/>
    <n v="9785808003"/>
    <x v="2"/>
    <x v="2"/>
    <s v="Neighbour Referral"/>
    <x v="3"/>
    <s v="2025-11-10"/>
    <x v="10"/>
    <x v="10"/>
    <x v="3"/>
    <n v="4"/>
    <n v="0"/>
    <s v="2025-11-17"/>
    <x v="0"/>
    <n v="262795"/>
    <m/>
    <m/>
    <x v="1"/>
    <n v="10.5"/>
    <s v="Cold"/>
    <s v="Customer chose readymade furniture"/>
  </r>
  <r>
    <s v="LD2040"/>
    <s v="Sunil Shelke"/>
    <n v="9801247280"/>
    <x v="0"/>
    <x v="8"/>
    <s v="Instagram Story Ads"/>
    <x v="10"/>
    <s v="2025-11-11"/>
    <x v="10"/>
    <x v="10"/>
    <x v="3"/>
    <n v="4"/>
    <n v="5"/>
    <s v="2025-11-28"/>
    <x v="0"/>
    <n v="328607"/>
    <m/>
    <m/>
    <x v="1"/>
    <n v="27.3"/>
    <s v="Cold"/>
    <s v="Went with local vendor"/>
  </r>
  <r>
    <s v="LD2041"/>
    <s v="Mahesh Holkar"/>
    <n v="9822408035"/>
    <x v="2"/>
    <x v="5"/>
    <s v="Showroom Walk-in"/>
    <x v="2"/>
    <s v="2025-11-11"/>
    <x v="10"/>
    <x v="10"/>
    <x v="3"/>
    <n v="4"/>
    <n v="5"/>
    <s v="2025-12-22"/>
    <x v="4"/>
    <n v="570211"/>
    <n v="549326"/>
    <s v="2026-01-02"/>
    <x v="0"/>
    <n v="29.1"/>
    <s v="Hot"/>
    <s v="Token received, design finalised"/>
  </r>
  <r>
    <s v="LD2042"/>
    <s v="Kiran Joshi"/>
    <n v="9938011648"/>
    <x v="3"/>
    <x v="8"/>
    <s v="Instagram Kitchen Reels"/>
    <x v="5"/>
    <s v="2025-11-11"/>
    <x v="10"/>
    <x v="10"/>
    <x v="3"/>
    <n v="4"/>
    <n v="0"/>
    <s v="2025-11-17"/>
    <x v="1"/>
    <n v="308145"/>
    <m/>
    <m/>
    <x v="2"/>
    <n v="33.200000000000003"/>
    <s v="Cold"/>
    <s v="Duplicate enquiry"/>
  </r>
  <r>
    <s v="LD2043"/>
    <s v="Hemant Aware"/>
    <m/>
    <x v="1"/>
    <x v="3"/>
    <s v="MagicBricks Property Enquiry — Inbound"/>
    <x v="11"/>
    <s v="2025-11-11"/>
    <x v="10"/>
    <x v="10"/>
    <x v="3"/>
    <n v="4"/>
    <n v="12"/>
    <s v="2026-01-10"/>
    <x v="2"/>
    <n v="471197"/>
    <m/>
    <m/>
    <x v="2"/>
    <n v="8.5"/>
    <s v="Cold"/>
    <s v="MagicBricks enquiry — number masked, customer did not unlock"/>
  </r>
  <r>
    <s v="LD2044"/>
    <s v="Ritu Mane"/>
    <n v="9635126833"/>
    <x v="0"/>
    <x v="8"/>
    <s v="Instagram Kitchen Reels"/>
    <x v="7"/>
    <s v="2025-11-11"/>
    <x v="10"/>
    <x v="10"/>
    <x v="3"/>
    <n v="4"/>
    <n v="4"/>
    <s v="2025-11-24"/>
    <x v="4"/>
    <n v="1385145"/>
    <n v="1402543"/>
    <s v="2025-12-05"/>
    <x v="2"/>
    <n v="16.3"/>
    <s v="Hot"/>
    <s v="Final payment received, project handed over"/>
  </r>
  <r>
    <s v="LD2045"/>
    <s v="Pravin Joshi"/>
    <n v="9712588308"/>
    <x v="2"/>
    <x v="8"/>
    <s v="Instagram Diwali Campaign"/>
    <x v="7"/>
    <s v="2025-11-11"/>
    <x v="10"/>
    <x v="10"/>
    <x v="3"/>
    <n v="4"/>
    <n v="0"/>
    <s v="2025-11-21"/>
    <x v="0"/>
    <n v="1194598"/>
    <m/>
    <m/>
    <x v="1"/>
    <n v="13.2"/>
    <s v="Cold"/>
    <m/>
  </r>
  <r>
    <s v="LD2046"/>
    <s v="Suresh Bhosale"/>
    <n v="9319541750"/>
    <x v="3"/>
    <x v="2"/>
    <s v="Client Referral"/>
    <x v="1"/>
    <s v="2025-11-12"/>
    <x v="10"/>
    <x v="10"/>
    <x v="3"/>
    <n v="4"/>
    <n v="10"/>
    <s v="2026-01-05"/>
    <x v="0"/>
    <n v="311851"/>
    <m/>
    <m/>
    <x v="0"/>
    <n v="33.1"/>
    <s v="Cold"/>
    <s v="Customer got work done from relative"/>
  </r>
  <r>
    <s v="LD2047"/>
    <s v="Mahesh Wagh"/>
    <n v="9483590806"/>
    <x v="0"/>
    <x v="8"/>
    <s v="Instagram Wardrobe Showcase"/>
    <x v="7"/>
    <s v="2025-11-12"/>
    <x v="10"/>
    <x v="10"/>
    <x v="3"/>
    <n v="4"/>
    <n v="3"/>
    <s v="2025-12-08"/>
    <x v="1"/>
    <n v="1281583"/>
    <m/>
    <m/>
    <x v="0"/>
    <n v="34.1"/>
    <s v="Hot"/>
    <s v="Measurement done, quote pending approval"/>
  </r>
  <r>
    <s v="LD2048"/>
    <s v="Amit Kshirsagar"/>
    <n v="9823291043"/>
    <x v="0"/>
    <x v="5"/>
    <s v="Site Visit Walk-in"/>
    <x v="7"/>
    <s v="2025-11-12"/>
    <x v="10"/>
    <x v="10"/>
    <x v="3"/>
    <n v="4"/>
    <n v="12"/>
    <s v="2025-12-31"/>
    <x v="0"/>
    <n v="1069618"/>
    <m/>
    <m/>
    <x v="0"/>
    <n v="15.4"/>
    <s v="Cold"/>
    <s v="Customer got work done from relative"/>
  </r>
  <r>
    <s v="LD2049"/>
    <s v="Kiran Mane"/>
    <n v="9939473316"/>
    <x v="4"/>
    <x v="3"/>
    <s v="MagicBricks Property Enquiry — Inbound"/>
    <x v="4"/>
    <s v="2025-11-12"/>
    <x v="10"/>
    <x v="10"/>
    <x v="3"/>
    <n v="4"/>
    <n v="7"/>
    <s v="2026-01-02"/>
    <x v="4"/>
    <n v="275055"/>
    <n v="245773"/>
    <s v="2026-01-23"/>
    <x v="2"/>
    <n v="29.2"/>
    <s v="Hot"/>
    <m/>
  </r>
  <r>
    <s v="LD2050"/>
    <s v="Rohit Suryawanshi"/>
    <n v="9441343581"/>
    <x v="3"/>
    <x v="4"/>
    <s v="99acres New Project Enquiry — Inbound"/>
    <x v="5"/>
    <s v="2025-11-13"/>
    <x v="10"/>
    <x v="10"/>
    <x v="3"/>
    <n v="4"/>
    <n v="10"/>
    <s v="2026-01-17"/>
    <x v="4"/>
    <n v="293686"/>
    <n v="284489"/>
    <s v="2026-01-21"/>
    <x v="0"/>
    <n v="3.7"/>
    <s v="Hot"/>
    <s v="Deal closed, advance received"/>
  </r>
  <r>
    <s v="LD2051"/>
    <s v="Ganesh Nikalje"/>
    <n v="9909831520"/>
    <x v="1"/>
    <x v="8"/>
    <s v="Instagram Story Ads"/>
    <x v="0"/>
    <s v="2025-11-13"/>
    <x v="10"/>
    <x v="10"/>
    <x v="3"/>
    <n v="4"/>
    <n v="7"/>
    <s v="2025-11-29"/>
    <x v="0"/>
    <n v="664099"/>
    <m/>
    <m/>
    <x v="0"/>
    <n v="5.5"/>
    <s v="Cold"/>
    <s v="Lost to competitor - cheaper quote"/>
  </r>
  <r>
    <s v="LD2052"/>
    <s v="Suresh Patil"/>
    <n v="9191340295"/>
    <x v="2"/>
    <x v="2"/>
    <s v="Architect Referral"/>
    <x v="11"/>
    <s v="2025-11-13"/>
    <x v="10"/>
    <x v="10"/>
    <x v="3"/>
    <n v="4"/>
    <n v="6"/>
    <s v="2025-11-29"/>
    <x v="0"/>
    <n v="396844"/>
    <m/>
    <m/>
    <x v="0"/>
    <n v="19"/>
    <s v="Warm"/>
    <s v="Budget mismatch - too low"/>
  </r>
  <r>
    <s v="LD2053"/>
    <s v="Kiran Naik"/>
    <n v="9793180063"/>
    <x v="2"/>
    <x v="2"/>
    <s v="Architect Referral"/>
    <x v="1"/>
    <s v="2025-11-14"/>
    <x v="10"/>
    <x v="10"/>
    <x v="3"/>
    <n v="4"/>
    <n v="0"/>
    <s v="2025-11-24"/>
    <x v="1"/>
    <n v="137248"/>
    <m/>
    <m/>
    <x v="2"/>
    <n v="10.1"/>
    <s v="Warm"/>
    <s v="Follow up after Diwali"/>
  </r>
  <r>
    <s v="LD2054"/>
    <s v="Prashant Bhosale"/>
    <n v="9573689053"/>
    <x v="0"/>
    <x v="7"/>
    <s v="Google My Business"/>
    <x v="4"/>
    <s v="2025-11-14"/>
    <x v="10"/>
    <x v="10"/>
    <x v="3"/>
    <n v="4"/>
    <n v="2"/>
    <s v="2025-12-09"/>
    <x v="4"/>
    <n v="327691"/>
    <n v="296204"/>
    <s v="2025-12-30"/>
    <x v="2"/>
    <n v="15.6"/>
    <s v="Hot"/>
    <s v="Customer referred 2 more leads after delivery"/>
  </r>
  <r>
    <s v="LD2055"/>
    <s v="Bharati Deshmukh"/>
    <n v="9184391981"/>
    <x v="2"/>
    <x v="7"/>
    <s v="Google My Business"/>
    <x v="5"/>
    <s v="2025-11-14"/>
    <x v="10"/>
    <x v="10"/>
    <x v="3"/>
    <n v="4"/>
    <n v="4"/>
    <s v="2025-11-26"/>
    <x v="4"/>
    <n v="303402"/>
    <n v="312473"/>
    <s v="2025-11-28"/>
    <x v="0"/>
    <n v="24.1"/>
    <s v="Hot"/>
    <s v="Customer very satisfied, 5 star review given"/>
  </r>
  <r>
    <s v="LD2056"/>
    <s v="Prashant Shinde"/>
    <n v="9739482694"/>
    <x v="1"/>
    <x v="0"/>
    <s v="Friend Reference"/>
    <x v="7"/>
    <s v="2025-11-15"/>
    <x v="10"/>
    <x v="10"/>
    <x v="3"/>
    <n v="4"/>
    <n v="3"/>
    <s v="2025-12-08"/>
    <x v="3"/>
    <n v="888701"/>
    <m/>
    <m/>
    <x v="0"/>
    <m/>
    <s v="Hot"/>
    <s v="Measurement done, quote pending approval"/>
  </r>
  <r>
    <s v="LD2057"/>
    <s v="Ashwini Pawar"/>
    <n v="9123307572"/>
    <x v="0"/>
    <x v="8"/>
    <s v="Instagram Story Ads"/>
    <x v="8"/>
    <s v="2025-11-15"/>
    <x v="10"/>
    <x v="10"/>
    <x v="3"/>
    <n v="4"/>
    <n v="1"/>
    <s v="2025-11-27"/>
    <x v="4"/>
    <n v="578298"/>
    <n v="580986"/>
    <s v="2025-12-05"/>
    <x v="1"/>
    <n v="35.799999999999997"/>
    <s v="Hot"/>
    <s v="Customer very satisfied, 5 star review given"/>
  </r>
  <r>
    <s v="LD2058"/>
    <s v="Sachin Kadam"/>
    <n v="9489327608"/>
    <x v="2"/>
    <x v="0"/>
    <s v="Friend Reference"/>
    <x v="13"/>
    <s v="2025-11-15"/>
    <x v="10"/>
    <x v="10"/>
    <x v="3"/>
    <n v="4"/>
    <n v="2"/>
    <s v="2025-12-08"/>
    <x v="1"/>
    <n v="1529582"/>
    <m/>
    <m/>
    <x v="0"/>
    <n v="17.3"/>
    <s v="Warm"/>
    <s v="Wants more design options before deciding"/>
  </r>
  <r>
    <s v="LD2059"/>
    <s v="Shweta Jadhav"/>
    <n v="9432446887"/>
    <x v="0"/>
    <x v="8"/>
    <s v="Instagram Wardrobe Showcase"/>
    <x v="7"/>
    <s v="2025-11-17"/>
    <x v="10"/>
    <x v="10"/>
    <x v="3"/>
    <n v="4"/>
    <n v="5"/>
    <s v="2025-12-13"/>
    <x v="4"/>
    <n v="943444"/>
    <n v="897209"/>
    <s v="2025-12-26"/>
    <x v="2"/>
    <n v="12.3"/>
    <s v="Warm"/>
    <s v="Token paid, measurement done, work started"/>
  </r>
  <r>
    <s v="LD2060"/>
    <s v="Vijay Pawar"/>
    <n v="9893421672"/>
    <x v="1"/>
    <x v="8"/>
    <s v="Instagram Kitchen Reels"/>
    <x v="6"/>
    <s v="2025-11-17"/>
    <x v="10"/>
    <x v="10"/>
    <x v="3"/>
    <n v="4"/>
    <n v="0"/>
    <s v="2025-11-19"/>
    <x v="3"/>
    <n v="327350"/>
    <m/>
    <m/>
    <x v="0"/>
    <m/>
    <s v="Warm"/>
    <s v="Follow up after Gudi Padwa"/>
  </r>
  <r>
    <s v="LD2061"/>
    <s v="Suresh Kakade"/>
    <n v="9172591678"/>
    <x v="0"/>
    <x v="2"/>
    <s v="Architect Referral"/>
    <x v="6"/>
    <s v="2025-11-17"/>
    <x v="10"/>
    <x v="10"/>
    <x v="3"/>
    <n v="4"/>
    <n v="10"/>
    <s v="2025-12-13"/>
    <x v="4"/>
    <n v="389250"/>
    <n v="374477"/>
    <s v="2025-12-31"/>
    <x v="2"/>
    <n v="7.1"/>
    <s v="Hot"/>
    <s v="Customer happy with sample, deal closed"/>
  </r>
  <r>
    <s v="LD2062"/>
    <s v="Sunita Salve"/>
    <n v="9668833786"/>
    <x v="1"/>
    <x v="0"/>
    <s v="Friend Reference"/>
    <x v="9"/>
    <s v="2025-11-17"/>
    <x v="10"/>
    <x v="10"/>
    <x v="3"/>
    <n v="4"/>
    <n v="3"/>
    <s v="2025-11-28"/>
    <x v="4"/>
    <n v="526258"/>
    <n v="469861"/>
    <s v="2025-12-08"/>
    <x v="2"/>
    <n v="34.1"/>
    <s v="Hot"/>
    <s v="Full payment cleared, delivery done"/>
  </r>
  <r>
    <s v="LD2063"/>
    <s v="Jyoti Gaikwad"/>
    <n v="9211226342"/>
    <x v="0"/>
    <x v="2"/>
    <s v="Contractor Referral"/>
    <x v="3"/>
    <s v="2025-11-17"/>
    <x v="10"/>
    <x v="10"/>
    <x v="3"/>
    <n v="4"/>
    <n v="8"/>
    <s v="2025-12-23"/>
    <x v="2"/>
    <n v="231751"/>
    <m/>
    <m/>
    <x v="0"/>
    <n v="35.1"/>
    <s v="Cold"/>
    <s v="Price too high as per customer"/>
  </r>
  <r>
    <s v="LD2064"/>
    <s v="Nikhil Kale"/>
    <n v="9345564188"/>
    <x v="2"/>
    <x v="2"/>
    <s v="Neighbour Referral"/>
    <x v="0"/>
    <s v="2025-11-17"/>
    <x v="10"/>
    <x v="10"/>
    <x v="3"/>
    <n v="4"/>
    <n v="3"/>
    <s v="2025-11-29"/>
    <x v="1"/>
    <n v="876365"/>
    <m/>
    <m/>
    <x v="1"/>
    <n v="26.1"/>
    <s v="Warm"/>
    <m/>
  </r>
  <r>
    <s v="LD2065"/>
    <s v="Sunita Kshirsagar"/>
    <n v="9431008341"/>
    <x v="1"/>
    <x v="5"/>
    <s v="Site Visit Walk-in"/>
    <x v="3"/>
    <s v="2025-11-17"/>
    <x v="10"/>
    <x v="10"/>
    <x v="3"/>
    <n v="4"/>
    <n v="5"/>
    <s v="2025-12-15"/>
    <x v="3"/>
    <n v="259803"/>
    <m/>
    <m/>
    <x v="0"/>
    <n v="2.6"/>
    <s v="Warm"/>
    <s v="Follow up after Gudi Padwa"/>
  </r>
  <r>
    <s v="LD2066"/>
    <s v="Rajesh Bhalerao"/>
    <n v="9366880480"/>
    <x v="2"/>
    <x v="7"/>
    <s v="Website Chat Enquiry"/>
    <x v="5"/>
    <s v="2025-11-18"/>
    <x v="10"/>
    <x v="10"/>
    <x v="3"/>
    <n v="4"/>
    <n v="3"/>
    <s v="2025-12-15"/>
    <x v="3"/>
    <n v="143269"/>
    <m/>
    <m/>
    <x v="2"/>
    <n v="26"/>
    <s v="Warm"/>
    <s v="New flat, moving in after 2 months"/>
  </r>
  <r>
    <s v="LD2067"/>
    <s v="Sunita Deshmukh"/>
    <n v="9199415709"/>
    <x v="3"/>
    <x v="7"/>
    <s v="Website Chat Enquiry"/>
    <x v="6"/>
    <s v="2025-11-18"/>
    <x v="10"/>
    <x v="10"/>
    <x v="3"/>
    <n v="4"/>
    <n v="8"/>
    <s v="2026-01-13"/>
    <x v="4"/>
    <n v="178760"/>
    <n v="179832"/>
    <s v="2026-01-23"/>
    <x v="0"/>
    <n v="27"/>
    <s v="Warm"/>
    <s v="Deal closed, advance received"/>
  </r>
  <r>
    <s v="LD2068"/>
    <s v="Rohit Raut"/>
    <n v="9183540398"/>
    <x v="3"/>
    <x v="2"/>
    <s v="Neighbour Referral"/>
    <x v="8"/>
    <s v="2025-11-18"/>
    <x v="10"/>
    <x v="10"/>
    <x v="3"/>
    <n v="4"/>
    <m/>
    <s v="2025-11-26"/>
    <x v="4"/>
    <n v="601889"/>
    <n v="554754"/>
    <s v="2025-12-01"/>
    <x v="1"/>
    <n v="1.6"/>
    <s v="Hot"/>
    <m/>
  </r>
  <r>
    <s v="LD2069"/>
    <s v="Kiran Holkar"/>
    <n v="9189287583"/>
    <x v="0"/>
    <x v="6"/>
    <s v="Facebook Kitchen Showcase"/>
    <x v="7"/>
    <s v="2025-11-18"/>
    <x v="10"/>
    <x v="10"/>
    <x v="3"/>
    <n v="4"/>
    <n v="6"/>
    <s v="2025-12-29"/>
    <x v="0"/>
    <n v="1479517"/>
    <m/>
    <m/>
    <x v="2"/>
    <n v="22"/>
    <s v="Cold"/>
    <s v="Budget mismatch - too low"/>
  </r>
  <r>
    <s v="LD2070"/>
    <s v="Lata Kshirsagar"/>
    <n v="9862089754"/>
    <x v="0"/>
    <x v="2"/>
    <s v="Neighbour Referral"/>
    <x v="1"/>
    <s v="2025-11-19"/>
    <x v="10"/>
    <x v="10"/>
    <x v="3"/>
    <n v="4"/>
    <n v="5"/>
    <s v="2025-12-04"/>
    <x v="3"/>
    <n v="348541"/>
    <m/>
    <m/>
    <x v="0"/>
    <n v="24.1"/>
    <s v="Hot"/>
    <m/>
  </r>
  <r>
    <s v="LD2071"/>
    <s v="Meena Raut"/>
    <n v="9352033465"/>
    <x v="0"/>
    <x v="7"/>
    <s v="SEO Organic"/>
    <x v="11"/>
    <s v="2025-11-19"/>
    <x v="10"/>
    <x v="10"/>
    <x v="3"/>
    <n v="4"/>
    <n v="8"/>
    <s v="2025-12-24"/>
    <x v="2"/>
    <n v="167583"/>
    <m/>
    <m/>
    <x v="0"/>
    <n v="24.3"/>
    <s v="Cold"/>
    <s v="Duplicate enquiry"/>
  </r>
  <r>
    <s v="LD2072"/>
    <s v="Meena Aware"/>
    <n v="9231260651"/>
    <x v="2"/>
    <x v="1"/>
    <s v="Justdial Premium Listing — Inbound"/>
    <x v="12"/>
    <s v="2025-11-19"/>
    <x v="10"/>
    <x v="10"/>
    <x v="3"/>
    <n v="4"/>
    <n v="7"/>
    <s v="2025-12-05"/>
    <x v="0"/>
    <n v="1576327"/>
    <m/>
    <m/>
    <x v="2"/>
    <n v="2.4"/>
    <s v="Cold"/>
    <s v="No response, marked as lost after 60 days"/>
  </r>
  <r>
    <s v="LD2073"/>
    <s v="Sanjay Gavhane"/>
    <n v="9254933856"/>
    <x v="4"/>
    <x v="6"/>
    <s v="Facebook Gudi Padwa Offer"/>
    <x v="7"/>
    <s v="2025-11-19"/>
    <x v="10"/>
    <x v="10"/>
    <x v="3"/>
    <n v="4"/>
    <n v="3"/>
    <s v="2025-12-09"/>
    <x v="3"/>
    <n v="1344149"/>
    <m/>
    <m/>
    <x v="0"/>
    <n v="5.2"/>
    <s v="Cold"/>
    <s v="Customer relocated"/>
  </r>
  <r>
    <s v="LD2074"/>
    <s v="Sunita Shinde"/>
    <n v="9698195045"/>
    <x v="3"/>
    <x v="6"/>
    <s v="Facebook Home Decor Ads"/>
    <x v="7"/>
    <s v="2025-11-19"/>
    <x v="10"/>
    <x v="10"/>
    <x v="3"/>
    <n v="4"/>
    <n v="8"/>
    <s v="2025-12-09"/>
    <x v="4"/>
    <n v="1012105"/>
    <n v="922424"/>
    <s v="2025-12-19"/>
    <x v="2"/>
    <n v="10.1"/>
    <s v="Warm"/>
    <m/>
  </r>
  <r>
    <s v="LD2075"/>
    <s v="Vikas Naik"/>
    <n v="9100092658"/>
    <x v="4"/>
    <x v="2"/>
    <s v="Architect Referral"/>
    <x v="10"/>
    <s v="2025-11-22"/>
    <x v="10"/>
    <x v="10"/>
    <x v="3"/>
    <n v="4"/>
    <n v="11"/>
    <s v="2026-01-28"/>
    <x v="0"/>
    <n v="319282"/>
    <m/>
    <m/>
    <x v="2"/>
    <n v="6.1"/>
    <s v="Cold"/>
    <m/>
  </r>
  <r>
    <s v="LD2076"/>
    <s v="Vikas Holkar"/>
    <n v="9267679327"/>
    <x v="4"/>
    <x v="8"/>
    <s v="Instagram Kitchen Reels"/>
    <x v="5"/>
    <s v="2025-11-22"/>
    <x v="10"/>
    <x v="10"/>
    <x v="3"/>
    <n v="4"/>
    <n v="1"/>
    <s v="2025-12-02"/>
    <x v="2"/>
    <n v="108704"/>
    <m/>
    <m/>
    <x v="1"/>
    <n v="33.799999999999997"/>
    <s v="Cold"/>
    <s v="Went with local carpenter"/>
  </r>
  <r>
    <s v="LD2077"/>
    <s v="Seema Kakade"/>
    <n v="9946594624"/>
    <x v="0"/>
    <x v="7"/>
    <s v="Website Chat Enquiry"/>
    <x v="10"/>
    <s v="2025-11-22"/>
    <x v="10"/>
    <x v="10"/>
    <x v="3"/>
    <n v="4"/>
    <n v="8"/>
    <s v="2026-01-10"/>
    <x v="3"/>
    <n v="592014"/>
    <m/>
    <m/>
    <x v="0"/>
    <n v="16"/>
    <s v="Warm"/>
    <s v="Site visit to be scheduled"/>
  </r>
  <r>
    <s v="LD2078"/>
    <s v="Sunita Kale"/>
    <m/>
    <x v="2"/>
    <x v="8"/>
    <s v="Instagram Before-After Posts"/>
    <x v="14"/>
    <s v="2025-11-24"/>
    <x v="10"/>
    <x v="10"/>
    <x v="3"/>
    <n v="4"/>
    <n v="9"/>
    <s v="2026-01-02"/>
    <x v="0"/>
    <n v="2435231"/>
    <m/>
    <m/>
    <x v="1"/>
    <n v="18.2"/>
    <s v="Cold"/>
    <s v="Customer messaged on Instagram, did not share contact"/>
  </r>
  <r>
    <s v="LD2079"/>
    <s v="Dinesh Raut"/>
    <n v="9452623423"/>
    <x v="4"/>
    <x v="5"/>
    <s v="Exhibition Walk-in"/>
    <x v="9"/>
    <s v="2025-11-24"/>
    <x v="10"/>
    <x v="10"/>
    <x v="3"/>
    <n v="4"/>
    <n v="11"/>
    <s v="2026-01-07"/>
    <x v="1"/>
    <n v="484827"/>
    <m/>
    <m/>
    <x v="1"/>
    <n v="19.3"/>
    <s v="Warm"/>
    <m/>
  </r>
  <r>
    <s v="LD2080"/>
    <s v="Rohit Joshi"/>
    <n v="9927167684"/>
    <x v="4"/>
    <x v="0"/>
    <s v="Family Reference"/>
    <x v="9"/>
    <s v="2025-11-24"/>
    <x v="10"/>
    <x v="10"/>
    <x v="3"/>
    <n v="4"/>
    <n v="8"/>
    <s v="2026-01-15"/>
    <x v="0"/>
    <n v="400505"/>
    <m/>
    <m/>
    <x v="2"/>
    <n v="35"/>
    <s v="Cold"/>
    <s v="Customer did not proceed with project"/>
  </r>
  <r>
    <s v="LD2081"/>
    <s v="Sunita Deshpande"/>
    <n v="9153897115"/>
    <x v="0"/>
    <x v="5"/>
    <s v="Exhibition Walk-in"/>
    <x v="10"/>
    <s v="2025-11-24"/>
    <x v="10"/>
    <x v="10"/>
    <x v="3"/>
    <n v="4"/>
    <n v="7"/>
    <s v="2025-12-24"/>
    <x v="3"/>
    <n v="215777"/>
    <m/>
    <m/>
    <x v="0"/>
    <n v="10.5"/>
    <s v="Cold"/>
    <s v="Went with local carpenter"/>
  </r>
  <r>
    <s v="LD2082"/>
    <s v="Nikhil Holkar"/>
    <n v="9937891167"/>
    <x v="0"/>
    <x v="2"/>
    <s v="Neighbour Referral"/>
    <x v="12"/>
    <s v="2025-11-24"/>
    <x v="10"/>
    <x v="10"/>
    <x v="3"/>
    <n v="4"/>
    <n v="0"/>
    <s v="2025-12-01"/>
    <x v="4"/>
    <n v="1424853"/>
    <n v="1363197"/>
    <s v="2025-12-03"/>
    <x v="0"/>
    <n v="10.1"/>
    <s v="Hot"/>
    <s v="Final payment received, project handed over"/>
  </r>
  <r>
    <s v="LD2083"/>
    <s v="Suresh Suryawanshi"/>
    <n v="9224348893"/>
    <x v="0"/>
    <x v="7"/>
    <s v="Google Ads"/>
    <x v="7"/>
    <s v="2025-11-24"/>
    <x v="10"/>
    <x v="10"/>
    <x v="3"/>
    <n v="4"/>
    <n v="2"/>
    <s v="2025-12-17"/>
    <x v="1"/>
    <n v="1049622"/>
    <m/>
    <m/>
    <x v="0"/>
    <n v="4.3"/>
    <s v="Hot"/>
    <m/>
  </r>
  <r>
    <s v="LD2084"/>
    <s v="Alka Kadam"/>
    <n v="9394404938"/>
    <x v="2"/>
    <x v="2"/>
    <s v="Neighbour Referral"/>
    <x v="6"/>
    <s v="2025-11-25"/>
    <x v="10"/>
    <x v="10"/>
    <x v="3"/>
    <n v="4"/>
    <n v="7"/>
    <s v="2026-01-12"/>
    <x v="1"/>
    <n v="208930"/>
    <m/>
    <m/>
    <x v="2"/>
    <n v="17.2"/>
    <s v="Cold"/>
    <s v="Not responding to calls"/>
  </r>
  <r>
    <s v="LD2085"/>
    <s v="Sanjay Joshi"/>
    <n v="9203616476"/>
    <x v="3"/>
    <x v="2"/>
    <s v="Architect Referral"/>
    <x v="8"/>
    <s v="2025-11-25"/>
    <x v="10"/>
    <x v="10"/>
    <x v="3"/>
    <n v="4"/>
    <n v="4"/>
    <s v="2025-12-15"/>
    <x v="4"/>
    <n v="471913"/>
    <n v="469972"/>
    <s v="2026-01-02"/>
    <x v="1"/>
    <n v="2.2999999999999998"/>
    <s v="Hot"/>
    <s v="Token received, design finalised"/>
  </r>
  <r>
    <s v="LD2086"/>
    <s v="Hemant Shinde"/>
    <n v="9679516769"/>
    <x v="2"/>
    <x v="6"/>
    <s v="Facebook Home Decor Ads"/>
    <x v="10"/>
    <s v="2025-11-25"/>
    <x v="10"/>
    <x v="10"/>
    <x v="3"/>
    <n v="4"/>
    <n v="8"/>
    <s v="2025-12-24"/>
    <x v="4"/>
    <n v="507141"/>
    <n v="490084"/>
    <s v="2026-01-08"/>
    <x v="0"/>
    <n v="28.8"/>
    <s v="Hot"/>
    <s v="Deal closed, advance received"/>
  </r>
  <r>
    <s v="LD2087"/>
    <s v="Vijay Naik"/>
    <n v="9811355142"/>
    <x v="0"/>
    <x v="2"/>
    <s v="Contractor Referral"/>
    <x v="2"/>
    <s v="2025-11-25"/>
    <x v="10"/>
    <x v="10"/>
    <x v="3"/>
    <n v="4"/>
    <n v="6"/>
    <s v="2026-01-10"/>
    <x v="3"/>
    <n v="603209"/>
    <m/>
    <m/>
    <x v="1"/>
    <n v="1.1000000000000001"/>
    <s v="Warm"/>
    <s v="Follow up after Diwali"/>
  </r>
  <r>
    <s v="LD2088"/>
    <s v="Archana Gaikwad"/>
    <n v="9184222479"/>
    <x v="1"/>
    <x v="2"/>
    <s v="Architect Referral"/>
    <x v="0"/>
    <s v="2025-11-26"/>
    <x v="10"/>
    <x v="10"/>
    <x v="3"/>
    <n v="4"/>
    <n v="0"/>
    <s v="2025-11-28"/>
    <x v="4"/>
    <n v="837587"/>
    <n v="834692"/>
    <s v="2025-12-02"/>
    <x v="1"/>
    <n v="26.6"/>
    <s v="Hot"/>
    <s v="Token paid, measurement done, work started"/>
  </r>
  <r>
    <s v="LD2089"/>
    <s v="Rohit Mane"/>
    <m/>
    <x v="0"/>
    <x v="3"/>
    <s v="MagicBricks Property Enquiry — Inbound"/>
    <x v="7"/>
    <s v="2025-11-26"/>
    <x v="10"/>
    <x v="10"/>
    <x v="3"/>
    <n v="4"/>
    <n v="12"/>
    <s v="2026-01-08"/>
    <x v="0"/>
    <n v="1402936"/>
    <m/>
    <m/>
    <x v="1"/>
    <n v="29.9"/>
    <s v="Warm"/>
    <s v="MagicBricks form submitted, customer unreachable"/>
  </r>
  <r>
    <s v="LD2090"/>
    <s v="Pramod Phule"/>
    <n v="9355677171"/>
    <x v="0"/>
    <x v="8"/>
    <s v="Instagram Before-After Posts"/>
    <x v="8"/>
    <s v="2025-11-26"/>
    <x v="10"/>
    <x v="10"/>
    <x v="3"/>
    <n v="4"/>
    <n v="10"/>
    <s v="2026-01-05"/>
    <x v="2"/>
    <n v="801676"/>
    <m/>
    <m/>
    <x v="1"/>
    <n v="31"/>
    <s v="Cold"/>
    <s v="Duplicate enquiry"/>
  </r>
  <r>
    <s v="LD2091"/>
    <s v="Nanda Suryawanshi"/>
    <n v="9299415106"/>
    <x v="2"/>
    <x v="6"/>
    <s v="Facebook Diwali Offer"/>
    <x v="5"/>
    <s v="2025-11-26"/>
    <x v="10"/>
    <x v="10"/>
    <x v="3"/>
    <n v="4"/>
    <n v="3"/>
    <s v="2025-12-22"/>
    <x v="1"/>
    <n v="271123"/>
    <m/>
    <m/>
    <x v="2"/>
    <n v="7"/>
    <s v="Hot"/>
    <s v="Site visit done, quotation shared"/>
  </r>
  <r>
    <s v="LD2092"/>
    <s v="Sachin Salve"/>
    <n v="9324198509"/>
    <x v="2"/>
    <x v="8"/>
    <s v="Instagram Gudi Padwa Special"/>
    <x v="7"/>
    <s v="2025-11-26"/>
    <x v="10"/>
    <x v="10"/>
    <x v="3"/>
    <n v="4"/>
    <n v="1"/>
    <s v="2025-12-12"/>
    <x v="0"/>
    <n v="968359"/>
    <m/>
    <m/>
    <x v="0"/>
    <n v="11.6"/>
    <s v="Warm"/>
    <s v="Lost to branded competitor"/>
  </r>
  <r>
    <s v="LD2093"/>
    <s v="Divya Aware"/>
    <n v="9304346964"/>
    <x v="4"/>
    <x v="3"/>
    <s v="MagicBricks Property Enquiry — Inbound"/>
    <x v="12"/>
    <s v="2025-11-26"/>
    <x v="10"/>
    <x v="10"/>
    <x v="3"/>
    <n v="4"/>
    <n v="7"/>
    <s v="2025-12-24"/>
    <x v="1"/>
    <n v="944359"/>
    <m/>
    <m/>
    <x v="0"/>
    <n v="1.4"/>
    <s v="Warm"/>
    <s v="Waiting for interior budget approval from family"/>
  </r>
  <r>
    <s v="LD2094"/>
    <s v="Pramod Kulkarni"/>
    <n v="9602586713"/>
    <x v="4"/>
    <x v="6"/>
    <s v="Facebook Home Decor Ads"/>
    <x v="8"/>
    <s v="2025-11-27"/>
    <x v="10"/>
    <x v="10"/>
    <x v="3"/>
    <n v="4"/>
    <n v="4"/>
    <s v="2025-12-06"/>
    <x v="1"/>
    <n v="1070462"/>
    <m/>
    <m/>
    <x v="1"/>
    <n v="33"/>
    <s v="Cold"/>
    <s v="Wrong number provided"/>
  </r>
  <r>
    <s v="LD2095"/>
    <s v="Shweta Gaikwad"/>
    <n v="9491680520"/>
    <x v="3"/>
    <x v="7"/>
    <s v="Google My Business"/>
    <x v="10"/>
    <s v="2025-11-28"/>
    <x v="10"/>
    <x v="10"/>
    <x v="3"/>
    <n v="4"/>
    <n v="11"/>
    <s v="2026-01-28"/>
    <x v="0"/>
    <n v="583585"/>
    <m/>
    <m/>
    <x v="1"/>
    <n v="34.200000000000003"/>
    <s v="Cold"/>
    <s v="Customer did not proceed with project"/>
  </r>
  <r>
    <s v="LD2096"/>
    <s v="Ritu Yadav"/>
    <n v="9801716508"/>
    <x v="2"/>
    <x v="2"/>
    <s v="Contractor Referral"/>
    <x v="7"/>
    <s v="2025-11-28"/>
    <x v="10"/>
    <x v="10"/>
    <x v="3"/>
    <n v="4"/>
    <n v="4"/>
    <s v="2025-12-19"/>
    <x v="4"/>
    <n v="1195736"/>
    <n v="1225841"/>
    <s v="2026-01-01"/>
    <x v="1"/>
    <n v="35.799999999999997"/>
    <s v="Hot"/>
    <s v="Work order signed, production started"/>
  </r>
  <r>
    <s v="LD2097"/>
    <s v="Alka Gavhane"/>
    <n v="9675019578"/>
    <x v="2"/>
    <x v="2"/>
    <s v="Contractor Referral"/>
    <x v="9"/>
    <s v="2025-12-01"/>
    <x v="11"/>
    <x v="11"/>
    <x v="3"/>
    <n v="4"/>
    <n v="8"/>
    <s v="2026-01-27"/>
    <x v="1"/>
    <n v="427567"/>
    <m/>
    <m/>
    <x v="0"/>
    <n v="24.8"/>
    <s v="Hot"/>
    <s v="Site visit done, quotation shared"/>
  </r>
  <r>
    <s v="LD2098"/>
    <s v="Pooja Bhalerao"/>
    <n v="9332941578"/>
    <x v="0"/>
    <x v="6"/>
    <s v="Facebook Home Decor Ads"/>
    <x v="8"/>
    <s v="2025-12-01"/>
    <x v="11"/>
    <x v="11"/>
    <x v="3"/>
    <n v="4"/>
    <n v="12"/>
    <s v="2026-01-27"/>
    <x v="1"/>
    <n v="934643"/>
    <m/>
    <m/>
    <x v="0"/>
    <m/>
    <s v="Hot"/>
    <s v="Ready to proceed, discussing payment terms"/>
  </r>
  <r>
    <s v="LD2099"/>
    <s v="Sunita Raut"/>
    <n v="9544524798"/>
    <x v="0"/>
    <x v="7"/>
    <s v="Google Ads"/>
    <x v="0"/>
    <s v="2025-12-01"/>
    <x v="11"/>
    <x v="11"/>
    <x v="3"/>
    <n v="4"/>
    <n v="11"/>
    <s v="2026-01-19"/>
    <x v="3"/>
    <n v="752056"/>
    <m/>
    <m/>
    <x v="0"/>
    <n v="6.7"/>
    <s v="Warm"/>
    <s v="Follow up after Diwali"/>
  </r>
  <r>
    <s v="LD2100"/>
    <s v="Sonal Nikalje"/>
    <n v="9620257377"/>
    <x v="2"/>
    <x v="6"/>
    <s v="Facebook Home Decor Ads"/>
    <x v="6"/>
    <s v="2025-12-01"/>
    <x v="11"/>
    <x v="11"/>
    <x v="3"/>
    <n v="4"/>
    <n v="4"/>
    <s v="2025-12-31"/>
    <x v="0"/>
    <n v="294945"/>
    <m/>
    <m/>
    <x v="1"/>
    <n v="12.7"/>
    <s v="Cold"/>
    <s v="Lost to competitor - cheaper quote"/>
  </r>
  <r>
    <s v="LD2101"/>
    <s v="Alka Joshi"/>
    <n v="9173266731"/>
    <x v="3"/>
    <x v="6"/>
    <s v="Facebook Kitchen Showcase"/>
    <x v="13"/>
    <s v="2025-12-01"/>
    <x v="11"/>
    <x v="11"/>
    <x v="3"/>
    <n v="4"/>
    <n v="6"/>
    <s v="2025-12-24"/>
    <x v="1"/>
    <n v="1750028"/>
    <m/>
    <m/>
    <x v="0"/>
    <n v="13.4"/>
    <s v="Cold"/>
    <s v="Not interested anymore"/>
  </r>
  <r>
    <s v="LD2102"/>
    <s v="Prashant Deshmukh"/>
    <n v="9910319888"/>
    <x v="0"/>
    <x v="1"/>
    <s v="Justdial Sponsored — Inbound"/>
    <x v="7"/>
    <s v="2025-12-01"/>
    <x v="11"/>
    <x v="11"/>
    <x v="3"/>
    <n v="4"/>
    <n v="7"/>
    <s v="2025-12-25"/>
    <x v="4"/>
    <n v="1240704"/>
    <n v="1184073"/>
    <s v="2026-01-13"/>
    <x v="1"/>
    <n v="29.6"/>
    <s v="Warm"/>
    <s v="Token paid, measurement done, work started"/>
  </r>
  <r>
    <s v="LD2103"/>
    <s v="Jyoti Shelke"/>
    <n v="9866869008"/>
    <x v="3"/>
    <x v="8"/>
    <s v="Instagram Gudi Padwa Special"/>
    <x v="8"/>
    <s v="2025-12-01"/>
    <x v="11"/>
    <x v="11"/>
    <x v="3"/>
    <n v="4"/>
    <n v="9"/>
    <s v="2026-02-06"/>
    <x v="3"/>
    <n v="683770"/>
    <m/>
    <m/>
    <x v="1"/>
    <n v="19.2"/>
    <s v="Hot"/>
    <s v="Customer visited showroom twice, very interested"/>
  </r>
  <r>
    <s v="LD2104"/>
    <s v="Nikhil Gaikwad"/>
    <n v="9275482180"/>
    <x v="1"/>
    <x v="1"/>
    <s v="Justdial Premium Listing — Inbound"/>
    <x v="7"/>
    <s v="2025-12-01"/>
    <x v="11"/>
    <x v="11"/>
    <x v="3"/>
    <n v="4"/>
    <n v="9"/>
    <s v="2025-12-25"/>
    <x v="3"/>
    <n v="926389"/>
    <m/>
    <m/>
    <x v="2"/>
    <n v="32.700000000000003"/>
    <s v="Hot"/>
    <s v="Design presentation done, waiting for confirmation"/>
  </r>
  <r>
    <s v="LD2105-DUP"/>
    <s v="Alka Joshi"/>
    <n v="9173266731"/>
    <x v="4"/>
    <x v="6"/>
    <s v="Facebook Kitchen Showcase"/>
    <x v="13"/>
    <s v="2025-12-01"/>
    <x v="11"/>
    <x v="11"/>
    <x v="3"/>
    <n v="4"/>
    <n v="6"/>
    <s v="2025-12-24"/>
    <x v="1"/>
    <n v="1567258"/>
    <m/>
    <m/>
    <x v="0"/>
    <n v="13.4"/>
    <s v="Cold"/>
    <s v="Not interested anymore"/>
  </r>
  <r>
    <s v="LD2106"/>
    <s v="Nanda Bansode"/>
    <n v="9676716969"/>
    <x v="3"/>
    <x v="8"/>
    <s v="Instagram Kitchen Reels"/>
    <x v="13"/>
    <s v="2025-12-01"/>
    <x v="11"/>
    <x v="11"/>
    <x v="3"/>
    <n v="4"/>
    <n v="5"/>
    <s v="2026-01-03"/>
    <x v="1"/>
    <n v="1750717"/>
    <m/>
    <m/>
    <x v="2"/>
    <n v="1.3"/>
    <s v="Cold"/>
    <s v="Price too high as per customer"/>
  </r>
  <r>
    <s v="LD2107"/>
    <s v="Prashant Patil"/>
    <n v="9953718745"/>
    <x v="0"/>
    <x v="2"/>
    <s v="Neighbour Referral"/>
    <x v="6"/>
    <s v="2025-12-02"/>
    <x v="11"/>
    <x v="11"/>
    <x v="3"/>
    <n v="4"/>
    <n v="2"/>
    <s v="2025-12-25"/>
    <x v="4"/>
    <n v="125806"/>
    <n v="118207"/>
    <s v="2026-01-02"/>
    <x v="1"/>
    <n v="32.9"/>
    <s v="Hot"/>
    <m/>
  </r>
  <r>
    <s v="LD2108"/>
    <s v="Madhuri Raut"/>
    <n v="9704715527"/>
    <x v="0"/>
    <x v="5"/>
    <s v="Site Visit Walk-in"/>
    <x v="2"/>
    <s v="2025-12-03"/>
    <x v="11"/>
    <x v="11"/>
    <x v="3"/>
    <n v="4"/>
    <n v="4"/>
    <s v="2026-01-07"/>
    <x v="3"/>
    <n v="525171"/>
    <m/>
    <m/>
    <x v="0"/>
    <n v="17.899999999999999"/>
    <s v="Warm"/>
    <s v="Site visit to be scheduled"/>
  </r>
  <r>
    <s v="LD2109"/>
    <s v="Pramod Bansode"/>
    <n v="9989779280"/>
    <x v="3"/>
    <x v="8"/>
    <s v="Instagram Kitchen Reels"/>
    <x v="2"/>
    <s v="2025-12-03"/>
    <x v="11"/>
    <x v="11"/>
    <x v="3"/>
    <n v="4"/>
    <n v="5"/>
    <s v="2026-01-03"/>
    <x v="3"/>
    <n v="529200"/>
    <m/>
    <m/>
    <x v="1"/>
    <n v="35.9"/>
    <s v="Warm"/>
    <s v="Under construction, possession in 3 months"/>
  </r>
  <r>
    <s v="LD2110"/>
    <s v="Manisha Nimbalkar"/>
    <n v="9486862871"/>
    <x v="4"/>
    <x v="6"/>
    <s v="Facebook Gudi Padwa Offer"/>
    <x v="2"/>
    <s v="2025-12-03"/>
    <x v="11"/>
    <x v="11"/>
    <x v="3"/>
    <n v="4"/>
    <n v="12"/>
    <s v="2025-12-30"/>
    <x v="4"/>
    <n v="382734"/>
    <n v="387184"/>
    <s v="2026-01-08"/>
    <x v="1"/>
    <n v="18.100000000000001"/>
    <s v="Hot"/>
    <s v="Customer referred 2 more leads after delivery"/>
  </r>
  <r>
    <s v="LD2111"/>
    <s v="Shweta Jadhav"/>
    <n v="9887761106"/>
    <x v="2"/>
    <x v="8"/>
    <s v="Instagram Kitchen Reels"/>
    <x v="9"/>
    <s v="2025-12-04"/>
    <x v="11"/>
    <x v="11"/>
    <x v="3"/>
    <n v="4"/>
    <n v="0"/>
    <s v="2025-12-09"/>
    <x v="0"/>
    <n v="185579"/>
    <m/>
    <m/>
    <x v="0"/>
    <n v="29.2"/>
    <s v="Cold"/>
    <s v="Lost - no follow up done in time"/>
  </r>
  <r>
    <s v="LD2112"/>
    <s v="Pramod Londhe"/>
    <n v="9807295914"/>
    <x v="0"/>
    <x v="6"/>
    <s v="Facebook Gudi Padwa Offer"/>
    <x v="13"/>
    <s v="2025-12-05"/>
    <x v="11"/>
    <x v="11"/>
    <x v="3"/>
    <n v="4"/>
    <n v="6"/>
    <s v="2026-01-19"/>
    <x v="1"/>
    <n v="1413599"/>
    <m/>
    <m/>
    <x v="1"/>
    <n v="30.7"/>
    <s v="Warm"/>
    <s v="Interested but waiting for loan approval"/>
  </r>
  <r>
    <s v="LD2113"/>
    <s v="Shweta Londhe"/>
    <n v="9341751856"/>
    <x v="2"/>
    <x v="8"/>
    <s v="Instagram Wardrobe Showcase"/>
    <x v="7"/>
    <s v="2025-12-05"/>
    <x v="11"/>
    <x v="11"/>
    <x v="3"/>
    <n v="4"/>
    <n v="6"/>
    <s v="2026-01-12"/>
    <x v="0"/>
    <n v="911146"/>
    <m/>
    <m/>
    <x v="0"/>
    <n v="23.5"/>
    <s v="Cold"/>
    <s v="Lost to competitor - cheaper quote"/>
  </r>
  <r>
    <s v="LD2114"/>
    <s v="Sunita Naik"/>
    <n v="9582364498"/>
    <x v="2"/>
    <x v="8"/>
    <s v="Instagram Wardrobe Showcase"/>
    <x v="2"/>
    <s v="2025-12-05"/>
    <x v="11"/>
    <x v="11"/>
    <x v="3"/>
    <n v="4"/>
    <n v="0"/>
    <s v="2025-12-10"/>
    <x v="4"/>
    <n v="473450"/>
    <n v="464432"/>
    <s v="2025-12-14"/>
    <x v="1"/>
    <n v="35.799999999999997"/>
    <s v="Warm"/>
    <s v="Full payment cleared, delivery done"/>
  </r>
  <r>
    <s v="LD2115"/>
    <s v="Sachin Aware"/>
    <n v="9590215966"/>
    <x v="0"/>
    <x v="8"/>
    <s v="Instagram Wardrobe Showcase"/>
    <x v="8"/>
    <s v="2025-12-05"/>
    <x v="11"/>
    <x v="11"/>
    <x v="3"/>
    <n v="4"/>
    <n v="9"/>
    <s v="2026-02-06"/>
    <x v="1"/>
    <n v="939791"/>
    <m/>
    <m/>
    <x v="1"/>
    <n v="28"/>
    <s v="Hot"/>
    <s v="Design presentation done, waiting for confirmation"/>
  </r>
  <r>
    <s v="LD2116"/>
    <s v="Pooja Deshmukh"/>
    <n v="9911038241"/>
    <x v="2"/>
    <x v="5"/>
    <s v="Showroom Walk-in"/>
    <x v="0"/>
    <s v="2025-12-05"/>
    <x v="11"/>
    <x v="11"/>
    <x v="3"/>
    <n v="4"/>
    <n v="5"/>
    <s v="2026-01-16"/>
    <x v="1"/>
    <n v="655346"/>
    <m/>
    <m/>
    <x v="1"/>
    <n v="22.2"/>
    <s v="Hot"/>
    <s v="Customer visited showroom twice, very interested"/>
  </r>
  <r>
    <s v="LD2117"/>
    <s v="Devendra Raut"/>
    <n v="9952118216"/>
    <x v="4"/>
    <x v="2"/>
    <s v="Client Referral"/>
    <x v="9"/>
    <s v="2025-12-06"/>
    <x v="11"/>
    <x v="11"/>
    <x v="3"/>
    <n v="4"/>
    <n v="8"/>
    <s v="2026-01-29"/>
    <x v="1"/>
    <n v="509322"/>
    <m/>
    <m/>
    <x v="0"/>
    <n v="11.8"/>
    <s v="Hot"/>
    <s v="Ready to proceed, discussing payment terms"/>
  </r>
  <r>
    <s v="LD2118"/>
    <s v="Varsha Aware"/>
    <n v="9186216758"/>
    <x v="2"/>
    <x v="8"/>
    <s v="Instagram Story Ads"/>
    <x v="14"/>
    <s v="2025-12-06"/>
    <x v="11"/>
    <x v="11"/>
    <x v="3"/>
    <n v="4"/>
    <n v="8"/>
    <s v="2026-01-26"/>
    <x v="1"/>
    <n v="2178789"/>
    <m/>
    <m/>
    <x v="0"/>
    <n v="31.6"/>
    <s v="Warm"/>
    <s v="Follow up after Diwali"/>
  </r>
  <r>
    <s v="LD2119"/>
    <s v="Sanjay Wagh"/>
    <n v="9675205157"/>
    <x v="3"/>
    <x v="8"/>
    <s v="Instagram Wardrobe Showcase"/>
    <x v="5"/>
    <s v="2025-12-08"/>
    <x v="11"/>
    <x v="11"/>
    <x v="3"/>
    <n v="4"/>
    <n v="12"/>
    <s v="2026-02-19"/>
    <x v="0"/>
    <n v="234917"/>
    <m/>
    <m/>
    <x v="1"/>
    <n v="12.1"/>
    <s v="Warm"/>
    <s v="Customer got work done from relative"/>
  </r>
  <r>
    <s v="LD2120"/>
    <s v="Dinesh Kshirsagar"/>
    <n v="9800447749"/>
    <x v="0"/>
    <x v="4"/>
    <s v="99acres New Project Enquiry — Inbound"/>
    <x v="0"/>
    <s v="2025-12-08"/>
    <x v="11"/>
    <x v="11"/>
    <x v="3"/>
    <n v="4"/>
    <n v="3"/>
    <s v="2025-12-26"/>
    <x v="2"/>
    <n v="625220"/>
    <m/>
    <m/>
    <x v="1"/>
    <n v="27.4"/>
    <s v="Cold"/>
    <s v="Just enquiring, no serious intent"/>
  </r>
  <r>
    <s v="LD2121"/>
    <s v="Sachin Kadam"/>
    <n v="9511160252"/>
    <x v="4"/>
    <x v="2"/>
    <s v="Client Referral"/>
    <x v="5"/>
    <s v="2025-12-08"/>
    <x v="11"/>
    <x v="11"/>
    <x v="3"/>
    <n v="4"/>
    <n v="10"/>
    <s v="2026-01-17"/>
    <x v="2"/>
    <n v="265005"/>
    <m/>
    <m/>
    <x v="2"/>
    <n v="28.7"/>
    <s v="Cold"/>
    <s v="Duplicate enquiry"/>
  </r>
  <r>
    <s v="LD2122"/>
    <s v="Bharati Kale"/>
    <n v="9949485495"/>
    <x v="0"/>
    <x v="5"/>
    <s v="Exhibition Walk-in"/>
    <x v="7"/>
    <s v="2025-12-08"/>
    <x v="11"/>
    <x v="11"/>
    <x v="3"/>
    <n v="4"/>
    <n v="0"/>
    <s v="2025-12-19"/>
    <x v="0"/>
    <n v="942721"/>
    <m/>
    <m/>
    <x v="1"/>
    <n v="9.6"/>
    <s v="Cold"/>
    <s v="Customer got work done from relative"/>
  </r>
  <r>
    <s v="LD2123"/>
    <s v="Devendra Raut"/>
    <n v="9374907459"/>
    <x v="3"/>
    <x v="8"/>
    <s v="Instagram Kitchen Reels"/>
    <x v="13"/>
    <s v="2025-12-08"/>
    <x v="11"/>
    <x v="11"/>
    <x v="3"/>
    <n v="4"/>
    <n v="10"/>
    <s v="2026-01-08"/>
    <x v="4"/>
    <n v="1993542"/>
    <n v="1963462"/>
    <s v="2026-01-13"/>
    <x v="1"/>
    <n v="7"/>
    <s v="Hot"/>
    <m/>
  </r>
  <r>
    <s v="LD2124"/>
    <s v="Mahesh Holkar"/>
    <n v="9135376739"/>
    <x v="0"/>
    <x v="7"/>
    <s v="SEO Organic"/>
    <x v="4"/>
    <s v="2025-12-08"/>
    <x v="11"/>
    <x v="11"/>
    <x v="3"/>
    <n v="4"/>
    <n v="8"/>
    <s v="2026-01-12"/>
    <x v="4"/>
    <n v="325741"/>
    <n v="307677"/>
    <s v="2026-01-19"/>
    <x v="1"/>
    <n v="34.5"/>
    <s v="Hot"/>
    <s v="Work order signed, production started"/>
  </r>
  <r>
    <s v="LD2125"/>
    <s v="Nilesh Sonawane"/>
    <n v="9884029682"/>
    <x v="3"/>
    <x v="7"/>
    <s v="Google Ads"/>
    <x v="11"/>
    <s v="2025-12-08"/>
    <x v="11"/>
    <x v="11"/>
    <x v="3"/>
    <n v="4"/>
    <n v="7"/>
    <s v="2026-01-16"/>
    <x v="3"/>
    <n v="324405"/>
    <m/>
    <m/>
    <x v="0"/>
    <n v="12.2"/>
    <s v="Warm"/>
    <s v="Follow up after Akshaya Tritiya"/>
  </r>
  <r>
    <s v="LD2126"/>
    <s v="Pooja Gavhane"/>
    <n v="9455852271"/>
    <x v="2"/>
    <x v="1"/>
    <s v="Justdial Sponsored — Inbound"/>
    <x v="10"/>
    <s v="2025-12-09"/>
    <x v="11"/>
    <x v="11"/>
    <x v="3"/>
    <n v="4"/>
    <n v="3"/>
    <s v="2026-01-08"/>
    <x v="3"/>
    <n v="602457"/>
    <m/>
    <m/>
    <x v="1"/>
    <n v="30.5"/>
    <s v="Warm"/>
    <s v="Customer interested, flat handover next month"/>
  </r>
  <r>
    <s v="LD2127"/>
    <s v="Rohit Patil"/>
    <n v="9178014472"/>
    <x v="2"/>
    <x v="2"/>
    <s v="Contractor Referral"/>
    <x v="14"/>
    <s v="2025-12-10"/>
    <x v="11"/>
    <x v="11"/>
    <x v="3"/>
    <n v="4"/>
    <n v="7"/>
    <s v="2026-01-22"/>
    <x v="4"/>
    <n v="2333741"/>
    <n v="2386112"/>
    <s v="2026-01-30"/>
    <x v="2"/>
    <n v="6.7"/>
    <s v="Warm"/>
    <s v="Customer referred 2 more leads after delivery"/>
  </r>
  <r>
    <s v="LD2128"/>
    <s v="Ganesh Kakade"/>
    <n v="9263564080"/>
    <x v="1"/>
    <x v="1"/>
    <s v="Justdial Free Listing — Inbound"/>
    <x v="0"/>
    <s v="2025-12-10"/>
    <x v="11"/>
    <x v="11"/>
    <x v="3"/>
    <n v="4"/>
    <n v="7"/>
    <s v="2026-01-15"/>
    <x v="4"/>
    <n v="473891"/>
    <n v="425974"/>
    <s v="2026-02-04"/>
    <x v="0"/>
    <n v="31.2"/>
    <s v="Hot"/>
    <s v="Customer very satisfied, 5 star review given"/>
  </r>
  <r>
    <s v="LD2129"/>
    <s v="Pooja Pawar"/>
    <n v="9749016943"/>
    <x v="3"/>
    <x v="2"/>
    <s v="Architect Referral"/>
    <x v="3"/>
    <s v="2025-12-10"/>
    <x v="11"/>
    <x v="11"/>
    <x v="3"/>
    <n v="4"/>
    <n v="2"/>
    <s v="2026-01-01"/>
    <x v="0"/>
    <n v="124895"/>
    <m/>
    <m/>
    <x v="0"/>
    <m/>
    <s v="Cold"/>
    <s v="Project cancelled by customer"/>
  </r>
  <r>
    <s v="LD2130"/>
    <s v="Lata Wagh"/>
    <n v="9182838282"/>
    <x v="0"/>
    <x v="2"/>
    <s v="Client Referral"/>
    <x v="8"/>
    <s v="2025-12-10"/>
    <x v="11"/>
    <x v="11"/>
    <x v="3"/>
    <n v="4"/>
    <n v="10"/>
    <s v="2026-01-24"/>
    <x v="1"/>
    <n v="898408"/>
    <m/>
    <m/>
    <x v="1"/>
    <n v="22.8"/>
    <s v="Warm"/>
    <m/>
  </r>
  <r>
    <s v="LD2131"/>
    <s v="Pooja Kulkarni"/>
    <n v="9674349885"/>
    <x v="0"/>
    <x v="4"/>
    <s v="99acres New Project Enquiry — Inbound"/>
    <x v="9"/>
    <s v="2025-12-11"/>
    <x v="11"/>
    <x v="11"/>
    <x v="3"/>
    <n v="4"/>
    <n v="9"/>
    <s v="2026-02-10"/>
    <x v="1"/>
    <n v="502827"/>
    <m/>
    <m/>
    <x v="1"/>
    <n v="36"/>
    <s v="Cold"/>
    <s v="Budget too low for our range"/>
  </r>
  <r>
    <s v="LD2132"/>
    <s v="Jyoti Aware"/>
    <n v="9689950582"/>
    <x v="4"/>
    <x v="3"/>
    <s v="MagicBricks Enquiry — Inbound"/>
    <x v="1"/>
    <s v="2025-12-12"/>
    <x v="11"/>
    <x v="11"/>
    <x v="3"/>
    <n v="4"/>
    <n v="2"/>
    <s v="2026-01-01"/>
    <x v="4"/>
    <n v="108672"/>
    <n v="106478"/>
    <s v="2026-01-14"/>
    <x v="2"/>
    <n v="35.9"/>
    <s v="Hot"/>
    <s v="Final payment received, project handed over"/>
  </r>
  <r>
    <s v="LD2133"/>
    <s v="Suresh Mohite"/>
    <n v="9401253001"/>
    <x v="2"/>
    <x v="8"/>
    <s v="Instagram Diwali Campaign"/>
    <x v="0"/>
    <s v="2025-12-13"/>
    <x v="11"/>
    <x v="11"/>
    <x v="3"/>
    <n v="4"/>
    <n v="2"/>
    <s v="2026-01-02"/>
    <x v="4"/>
    <n v="559512"/>
    <n v="526610"/>
    <s v="2026-01-18"/>
    <x v="0"/>
    <n v="12.7"/>
    <s v="Hot"/>
    <s v="Final payment received, project handed over"/>
  </r>
  <r>
    <s v="LD2134"/>
    <s v="Devendra Zende"/>
    <n v="9422872613"/>
    <x v="2"/>
    <x v="5"/>
    <s v="Site Visit Walk-in"/>
    <x v="2"/>
    <s v="2025-12-13"/>
    <x v="11"/>
    <x v="11"/>
    <x v="3"/>
    <n v="4"/>
    <n v="5"/>
    <s v="2026-01-22"/>
    <x v="1"/>
    <n v="427418"/>
    <m/>
    <m/>
    <x v="1"/>
    <n v="12.7"/>
    <s v="Cold"/>
    <s v="Wrong number provided"/>
  </r>
  <r>
    <s v="LD2135"/>
    <s v="Sanjay Deshpande"/>
    <n v="9576510258"/>
    <x v="2"/>
    <x v="3"/>
    <s v="MagicBricks Enquiry — Inbound"/>
    <x v="8"/>
    <s v="2025-12-15"/>
    <x v="11"/>
    <x v="11"/>
    <x v="3"/>
    <n v="4"/>
    <n v="10"/>
    <s v="2026-01-29"/>
    <x v="0"/>
    <n v="792550"/>
    <m/>
    <m/>
    <x v="0"/>
    <n v="23.4"/>
    <s v="Cold"/>
    <s v="Budget mismatch - too low"/>
  </r>
  <r>
    <s v="LD2136"/>
    <s v="Alka Suryawanshi"/>
    <n v="9390088459"/>
    <x v="3"/>
    <x v="2"/>
    <s v="Architect Referral"/>
    <x v="6"/>
    <s v="2025-12-15"/>
    <x v="11"/>
    <x v="11"/>
    <x v="3"/>
    <n v="4"/>
    <n v="9"/>
    <s v="2026-02-16"/>
    <x v="1"/>
    <n v="383161"/>
    <m/>
    <m/>
    <x v="0"/>
    <n v="10"/>
    <s v="Warm"/>
    <s v="Follow up after Akshaya Tritiya"/>
  </r>
  <r>
    <s v="LD2137"/>
    <s v="Sunanda Aware"/>
    <n v="9617192754"/>
    <x v="0"/>
    <x v="8"/>
    <s v="Instagram Before-After Posts"/>
    <x v="10"/>
    <s v="2025-12-15"/>
    <x v="11"/>
    <x v="11"/>
    <x v="3"/>
    <n v="4"/>
    <n v="1"/>
    <s v="2025-12-24"/>
    <x v="0"/>
    <n v="414147"/>
    <m/>
    <m/>
    <x v="0"/>
    <n v="4.0999999999999996"/>
    <s v="Cold"/>
    <s v="Lost to branded competitor"/>
  </r>
  <r>
    <s v="LD2138"/>
    <s v="Sonal Jadhav"/>
    <n v="9767790156"/>
    <x v="2"/>
    <x v="8"/>
    <s v="Instagram Gudi Padwa Special"/>
    <x v="10"/>
    <s v="2025-12-15"/>
    <x v="11"/>
    <x v="11"/>
    <x v="3"/>
    <n v="4"/>
    <n v="4"/>
    <s v="2026-01-09"/>
    <x v="3"/>
    <n v="363341"/>
    <m/>
    <m/>
    <x v="1"/>
    <n v="4.2"/>
    <s v="Warm"/>
    <m/>
  </r>
  <r>
    <s v="LD2139"/>
    <s v="Sunita Mane"/>
    <n v="9448349654"/>
    <x v="0"/>
    <x v="8"/>
    <s v="Instagram Wardrobe Showcase"/>
    <x v="14"/>
    <s v="2025-12-15"/>
    <x v="11"/>
    <x v="11"/>
    <x v="3"/>
    <n v="4"/>
    <n v="1"/>
    <s v="2025-12-31"/>
    <x v="0"/>
    <n v="2079731"/>
    <m/>
    <m/>
    <x v="1"/>
    <n v="17.399999999999999"/>
    <s v="Cold"/>
    <s v="Lost to competitor - cheaper quote"/>
  </r>
  <r>
    <s v="LD2140"/>
    <s v="Bharati Patil"/>
    <n v="9836152591"/>
    <x v="0"/>
    <x v="0"/>
    <s v="Colony Reference"/>
    <x v="2"/>
    <s v="2025-12-15"/>
    <x v="11"/>
    <x v="11"/>
    <x v="3"/>
    <n v="4"/>
    <n v="3"/>
    <s v="2026-01-05"/>
    <x v="1"/>
    <n v="542271"/>
    <m/>
    <m/>
    <x v="0"/>
    <n v="23.9"/>
    <s v="Warm"/>
    <s v="Site visit to be scheduled"/>
  </r>
  <r>
    <s v="LD2141"/>
    <s v="Nikhil Kakade"/>
    <n v="9147565809"/>
    <x v="0"/>
    <x v="2"/>
    <s v="Architect Referral"/>
    <x v="7"/>
    <s v="2025-12-15"/>
    <x v="11"/>
    <x v="11"/>
    <x v="3"/>
    <n v="4"/>
    <n v="11"/>
    <s v="2026-01-28"/>
    <x v="0"/>
    <n v="1409311"/>
    <m/>
    <m/>
    <x v="2"/>
    <n v="0.9"/>
    <s v="Cold"/>
    <s v="Project cancelled by customer"/>
  </r>
  <r>
    <s v="LD2142"/>
    <s v="Sunanda Salve"/>
    <n v="9955925124"/>
    <x v="0"/>
    <x v="2"/>
    <s v="Client Referral"/>
    <x v="7"/>
    <s v="2025-12-15"/>
    <x v="11"/>
    <x v="11"/>
    <x v="3"/>
    <n v="4"/>
    <n v="3"/>
    <s v="2025-12-29"/>
    <x v="4"/>
    <n v="1082568"/>
    <n v="1025068"/>
    <s v="2026-01-01"/>
    <x v="1"/>
    <n v="28"/>
    <s v="Warm"/>
    <m/>
  </r>
  <r>
    <s v="LD2143"/>
    <s v="Ravi Yadav"/>
    <n v="9206268132"/>
    <x v="3"/>
    <x v="2"/>
    <s v="Architect Referral"/>
    <x v="10"/>
    <s v="2025-12-16"/>
    <x v="11"/>
    <x v="11"/>
    <x v="3"/>
    <n v="4"/>
    <n v="11"/>
    <s v="2026-03-02"/>
    <x v="4"/>
    <n v="607597"/>
    <n v="559946"/>
    <s v="2026-03-09"/>
    <x v="1"/>
    <n v="6.3"/>
    <s v="Warm"/>
    <s v="Deal closed, advance received"/>
  </r>
  <r>
    <s v="LD2144"/>
    <s v="Nilesh Gavhane"/>
    <n v="9517361653"/>
    <x v="1"/>
    <x v="1"/>
    <s v="Justdial Free Listing — Inbound"/>
    <x v="4"/>
    <s v="2025-12-16"/>
    <x v="11"/>
    <x v="11"/>
    <x v="3"/>
    <n v="4"/>
    <n v="6"/>
    <s v="2026-02-02"/>
    <x v="4"/>
    <n v="293443"/>
    <n v="272459"/>
    <s v="2026-02-13"/>
    <x v="1"/>
    <n v="16"/>
    <s v="Hot"/>
    <s v="Token received, design finalised"/>
  </r>
  <r>
    <s v="LD2145"/>
    <s v="Meena Shelke"/>
    <n v="9586971746"/>
    <x v="0"/>
    <x v="2"/>
    <s v="Client Referral"/>
    <x v="8"/>
    <s v="2025-12-16"/>
    <x v="11"/>
    <x v="11"/>
    <x v="3"/>
    <n v="4"/>
    <n v="4"/>
    <s v="2025-12-27"/>
    <x v="3"/>
    <n v="704072"/>
    <m/>
    <m/>
    <x v="1"/>
    <n v="15.2"/>
    <s v="Hot"/>
    <s v="Customer comparing 1-2 vendors only"/>
  </r>
  <r>
    <s v="LD2146"/>
    <s v="Dinesh Bhalerao"/>
    <n v="9604298135"/>
    <x v="0"/>
    <x v="3"/>
    <s v="MagicBricks Enquiry — Inbound"/>
    <x v="6"/>
    <s v="2025-12-17"/>
    <x v="11"/>
    <x v="11"/>
    <x v="3"/>
    <n v="4"/>
    <n v="9"/>
    <s v="2026-02-12"/>
    <x v="0"/>
    <n v="320915"/>
    <m/>
    <m/>
    <x v="2"/>
    <n v="21.5"/>
    <s v="Cold"/>
    <s v="Went with local vendor"/>
  </r>
  <r>
    <s v="LD2147"/>
    <s v="Mahesh Gaikwad"/>
    <n v="9843083973"/>
    <x v="0"/>
    <x v="0"/>
    <s v="Family Reference"/>
    <x v="12"/>
    <s v="2025-12-18"/>
    <x v="11"/>
    <x v="11"/>
    <x v="3"/>
    <n v="4"/>
    <n v="8"/>
    <s v="2026-01-20"/>
    <x v="4"/>
    <n v="1186081"/>
    <n v="1198794"/>
    <s v="2026-01-28"/>
    <x v="1"/>
    <n v="29.6"/>
    <s v="Hot"/>
    <s v="Final payment received, project handed over"/>
  </r>
  <r>
    <s v="LD2148"/>
    <s v="Manoj Suryawanshi"/>
    <n v="9597178108"/>
    <x v="3"/>
    <x v="5"/>
    <s v="Exhibition Walk-in"/>
    <x v="8"/>
    <s v="2025-12-18"/>
    <x v="11"/>
    <x v="11"/>
    <x v="3"/>
    <n v="4"/>
    <n v="0"/>
    <s v="2025-12-29"/>
    <x v="4"/>
    <n v="630527"/>
    <n v="626227"/>
    <s v="2026-01-05"/>
    <x v="1"/>
    <n v="7.2"/>
    <s v="Hot"/>
    <s v="Final payment received, project handed over"/>
  </r>
  <r>
    <s v="LD2149"/>
    <s v="Sunita Deshmukh"/>
    <m/>
    <x v="4"/>
    <x v="8"/>
    <s v="Instagram Wardrobe Showcase"/>
    <x v="12"/>
    <s v="2025-12-19"/>
    <x v="11"/>
    <x v="11"/>
    <x v="3"/>
    <n v="4"/>
    <n v="5"/>
    <s v="2026-01-17"/>
    <x v="0"/>
    <n v="1582196"/>
    <m/>
    <m/>
    <x v="1"/>
    <n v="14.1"/>
    <s v="Cold"/>
    <s v="Instagram story enquiry, no contact details given"/>
  </r>
  <r>
    <s v="LD2150"/>
    <s v="Dinesh Gaikwad"/>
    <n v="9870162477"/>
    <x v="1"/>
    <x v="3"/>
    <s v="MagicBricks Enquiry — Inbound"/>
    <x v="6"/>
    <s v="2025-12-20"/>
    <x v="11"/>
    <x v="11"/>
    <x v="3"/>
    <n v="4"/>
    <n v="5"/>
    <s v="2026-01-23"/>
    <x v="4"/>
    <n v="142522"/>
    <n v="135085"/>
    <s v="2026-02-02"/>
    <x v="1"/>
    <n v="24.2"/>
    <s v="Hot"/>
    <s v="Deal done, site work ongoing"/>
  </r>
  <r>
    <s v="LD2151"/>
    <s v="Santosh Nikalje"/>
    <n v="9320091601"/>
    <x v="0"/>
    <x v="6"/>
    <s v="Facebook Gudi Padwa Offer"/>
    <x v="8"/>
    <s v="2025-12-20"/>
    <x v="11"/>
    <x v="11"/>
    <x v="3"/>
    <n v="4"/>
    <n v="0"/>
    <s v="2025-12-23"/>
    <x v="0"/>
    <n v="930421"/>
    <m/>
    <m/>
    <x v="1"/>
    <n v="18.3"/>
    <s v="Cold"/>
    <s v="Lost to branded competitor"/>
  </r>
  <r>
    <s v="LD2152"/>
    <s v="Smita Londhe"/>
    <n v="9779430124"/>
    <x v="3"/>
    <x v="7"/>
    <s v="Website Chat Enquiry"/>
    <x v="2"/>
    <s v="2025-12-22"/>
    <x v="11"/>
    <x v="11"/>
    <x v="3"/>
    <n v="4"/>
    <n v="0"/>
    <s v="2026-01-02"/>
    <x v="4"/>
    <n v="422316"/>
    <n v="386730"/>
    <s v="2026-01-19"/>
    <x v="1"/>
    <n v="25.5"/>
    <s v="Hot"/>
    <s v="Token received, design finalised"/>
  </r>
  <r>
    <s v="LD2153"/>
    <s v="Jyoti Shelke"/>
    <n v="9342234380"/>
    <x v="1"/>
    <x v="7"/>
    <s v="Google Ads"/>
    <x v="12"/>
    <s v="2025-12-22"/>
    <x v="11"/>
    <x v="11"/>
    <x v="3"/>
    <n v="4"/>
    <m/>
    <s v="2026-02-12"/>
    <x v="0"/>
    <n v="1730436"/>
    <m/>
    <m/>
    <x v="1"/>
    <n v="11.9"/>
    <s v="Cold"/>
    <s v="Went with local vendor"/>
  </r>
  <r>
    <s v="LD2154"/>
    <s v="Nanda Tupe"/>
    <n v="9210409093"/>
    <x v="0"/>
    <x v="3"/>
    <s v="MagicBricks Property Enquiry — Inbound"/>
    <x v="9"/>
    <s v="2025-12-22"/>
    <x v="11"/>
    <x v="11"/>
    <x v="3"/>
    <n v="4"/>
    <n v="6"/>
    <s v="2026-01-30"/>
    <x v="3"/>
    <n v="361395"/>
    <m/>
    <m/>
    <x v="2"/>
    <n v="11.4"/>
    <s v="Cold"/>
    <s v="Price too high as per customer"/>
  </r>
  <r>
    <s v="LD2155"/>
    <s v="Lata Nimbalkar"/>
    <n v="9919035333"/>
    <x v="4"/>
    <x v="2"/>
    <s v="Architect Referral"/>
    <x v="0"/>
    <s v="2025-12-22"/>
    <x v="11"/>
    <x v="11"/>
    <x v="3"/>
    <n v="4"/>
    <n v="12"/>
    <s v="2026-02-03"/>
    <x v="4"/>
    <n v="425463"/>
    <n v="437434"/>
    <s v="2026-02-12"/>
    <x v="0"/>
    <n v="16.8"/>
    <s v="Hot"/>
    <s v="Customer happy with sample, deal closed"/>
  </r>
  <r>
    <s v="LD2156"/>
    <s v="Rohit Gaikwad"/>
    <n v="9387447116"/>
    <x v="0"/>
    <x v="2"/>
    <s v="Architect Referral"/>
    <x v="3"/>
    <s v="2025-12-22"/>
    <x v="11"/>
    <x v="11"/>
    <x v="3"/>
    <n v="4"/>
    <n v="12"/>
    <s v="2026-02-17"/>
    <x v="1"/>
    <n v="226739"/>
    <m/>
    <m/>
    <x v="2"/>
    <n v="20.6"/>
    <s v="Hot"/>
    <s v="Design presentation done, waiting for confirmation"/>
  </r>
  <r>
    <s v="LD2157"/>
    <s v="Divya Naik"/>
    <n v="9969526171"/>
    <x v="1"/>
    <x v="4"/>
    <s v="99acres Flat Owner Enquiry — Inbound"/>
    <x v="9"/>
    <s v="2025-12-22"/>
    <x v="11"/>
    <x v="11"/>
    <x v="3"/>
    <n v="4"/>
    <n v="9"/>
    <s v="2026-01-15"/>
    <x v="0"/>
    <n v="196498"/>
    <m/>
    <m/>
    <x v="2"/>
    <n v="13.4"/>
    <s v="Cold"/>
    <m/>
  </r>
  <r>
    <s v="LD2158"/>
    <s v="Lata Kale"/>
    <n v="9501257524"/>
    <x v="2"/>
    <x v="5"/>
    <s v="Showroom Walk-in"/>
    <x v="9"/>
    <s v="2025-12-22"/>
    <x v="11"/>
    <x v="11"/>
    <x v="3"/>
    <n v="4"/>
    <n v="10"/>
    <s v="2026-03-03"/>
    <x v="0"/>
    <n v="197344"/>
    <m/>
    <m/>
    <x v="0"/>
    <n v="24.3"/>
    <s v="Cold"/>
    <s v="No response, marked as lost after 60 days"/>
  </r>
  <r>
    <s v="LD2159"/>
    <s v="Divya Wagh"/>
    <n v="9476108214"/>
    <x v="0"/>
    <x v="0"/>
    <s v="Colony Reference"/>
    <x v="6"/>
    <s v="2025-12-22"/>
    <x v="11"/>
    <x v="11"/>
    <x v="3"/>
    <n v="4"/>
    <n v="4"/>
    <s v="2026-01-21"/>
    <x v="0"/>
    <n v="127051"/>
    <m/>
    <m/>
    <x v="1"/>
    <n v="26.9"/>
    <s v="Cold"/>
    <s v="Project cancelled by customer"/>
  </r>
  <r>
    <s v="LD2160"/>
    <s v="Kavita Aware"/>
    <n v="9370616430"/>
    <x v="2"/>
    <x v="6"/>
    <s v="Facebook Home Decor Ads"/>
    <x v="3"/>
    <s v="2025-12-24"/>
    <x v="11"/>
    <x v="11"/>
    <x v="3"/>
    <n v="4"/>
    <n v="4"/>
    <s v="2026-01-17"/>
    <x v="0"/>
    <n v="268510"/>
    <m/>
    <m/>
    <x v="2"/>
    <n v="14.3"/>
    <s v="Cold"/>
    <s v="Lost to branded competitor"/>
  </r>
  <r>
    <s v="LD2161"/>
    <s v="Archana Kadam"/>
    <n v="9201922063"/>
    <x v="2"/>
    <x v="8"/>
    <s v="Instagram Wardrobe Showcase"/>
    <x v="4"/>
    <s v="2025-12-24"/>
    <x v="11"/>
    <x v="11"/>
    <x v="3"/>
    <n v="4"/>
    <n v="0"/>
    <s v="2026-01-01"/>
    <x v="3"/>
    <n v="366164"/>
    <m/>
    <m/>
    <x v="0"/>
    <n v="4.2"/>
    <s v="Hot"/>
    <s v="Measurement done, quote pending approval"/>
  </r>
  <r>
    <s v="LD2162"/>
    <s v="Deepak Nikalje"/>
    <n v="9992409739"/>
    <x v="4"/>
    <x v="6"/>
    <s v="Facebook Diwali Offer"/>
    <x v="4"/>
    <s v="2025-12-25"/>
    <x v="11"/>
    <x v="11"/>
    <x v="3"/>
    <n v="4"/>
    <n v="0"/>
    <s v="2026-01-05"/>
    <x v="0"/>
    <n v="400748"/>
    <m/>
    <m/>
    <x v="0"/>
    <n v="33.799999999999997"/>
    <s v="Cold"/>
    <s v="No response, marked as lost after 60 days"/>
  </r>
  <r>
    <s v="LD2163"/>
    <s v="Ganesh Kale"/>
    <n v="9736597924"/>
    <x v="0"/>
    <x v="6"/>
    <s v="Facebook Diwali Offer"/>
    <x v="0"/>
    <s v="2025-12-26"/>
    <x v="11"/>
    <x v="11"/>
    <x v="3"/>
    <n v="4"/>
    <n v="6"/>
    <s v="2026-02-02"/>
    <x v="1"/>
    <n v="788646"/>
    <m/>
    <m/>
    <x v="2"/>
    <n v="2.2000000000000002"/>
    <s v="Hot"/>
    <s v="Token amount discussed, decision this week"/>
  </r>
  <r>
    <s v="LD2164"/>
    <s v="Nanda Bhosale"/>
    <n v="9530542078"/>
    <x v="2"/>
    <x v="1"/>
    <s v="Justdial Sponsored — Inbound"/>
    <x v="7"/>
    <s v="2025-12-26"/>
    <x v="11"/>
    <x v="11"/>
    <x v="3"/>
    <n v="4"/>
    <n v="7"/>
    <s v="2026-02-11"/>
    <x v="3"/>
    <n v="719983"/>
    <m/>
    <m/>
    <x v="1"/>
    <n v="11.5"/>
    <s v="Hot"/>
    <s v="Design presentation done, waiting for confirmation"/>
  </r>
  <r>
    <s v="LD2165"/>
    <s v="Pramod Aware"/>
    <n v="9486979061"/>
    <x v="2"/>
    <x v="2"/>
    <s v="Neighbour Referral"/>
    <x v="8"/>
    <s v="2025-12-26"/>
    <x v="11"/>
    <x v="11"/>
    <x v="3"/>
    <n v="4"/>
    <n v="2"/>
    <s v="2026-01-20"/>
    <x v="4"/>
    <n v="850355"/>
    <n v="794128"/>
    <s v="2026-02-04"/>
    <x v="2"/>
    <n v="18.3"/>
    <s v="Hot"/>
    <m/>
  </r>
  <r>
    <s v="LD2166"/>
    <s v="Sunanda Londhe"/>
    <n v="9497990678"/>
    <x v="2"/>
    <x v="5"/>
    <s v="Showroom Walk-in"/>
    <x v="2"/>
    <s v="2025-12-26"/>
    <x v="11"/>
    <x v="11"/>
    <x v="3"/>
    <n v="4"/>
    <n v="9"/>
    <s v="2026-02-02"/>
    <x v="0"/>
    <n v="303632"/>
    <m/>
    <m/>
    <x v="0"/>
    <n v="12.5"/>
    <s v="Cold"/>
    <s v="Customer did not proceed with project"/>
  </r>
  <r>
    <s v="LD2167"/>
    <s v="Pramod Nimbalkar"/>
    <n v="9101083254"/>
    <x v="2"/>
    <x v="6"/>
    <s v="Facebook Gudi Padwa Offer"/>
    <x v="13"/>
    <s v="2025-12-26"/>
    <x v="11"/>
    <x v="11"/>
    <x v="3"/>
    <n v="4"/>
    <n v="3"/>
    <s v="2026-01-12"/>
    <x v="1"/>
    <n v="1956307"/>
    <m/>
    <m/>
    <x v="2"/>
    <n v="2.4"/>
    <s v="Warm"/>
    <s v="Follow up after Diwali"/>
  </r>
  <r>
    <s v="LD2168"/>
    <s v="Rajesh Holkar"/>
    <n v="9729739821"/>
    <x v="3"/>
    <x v="0"/>
    <s v="Friend Reference"/>
    <x v="11"/>
    <s v="2025-12-29"/>
    <x v="11"/>
    <x v="11"/>
    <x v="3"/>
    <n v="4"/>
    <n v="7"/>
    <s v="2026-01-27"/>
    <x v="3"/>
    <n v="341726"/>
    <m/>
    <m/>
    <x v="0"/>
    <n v="1.5"/>
    <s v="Warm"/>
    <s v="Follow up after Diwali"/>
  </r>
  <r>
    <s v="LD2169"/>
    <s v="Nilesh Jadhav"/>
    <n v="9158607018"/>
    <x v="0"/>
    <x v="6"/>
    <s v="Facebook Kitchen Showcase"/>
    <x v="2"/>
    <s v="2025-12-29"/>
    <x v="11"/>
    <x v="11"/>
    <x v="3"/>
    <n v="4"/>
    <n v="1"/>
    <s v="2026-01-16"/>
    <x v="4"/>
    <n v="203672"/>
    <n v="200296"/>
    <s v="2026-01-19"/>
    <x v="1"/>
    <n v="31.3"/>
    <s v="Hot"/>
    <s v="Work order signed, production started"/>
  </r>
  <r>
    <s v="LD2170"/>
    <s v="Manisha Deshmukh"/>
    <n v="9933255223"/>
    <x v="0"/>
    <x v="6"/>
    <s v="Facebook Kitchen Showcase"/>
    <x v="13"/>
    <s v="2025-12-29"/>
    <x v="11"/>
    <x v="11"/>
    <x v="3"/>
    <n v="4"/>
    <n v="5"/>
    <s v="2026-01-19"/>
    <x v="4"/>
    <n v="1850411"/>
    <n v="1647551"/>
    <s v="2026-02-04"/>
    <x v="1"/>
    <n v="30.2"/>
    <s v="Warm"/>
    <s v="Deal closed, advance received"/>
  </r>
  <r>
    <s v="LD2171"/>
    <s v="Kiran Londhe"/>
    <n v="9454436789"/>
    <x v="3"/>
    <x v="2"/>
    <s v="Architect Referral"/>
    <x v="5"/>
    <s v="2025-12-29"/>
    <x v="11"/>
    <x v="11"/>
    <x v="3"/>
    <n v="4"/>
    <n v="10"/>
    <s v="2026-02-27"/>
    <x v="0"/>
    <n v="284911"/>
    <m/>
    <m/>
    <x v="0"/>
    <n v="28.3"/>
    <s v="Warm"/>
    <s v="Customer chose readymade furniture"/>
  </r>
  <r>
    <s v="LD2172"/>
    <s v="Alka Chavan"/>
    <n v="9255418912"/>
    <x v="0"/>
    <x v="2"/>
    <s v="Contractor Referral"/>
    <x v="6"/>
    <s v="2025-12-29"/>
    <x v="11"/>
    <x v="11"/>
    <x v="3"/>
    <n v="4"/>
    <n v="5"/>
    <s v="2026-01-13"/>
    <x v="4"/>
    <n v="240306"/>
    <n v="229092"/>
    <s v="2026-01-22"/>
    <x v="1"/>
    <n v="11.8"/>
    <s v="Hot"/>
    <s v="Customer referred 2 more leads after delivery"/>
  </r>
  <r>
    <s v="LD2173"/>
    <s v="Deepak Nimbalkar"/>
    <n v="9438004607"/>
    <x v="0"/>
    <x v="2"/>
    <s v="Architect Referral"/>
    <x v="7"/>
    <s v="2025-12-29"/>
    <x v="11"/>
    <x v="11"/>
    <x v="3"/>
    <n v="4"/>
    <n v="12"/>
    <s v="2026-03-16"/>
    <x v="1"/>
    <n v="958052"/>
    <m/>
    <m/>
    <x v="1"/>
    <n v="23.6"/>
    <s v="Cold"/>
    <s v="Not responding to calls"/>
  </r>
  <r>
    <s v="LD2174"/>
    <s v="Mahesh Joshi"/>
    <m/>
    <x v="4"/>
    <x v="7"/>
    <s v="Google Ads"/>
    <x v="12"/>
    <s v="2025-12-29"/>
    <x v="11"/>
    <x v="11"/>
    <x v="3"/>
    <n v="4"/>
    <n v="9"/>
    <s v="2026-02-07"/>
    <x v="0"/>
    <n v="1685266"/>
    <m/>
    <m/>
    <x v="2"/>
    <n v="33.9"/>
    <s v="Cold"/>
    <s v="Google Ads lead — customer filled form without phone"/>
  </r>
  <r>
    <s v="LD2175"/>
    <s v="Ashwini Deshmukh"/>
    <n v="9731199947"/>
    <x v="2"/>
    <x v="2"/>
    <s v="Neighbour Referral"/>
    <x v="6"/>
    <s v="2025-12-29"/>
    <x v="11"/>
    <x v="11"/>
    <x v="3"/>
    <n v="4"/>
    <n v="1"/>
    <s v="2026-01-06"/>
    <x v="3"/>
    <n v="194101"/>
    <m/>
    <m/>
    <x v="1"/>
    <n v="15.5"/>
    <s v="Warm"/>
    <s v="Site visit to be scheduled"/>
  </r>
  <r>
    <s v="LD2176"/>
    <s v="Vijay Patil"/>
    <n v="9828808253"/>
    <x v="0"/>
    <x v="7"/>
    <s v="SEO Organic"/>
    <x v="12"/>
    <s v="2025-12-29"/>
    <x v="11"/>
    <x v="11"/>
    <x v="3"/>
    <n v="4"/>
    <n v="9"/>
    <s v="2026-01-26"/>
    <x v="4"/>
    <n v="1071563"/>
    <n v="1020721"/>
    <s v="2026-01-29"/>
    <x v="0"/>
    <n v="13.8"/>
    <s v="Warm"/>
    <s v="Deal closed, advance received"/>
  </r>
  <r>
    <s v="LD2177"/>
    <s v="Shweta Naik"/>
    <n v="9275576878"/>
    <x v="0"/>
    <x v="7"/>
    <s v="Google My Business"/>
    <x v="4"/>
    <s v="2025-12-30"/>
    <x v="11"/>
    <x v="11"/>
    <x v="3"/>
    <n v="4"/>
    <n v="1"/>
    <s v="2026-01-03"/>
    <x v="1"/>
    <n v="256977"/>
    <m/>
    <m/>
    <x v="2"/>
    <n v="17.399999999999999"/>
    <s v="Warm"/>
    <s v="Waiting for interior budget approval from family"/>
  </r>
  <r>
    <s v="LD2178"/>
    <s v="Nanda Kulkarni"/>
    <n v="9221683590"/>
    <x v="0"/>
    <x v="8"/>
    <s v="Instagram Kitchen Reels"/>
    <x v="5"/>
    <s v="2025-12-31"/>
    <x v="11"/>
    <x v="11"/>
    <x v="3"/>
    <n v="4"/>
    <n v="0"/>
    <s v="2026-01-05"/>
    <x v="4"/>
    <n v="183455"/>
    <n v="185680"/>
    <s v="2026-01-13"/>
    <x v="1"/>
    <n v="14.3"/>
    <s v="Hot"/>
    <s v="Work order signed, production started"/>
  </r>
  <r>
    <s v="LD2179"/>
    <s v="Ritu Shelke"/>
    <n v="9723447772"/>
    <x v="0"/>
    <x v="8"/>
    <s v="Instagram Kitchen Reels"/>
    <x v="5"/>
    <s v="2026-01-01"/>
    <x v="0"/>
    <x v="0"/>
    <x v="4"/>
    <n v="1"/>
    <n v="6"/>
    <s v="2026-01-31"/>
    <x v="1"/>
    <n v="162434"/>
    <m/>
    <m/>
    <x v="1"/>
    <n v="4.5"/>
    <s v="Hot"/>
    <s v="Final quote shared, awaiting approval"/>
  </r>
  <r>
    <s v="LD2180"/>
    <s v="Prashant More"/>
    <n v="9318107558"/>
    <x v="0"/>
    <x v="8"/>
    <s v="Instagram Kitchen Reels"/>
    <x v="0"/>
    <s v="2026-01-01"/>
    <x v="0"/>
    <x v="0"/>
    <x v="4"/>
    <n v="1"/>
    <n v="6"/>
    <s v="2026-01-31"/>
    <x v="4"/>
    <n v="863342"/>
    <n v="764860"/>
    <s v="2026-02-06"/>
    <x v="1"/>
    <n v="17.2"/>
    <s v="Hot"/>
    <s v="Full payment cleared, delivery done"/>
  </r>
  <r>
    <s v="LD2181"/>
    <s v="Bharati Shinde"/>
    <n v="9282951750"/>
    <x v="2"/>
    <x v="8"/>
    <s v="Instagram Before-After Posts"/>
    <x v="1"/>
    <s v="2026-01-01"/>
    <x v="0"/>
    <x v="0"/>
    <x v="4"/>
    <n v="1"/>
    <n v="4"/>
    <s v="2026-01-14"/>
    <x v="0"/>
    <n v="343487"/>
    <m/>
    <m/>
    <x v="0"/>
    <n v="20.5"/>
    <s v="Cold"/>
    <m/>
  </r>
  <r>
    <s v="LD2182"/>
    <s v="Anita Sawant"/>
    <n v="9466681532"/>
    <x v="0"/>
    <x v="5"/>
    <s v="Exhibition Walk-in"/>
    <x v="7"/>
    <s v="2026-01-01"/>
    <x v="0"/>
    <x v="0"/>
    <x v="4"/>
    <n v="1"/>
    <n v="12"/>
    <s v="2026-02-16"/>
    <x v="4"/>
    <n v="1541213"/>
    <n v="1544401"/>
    <s v="2026-02-20"/>
    <x v="0"/>
    <n v="28"/>
    <s v="Warm"/>
    <s v="Customer referred 2 more leads after delivery"/>
  </r>
  <r>
    <s v="LD2183"/>
    <s v="Rekha Thorat"/>
    <n v="9550787404"/>
    <x v="0"/>
    <x v="5"/>
    <s v="Site Visit Walk-in"/>
    <x v="4"/>
    <s v="2026-01-02"/>
    <x v="0"/>
    <x v="0"/>
    <x v="4"/>
    <n v="1"/>
    <n v="2"/>
    <s v="2026-01-07"/>
    <x v="2"/>
    <n v="253297"/>
    <m/>
    <m/>
    <x v="2"/>
    <n v="11"/>
    <s v="Warm"/>
    <s v="Follow up after flat possession"/>
  </r>
  <r>
    <s v="LD2184"/>
    <s v="Sunanda Salve"/>
    <n v="9956681603"/>
    <x v="2"/>
    <x v="8"/>
    <s v="Instagram Story Ads"/>
    <x v="1"/>
    <s v="2026-01-02"/>
    <x v="0"/>
    <x v="0"/>
    <x v="4"/>
    <n v="1"/>
    <n v="9"/>
    <s v="2026-02-04"/>
    <x v="0"/>
    <n v="226688"/>
    <m/>
    <m/>
    <x v="1"/>
    <n v="16.7"/>
    <s v="Cold"/>
    <s v="Lost to branded competitor"/>
  </r>
  <r>
    <s v="LD2185"/>
    <s v="Kiran Sonawane"/>
    <n v="9131343440"/>
    <x v="4"/>
    <x v="8"/>
    <s v="Instagram Diwali Campaign"/>
    <x v="7"/>
    <s v="2026-01-03"/>
    <x v="0"/>
    <x v="0"/>
    <x v="4"/>
    <n v="1"/>
    <n v="6"/>
    <s v="2026-02-13"/>
    <x v="3"/>
    <n v="1452538"/>
    <m/>
    <m/>
    <x v="2"/>
    <n v="23.2"/>
    <s v="Hot"/>
    <s v="Design presentation done, waiting for confirmation"/>
  </r>
  <r>
    <s v="LD2186"/>
    <s v="Sachin Bhalerao"/>
    <n v="9256112826"/>
    <x v="2"/>
    <x v="8"/>
    <s v="Instagram Before-After Posts"/>
    <x v="3"/>
    <s v="2026-01-03"/>
    <x v="0"/>
    <x v="0"/>
    <x v="4"/>
    <n v="1"/>
    <n v="5"/>
    <s v="2026-02-02"/>
    <x v="4"/>
    <n v="130492"/>
    <n v="124067"/>
    <s v="2026-02-18"/>
    <x v="0"/>
    <n v="34.200000000000003"/>
    <s v="Hot"/>
    <s v="Token paid, measurement done, work started"/>
  </r>
  <r>
    <s v="LD2187"/>
    <s v="Manisha Suryawanshi"/>
    <n v="9872571481"/>
    <x v="1"/>
    <x v="8"/>
    <s v="Instagram Story Ads"/>
    <x v="12"/>
    <s v="2026-01-03"/>
    <x v="0"/>
    <x v="0"/>
    <x v="4"/>
    <n v="1"/>
    <n v="7"/>
    <s v="2026-02-27"/>
    <x v="4"/>
    <n v="1849707"/>
    <n v="1649938"/>
    <s v="2026-03-12"/>
    <x v="0"/>
    <n v="16.7"/>
    <s v="Hot"/>
    <s v="Customer referred 2 more leads after delivery"/>
  </r>
  <r>
    <s v="LD2188"/>
    <s v="Varsha Phule"/>
    <n v="9555922184"/>
    <x v="0"/>
    <x v="2"/>
    <s v="Neighbour Referral"/>
    <x v="5"/>
    <s v="2026-01-05"/>
    <x v="0"/>
    <x v="0"/>
    <x v="4"/>
    <n v="1"/>
    <n v="11"/>
    <s v="2026-03-21"/>
    <x v="3"/>
    <n v="181898"/>
    <m/>
    <m/>
    <x v="1"/>
    <n v="4.5999999999999996"/>
    <s v="Hot"/>
    <s v="Token amount discussed, decision this week"/>
  </r>
  <r>
    <s v="LD2189"/>
    <s v="Nanda Deshmukh"/>
    <n v="9113416393"/>
    <x v="3"/>
    <x v="8"/>
    <s v="Instagram Wardrobe Showcase"/>
    <x v="6"/>
    <s v="2026-01-05"/>
    <x v="0"/>
    <x v="0"/>
    <x v="4"/>
    <n v="1"/>
    <n v="3"/>
    <s v="2026-02-03"/>
    <x v="3"/>
    <n v="378308"/>
    <m/>
    <m/>
    <x v="0"/>
    <n v="33.6"/>
    <s v="Hot"/>
    <s v="Final quote shared, awaiting approval"/>
  </r>
  <r>
    <s v="LD2190"/>
    <s v="Lata Thorat"/>
    <n v="9447487496"/>
    <x v="4"/>
    <x v="4"/>
    <s v="99acres Flat Owner Enquiry — Inbound"/>
    <x v="2"/>
    <s v="2026-01-05"/>
    <x v="0"/>
    <x v="0"/>
    <x v="4"/>
    <n v="1"/>
    <n v="11"/>
    <s v="2026-02-19"/>
    <x v="0"/>
    <n v="405308"/>
    <m/>
    <m/>
    <x v="1"/>
    <n v="19.600000000000001"/>
    <s v="Cold"/>
    <s v="Went with local vendor"/>
  </r>
  <r>
    <s v="LD2191"/>
    <s v="Meena Sawant"/>
    <n v="9331336169"/>
    <x v="2"/>
    <x v="8"/>
    <s v="Instagram Wardrobe Showcase"/>
    <x v="5"/>
    <s v="2026-01-05"/>
    <x v="0"/>
    <x v="0"/>
    <x v="4"/>
    <n v="1"/>
    <n v="9"/>
    <s v="2026-03-05"/>
    <x v="1"/>
    <n v="166363"/>
    <m/>
    <m/>
    <x v="1"/>
    <n v="7.9"/>
    <s v="Cold"/>
    <s v="Price too high as per customer"/>
  </r>
  <r>
    <s v="LD2192"/>
    <s v="Jyoti Naik"/>
    <n v="9391592617"/>
    <x v="0"/>
    <x v="8"/>
    <s v="Instagram Before-After Posts"/>
    <x v="13"/>
    <s v="2026-01-06"/>
    <x v="0"/>
    <x v="0"/>
    <x v="4"/>
    <n v="1"/>
    <n v="10"/>
    <s v="2026-02-09"/>
    <x v="4"/>
    <n v="2069886"/>
    <n v="2083497"/>
    <s v="2026-03-01"/>
    <x v="2"/>
    <n v="9.1"/>
    <s v="Hot"/>
    <s v="Deal closed, advance received"/>
  </r>
  <r>
    <s v="LD2193"/>
    <s v="Seema More"/>
    <n v="9375412256"/>
    <x v="1"/>
    <x v="7"/>
    <s v="SEO Organic"/>
    <x v="6"/>
    <s v="2026-01-06"/>
    <x v="0"/>
    <x v="0"/>
    <x v="4"/>
    <n v="1"/>
    <n v="2"/>
    <s v="2026-01-12"/>
    <x v="3"/>
    <n v="153047"/>
    <m/>
    <m/>
    <x v="2"/>
    <n v="30.4"/>
    <s v="Warm"/>
    <s v="Under construction, possession in 3 months"/>
  </r>
  <r>
    <s v="LD2194"/>
    <s v="Varsha Kadam"/>
    <n v="9535401978"/>
    <x v="4"/>
    <x v="8"/>
    <s v="Instagram Before-After Posts"/>
    <x v="7"/>
    <s v="2026-01-06"/>
    <x v="0"/>
    <x v="0"/>
    <x v="4"/>
    <n v="1"/>
    <n v="3"/>
    <s v="2026-02-02"/>
    <x v="4"/>
    <n v="1302988"/>
    <n v="1304248"/>
    <s v="2026-02-23"/>
    <x v="0"/>
    <n v="8.6"/>
    <s v="Hot"/>
    <s v="Deal closed, advance received"/>
  </r>
  <r>
    <s v="LD2195"/>
    <s v="Prashant Deshmukh"/>
    <n v="9973693508"/>
    <x v="2"/>
    <x v="5"/>
    <s v="Showroom Walk-in"/>
    <x v="6"/>
    <s v="2026-01-06"/>
    <x v="0"/>
    <x v="0"/>
    <x v="4"/>
    <n v="1"/>
    <n v="12"/>
    <s v="2026-03-18"/>
    <x v="2"/>
    <n v="219614"/>
    <m/>
    <m/>
    <x v="0"/>
    <n v="27.7"/>
    <s v="Warm"/>
    <s v="Wants more design options before deciding"/>
  </r>
  <r>
    <s v="LD2196"/>
    <s v="Prashant Zende"/>
    <n v="9495783258"/>
    <x v="4"/>
    <x v="8"/>
    <s v="Instagram Story Ads"/>
    <x v="12"/>
    <s v="2026-01-06"/>
    <x v="0"/>
    <x v="0"/>
    <x v="4"/>
    <n v="1"/>
    <n v="10"/>
    <s v="2026-03-09"/>
    <x v="4"/>
    <n v="1102918"/>
    <n v="1085944"/>
    <s v="2026-03-26"/>
    <x v="0"/>
    <n v="19.5"/>
    <s v="Hot"/>
    <s v="Full payment cleared, delivery done"/>
  </r>
  <r>
    <s v="LD2197"/>
    <s v="Hemant Thorat"/>
    <n v="9265936600"/>
    <x v="0"/>
    <x v="5"/>
    <s v="Exhibition Walk-in"/>
    <x v="3"/>
    <s v="2026-01-06"/>
    <x v="0"/>
    <x v="0"/>
    <x v="4"/>
    <n v="1"/>
    <n v="12"/>
    <s v="2026-03-07"/>
    <x v="0"/>
    <n v="113484"/>
    <m/>
    <m/>
    <x v="1"/>
    <n v="11.5"/>
    <s v="Cold"/>
    <s v="Lost - no follow up done in time"/>
  </r>
  <r>
    <s v="LD2198"/>
    <s v="Manoj Phule"/>
    <n v="9474617020"/>
    <x v="4"/>
    <x v="8"/>
    <s v="Instagram Diwali Campaign"/>
    <x v="12"/>
    <s v="2026-01-06"/>
    <x v="0"/>
    <x v="0"/>
    <x v="4"/>
    <n v="1"/>
    <n v="12"/>
    <s v="2026-03-30"/>
    <x v="1"/>
    <n v="956093"/>
    <m/>
    <m/>
    <x v="0"/>
    <n v="4.8"/>
    <s v="Warm"/>
    <m/>
  </r>
  <r>
    <s v="LD2199"/>
    <s v="Sanjay Londhe"/>
    <n v="9807770065"/>
    <x v="0"/>
    <x v="2"/>
    <s v="Neighbour Referral"/>
    <x v="13"/>
    <s v="2026-01-07"/>
    <x v="0"/>
    <x v="0"/>
    <x v="4"/>
    <n v="1"/>
    <n v="1"/>
    <s v="2026-01-19"/>
    <x v="1"/>
    <n v="2046118"/>
    <m/>
    <m/>
    <x v="1"/>
    <n v="20.3"/>
    <s v="Warm"/>
    <s v="Follow up after Gudi Padwa"/>
  </r>
  <r>
    <s v="LD2200"/>
    <s v="Manoj Mane"/>
    <n v="9609789357"/>
    <x v="0"/>
    <x v="5"/>
    <s v="Exhibition Walk-in"/>
    <x v="9"/>
    <s v="2026-01-08"/>
    <x v="0"/>
    <x v="0"/>
    <x v="4"/>
    <n v="1"/>
    <n v="1"/>
    <s v="2026-01-24"/>
    <x v="4"/>
    <n v="247990"/>
    <n v="243396"/>
    <s v="2026-02-07"/>
    <x v="2"/>
    <n v="6.9"/>
    <s v="Hot"/>
    <s v="Final payment received, project handed over"/>
  </r>
  <r>
    <s v="LD2201"/>
    <s v="Manoj Patil"/>
    <n v="9417220087"/>
    <x v="2"/>
    <x v="2"/>
    <s v="Neighbour Referral"/>
    <x v="8"/>
    <s v="2026-01-08"/>
    <x v="0"/>
    <x v="0"/>
    <x v="4"/>
    <n v="1"/>
    <n v="1"/>
    <s v="2026-01-24"/>
    <x v="1"/>
    <n v="1134367"/>
    <m/>
    <m/>
    <x v="0"/>
    <n v="34.700000000000003"/>
    <s v="Hot"/>
    <s v="Ready to proceed, discussing payment terms"/>
  </r>
  <r>
    <s v="LD2202"/>
    <s v="Sonal Mane"/>
    <n v="9214963854"/>
    <x v="4"/>
    <x v="8"/>
    <s v="Instagram Diwali Campaign"/>
    <x v="10"/>
    <s v="2026-01-08"/>
    <x v="0"/>
    <x v="0"/>
    <x v="4"/>
    <n v="1"/>
    <n v="1"/>
    <s v="2026-01-14"/>
    <x v="4"/>
    <n v="390147"/>
    <n v="382761"/>
    <s v="2026-01-20"/>
    <x v="2"/>
    <m/>
    <s v="Hot"/>
    <s v="Final payment received, project handed over"/>
  </r>
  <r>
    <s v="LD2203"/>
    <s v="Pravin Deshmukh"/>
    <n v="9669893639"/>
    <x v="3"/>
    <x v="8"/>
    <s v="Instagram Diwali Campaign"/>
    <x v="5"/>
    <s v="2026-01-08"/>
    <x v="0"/>
    <x v="0"/>
    <x v="4"/>
    <n v="1"/>
    <n v="8"/>
    <s v="2026-03-02"/>
    <x v="0"/>
    <n v="300796"/>
    <m/>
    <m/>
    <x v="0"/>
    <n v="13"/>
    <s v="Cold"/>
    <s v="Project cancelled by customer"/>
  </r>
  <r>
    <s v="LD2204"/>
    <s v="Sonal Raut"/>
    <n v="9179146105"/>
    <x v="0"/>
    <x v="0"/>
    <s v="Family Reference"/>
    <x v="5"/>
    <s v="2026-01-09"/>
    <x v="0"/>
    <x v="0"/>
    <x v="4"/>
    <n v="1"/>
    <n v="4"/>
    <s v="2026-01-31"/>
    <x v="0"/>
    <n v="272161"/>
    <m/>
    <m/>
    <x v="1"/>
    <n v="20.5"/>
    <s v="Cold"/>
    <s v="Customer got work done from relative"/>
  </r>
  <r>
    <s v="LD2205"/>
    <s v="Ashwini Deshmukh"/>
    <n v="9773523122"/>
    <x v="4"/>
    <x v="2"/>
    <s v="Neighbour Referral"/>
    <x v="0"/>
    <s v="2026-01-10"/>
    <x v="0"/>
    <x v="0"/>
    <x v="4"/>
    <n v="1"/>
    <n v="1"/>
    <s v="2026-01-26"/>
    <x v="4"/>
    <n v="690476"/>
    <n v="679503"/>
    <s v="2026-02-10"/>
    <x v="2"/>
    <n v="16.3"/>
    <s v="Hot"/>
    <s v="Final payment received, project handed over"/>
  </r>
  <r>
    <s v="LD2206"/>
    <s v="Bharati Kakade"/>
    <n v="9305502933"/>
    <x v="0"/>
    <x v="6"/>
    <s v="Facebook Home Decor Ads"/>
    <x v="8"/>
    <s v="2026-01-12"/>
    <x v="0"/>
    <x v="0"/>
    <x v="4"/>
    <n v="1"/>
    <n v="0"/>
    <s v="2026-01-23"/>
    <x v="1"/>
    <n v="1164956"/>
    <m/>
    <m/>
    <x v="1"/>
    <n v="18.100000000000001"/>
    <s v="Warm"/>
    <m/>
  </r>
  <r>
    <s v="LD2207"/>
    <s v="Santosh Salve"/>
    <n v="9663597889"/>
    <x v="2"/>
    <x v="5"/>
    <s v="Site Visit Walk-in"/>
    <x v="12"/>
    <s v="2026-01-12"/>
    <x v="0"/>
    <x v="0"/>
    <x v="4"/>
    <n v="1"/>
    <n v="0"/>
    <s v="2026-01-14"/>
    <x v="4"/>
    <n v="1512904"/>
    <n v="1396548"/>
    <s v="2026-01-18"/>
    <x v="2"/>
    <n v="27.5"/>
    <s v="Warm"/>
    <s v="Work order signed, production started"/>
  </r>
  <r>
    <s v="LD2208"/>
    <s v="Ashwini Tupe"/>
    <n v="9562531328"/>
    <x v="0"/>
    <x v="2"/>
    <s v="Neighbour Referral"/>
    <x v="0"/>
    <s v="2026-01-12"/>
    <x v="0"/>
    <x v="0"/>
    <x v="4"/>
    <n v="1"/>
    <n v="8"/>
    <s v="2026-02-19"/>
    <x v="0"/>
    <n v="464821"/>
    <m/>
    <m/>
    <x v="1"/>
    <n v="2.4"/>
    <s v="Cold"/>
    <m/>
  </r>
  <r>
    <s v="LD2209"/>
    <s v="Lata Kshirsagar"/>
    <n v="9294665231"/>
    <x v="4"/>
    <x v="6"/>
    <s v="Facebook Gudi Padwa Offer"/>
    <x v="6"/>
    <s v="2026-01-12"/>
    <x v="0"/>
    <x v="0"/>
    <x v="4"/>
    <n v="1"/>
    <n v="12"/>
    <s v="2026-03-10"/>
    <x v="1"/>
    <n v="187757"/>
    <m/>
    <m/>
    <x v="1"/>
    <n v="9.1999999999999993"/>
    <s v="Warm"/>
    <s v="Under construction, possession in 3 months"/>
  </r>
  <r>
    <s v="LD2210"/>
    <s v="Vijay Londhe"/>
    <n v="9371511356"/>
    <x v="0"/>
    <x v="2"/>
    <s v="Neighbour Referral"/>
    <x v="5"/>
    <s v="2026-01-13"/>
    <x v="0"/>
    <x v="0"/>
    <x v="4"/>
    <n v="1"/>
    <n v="2"/>
    <s v="2026-01-29"/>
    <x v="4"/>
    <n v="278207"/>
    <n v="273425"/>
    <s v="2026-02-19"/>
    <x v="0"/>
    <n v="5.6"/>
    <s v="Warm"/>
    <m/>
  </r>
  <r>
    <s v="LD2211"/>
    <s v="Nikhil Thorat"/>
    <n v="9663597283"/>
    <x v="0"/>
    <x v="8"/>
    <s v="Instagram Story Ads"/>
    <x v="6"/>
    <s v="2026-01-13"/>
    <x v="0"/>
    <x v="0"/>
    <x v="4"/>
    <n v="1"/>
    <n v="12"/>
    <s v="2026-02-19"/>
    <x v="0"/>
    <n v="371541"/>
    <m/>
    <m/>
    <x v="1"/>
    <n v="20.3"/>
    <s v="Warm"/>
    <m/>
  </r>
  <r>
    <s v="LD2212"/>
    <s v="Rekha Deshpande"/>
    <n v="9428357144"/>
    <x v="2"/>
    <x v="6"/>
    <s v="Facebook Home Decor Ads"/>
    <x v="12"/>
    <s v="2026-01-13"/>
    <x v="0"/>
    <x v="0"/>
    <x v="4"/>
    <n v="1"/>
    <n v="1"/>
    <s v="2026-01-21"/>
    <x v="0"/>
    <n v="1763845"/>
    <m/>
    <m/>
    <x v="1"/>
    <n v="20.2"/>
    <s v="Cold"/>
    <s v="Lost to competitor - cheaper quote"/>
  </r>
  <r>
    <s v="LD2213"/>
    <s v="Jyoti Kshirsagar"/>
    <n v="9512919874"/>
    <x v="4"/>
    <x v="5"/>
    <s v="Exhibition Walk-in"/>
    <x v="0"/>
    <s v="2026-01-13"/>
    <x v="0"/>
    <x v="0"/>
    <x v="4"/>
    <n v="1"/>
    <n v="8"/>
    <s v="2026-02-18"/>
    <x v="1"/>
    <n v="854321"/>
    <m/>
    <m/>
    <x v="0"/>
    <n v="35.700000000000003"/>
    <s v="Cold"/>
    <s v="No call back after site visit"/>
  </r>
  <r>
    <s v="LD2214"/>
    <s v="Ashwini Bhalerao"/>
    <n v="9746954865"/>
    <x v="3"/>
    <x v="8"/>
    <s v="Instagram Wardrobe Showcase"/>
    <x v="6"/>
    <s v="2026-01-13"/>
    <x v="0"/>
    <x v="0"/>
    <x v="4"/>
    <n v="1"/>
    <n v="8"/>
    <s v="2026-03-02"/>
    <x v="0"/>
    <n v="363471"/>
    <m/>
    <m/>
    <x v="1"/>
    <n v="10.1"/>
    <s v="Cold"/>
    <s v="Customer got work done from relative"/>
  </r>
  <r>
    <s v="LD2215"/>
    <s v="Jyoti Raut"/>
    <m/>
    <x v="0"/>
    <x v="8"/>
    <s v="Instagram Kitchen Reels"/>
    <x v="10"/>
    <s v="2026-01-14"/>
    <x v="0"/>
    <x v="0"/>
    <x v="4"/>
    <n v="1"/>
    <n v="9"/>
    <s v="2026-03-10"/>
    <x v="0"/>
    <n v="223839"/>
    <m/>
    <m/>
    <x v="0"/>
    <n v="19.100000000000001"/>
    <s v="Warm"/>
    <s v="DM received on Instagram, no phone shared"/>
  </r>
  <r>
    <s v="LD2216"/>
    <s v="Manisha Raut"/>
    <n v="9824631938"/>
    <x v="2"/>
    <x v="8"/>
    <s v="Instagram Before-After Posts"/>
    <x v="0"/>
    <s v="2026-01-14"/>
    <x v="0"/>
    <x v="0"/>
    <x v="4"/>
    <n v="1"/>
    <n v="7"/>
    <s v="2026-02-11"/>
    <x v="3"/>
    <n v="700052"/>
    <m/>
    <m/>
    <x v="1"/>
    <n v="26.7"/>
    <s v="Warm"/>
    <s v="Budget discussion pending"/>
  </r>
  <r>
    <s v="LD2217"/>
    <s v="Umesh Bhosale"/>
    <n v="9823664346"/>
    <x v="4"/>
    <x v="8"/>
    <s v="Instagram Wardrobe Showcase"/>
    <x v="5"/>
    <s v="2026-01-14"/>
    <x v="0"/>
    <x v="0"/>
    <x v="4"/>
    <n v="1"/>
    <n v="8"/>
    <s v="2026-02-16"/>
    <x v="0"/>
    <n v="133848"/>
    <m/>
    <m/>
    <x v="0"/>
    <n v="8.1999999999999993"/>
    <s v="Warm"/>
    <s v="No response, marked as lost after 60 days"/>
  </r>
  <r>
    <s v="LD2218"/>
    <s v="Rekha Nimbalkar"/>
    <n v="9482983285"/>
    <x v="2"/>
    <x v="2"/>
    <s v="Contractor Referral"/>
    <x v="11"/>
    <s v="2026-01-14"/>
    <x v="0"/>
    <x v="0"/>
    <x v="4"/>
    <n v="1"/>
    <n v="1"/>
    <s v="2026-01-27"/>
    <x v="1"/>
    <n v="398580"/>
    <m/>
    <m/>
    <x v="1"/>
    <n v="32.9"/>
    <s v="Cold"/>
    <s v="Just enquiring, no serious intent"/>
  </r>
  <r>
    <s v="LD2219"/>
    <s v="Smita Naik"/>
    <n v="9733369355"/>
    <x v="2"/>
    <x v="8"/>
    <s v="Instagram Gudi Padwa Special"/>
    <x v="0"/>
    <s v="2026-01-14"/>
    <x v="0"/>
    <x v="0"/>
    <x v="4"/>
    <n v="1"/>
    <n v="4"/>
    <s v="2026-02-16"/>
    <x v="0"/>
    <n v="423124"/>
    <m/>
    <m/>
    <x v="0"/>
    <n v="25.1"/>
    <s v="Warm"/>
    <s v="Project cancelled by customer"/>
  </r>
  <r>
    <s v="LD2220"/>
    <s v="Sunita Nikalje"/>
    <n v="9747684891"/>
    <x v="0"/>
    <x v="8"/>
    <s v="Instagram Before-After Posts"/>
    <x v="0"/>
    <s v="2026-01-15"/>
    <x v="0"/>
    <x v="0"/>
    <x v="4"/>
    <n v="1"/>
    <n v="12"/>
    <s v="2026-03-30"/>
    <x v="3"/>
    <n v="406337"/>
    <m/>
    <m/>
    <x v="1"/>
    <n v="11.9"/>
    <s v="Cold"/>
    <s v="Project on hold"/>
  </r>
  <r>
    <s v="LD2221"/>
    <s v="Santosh Patil"/>
    <n v="9798104108"/>
    <x v="0"/>
    <x v="7"/>
    <s v="Google My Business"/>
    <x v="9"/>
    <s v="2026-01-15"/>
    <x v="0"/>
    <x v="0"/>
    <x v="4"/>
    <n v="1"/>
    <n v="0"/>
    <s v="2026-01-26"/>
    <x v="1"/>
    <n v="438765"/>
    <m/>
    <m/>
    <x v="2"/>
    <n v="16.5"/>
    <s v="Hot"/>
    <s v="Measurement done, quote pending approval"/>
  </r>
  <r>
    <s v="LD2222"/>
    <s v="Rohit Sawant"/>
    <n v="9584711845"/>
    <x v="4"/>
    <x v="2"/>
    <s v="Neighbour Referral"/>
    <x v="4"/>
    <s v="2026-01-15"/>
    <x v="0"/>
    <x v="0"/>
    <x v="4"/>
    <n v="1"/>
    <n v="4"/>
    <s v="2026-02-10"/>
    <x v="4"/>
    <n v="418040"/>
    <n v="426549"/>
    <s v="2026-02-18"/>
    <x v="0"/>
    <n v="30.1"/>
    <s v="Warm"/>
    <m/>
  </r>
  <r>
    <s v="LD2223"/>
    <s v="Ravi Thorat"/>
    <n v="9770637166"/>
    <x v="2"/>
    <x v="2"/>
    <s v="Neighbour Referral"/>
    <x v="1"/>
    <s v="2026-01-16"/>
    <x v="0"/>
    <x v="0"/>
    <x v="4"/>
    <n v="1"/>
    <n v="10"/>
    <s v="2026-02-09"/>
    <x v="0"/>
    <n v="270433"/>
    <m/>
    <m/>
    <x v="0"/>
    <n v="11.4"/>
    <s v="Cold"/>
    <s v="Budget mismatch - too low"/>
  </r>
  <r>
    <s v="LD2224"/>
    <s v="Rajesh Salve"/>
    <n v="9163617666"/>
    <x v="0"/>
    <x v="2"/>
    <s v="Contractor Referral"/>
    <x v="4"/>
    <s v="2026-01-17"/>
    <x v="0"/>
    <x v="0"/>
    <x v="4"/>
    <n v="1"/>
    <n v="2"/>
    <s v="2026-01-27"/>
    <x v="4"/>
    <n v="151794"/>
    <n v="141763"/>
    <s v="2026-02-11"/>
    <x v="0"/>
    <n v="11"/>
    <s v="Hot"/>
    <s v="Token paid, measurement done, work started"/>
  </r>
  <r>
    <s v="LD2225"/>
    <s v="Sachin Nimbalkar"/>
    <n v="9784744251"/>
    <x v="4"/>
    <x v="8"/>
    <s v="Instagram Wardrobe Showcase"/>
    <x v="5"/>
    <s v="2026-01-17"/>
    <x v="0"/>
    <x v="0"/>
    <x v="4"/>
    <n v="1"/>
    <n v="11"/>
    <s v="2026-03-02"/>
    <x v="1"/>
    <n v="298774"/>
    <m/>
    <m/>
    <x v="0"/>
    <n v="3.9"/>
    <s v="Hot"/>
    <s v="Customer comparing 1-2 vendors only"/>
  </r>
  <r>
    <s v="LD2226"/>
    <s v="Lata Nikalje"/>
    <n v="9737335704"/>
    <x v="3"/>
    <x v="2"/>
    <s v="Client Referral"/>
    <x v="13"/>
    <s v="2026-01-19"/>
    <x v="0"/>
    <x v="0"/>
    <x v="4"/>
    <n v="1"/>
    <n v="4"/>
    <s v="2026-02-09"/>
    <x v="1"/>
    <n v="2088863"/>
    <m/>
    <m/>
    <x v="0"/>
    <n v="34.4"/>
    <s v="Warm"/>
    <s v="Follow up after Akshaya Tritiya"/>
  </r>
  <r>
    <s v="LD2227"/>
    <s v="Ashwini Bhalerao"/>
    <n v="9166828012"/>
    <x v="1"/>
    <x v="8"/>
    <s v="Instagram Before-After Posts"/>
    <x v="3"/>
    <s v="2026-01-19"/>
    <x v="0"/>
    <x v="0"/>
    <x v="4"/>
    <n v="1"/>
    <n v="5"/>
    <s v="2026-02-25"/>
    <x v="1"/>
    <n v="115797"/>
    <m/>
    <m/>
    <x v="0"/>
    <n v="12"/>
    <s v="Hot"/>
    <s v="Customer comparing 1-2 vendors only"/>
  </r>
  <r>
    <s v="LD2228"/>
    <s v="Mahesh Londhe"/>
    <n v="9364774070"/>
    <x v="0"/>
    <x v="3"/>
    <s v="MagicBricks Property Enquiry — Inbound"/>
    <x v="7"/>
    <s v="2026-01-19"/>
    <x v="0"/>
    <x v="0"/>
    <x v="4"/>
    <n v="1"/>
    <n v="6"/>
    <s v="2026-02-26"/>
    <x v="1"/>
    <n v="1202577"/>
    <m/>
    <m/>
    <x v="1"/>
    <n v="9.4"/>
    <s v="Warm"/>
    <s v="Waiting for interior budget approval from family"/>
  </r>
  <r>
    <s v="LD2229"/>
    <s v="Dinesh Chavan"/>
    <n v="9554498597"/>
    <x v="0"/>
    <x v="2"/>
    <s v="Client Referral"/>
    <x v="10"/>
    <s v="2026-01-19"/>
    <x v="0"/>
    <x v="0"/>
    <x v="4"/>
    <n v="1"/>
    <n v="0"/>
    <s v="2026-01-28"/>
    <x v="0"/>
    <n v="347976"/>
    <m/>
    <m/>
    <x v="1"/>
    <n v="14.9"/>
    <s v="Cold"/>
    <s v="Budget mismatch - too low"/>
  </r>
  <r>
    <s v="LD2230"/>
    <s v="Sunita Thorat"/>
    <n v="9645383709"/>
    <x v="0"/>
    <x v="7"/>
    <s v="Google My Business"/>
    <x v="0"/>
    <s v="2026-01-19"/>
    <x v="0"/>
    <x v="0"/>
    <x v="4"/>
    <n v="1"/>
    <n v="4"/>
    <s v="2026-01-31"/>
    <x v="1"/>
    <n v="912635"/>
    <m/>
    <m/>
    <x v="1"/>
    <n v="27.6"/>
    <s v="Warm"/>
    <s v="Call back after 1 month"/>
  </r>
  <r>
    <s v="LD2231"/>
    <s v="Kiran Gavhane"/>
    <n v="9914379120"/>
    <x v="0"/>
    <x v="7"/>
    <s v="Google My Business"/>
    <x v="5"/>
    <s v="2026-01-19"/>
    <x v="0"/>
    <x v="0"/>
    <x v="4"/>
    <n v="1"/>
    <n v="4"/>
    <s v="2026-02-06"/>
    <x v="4"/>
    <n v="238333"/>
    <n v="225983"/>
    <s v="2026-02-27"/>
    <x v="0"/>
    <n v="19.5"/>
    <s v="Hot"/>
    <s v="Token paid, measurement done, work started"/>
  </r>
  <r>
    <s v="LD2232"/>
    <s v="Pravin Zende"/>
    <n v="9481065479"/>
    <x v="4"/>
    <x v="2"/>
    <s v="Architect Referral"/>
    <x v="5"/>
    <s v="2026-01-20"/>
    <x v="0"/>
    <x v="0"/>
    <x v="4"/>
    <n v="1"/>
    <n v="6"/>
    <s v="2026-02-23"/>
    <x v="0"/>
    <n v="151366"/>
    <m/>
    <m/>
    <x v="1"/>
    <n v="1.2"/>
    <s v="Warm"/>
    <s v="Lost to competitor - cheaper quote"/>
  </r>
  <r>
    <s v="LD2233"/>
    <s v="Bharati Deshmukh"/>
    <n v="9554016983"/>
    <x v="0"/>
    <x v="5"/>
    <s v="Site Visit Walk-in"/>
    <x v="4"/>
    <s v="2026-01-20"/>
    <x v="0"/>
    <x v="0"/>
    <x v="4"/>
    <n v="1"/>
    <n v="5"/>
    <s v="2026-02-20"/>
    <x v="4"/>
    <n v="125624"/>
    <n v="112450"/>
    <s v="2026-03-07"/>
    <x v="0"/>
    <n v="9.8000000000000007"/>
    <s v="Warm"/>
    <s v="Deal done, site work ongoing"/>
  </r>
  <r>
    <s v="LD2234"/>
    <s v="Meena Kulkarni"/>
    <n v="9696688781"/>
    <x v="2"/>
    <x v="2"/>
    <s v="Neighbour Referral"/>
    <x v="3"/>
    <s v="2026-01-21"/>
    <x v="0"/>
    <x v="0"/>
    <x v="4"/>
    <n v="1"/>
    <n v="12"/>
    <s v="2026-02-27"/>
    <x v="4"/>
    <n v="243016"/>
    <n v="233689"/>
    <s v="2026-03-01"/>
    <x v="2"/>
    <n v="27.4"/>
    <s v="Hot"/>
    <s v="Deal closed, advance received"/>
  </r>
  <r>
    <s v="LD2235"/>
    <s v="Sunanda Pawar"/>
    <n v="9327669221"/>
    <x v="2"/>
    <x v="2"/>
    <s v="Neighbour Referral"/>
    <x v="13"/>
    <s v="2026-01-21"/>
    <x v="0"/>
    <x v="0"/>
    <x v="4"/>
    <n v="1"/>
    <n v="5"/>
    <s v="2026-02-28"/>
    <x v="0"/>
    <n v="1765586"/>
    <m/>
    <m/>
    <x v="0"/>
    <n v="19.600000000000001"/>
    <s v="Cold"/>
    <s v="No response, marked as lost after 60 days"/>
  </r>
  <r>
    <s v="LD2236"/>
    <s v="Amit Bhosale"/>
    <n v="9388336611"/>
    <x v="0"/>
    <x v="5"/>
    <s v="Exhibition Walk-in"/>
    <x v="14"/>
    <s v="2026-01-21"/>
    <x v="0"/>
    <x v="0"/>
    <x v="4"/>
    <n v="1"/>
    <n v="0"/>
    <s v="2026-01-30"/>
    <x v="0"/>
    <n v="2206432"/>
    <m/>
    <m/>
    <x v="0"/>
    <n v="17.3"/>
    <s v="Cold"/>
    <s v="Customer got work done from relative"/>
  </r>
  <r>
    <s v="LD2237"/>
    <s v="Rajesh Kulkarni"/>
    <n v="9714442658"/>
    <x v="0"/>
    <x v="7"/>
    <s v="Google Ads"/>
    <x v="11"/>
    <s v="2026-01-22"/>
    <x v="0"/>
    <x v="0"/>
    <x v="4"/>
    <n v="1"/>
    <n v="8"/>
    <s v="2026-03-20"/>
    <x v="1"/>
    <n v="469439"/>
    <m/>
    <m/>
    <x v="2"/>
    <n v="11.7"/>
    <s v="Hot"/>
    <s v="Design presentation done, waiting for confirmation"/>
  </r>
  <r>
    <s v="LD2238"/>
    <s v="Hemant Sawant"/>
    <n v="9672268920"/>
    <x v="3"/>
    <x v="5"/>
    <s v="Exhibition Walk-in"/>
    <x v="0"/>
    <s v="2026-01-22"/>
    <x v="0"/>
    <x v="0"/>
    <x v="4"/>
    <n v="1"/>
    <n v="7"/>
    <s v="2026-02-23"/>
    <x v="4"/>
    <n v="382007"/>
    <n v="388853"/>
    <s v="2026-03-03"/>
    <x v="0"/>
    <n v="21.3"/>
    <s v="Hot"/>
    <s v="Customer very satisfied, 5 star review given"/>
  </r>
  <r>
    <s v="LD2239"/>
    <s v="Nanda Kulkarni"/>
    <n v="9413973280"/>
    <x v="1"/>
    <x v="7"/>
    <s v="Google My Business"/>
    <x v="5"/>
    <s v="2026-01-24"/>
    <x v="0"/>
    <x v="0"/>
    <x v="4"/>
    <n v="1"/>
    <n v="10"/>
    <s v="2026-03-28"/>
    <x v="0"/>
    <n v="156860"/>
    <m/>
    <m/>
    <x v="2"/>
    <n v="20.5"/>
    <s v="Cold"/>
    <s v="Lost to branded competitor"/>
  </r>
  <r>
    <s v="LD2240"/>
    <s v="Vijay Pawar"/>
    <n v="9820473719"/>
    <x v="2"/>
    <x v="5"/>
    <s v="Exhibition Walk-in"/>
    <x v="7"/>
    <s v="2026-01-24"/>
    <x v="0"/>
    <x v="0"/>
    <x v="4"/>
    <n v="1"/>
    <n v="1"/>
    <s v="2026-02-05"/>
    <x v="3"/>
    <n v="1574194"/>
    <m/>
    <m/>
    <x v="1"/>
    <n v="24.6"/>
    <s v="Hot"/>
    <m/>
  </r>
  <r>
    <s v="LD2241"/>
    <s v="Vijay Aware"/>
    <n v="9310301310"/>
    <x v="2"/>
    <x v="2"/>
    <s v="Contractor Referral"/>
    <x v="14"/>
    <s v="2026-01-26"/>
    <x v="0"/>
    <x v="0"/>
    <x v="4"/>
    <n v="1"/>
    <n v="10"/>
    <s v="2026-03-30"/>
    <x v="4"/>
    <n v="1937619"/>
    <n v="1815757"/>
    <s v="2026-04-01"/>
    <x v="1"/>
    <n v="3.4"/>
    <s v="Hot"/>
    <m/>
  </r>
  <r>
    <s v="LD2242"/>
    <s v="Mahesh Gavhane"/>
    <n v="9764042453"/>
    <x v="3"/>
    <x v="2"/>
    <s v="Contractor Referral"/>
    <x v="8"/>
    <s v="2026-01-26"/>
    <x v="0"/>
    <x v="0"/>
    <x v="4"/>
    <n v="1"/>
    <n v="12"/>
    <s v="2026-02-23"/>
    <x v="2"/>
    <n v="774677"/>
    <m/>
    <m/>
    <x v="0"/>
    <n v="26.7"/>
    <s v="Warm"/>
    <s v="Site visit to be scheduled"/>
  </r>
  <r>
    <s v="LD2243"/>
    <s v="Devendra Kulkarni"/>
    <n v="9517473847"/>
    <x v="2"/>
    <x v="2"/>
    <s v="Neighbour Referral"/>
    <x v="0"/>
    <s v="2026-01-26"/>
    <x v="0"/>
    <x v="0"/>
    <x v="4"/>
    <n v="1"/>
    <n v="12"/>
    <s v="2026-04-20"/>
    <x v="4"/>
    <n v="459405"/>
    <n v="417118"/>
    <s v="2026-04-27"/>
    <x v="1"/>
    <n v="3.5"/>
    <s v="Warm"/>
    <s v="Deal closed, advance received"/>
  </r>
  <r>
    <s v="LD2244"/>
    <s v="Sonal Patil"/>
    <n v="9162243468"/>
    <x v="2"/>
    <x v="6"/>
    <s v="Facebook Gudi Padwa Offer"/>
    <x v="4"/>
    <s v="2026-01-26"/>
    <x v="0"/>
    <x v="0"/>
    <x v="4"/>
    <n v="1"/>
    <n v="2"/>
    <s v="2026-02-12"/>
    <x v="0"/>
    <n v="425978"/>
    <m/>
    <m/>
    <x v="0"/>
    <n v="29.5"/>
    <s v="Cold"/>
    <s v="Lost to competitor - cheaper quote"/>
  </r>
  <r>
    <s v="LD2245"/>
    <s v="Archana Kshirsagar"/>
    <n v="9787876602"/>
    <x v="4"/>
    <x v="7"/>
    <s v="Google Ads"/>
    <x v="9"/>
    <s v="2026-01-27"/>
    <x v="0"/>
    <x v="0"/>
    <x v="4"/>
    <n v="1"/>
    <n v="7"/>
    <s v="2026-02-23"/>
    <x v="3"/>
    <n v="573846"/>
    <m/>
    <m/>
    <x v="0"/>
    <n v="30.7"/>
    <s v="Warm"/>
    <m/>
  </r>
  <r>
    <s v="LD2246"/>
    <s v="Kavita Shinde"/>
    <n v="9177738617"/>
    <x v="0"/>
    <x v="8"/>
    <s v="Instagram Story Ads"/>
    <x v="5"/>
    <s v="2026-01-27"/>
    <x v="0"/>
    <x v="0"/>
    <x v="4"/>
    <n v="1"/>
    <n v="7"/>
    <s v="2026-03-12"/>
    <x v="0"/>
    <n v="247688"/>
    <m/>
    <m/>
    <x v="0"/>
    <n v="15.8"/>
    <s v="Cold"/>
    <s v="Customer got work done from relative"/>
  </r>
  <r>
    <s v="LD2247"/>
    <s v="Umesh Joshi"/>
    <n v="9915523331"/>
    <x v="1"/>
    <x v="4"/>
    <s v="99acres New Project Enquiry — Inbound"/>
    <x v="10"/>
    <s v="2026-01-28"/>
    <x v="0"/>
    <x v="0"/>
    <x v="4"/>
    <n v="1"/>
    <n v="9"/>
    <s v="2026-03-09"/>
    <x v="1"/>
    <n v="640120"/>
    <m/>
    <m/>
    <x v="2"/>
    <n v="21"/>
    <s v="Cold"/>
    <s v="Duplicate enquiry"/>
  </r>
  <r>
    <s v="LD2248"/>
    <s v="Suresh Mohite"/>
    <n v="9243385790"/>
    <x v="0"/>
    <x v="8"/>
    <s v="Instagram Kitchen Reels"/>
    <x v="2"/>
    <s v="2026-01-29"/>
    <x v="0"/>
    <x v="0"/>
    <x v="4"/>
    <n v="1"/>
    <n v="6"/>
    <s v="2026-03-02"/>
    <x v="4"/>
    <m/>
    <n v="302495"/>
    <s v="2026-03-18"/>
    <x v="0"/>
    <n v="31.7"/>
    <s v="Hot"/>
    <m/>
  </r>
  <r>
    <s v="LD2249"/>
    <s v="Sunil Yadav"/>
    <n v="9361291719"/>
    <x v="4"/>
    <x v="8"/>
    <s v="Instagram Story Ads"/>
    <x v="12"/>
    <s v="2026-01-30"/>
    <x v="0"/>
    <x v="0"/>
    <x v="4"/>
    <n v="1"/>
    <n v="7"/>
    <s v="2026-03-23"/>
    <x v="0"/>
    <n v="1613847"/>
    <m/>
    <m/>
    <x v="0"/>
    <n v="21.4"/>
    <s v="Warm"/>
    <s v="Customer did not proceed with project"/>
  </r>
  <r>
    <s v="LD2250"/>
    <s v="Arun Kshirsagar"/>
    <n v="9829035651"/>
    <x v="0"/>
    <x v="2"/>
    <s v="Client Referral"/>
    <x v="11"/>
    <s v="2026-01-30"/>
    <x v="0"/>
    <x v="0"/>
    <x v="4"/>
    <n v="1"/>
    <n v="9"/>
    <s v="2026-03-11"/>
    <x v="4"/>
    <n v="173317"/>
    <n v="162286"/>
    <s v="2026-03-22"/>
    <x v="1"/>
    <n v="7.1"/>
    <s v="Hot"/>
    <s v="Token received, design finalised"/>
  </r>
  <r>
    <s v="LD2251"/>
    <s v="Hemant Gaikwad"/>
    <n v="9812365471"/>
    <x v="2"/>
    <x v="7"/>
    <s v="Google Ads"/>
    <x v="4"/>
    <s v="2026-01-31"/>
    <x v="0"/>
    <x v="0"/>
    <x v="4"/>
    <n v="1"/>
    <n v="6"/>
    <s v="2026-02-17"/>
    <x v="3"/>
    <n v="237710"/>
    <m/>
    <m/>
    <x v="1"/>
    <n v="34.200000000000003"/>
    <s v="Hot"/>
    <s v="Design presentation done, waiting for confirmation"/>
  </r>
  <r>
    <s v="LD2252"/>
    <s v="Ravi Nimbalkar"/>
    <n v="9586116586"/>
    <x v="1"/>
    <x v="2"/>
    <s v="Architect Referral"/>
    <x v="2"/>
    <s v="2026-01-31"/>
    <x v="0"/>
    <x v="0"/>
    <x v="4"/>
    <n v="1"/>
    <n v="12"/>
    <s v="2026-03-16"/>
    <x v="4"/>
    <n v="420269"/>
    <n v="420021"/>
    <s v="2026-03-26"/>
    <x v="1"/>
    <n v="22.2"/>
    <s v="Hot"/>
    <s v="Full payment cleared, delivery done"/>
  </r>
  <r>
    <s v="LD2253"/>
    <s v="Suresh Kadam"/>
    <n v="9792221761"/>
    <x v="2"/>
    <x v="5"/>
    <s v="Exhibition Walk-in"/>
    <x v="11"/>
    <s v="2026-01-31"/>
    <x v="0"/>
    <x v="0"/>
    <x v="4"/>
    <n v="1"/>
    <n v="1"/>
    <s v="2026-02-06"/>
    <x v="4"/>
    <n v="221611"/>
    <n v="210238"/>
    <s v="2026-02-09"/>
    <x v="2"/>
    <n v="15.3"/>
    <s v="Hot"/>
    <s v="Deal closed, advance received"/>
  </r>
  <r>
    <s v="LD2254"/>
    <s v="Sachin Phule"/>
    <n v="9175203495"/>
    <x v="0"/>
    <x v="7"/>
    <s v="SEO Organic"/>
    <x v="12"/>
    <s v="2026-02-02"/>
    <x v="1"/>
    <x v="1"/>
    <x v="4"/>
    <n v="1"/>
    <n v="0"/>
    <s v="2026-02-10"/>
    <x v="0"/>
    <n v="1342330"/>
    <m/>
    <m/>
    <x v="0"/>
    <n v="24.7"/>
    <s v="Cold"/>
    <s v="Lost to competitor - cheaper quote"/>
  </r>
  <r>
    <s v="LD2255"/>
    <s v="Sachin Nikalje"/>
    <n v="9872246424"/>
    <x v="2"/>
    <x v="7"/>
    <s v="Website Chat Enquiry"/>
    <x v="2"/>
    <s v="2026-02-02"/>
    <x v="1"/>
    <x v="1"/>
    <x v="4"/>
    <n v="1"/>
    <n v="4"/>
    <s v="2026-02-11"/>
    <x v="1"/>
    <n v="326378"/>
    <m/>
    <m/>
    <x v="2"/>
    <n v="26.2"/>
    <s v="Hot"/>
    <s v="Customer visited showroom twice, very interested"/>
  </r>
  <r>
    <s v="LD2256"/>
    <s v="Jyoti Shinde"/>
    <n v="9177183961"/>
    <x v="2"/>
    <x v="7"/>
    <s v="Google My Business"/>
    <x v="6"/>
    <s v="2026-02-02"/>
    <x v="1"/>
    <x v="1"/>
    <x v="4"/>
    <n v="1"/>
    <n v="10"/>
    <s v="2026-04-13"/>
    <x v="0"/>
    <n v="286818"/>
    <m/>
    <m/>
    <x v="1"/>
    <n v="8.8000000000000007"/>
    <s v="Cold"/>
    <s v="Lost to competitor - cheaper quote"/>
  </r>
  <r>
    <s v="LD2257"/>
    <s v="Smita Gaikwad"/>
    <n v="9352193023"/>
    <x v="0"/>
    <x v="7"/>
    <s v="Google My Business"/>
    <x v="7"/>
    <s v="2026-02-02"/>
    <x v="1"/>
    <x v="1"/>
    <x v="4"/>
    <n v="1"/>
    <n v="2"/>
    <s v="2026-02-20"/>
    <x v="0"/>
    <n v="1466389"/>
    <m/>
    <m/>
    <x v="0"/>
    <n v="24.2"/>
    <s v="Cold"/>
    <m/>
  </r>
  <r>
    <s v="LD2258"/>
    <s v="Dinesh Gavhane"/>
    <m/>
    <x v="2"/>
    <x v="7"/>
    <s v="SEO Organic"/>
    <x v="11"/>
    <s v="2026-02-02"/>
    <x v="1"/>
    <x v="1"/>
    <x v="4"/>
    <n v="1"/>
    <n v="1"/>
    <s v="2026-02-13"/>
    <x v="2"/>
    <n v="196428"/>
    <m/>
    <m/>
    <x v="1"/>
    <n v="16.7"/>
    <s v="Warm"/>
    <s v="Google Ads lead — customer filled form without phone"/>
  </r>
  <r>
    <s v="LD2259"/>
    <s v="Ritu Zende"/>
    <n v="9626008005"/>
    <x v="1"/>
    <x v="8"/>
    <s v="Instagram Wardrobe Showcase"/>
    <x v="0"/>
    <s v="2026-02-02"/>
    <x v="1"/>
    <x v="1"/>
    <x v="4"/>
    <n v="1"/>
    <n v="11"/>
    <s v="2026-03-17"/>
    <x v="4"/>
    <n v="406693"/>
    <n v="402061"/>
    <s v="2026-04-01"/>
    <x v="0"/>
    <n v="7.2"/>
    <s v="Hot"/>
    <s v="Full payment cleared, delivery done"/>
  </r>
  <r>
    <s v="LD2260"/>
    <s v="Devendra Bhalerao"/>
    <m/>
    <x v="2"/>
    <x v="4"/>
    <s v="99acres New Project Enquiry — Inbound"/>
    <x v="10"/>
    <s v="2026-02-03"/>
    <x v="1"/>
    <x v="1"/>
    <x v="4"/>
    <n v="1"/>
    <n v="4"/>
    <s v="2026-03-04"/>
    <x v="0"/>
    <n v="608114"/>
    <m/>
    <m/>
    <x v="0"/>
    <n v="11.2"/>
    <s v="Cold"/>
    <s v="99acres enquiry — masked number, no response"/>
  </r>
  <r>
    <s v="LD2261"/>
    <s v="Sunil Kadam"/>
    <n v="9938322783"/>
    <x v="2"/>
    <x v="2"/>
    <s v="Client Referral"/>
    <x v="12"/>
    <s v="2026-02-03"/>
    <x v="1"/>
    <x v="1"/>
    <x v="4"/>
    <n v="1"/>
    <n v="10"/>
    <s v="2026-02-26"/>
    <x v="2"/>
    <n v="1891944"/>
    <m/>
    <m/>
    <x v="0"/>
    <n v="12.1"/>
    <s v="Cold"/>
    <s v="Budget too low for our range"/>
  </r>
  <r>
    <s v="LD2262"/>
    <s v="Sonal Kadam"/>
    <n v="9978533562"/>
    <x v="2"/>
    <x v="2"/>
    <s v="Contractor Referral"/>
    <x v="8"/>
    <s v="2026-02-03"/>
    <x v="1"/>
    <x v="1"/>
    <x v="4"/>
    <n v="1"/>
    <n v="10"/>
    <s v="2026-02-27"/>
    <x v="4"/>
    <n v="790416"/>
    <n v="786956"/>
    <s v="2026-03-19"/>
    <x v="0"/>
    <n v="14.2"/>
    <s v="Warm"/>
    <s v="Token paid, measurement done, work started"/>
  </r>
  <r>
    <s v="LD2263"/>
    <s v="Archana Kshirsagar"/>
    <n v="9451210581"/>
    <x v="4"/>
    <x v="7"/>
    <s v="Google Ads"/>
    <x v="7"/>
    <s v="2026-02-03"/>
    <x v="1"/>
    <x v="1"/>
    <x v="4"/>
    <n v="1"/>
    <n v="4"/>
    <s v="2026-03-05"/>
    <x v="0"/>
    <n v="1533128"/>
    <m/>
    <m/>
    <x v="1"/>
    <n v="20.100000000000001"/>
    <s v="Warm"/>
    <m/>
  </r>
  <r>
    <s v="LD2264"/>
    <s v="Vijay Joshi"/>
    <n v="9892021599"/>
    <x v="0"/>
    <x v="3"/>
    <s v="MagicBricks Enquiry — Inbound"/>
    <x v="9"/>
    <s v="2026-02-04"/>
    <x v="1"/>
    <x v="1"/>
    <x v="4"/>
    <n v="1"/>
    <n v="3"/>
    <s v="2026-02-14"/>
    <x v="0"/>
    <n v="450000"/>
    <m/>
    <m/>
    <x v="0"/>
    <n v="22.5"/>
    <s v="Cold"/>
    <s v="Budget mismatch - too low"/>
  </r>
  <r>
    <s v="LD2265"/>
    <s v="Nikhil Sonawane"/>
    <n v="9185361259"/>
    <x v="0"/>
    <x v="8"/>
    <s v="Instagram Diwali Campaign"/>
    <x v="14"/>
    <s v="2026-02-04"/>
    <x v="1"/>
    <x v="1"/>
    <x v="4"/>
    <n v="1"/>
    <n v="9"/>
    <s v="2026-04-06"/>
    <x v="1"/>
    <n v="2148083"/>
    <m/>
    <m/>
    <x v="0"/>
    <n v="16.899999999999999"/>
    <s v="Warm"/>
    <s v="Customer interested, flat handover next month"/>
  </r>
  <r>
    <s v="LD2266"/>
    <s v="Pramod Naik"/>
    <n v="9696020873"/>
    <x v="1"/>
    <x v="7"/>
    <s v="SEO Organic"/>
    <x v="11"/>
    <s v="2026-02-05"/>
    <x v="1"/>
    <x v="1"/>
    <x v="4"/>
    <n v="1"/>
    <n v="1"/>
    <s v="2026-02-21"/>
    <x v="4"/>
    <n v="388624"/>
    <n v="396850"/>
    <s v="2026-03-14"/>
    <x v="1"/>
    <n v="4"/>
    <s v="Warm"/>
    <s v="Final payment received, project handed over"/>
  </r>
  <r>
    <s v="LD2267"/>
    <s v="Devendra Tupe"/>
    <n v="9203269401"/>
    <x v="2"/>
    <x v="8"/>
    <s v="Instagram Diwali Campaign"/>
    <x v="12"/>
    <s v="2026-02-06"/>
    <x v="1"/>
    <x v="1"/>
    <x v="4"/>
    <n v="1"/>
    <n v="7"/>
    <s v="2026-03-09"/>
    <x v="4"/>
    <n v="1691149"/>
    <n v="1683553"/>
    <s v="2026-03-18"/>
    <x v="0"/>
    <n v="13.9"/>
    <s v="Hot"/>
    <s v="Full payment cleared, delivery done"/>
  </r>
  <r>
    <s v="LD2268"/>
    <s v="Bharati Bhalerao"/>
    <n v="9385982574"/>
    <x v="2"/>
    <x v="2"/>
    <s v="Contractor Referral"/>
    <x v="0"/>
    <s v="2026-02-06"/>
    <x v="1"/>
    <x v="1"/>
    <x v="4"/>
    <n v="1"/>
    <n v="1"/>
    <s v="2026-02-11"/>
    <x v="3"/>
    <n v="858465"/>
    <m/>
    <m/>
    <x v="2"/>
    <n v="27.6"/>
    <s v="Hot"/>
    <m/>
  </r>
  <r>
    <s v="LD2269"/>
    <s v="Shweta Gavhane"/>
    <n v="9890893647"/>
    <x v="3"/>
    <x v="6"/>
    <s v="Facebook Home Decor Ads"/>
    <x v="8"/>
    <s v="2026-02-06"/>
    <x v="1"/>
    <x v="1"/>
    <x v="4"/>
    <n v="1"/>
    <n v="11"/>
    <s v="2026-04-17"/>
    <x v="4"/>
    <n v="1048722"/>
    <n v="949399"/>
    <s v="2026-04-26"/>
    <x v="0"/>
    <n v="4.4000000000000004"/>
    <s v="Warm"/>
    <m/>
  </r>
  <r>
    <s v="LD2270"/>
    <s v="Mahesh Gaikwad"/>
    <n v="9186918293"/>
    <x v="2"/>
    <x v="8"/>
    <s v="Instagram Wardrobe Showcase"/>
    <x v="10"/>
    <s v="2026-02-07"/>
    <x v="1"/>
    <x v="1"/>
    <x v="4"/>
    <n v="1"/>
    <n v="7"/>
    <s v="2026-03-09"/>
    <x v="0"/>
    <n v="244985"/>
    <m/>
    <m/>
    <x v="1"/>
    <n v="12.8"/>
    <s v="Warm"/>
    <s v="No response, marked as lost after 60 days"/>
  </r>
  <r>
    <s v="LD2271"/>
    <s v="Amit Aware"/>
    <n v="9230444947"/>
    <x v="0"/>
    <x v="8"/>
    <s v="Instagram Diwali Campaign"/>
    <x v="7"/>
    <s v="2026-02-07"/>
    <x v="1"/>
    <x v="1"/>
    <x v="4"/>
    <n v="1"/>
    <n v="0"/>
    <s v="2026-02-14"/>
    <x v="4"/>
    <n v="840439"/>
    <n v="781717"/>
    <s v="2026-03-03"/>
    <x v="1"/>
    <n v="15.5"/>
    <s v="Hot"/>
    <s v="Final payment received, project handed over"/>
  </r>
  <r>
    <s v="LD2272"/>
    <s v="Archana Mane"/>
    <n v="9922959162"/>
    <x v="0"/>
    <x v="8"/>
    <s v="Instagram Kitchen Reels"/>
    <x v="2"/>
    <s v="2026-02-07"/>
    <x v="1"/>
    <x v="1"/>
    <x v="4"/>
    <n v="1"/>
    <n v="4"/>
    <s v="2026-02-23"/>
    <x v="0"/>
    <n v="244515"/>
    <m/>
    <m/>
    <x v="1"/>
    <n v="15"/>
    <s v="Warm"/>
    <s v="Went with local vendor"/>
  </r>
  <r>
    <s v="LD2273"/>
    <s v="Madhuri Bhosale"/>
    <n v="9756224849"/>
    <x v="4"/>
    <x v="6"/>
    <s v="Facebook Home Decor Ads"/>
    <x v="0"/>
    <s v="2026-02-09"/>
    <x v="1"/>
    <x v="1"/>
    <x v="4"/>
    <n v="1"/>
    <n v="12"/>
    <s v="2026-03-10"/>
    <x v="1"/>
    <n v="584446"/>
    <m/>
    <m/>
    <x v="0"/>
    <n v="35.4"/>
    <s v="Cold"/>
    <s v="Not responding to calls"/>
  </r>
  <r>
    <s v="LD2274"/>
    <s v="Nanda Suryawanshi"/>
    <n v="9380702691"/>
    <x v="0"/>
    <x v="7"/>
    <s v="Website Chat Enquiry"/>
    <x v="10"/>
    <s v="2026-02-09"/>
    <x v="1"/>
    <x v="1"/>
    <x v="4"/>
    <n v="1"/>
    <n v="9"/>
    <s v="2026-04-18"/>
    <x v="4"/>
    <n v="472883"/>
    <n v="419991"/>
    <s v="2026-04-25"/>
    <x v="0"/>
    <n v="35"/>
    <s v="Hot"/>
    <s v="Deal closed, advance received"/>
  </r>
  <r>
    <s v="LD2275"/>
    <s v="Arun Kale"/>
    <n v="9384562274"/>
    <x v="4"/>
    <x v="7"/>
    <s v="SEO Organic"/>
    <x v="6"/>
    <s v="2026-02-09"/>
    <x v="1"/>
    <x v="1"/>
    <x v="4"/>
    <n v="1"/>
    <n v="5"/>
    <s v="2026-03-03"/>
    <x v="1"/>
    <n v="362311"/>
    <m/>
    <m/>
    <x v="1"/>
    <n v="2.2999999999999998"/>
    <s v="Hot"/>
    <s v="Design presentation done, waiting for confirmation"/>
  </r>
  <r>
    <s v="LD2276"/>
    <s v="Lata More"/>
    <n v="9868078895"/>
    <x v="4"/>
    <x v="8"/>
    <s v="Instagram Diwali Campaign"/>
    <x v="7"/>
    <s v="2026-02-09"/>
    <x v="1"/>
    <x v="1"/>
    <x v="4"/>
    <n v="1"/>
    <n v="6"/>
    <s v="2026-03-30"/>
    <x v="1"/>
    <n v="873229"/>
    <m/>
    <m/>
    <x v="2"/>
    <n v="23.1"/>
    <s v="Hot"/>
    <s v="Customer visited showroom twice, very interested"/>
  </r>
  <r>
    <s v="LD2277"/>
    <s v="Deepak Thorat"/>
    <n v="9798873377"/>
    <x v="4"/>
    <x v="8"/>
    <s v="Instagram Story Ads"/>
    <x v="3"/>
    <s v="2026-02-09"/>
    <x v="1"/>
    <x v="1"/>
    <x v="4"/>
    <n v="1"/>
    <n v="1"/>
    <s v="2026-02-23"/>
    <x v="1"/>
    <n v="186287"/>
    <m/>
    <m/>
    <x v="2"/>
    <n v="0.7"/>
    <s v="Warm"/>
    <m/>
  </r>
  <r>
    <s v="LD2278"/>
    <s v="Pravin Nimbalkar"/>
    <n v="9755902380"/>
    <x v="4"/>
    <x v="5"/>
    <s v="Exhibition Walk-in"/>
    <x v="9"/>
    <s v="2026-02-09"/>
    <x v="1"/>
    <x v="1"/>
    <x v="4"/>
    <n v="1"/>
    <n v="12"/>
    <s v="2026-03-14"/>
    <x v="2"/>
    <n v="554138"/>
    <m/>
    <m/>
    <x v="0"/>
    <n v="15.6"/>
    <s v="Cold"/>
    <s v="Project on hold"/>
  </r>
  <r>
    <s v="LD2279"/>
    <s v="Kiran Chavan"/>
    <n v="9623130055"/>
    <x v="2"/>
    <x v="6"/>
    <s v="Facebook Diwali Offer"/>
    <x v="2"/>
    <s v="2026-02-09"/>
    <x v="1"/>
    <x v="1"/>
    <x v="4"/>
    <n v="1"/>
    <n v="5"/>
    <s v="2026-03-17"/>
    <x v="3"/>
    <n v="537568"/>
    <m/>
    <m/>
    <x v="1"/>
    <n v="1"/>
    <s v="Warm"/>
    <s v="Call back after 1 month"/>
  </r>
  <r>
    <s v="LD2280"/>
    <s v="Rekha Suryawanshi"/>
    <n v="9468070275"/>
    <x v="2"/>
    <x v="6"/>
    <s v="Facebook Diwali Offer"/>
    <x v="13"/>
    <s v="2026-02-09"/>
    <x v="1"/>
    <x v="1"/>
    <x v="4"/>
    <n v="1"/>
    <n v="9"/>
    <s v="2026-03-24"/>
    <x v="4"/>
    <n v="1483412"/>
    <n v="1320905"/>
    <s v="2026-04-01"/>
    <x v="0"/>
    <n v="11.5"/>
    <s v="Hot"/>
    <s v="Token paid, measurement done, work started"/>
  </r>
  <r>
    <s v="LD2281"/>
    <s v="Pooja Jadhav"/>
    <n v="9314890062"/>
    <x v="0"/>
    <x v="7"/>
    <s v="Google Ads"/>
    <x v="14"/>
    <s v="2026-02-10"/>
    <x v="1"/>
    <x v="1"/>
    <x v="4"/>
    <n v="1"/>
    <n v="7"/>
    <s v="2026-03-19"/>
    <x v="0"/>
    <n v="1963498"/>
    <m/>
    <m/>
    <x v="0"/>
    <n v="4.5"/>
    <s v="Warm"/>
    <s v="Lost to branded competitor"/>
  </r>
  <r>
    <s v="LD2282"/>
    <s v="Nanda Kakade"/>
    <n v="9653861146"/>
    <x v="4"/>
    <x v="1"/>
    <s v="Justdial Premium Listing — Inbound"/>
    <x v="4"/>
    <s v="2026-02-10"/>
    <x v="1"/>
    <x v="1"/>
    <x v="4"/>
    <n v="1"/>
    <n v="10"/>
    <s v="2026-03-30"/>
    <x v="0"/>
    <n v="371273"/>
    <m/>
    <m/>
    <x v="0"/>
    <n v="1.1000000000000001"/>
    <s v="Cold"/>
    <s v="Project cancelled by customer"/>
  </r>
  <r>
    <s v="LD2283"/>
    <s v="Manisha Deshmukh"/>
    <n v="9463031374"/>
    <x v="0"/>
    <x v="7"/>
    <s v="Website Chat Enquiry"/>
    <x v="5"/>
    <s v="2026-02-11"/>
    <x v="1"/>
    <x v="1"/>
    <x v="4"/>
    <n v="1"/>
    <n v="7"/>
    <s v="2026-03-06"/>
    <x v="0"/>
    <n v="131692"/>
    <m/>
    <m/>
    <x v="0"/>
    <n v="3.1"/>
    <s v="Cold"/>
    <s v="Project cancelled by customer"/>
  </r>
  <r>
    <s v="LD2284"/>
    <s v="Alka Kadam"/>
    <n v="9528741238"/>
    <x v="4"/>
    <x v="7"/>
    <s v="Google My Business"/>
    <x v="7"/>
    <s v="2026-02-11"/>
    <x v="1"/>
    <x v="1"/>
    <x v="4"/>
    <n v="1"/>
    <n v="0"/>
    <s v="2026-02-17"/>
    <x v="3"/>
    <n v="1228146"/>
    <m/>
    <m/>
    <x v="1"/>
    <n v="6.5"/>
    <s v="Hot"/>
    <m/>
  </r>
  <r>
    <s v="LD2285"/>
    <s v="Sunil Sawant"/>
    <n v="9545584775"/>
    <x v="3"/>
    <x v="2"/>
    <s v="Architect Referral"/>
    <x v="3"/>
    <s v="2026-02-11"/>
    <x v="1"/>
    <x v="1"/>
    <x v="4"/>
    <n v="1"/>
    <n v="3"/>
    <s v="2026-03-12"/>
    <x v="4"/>
    <n v="204474"/>
    <n v="187616"/>
    <s v="2026-03-21"/>
    <x v="1"/>
    <n v="24.1"/>
    <s v="Hot"/>
    <m/>
  </r>
  <r>
    <s v="LD2286"/>
    <s v="Sachin Pawar"/>
    <n v="9185118396"/>
    <x v="2"/>
    <x v="5"/>
    <s v="Site Visit Walk-in"/>
    <x v="4"/>
    <s v="2026-02-12"/>
    <x v="1"/>
    <x v="1"/>
    <x v="4"/>
    <n v="1"/>
    <n v="8"/>
    <s v="2026-03-25"/>
    <x v="4"/>
    <n v="424100"/>
    <n v="403366"/>
    <s v="2026-03-30"/>
    <x v="0"/>
    <n v="12.7"/>
    <s v="Hot"/>
    <s v="Final payment received, project handed over"/>
  </r>
  <r>
    <s v="LD2287"/>
    <s v="Sunanda Phule"/>
    <n v="9241767386"/>
    <x v="2"/>
    <x v="7"/>
    <s v="Google My Business"/>
    <x v="12"/>
    <s v="2026-02-12"/>
    <x v="1"/>
    <x v="1"/>
    <x v="4"/>
    <n v="1"/>
    <n v="10"/>
    <s v="2026-04-07"/>
    <x v="3"/>
    <n v="1643482"/>
    <m/>
    <m/>
    <x v="1"/>
    <n v="14.2"/>
    <s v="Hot"/>
    <s v="Measurement done, quote pending approval"/>
  </r>
  <r>
    <s v="LD2288"/>
    <s v="Anita Kale"/>
    <n v="9780216045"/>
    <x v="0"/>
    <x v="5"/>
    <s v="Showroom Walk-in"/>
    <x v="6"/>
    <s v="2026-02-12"/>
    <x v="1"/>
    <x v="1"/>
    <x v="4"/>
    <n v="1"/>
    <n v="8"/>
    <s v="2026-03-25"/>
    <x v="1"/>
    <n v="216277"/>
    <m/>
    <m/>
    <x v="2"/>
    <n v="9.8000000000000007"/>
    <s v="Warm"/>
    <s v="Interested but waiting for loan approval"/>
  </r>
  <r>
    <s v="LD2289"/>
    <s v="Divya Chavan"/>
    <n v="9386982898"/>
    <x v="2"/>
    <x v="6"/>
    <s v="Facebook Kitchen Showcase"/>
    <x v="0"/>
    <s v="2026-02-12"/>
    <x v="1"/>
    <x v="1"/>
    <x v="4"/>
    <n v="1"/>
    <n v="12"/>
    <s v="2026-04-04"/>
    <x v="4"/>
    <n v="501997"/>
    <n v="491862"/>
    <s v="2026-04-20"/>
    <x v="1"/>
    <n v="14.2"/>
    <s v="Hot"/>
    <s v="Final payment received, project handed over"/>
  </r>
  <r>
    <s v="LD2290"/>
    <s v="Smita Phule"/>
    <n v="9928352180"/>
    <x v="1"/>
    <x v="8"/>
    <s v="Instagram Kitchen Reels"/>
    <x v="8"/>
    <s v="2026-02-12"/>
    <x v="1"/>
    <x v="1"/>
    <x v="4"/>
    <n v="1"/>
    <n v="12"/>
    <s v="2026-04-01"/>
    <x v="2"/>
    <n v="762832"/>
    <m/>
    <m/>
    <x v="0"/>
    <n v="3.3"/>
    <s v="Cold"/>
    <s v="Budget too low for our range"/>
  </r>
  <r>
    <s v="LD2291"/>
    <s v="Mahesh Joshi"/>
    <n v="9722024835"/>
    <x v="0"/>
    <x v="2"/>
    <s v="Architect Referral"/>
    <x v="1"/>
    <s v="2026-02-12"/>
    <x v="1"/>
    <x v="1"/>
    <x v="4"/>
    <n v="1"/>
    <n v="1"/>
    <s v="2026-03-02"/>
    <x v="4"/>
    <n v="97694"/>
    <n v="89606"/>
    <s v="2026-03-23"/>
    <x v="1"/>
    <n v="13.5"/>
    <s v="Warm"/>
    <s v="Customer referred 2 more leads after delivery"/>
  </r>
  <r>
    <s v="LD2292"/>
    <s v="Ravi Salve"/>
    <m/>
    <x v="2"/>
    <x v="8"/>
    <s v="Instagram Wardrobe Showcase"/>
    <x v="7"/>
    <s v="2026-02-14"/>
    <x v="1"/>
    <x v="1"/>
    <x v="4"/>
    <n v="1"/>
    <n v="0"/>
    <s v="2026-02-23"/>
    <x v="0"/>
    <n v="1133222"/>
    <m/>
    <m/>
    <x v="0"/>
    <n v="20.7"/>
    <s v="Cold"/>
    <s v="Instagram story enquiry, no contact details given"/>
  </r>
  <r>
    <s v="LD2293"/>
    <s v="Madhuri Wagh"/>
    <n v="9347072212"/>
    <x v="1"/>
    <x v="5"/>
    <s v="Site Visit Walk-in"/>
    <x v="1"/>
    <s v="2026-02-16"/>
    <x v="1"/>
    <x v="1"/>
    <x v="4"/>
    <n v="1"/>
    <n v="10"/>
    <s v="2026-04-22"/>
    <x v="1"/>
    <n v="146318"/>
    <m/>
    <m/>
    <x v="0"/>
    <n v="23.3"/>
    <s v="Warm"/>
    <s v="Customer interested, flat handover next month"/>
  </r>
  <r>
    <s v="LD2294"/>
    <s v="Mahesh Kulkarni"/>
    <n v="9805005090"/>
    <x v="0"/>
    <x v="8"/>
    <s v="Instagram Before-After Posts"/>
    <x v="6"/>
    <s v="2026-02-16"/>
    <x v="1"/>
    <x v="1"/>
    <x v="4"/>
    <n v="1"/>
    <n v="11"/>
    <s v="2026-03-21"/>
    <x v="1"/>
    <n v="186342"/>
    <m/>
    <m/>
    <x v="0"/>
    <n v="14.2"/>
    <s v="Warm"/>
    <s v="Customer interested, flat handover next month"/>
  </r>
  <r>
    <s v="LD2295"/>
    <s v="Pravin Nimbalkar"/>
    <m/>
    <x v="0"/>
    <x v="8"/>
    <s v="Instagram Kitchen Reels"/>
    <x v="2"/>
    <s v="2026-02-16"/>
    <x v="1"/>
    <x v="1"/>
    <x v="4"/>
    <n v="1"/>
    <n v="3"/>
    <s v="2026-03-09"/>
    <x v="0"/>
    <n v="413428"/>
    <m/>
    <m/>
    <x v="1"/>
    <n v="28.3"/>
    <s v="Cold"/>
    <s v="DM received on Instagram, no phone shared"/>
  </r>
  <r>
    <s v="LD2296"/>
    <s v="Suresh Gaikwad"/>
    <n v="9998010950"/>
    <x v="3"/>
    <x v="5"/>
    <s v="Showroom Walk-in"/>
    <x v="13"/>
    <s v="2026-02-16"/>
    <x v="1"/>
    <x v="1"/>
    <x v="4"/>
    <n v="1"/>
    <n v="4"/>
    <s v="2026-03-18"/>
    <x v="0"/>
    <n v="1492946"/>
    <m/>
    <m/>
    <x v="1"/>
    <n v="28.8"/>
    <s v="Cold"/>
    <s v="Budget mismatch - too low"/>
  </r>
  <r>
    <s v="LD2297"/>
    <s v="Manoj Joshi"/>
    <n v="9991651720"/>
    <x v="0"/>
    <x v="8"/>
    <s v="Instagram Before-After Posts"/>
    <x v="0"/>
    <s v="2026-02-16"/>
    <x v="1"/>
    <x v="1"/>
    <x v="4"/>
    <n v="1"/>
    <n v="0"/>
    <s v="2026-02-23"/>
    <x v="4"/>
    <m/>
    <n v="673623"/>
    <s v="2026-02-25"/>
    <x v="1"/>
    <n v="5.0999999999999996"/>
    <s v="Warm"/>
    <s v="Token received, design finalised"/>
  </r>
  <r>
    <s v="LD2298"/>
    <s v="Seema Bhosale"/>
    <n v="9914897606"/>
    <x v="4"/>
    <x v="8"/>
    <s v="Instagram Diwali Campaign"/>
    <x v="3"/>
    <s v="2026-02-17"/>
    <x v="1"/>
    <x v="1"/>
    <x v="4"/>
    <n v="1"/>
    <n v="9"/>
    <s v="2026-03-16"/>
    <x v="1"/>
    <n v="68804"/>
    <m/>
    <m/>
    <x v="1"/>
    <n v="23.2"/>
    <s v="Hot"/>
    <s v="Measurement done, quote pending approval"/>
  </r>
  <r>
    <s v="LD2299"/>
    <s v="Mahesh Shinde"/>
    <n v="9579989526"/>
    <x v="3"/>
    <x v="8"/>
    <s v="Instagram Wardrobe Showcase"/>
    <x v="6"/>
    <s v="2026-02-17"/>
    <x v="1"/>
    <x v="1"/>
    <x v="4"/>
    <n v="1"/>
    <n v="6"/>
    <s v="2026-03-25"/>
    <x v="0"/>
    <n v="373422"/>
    <m/>
    <m/>
    <x v="1"/>
    <n v="7.2"/>
    <s v="Cold"/>
    <s v="Budget mismatch - too low"/>
  </r>
  <r>
    <s v="LD2300"/>
    <s v="Pramod Londhe"/>
    <n v="9901520603"/>
    <x v="3"/>
    <x v="8"/>
    <s v="Instagram Gudi Padwa Special"/>
    <x v="14"/>
    <s v="2026-02-18"/>
    <x v="1"/>
    <x v="1"/>
    <x v="4"/>
    <n v="1"/>
    <n v="0"/>
    <s v="2026-02-28"/>
    <x v="3"/>
    <n v="1911000"/>
    <m/>
    <m/>
    <x v="1"/>
    <n v="13"/>
    <s v="Warm"/>
    <s v="Interested but waiting for loan approval"/>
  </r>
  <r>
    <s v="LD2301"/>
    <s v="Sachin Tupe"/>
    <n v="9852995786"/>
    <x v="3"/>
    <x v="2"/>
    <s v="Architect Referral"/>
    <x v="7"/>
    <s v="2026-02-19"/>
    <x v="1"/>
    <x v="1"/>
    <x v="4"/>
    <n v="1"/>
    <n v="10"/>
    <s v="2026-05-02"/>
    <x v="4"/>
    <n v="1580995"/>
    <n v="1399783"/>
    <s v="2026-05-07"/>
    <x v="1"/>
    <n v="18.2"/>
    <s v="Warm"/>
    <s v="Full payment cleared, delivery done"/>
  </r>
  <r>
    <s v="LD2302"/>
    <s v="Santosh Kadam"/>
    <n v="9558916430"/>
    <x v="0"/>
    <x v="2"/>
    <s v="Contractor Referral"/>
    <x v="9"/>
    <s v="2026-02-19"/>
    <x v="1"/>
    <x v="1"/>
    <x v="4"/>
    <n v="1"/>
    <n v="5"/>
    <s v="2026-03-23"/>
    <x v="4"/>
    <n v="559387"/>
    <n v="574685"/>
    <s v="2026-04-06"/>
    <x v="2"/>
    <n v="11.6"/>
    <s v="Hot"/>
    <s v="Customer referred 2 more leads after delivery"/>
  </r>
  <r>
    <s v="LD2303"/>
    <s v="Vikas Joshi"/>
    <n v="9331424524"/>
    <x v="4"/>
    <x v="2"/>
    <s v="Contractor Referral"/>
    <x v="13"/>
    <s v="2026-02-19"/>
    <x v="1"/>
    <x v="1"/>
    <x v="4"/>
    <n v="1"/>
    <m/>
    <s v="2026-04-07"/>
    <x v="0"/>
    <n v="1801174"/>
    <m/>
    <m/>
    <x v="0"/>
    <n v="27.8"/>
    <s v="Warm"/>
    <s v="Lost to branded competitor"/>
  </r>
  <r>
    <s v="LD2304"/>
    <s v="Mahesh Holkar"/>
    <n v="9526590228"/>
    <x v="2"/>
    <x v="7"/>
    <s v="Google Ads"/>
    <x v="0"/>
    <s v="2026-02-19"/>
    <x v="1"/>
    <x v="1"/>
    <x v="4"/>
    <n v="1"/>
    <n v="3"/>
    <s v="2026-03-13"/>
    <x v="3"/>
    <n v="771745"/>
    <m/>
    <m/>
    <x v="0"/>
    <n v="0.5"/>
    <s v="Warm"/>
    <s v="Follow up after flat possession"/>
  </r>
  <r>
    <s v="LD2305"/>
    <s v="Devendra Bhosale"/>
    <n v="9845780014"/>
    <x v="3"/>
    <x v="5"/>
    <s v="Exhibition Walk-in"/>
    <x v="1"/>
    <s v="2026-02-20"/>
    <x v="1"/>
    <x v="1"/>
    <x v="4"/>
    <n v="1"/>
    <n v="6"/>
    <s v="2026-03-07"/>
    <x v="2"/>
    <n v="92317"/>
    <m/>
    <m/>
    <x v="1"/>
    <n v="24.9"/>
    <s v="Warm"/>
    <m/>
  </r>
  <r>
    <s v="LD2306"/>
    <s v="Divya Mane"/>
    <n v="9777713862"/>
    <x v="2"/>
    <x v="0"/>
    <s v="Colony Reference"/>
    <x v="12"/>
    <s v="2026-02-20"/>
    <x v="1"/>
    <x v="1"/>
    <x v="4"/>
    <n v="1"/>
    <n v="9"/>
    <s v="2026-04-18"/>
    <x v="2"/>
    <n v="1850052"/>
    <m/>
    <m/>
    <x v="1"/>
    <n v="23.4"/>
    <s v="Warm"/>
    <s v="Budget discussion pending"/>
  </r>
  <r>
    <s v="LD2307"/>
    <s v="Nikhil Bhalerao"/>
    <m/>
    <x v="3"/>
    <x v="8"/>
    <s v="Instagram Diwali Campaign"/>
    <x v="8"/>
    <s v="2026-02-20"/>
    <x v="1"/>
    <x v="1"/>
    <x v="4"/>
    <n v="1"/>
    <n v="3"/>
    <s v="2026-03-17"/>
    <x v="0"/>
    <n v="797005"/>
    <m/>
    <m/>
    <x v="0"/>
    <n v="7"/>
    <s v="Cold"/>
    <s v="DM received on Instagram, no phone shared"/>
  </r>
  <r>
    <s v="LD2308"/>
    <s v="Nikhil Bhosale"/>
    <n v="9795288812"/>
    <x v="2"/>
    <x v="5"/>
    <s v="Showroom Walk-in"/>
    <x v="0"/>
    <s v="2026-02-21"/>
    <x v="1"/>
    <x v="1"/>
    <x v="4"/>
    <n v="1"/>
    <n v="9"/>
    <s v="2026-03-24"/>
    <x v="4"/>
    <n v="804279"/>
    <n v="790820"/>
    <s v="2026-03-31"/>
    <x v="2"/>
    <n v="32.4"/>
    <s v="Hot"/>
    <s v="Customer happy with sample, deal closed"/>
  </r>
  <r>
    <s v="LD2309"/>
    <s v="Devendra Patil"/>
    <n v="9497965932"/>
    <x v="2"/>
    <x v="2"/>
    <s v="Contractor Referral"/>
    <x v="3"/>
    <s v="2026-02-21"/>
    <x v="1"/>
    <x v="1"/>
    <x v="4"/>
    <n v="1"/>
    <n v="3"/>
    <s v="2026-03-11"/>
    <x v="4"/>
    <n v="242427"/>
    <n v="218030"/>
    <s v="2026-03-24"/>
    <x v="1"/>
    <n v="28.7"/>
    <s v="Hot"/>
    <s v="Customer very satisfied, 5 star review given"/>
  </r>
  <r>
    <s v="LD2310"/>
    <s v="Anita Wagh"/>
    <n v="9364302569"/>
    <x v="2"/>
    <x v="5"/>
    <s v="Site Visit Walk-in"/>
    <x v="3"/>
    <s v="2026-02-21"/>
    <x v="1"/>
    <x v="1"/>
    <x v="4"/>
    <n v="1"/>
    <n v="9"/>
    <s v="2026-04-15"/>
    <x v="1"/>
    <n v="296534"/>
    <m/>
    <m/>
    <x v="1"/>
    <n v="10.4"/>
    <s v="Hot"/>
    <s v="Very interested, finalising design"/>
  </r>
  <r>
    <s v="LD2311"/>
    <s v="Alka Gavhane"/>
    <n v="9574406071"/>
    <x v="1"/>
    <x v="4"/>
    <s v="99acres Flat Owner Enquiry — Inbound"/>
    <x v="2"/>
    <s v="2026-02-23"/>
    <x v="1"/>
    <x v="1"/>
    <x v="4"/>
    <n v="1"/>
    <n v="12"/>
    <s v="2026-04-11"/>
    <x v="4"/>
    <n v="560993"/>
    <n v="526939"/>
    <s v="2026-04-23"/>
    <x v="2"/>
    <n v="5.5"/>
    <s v="Hot"/>
    <s v="Deal done, site work ongoing"/>
  </r>
  <r>
    <s v="LD2312"/>
    <s v="Alka Holkar"/>
    <n v="9439336284"/>
    <x v="4"/>
    <x v="4"/>
    <s v="99acres Flat Owner Enquiry — Inbound"/>
    <x v="0"/>
    <s v="2026-02-23"/>
    <x v="1"/>
    <x v="1"/>
    <x v="4"/>
    <n v="1"/>
    <n v="12"/>
    <s v="2026-03-30"/>
    <x v="4"/>
    <n v="822687"/>
    <n v="737559"/>
    <s v="2026-04-02"/>
    <x v="1"/>
    <n v="18.399999999999999"/>
    <s v="Hot"/>
    <s v="Full payment cleared, delivery done"/>
  </r>
  <r>
    <s v="LD2313"/>
    <s v="Seema Sonawane"/>
    <n v="9785074161"/>
    <x v="2"/>
    <x v="7"/>
    <s v="Google My Business"/>
    <x v="4"/>
    <s v="2026-02-23"/>
    <x v="1"/>
    <x v="1"/>
    <x v="4"/>
    <n v="1"/>
    <n v="10"/>
    <s v="2026-04-10"/>
    <x v="1"/>
    <n v="361760"/>
    <m/>
    <m/>
    <x v="1"/>
    <n v="19.899999999999999"/>
    <s v="Hot"/>
    <m/>
  </r>
  <r>
    <s v="LD2314"/>
    <s v="Anita Chavan"/>
    <n v="9375838773"/>
    <x v="3"/>
    <x v="5"/>
    <s v="Showroom Walk-in"/>
    <x v="10"/>
    <s v="2026-02-23"/>
    <x v="1"/>
    <x v="1"/>
    <x v="4"/>
    <n v="1"/>
    <n v="5"/>
    <s v="2026-03-27"/>
    <x v="1"/>
    <n v="215243"/>
    <m/>
    <m/>
    <x v="1"/>
    <n v="11.4"/>
    <s v="Cold"/>
    <s v="No call back after site visit"/>
  </r>
  <r>
    <s v="LD2315"/>
    <s v="Meena Bhalerao"/>
    <n v="9674609250"/>
    <x v="0"/>
    <x v="8"/>
    <s v="Instagram Kitchen Reels"/>
    <x v="12"/>
    <s v="2026-02-23"/>
    <x v="1"/>
    <x v="1"/>
    <x v="4"/>
    <n v="1"/>
    <n v="6"/>
    <s v="2026-03-13"/>
    <x v="0"/>
    <n v="1706631"/>
    <m/>
    <m/>
    <x v="1"/>
    <n v="26"/>
    <s v="Warm"/>
    <m/>
  </r>
  <r>
    <s v="LD2316"/>
    <s v="Sanjay Bansode"/>
    <n v="9443862301"/>
    <x v="2"/>
    <x v="8"/>
    <s v="Instagram Wardrobe Showcase"/>
    <x v="5"/>
    <s v="2026-02-23"/>
    <x v="1"/>
    <x v="1"/>
    <x v="4"/>
    <n v="1"/>
    <n v="8"/>
    <s v="2026-03-12"/>
    <x v="0"/>
    <n v="172163"/>
    <m/>
    <m/>
    <x v="2"/>
    <m/>
    <s v="Cold"/>
    <s v="Budget mismatch - too low"/>
  </r>
  <r>
    <s v="LD2317"/>
    <s v="Arun Thorat"/>
    <n v="9456624653"/>
    <x v="3"/>
    <x v="4"/>
    <s v="99acres New Project Enquiry — Inbound"/>
    <x v="10"/>
    <s v="2026-02-23"/>
    <x v="1"/>
    <x v="1"/>
    <x v="4"/>
    <n v="1"/>
    <n v="4"/>
    <s v="2026-04-02"/>
    <x v="0"/>
    <n v="525645"/>
    <m/>
    <m/>
    <x v="1"/>
    <n v="6.4"/>
    <s v="Cold"/>
    <s v="Budget mismatch - too low"/>
  </r>
  <r>
    <s v="LD2318"/>
    <s v="Kiran Jadhav"/>
    <n v="9259626193"/>
    <x v="4"/>
    <x v="8"/>
    <s v="Instagram Story Ads"/>
    <x v="2"/>
    <s v="2026-02-23"/>
    <x v="1"/>
    <x v="1"/>
    <x v="4"/>
    <n v="1"/>
    <n v="4"/>
    <s v="2026-03-27"/>
    <x v="4"/>
    <n v="328706"/>
    <n v="329055"/>
    <s v="2026-04-17"/>
    <x v="1"/>
    <n v="11.1"/>
    <s v="Warm"/>
    <s v="Token paid, measurement done, work started"/>
  </r>
  <r>
    <s v="LD2319"/>
    <s v="Prashant Pawar"/>
    <n v="9618637356"/>
    <x v="0"/>
    <x v="2"/>
    <s v="Client Referral"/>
    <x v="5"/>
    <s v="2026-02-24"/>
    <x v="1"/>
    <x v="1"/>
    <x v="4"/>
    <n v="1"/>
    <n v="8"/>
    <s v="2026-03-30"/>
    <x v="1"/>
    <n v="252721"/>
    <m/>
    <m/>
    <x v="0"/>
    <n v="7.6"/>
    <s v="Warm"/>
    <s v="Waiting for interior budget approval from family"/>
  </r>
  <r>
    <s v="LD2320"/>
    <s v="Jyoti More"/>
    <n v="9455166035"/>
    <x v="4"/>
    <x v="6"/>
    <s v="Facebook Kitchen Showcase"/>
    <x v="5"/>
    <s v="2026-02-24"/>
    <x v="1"/>
    <x v="1"/>
    <x v="4"/>
    <n v="1"/>
    <n v="10"/>
    <s v="2026-04-20"/>
    <x v="1"/>
    <n v="107869"/>
    <m/>
    <m/>
    <x v="0"/>
    <n v="6.9"/>
    <s v="Warm"/>
    <s v="Follow up after Diwali"/>
  </r>
  <r>
    <s v="LD2321"/>
    <s v="Amit Joshi"/>
    <n v="9163346779"/>
    <x v="2"/>
    <x v="2"/>
    <s v="Architect Referral"/>
    <x v="10"/>
    <s v="2026-02-24"/>
    <x v="1"/>
    <x v="1"/>
    <x v="4"/>
    <n v="1"/>
    <n v="0"/>
    <s v="2026-03-03"/>
    <x v="2"/>
    <n v="628106"/>
    <m/>
    <m/>
    <x v="1"/>
    <n v="34.5"/>
    <s v="Warm"/>
    <s v="Under construction, possession in 3 months"/>
  </r>
  <r>
    <s v="LD2322"/>
    <s v="Sunanda Londhe"/>
    <n v="9447649089"/>
    <x v="0"/>
    <x v="7"/>
    <s v="SEO Organic"/>
    <x v="10"/>
    <s v="2026-02-25"/>
    <x v="1"/>
    <x v="1"/>
    <x v="4"/>
    <n v="1"/>
    <n v="2"/>
    <s v="2026-03-13"/>
    <x v="3"/>
    <n v="455188"/>
    <m/>
    <m/>
    <x v="0"/>
    <n v="26.3"/>
    <s v="Warm"/>
    <s v="Follow up after flat possession"/>
  </r>
  <r>
    <s v="LD2323"/>
    <s v="Vikas Salve"/>
    <m/>
    <x v="0"/>
    <x v="3"/>
    <s v="MagicBricks Property Enquiry — Inbound"/>
    <x v="2"/>
    <s v="2026-02-27"/>
    <x v="1"/>
    <x v="1"/>
    <x v="4"/>
    <n v="1"/>
    <n v="6"/>
    <s v="2026-04-11"/>
    <x v="0"/>
    <n v="375578"/>
    <m/>
    <m/>
    <x v="1"/>
    <n v="25.7"/>
    <s v="Cold"/>
    <s v="MagicBricks portal lead — masked number, no response"/>
  </r>
  <r>
    <s v="LD2324"/>
    <s v="Mahesh Bansode"/>
    <n v="9495090348"/>
    <x v="0"/>
    <x v="8"/>
    <s v="Instagram Gudi Padwa Special"/>
    <x v="0"/>
    <s v="2026-02-28"/>
    <x v="1"/>
    <x v="1"/>
    <x v="4"/>
    <n v="1"/>
    <n v="10"/>
    <s v="2026-03-28"/>
    <x v="4"/>
    <n v="624312"/>
    <n v="626375"/>
    <s v="2026-04-02"/>
    <x v="1"/>
    <n v="23"/>
    <s v="Warm"/>
    <s v="Deal closed, advance received"/>
  </r>
  <r>
    <s v="LD2325"/>
    <s v="Ritu Sawant"/>
    <n v="9361766108"/>
    <x v="2"/>
    <x v="7"/>
    <s v="Google My Business"/>
    <x v="0"/>
    <s v="2026-03-02"/>
    <x v="2"/>
    <x v="2"/>
    <x v="4"/>
    <n v="1"/>
    <n v="12"/>
    <s v="2026-05-07"/>
    <x v="0"/>
    <n v="567290"/>
    <m/>
    <m/>
    <x v="1"/>
    <n v="4.7"/>
    <s v="Cold"/>
    <s v="Customer chose readymade furniture"/>
  </r>
  <r>
    <s v="LD2326"/>
    <s v="Kiran Kshirsagar"/>
    <n v="9840304880"/>
    <x v="4"/>
    <x v="7"/>
    <s v="Website Chat Enquiry"/>
    <x v="7"/>
    <s v="2026-03-02"/>
    <x v="2"/>
    <x v="2"/>
    <x v="4"/>
    <n v="1"/>
    <n v="11"/>
    <s v="2026-03-31"/>
    <x v="0"/>
    <n v="800900"/>
    <m/>
    <m/>
    <x v="0"/>
    <n v="21.4"/>
    <s v="Cold"/>
    <s v="Customer chose readymade furniture"/>
  </r>
  <r>
    <s v="LD2327"/>
    <s v="Dinesh Sawant"/>
    <n v="9182386509"/>
    <x v="0"/>
    <x v="7"/>
    <s v="Website Chat Enquiry"/>
    <x v="2"/>
    <s v="2026-03-02"/>
    <x v="2"/>
    <x v="2"/>
    <x v="4"/>
    <n v="1"/>
    <n v="3"/>
    <s v="2026-03-16"/>
    <x v="0"/>
    <n v="251229"/>
    <m/>
    <m/>
    <x v="2"/>
    <n v="25.7"/>
    <s v="Warm"/>
    <s v="Customer got work done from relative"/>
  </r>
  <r>
    <s v="LD2328"/>
    <s v="Hemant Deshpande"/>
    <n v="9848645476"/>
    <x v="3"/>
    <x v="7"/>
    <s v="Google Ads"/>
    <x v="11"/>
    <s v="2026-03-02"/>
    <x v="2"/>
    <x v="2"/>
    <x v="4"/>
    <n v="1"/>
    <n v="8"/>
    <s v="2026-04-06"/>
    <x v="0"/>
    <n v="377136"/>
    <m/>
    <m/>
    <x v="1"/>
    <n v="35.1"/>
    <s v="Warm"/>
    <s v="Went with local vendor"/>
  </r>
  <r>
    <s v="LD2329"/>
    <s v="Manisha Patil"/>
    <n v="9584422454"/>
    <x v="1"/>
    <x v="2"/>
    <s v="Architect Referral"/>
    <x v="7"/>
    <s v="2026-03-02"/>
    <x v="2"/>
    <x v="2"/>
    <x v="4"/>
    <n v="1"/>
    <n v="0"/>
    <s v="2026-03-04"/>
    <x v="4"/>
    <n v="1271017"/>
    <n v="1295944"/>
    <s v="2026-03-11"/>
    <x v="1"/>
    <n v="29.4"/>
    <s v="Warm"/>
    <s v="Token paid, measurement done, work started"/>
  </r>
  <r>
    <s v="LD2330"/>
    <s v="Amit Phule"/>
    <n v="9905451150"/>
    <x v="0"/>
    <x v="8"/>
    <s v="Instagram Gudi Padwa Special"/>
    <x v="3"/>
    <s v="2026-03-02"/>
    <x v="2"/>
    <x v="2"/>
    <x v="4"/>
    <n v="1"/>
    <n v="1"/>
    <s v="2026-03-05"/>
    <x v="4"/>
    <n v="103138"/>
    <n v="105346"/>
    <s v="2026-03-16"/>
    <x v="1"/>
    <n v="29.1"/>
    <s v="Hot"/>
    <s v="Customer referred 2 more leads after delivery"/>
  </r>
  <r>
    <s v="LD2331"/>
    <s v="Hemant Wagh"/>
    <n v="9708179443"/>
    <x v="4"/>
    <x v="2"/>
    <s v="Client Referral"/>
    <x v="5"/>
    <s v="2026-03-02"/>
    <x v="2"/>
    <x v="2"/>
    <x v="4"/>
    <n v="1"/>
    <n v="9"/>
    <s v="2026-04-29"/>
    <x v="1"/>
    <n v="93738"/>
    <m/>
    <m/>
    <x v="1"/>
    <n v="20.399999999999999"/>
    <s v="Hot"/>
    <s v="Token amount discussed, decision this week"/>
  </r>
  <r>
    <s v="LD2332"/>
    <s v="Madhuri Suryawanshi"/>
    <n v="9456771148"/>
    <x v="3"/>
    <x v="2"/>
    <s v="Client Referral"/>
    <x v="8"/>
    <s v="2026-03-02"/>
    <x v="2"/>
    <x v="2"/>
    <x v="4"/>
    <n v="1"/>
    <n v="2"/>
    <s v="2026-03-10"/>
    <x v="1"/>
    <n v="829746"/>
    <m/>
    <m/>
    <x v="1"/>
    <n v="31.3"/>
    <s v="Hot"/>
    <s v="Customer visited showroom twice, very interested"/>
  </r>
  <r>
    <s v="LD2333"/>
    <s v="Suresh Nimbalkar"/>
    <n v="9313756178"/>
    <x v="0"/>
    <x v="5"/>
    <s v="Exhibition Walk-in"/>
    <x v="14"/>
    <s v="2026-03-03"/>
    <x v="2"/>
    <x v="2"/>
    <x v="4"/>
    <n v="1"/>
    <n v="4"/>
    <s v="2026-03-17"/>
    <x v="0"/>
    <n v="2568192"/>
    <m/>
    <m/>
    <x v="0"/>
    <n v="24.2"/>
    <s v="Cold"/>
    <s v="Lost - no follow up done in time"/>
  </r>
  <r>
    <s v="LD2334"/>
    <s v="Ravi Deshmukh"/>
    <n v="9121368612"/>
    <x v="4"/>
    <x v="7"/>
    <s v="Website Chat Enquiry"/>
    <x v="2"/>
    <s v="2026-03-03"/>
    <x v="2"/>
    <x v="2"/>
    <x v="4"/>
    <n v="1"/>
    <n v="6"/>
    <s v="2026-04-15"/>
    <x v="1"/>
    <n v="276652"/>
    <m/>
    <m/>
    <x v="0"/>
    <n v="14.7"/>
    <s v="Cold"/>
    <s v="Went with local carpenter"/>
  </r>
  <r>
    <s v="LD2335"/>
    <s v="Deepak Londhe"/>
    <n v="9827646453"/>
    <x v="2"/>
    <x v="8"/>
    <s v="Instagram Wardrobe Showcase"/>
    <x v="7"/>
    <s v="2026-03-04"/>
    <x v="2"/>
    <x v="2"/>
    <x v="4"/>
    <n v="1"/>
    <n v="6"/>
    <s v="2026-04-08"/>
    <x v="0"/>
    <n v="1513257"/>
    <m/>
    <m/>
    <x v="2"/>
    <n v="3.6"/>
    <s v="Cold"/>
    <s v="Customer got work done from relative"/>
  </r>
  <r>
    <s v="LD2336"/>
    <s v="Prashant Sonawane"/>
    <n v="9410532859"/>
    <x v="0"/>
    <x v="8"/>
    <s v="Instagram Diwali Campaign"/>
    <x v="7"/>
    <s v="2026-03-04"/>
    <x v="2"/>
    <x v="2"/>
    <x v="4"/>
    <n v="1"/>
    <n v="12"/>
    <s v="2026-05-07"/>
    <x v="1"/>
    <n v="1048542"/>
    <m/>
    <m/>
    <x v="0"/>
    <n v="32.200000000000003"/>
    <s v="Cold"/>
    <s v="Just enquiring, no serious intent"/>
  </r>
  <r>
    <s v="LD2337"/>
    <s v="Pooja Kulkarni"/>
    <n v="9438709847"/>
    <x v="0"/>
    <x v="6"/>
    <s v="Facebook Home Decor Ads"/>
    <x v="6"/>
    <s v="2026-03-04"/>
    <x v="2"/>
    <x v="2"/>
    <x v="4"/>
    <n v="1"/>
    <n v="8"/>
    <s v="2026-04-15"/>
    <x v="1"/>
    <n v="393420"/>
    <m/>
    <m/>
    <x v="1"/>
    <n v="5.5"/>
    <s v="Warm"/>
    <s v="Waiting for interior budget approval from family"/>
  </r>
  <r>
    <s v="LD2338"/>
    <s v="Manoj Suryawanshi"/>
    <n v="9895164268"/>
    <x v="0"/>
    <x v="5"/>
    <s v="Exhibition Walk-in"/>
    <x v="7"/>
    <s v="2026-03-04"/>
    <x v="2"/>
    <x v="2"/>
    <x v="4"/>
    <n v="1"/>
    <n v="1"/>
    <s v="2026-03-23"/>
    <x v="0"/>
    <n v="1586658"/>
    <m/>
    <m/>
    <x v="2"/>
    <n v="12.6"/>
    <s v="Cold"/>
    <s v="Customer chose readymade furniture"/>
  </r>
  <r>
    <s v="LD2339"/>
    <s v="Umesh Sonawane"/>
    <n v="9266823053"/>
    <x v="2"/>
    <x v="1"/>
    <s v="Justdial Sponsored — Inbound"/>
    <x v="12"/>
    <s v="2026-03-04"/>
    <x v="2"/>
    <x v="2"/>
    <x v="4"/>
    <n v="1"/>
    <n v="2"/>
    <s v="2026-03-21"/>
    <x v="4"/>
    <n v="1287781"/>
    <n v="1324824"/>
    <s v="2026-04-03"/>
    <x v="0"/>
    <n v="25.3"/>
    <s v="Warm"/>
    <s v="Token paid, measurement done, work started"/>
  </r>
  <r>
    <s v="LD2340"/>
    <s v="Santosh Gaikwad"/>
    <n v="9822656872"/>
    <x v="4"/>
    <x v="8"/>
    <s v="Instagram Story Ads"/>
    <x v="10"/>
    <s v="2026-03-04"/>
    <x v="2"/>
    <x v="2"/>
    <x v="4"/>
    <n v="1"/>
    <n v="0"/>
    <s v="2026-03-13"/>
    <x v="0"/>
    <n v="316622"/>
    <m/>
    <m/>
    <x v="0"/>
    <n v="0.5"/>
    <s v="Cold"/>
    <s v="Lost to branded competitor"/>
  </r>
  <r>
    <s v="LD2341"/>
    <s v="Kiran Gaikwad"/>
    <n v="9103269187"/>
    <x v="0"/>
    <x v="2"/>
    <s v="Client Referral"/>
    <x v="3"/>
    <s v="2026-03-05"/>
    <x v="2"/>
    <x v="2"/>
    <x v="4"/>
    <n v="1"/>
    <n v="7"/>
    <s v="2026-04-24"/>
    <x v="1"/>
    <n v="277400"/>
    <m/>
    <m/>
    <x v="1"/>
    <n v="24"/>
    <s v="Warm"/>
    <m/>
  </r>
  <r>
    <s v="LD2342"/>
    <s v="Kavita Sawant"/>
    <n v="9403997801"/>
    <x v="4"/>
    <x v="7"/>
    <s v="SEO Organic"/>
    <x v="8"/>
    <s v="2026-03-05"/>
    <x v="2"/>
    <x v="2"/>
    <x v="4"/>
    <n v="1"/>
    <n v="3"/>
    <s v="2026-03-21"/>
    <x v="1"/>
    <n v="726552"/>
    <m/>
    <m/>
    <x v="1"/>
    <m/>
    <s v="Warm"/>
    <s v="Site visit to be scheduled"/>
  </r>
  <r>
    <s v="LD2343"/>
    <s v="Sunanda Chavan"/>
    <n v="9856229902"/>
    <x v="4"/>
    <x v="1"/>
    <s v="Justdial Free Listing — Inbound"/>
    <x v="8"/>
    <s v="2026-03-05"/>
    <x v="2"/>
    <x v="2"/>
    <x v="4"/>
    <n v="1"/>
    <n v="0"/>
    <s v="2026-03-19"/>
    <x v="3"/>
    <n v="782760"/>
    <m/>
    <m/>
    <x v="2"/>
    <n v="21.7"/>
    <s v="Warm"/>
    <s v="Site visit to be scheduled"/>
  </r>
  <r>
    <s v="LD2344"/>
    <s v="Archana Kulkarni"/>
    <n v="9860726681"/>
    <x v="2"/>
    <x v="8"/>
    <s v="Instagram Gudi Padwa Special"/>
    <x v="9"/>
    <s v="2026-03-05"/>
    <x v="2"/>
    <x v="2"/>
    <x v="4"/>
    <n v="1"/>
    <n v="8"/>
    <s v="2026-03-31"/>
    <x v="0"/>
    <n v="444736"/>
    <m/>
    <m/>
    <x v="0"/>
    <n v="28.1"/>
    <s v="Cold"/>
    <s v="Went with local vendor"/>
  </r>
  <r>
    <s v="LD2345"/>
    <s v="Nanda Deshpande"/>
    <n v="9587774390"/>
    <x v="4"/>
    <x v="7"/>
    <s v="SEO Organic"/>
    <x v="9"/>
    <s v="2026-03-05"/>
    <x v="2"/>
    <x v="2"/>
    <x v="4"/>
    <n v="1"/>
    <n v="9"/>
    <s v="2026-04-07"/>
    <x v="0"/>
    <n v="573258"/>
    <m/>
    <m/>
    <x v="2"/>
    <m/>
    <s v="Cold"/>
    <s v="Customer chose readymade furniture"/>
  </r>
  <r>
    <s v="LD2346"/>
    <s v="Nikhil Kshirsagar"/>
    <n v="9508357016"/>
    <x v="3"/>
    <x v="0"/>
    <s v="Colony Reference"/>
    <x v="7"/>
    <s v="2026-03-06"/>
    <x v="2"/>
    <x v="2"/>
    <x v="4"/>
    <n v="1"/>
    <n v="11"/>
    <s v="2026-04-27"/>
    <x v="1"/>
    <n v="1114851"/>
    <m/>
    <m/>
    <x v="0"/>
    <n v="12.8"/>
    <s v="Hot"/>
    <s v="Design presentation done, waiting for confirmation"/>
  </r>
  <r>
    <s v="LD2347"/>
    <s v="Amit Mohite"/>
    <m/>
    <x v="2"/>
    <x v="8"/>
    <s v="Instagram Gudi Padwa Special"/>
    <x v="11"/>
    <s v="2026-03-06"/>
    <x v="2"/>
    <x v="2"/>
    <x v="4"/>
    <n v="1"/>
    <n v="6"/>
    <s v="2026-04-06"/>
    <x v="2"/>
    <n v="419781"/>
    <m/>
    <m/>
    <x v="2"/>
    <n v="15.1"/>
    <s v="Cold"/>
    <s v="DM received on Instagram, no phone shared"/>
  </r>
  <r>
    <s v="LD2348"/>
    <s v="Shweta Kulkarni"/>
    <n v="9691864581"/>
    <x v="2"/>
    <x v="8"/>
    <s v="Instagram Before-After Posts"/>
    <x v="2"/>
    <s v="2026-03-07"/>
    <x v="2"/>
    <x v="2"/>
    <x v="4"/>
    <n v="1"/>
    <n v="5"/>
    <s v="2026-03-27"/>
    <x v="4"/>
    <n v="236792"/>
    <n v="237040"/>
    <s v="2026-03-30"/>
    <x v="1"/>
    <n v="24.9"/>
    <s v="Hot"/>
    <s v="Deal done, site work ongoing"/>
  </r>
  <r>
    <s v="LD2349"/>
    <s v="Anita Kale"/>
    <n v="9947693532"/>
    <x v="1"/>
    <x v="6"/>
    <s v="Facebook Diwali Offer"/>
    <x v="5"/>
    <s v="2026-03-07"/>
    <x v="2"/>
    <x v="2"/>
    <x v="4"/>
    <n v="1"/>
    <n v="9"/>
    <s v="2026-04-22"/>
    <x v="4"/>
    <n v="259129"/>
    <n v="234433"/>
    <s v="2026-05-07"/>
    <x v="0"/>
    <n v="6.6"/>
    <s v="Warm"/>
    <s v="Deal closed, advance received"/>
  </r>
  <r>
    <s v="LD2350"/>
    <s v="Ritu Gaikwad"/>
    <n v="9810492098"/>
    <x v="0"/>
    <x v="6"/>
    <s v="Facebook Kitchen Showcase"/>
    <x v="6"/>
    <s v="2026-03-07"/>
    <x v="2"/>
    <x v="2"/>
    <x v="4"/>
    <n v="1"/>
    <n v="11"/>
    <s v="2026-04-20"/>
    <x v="0"/>
    <n v="145698"/>
    <m/>
    <m/>
    <x v="1"/>
    <n v="11.2"/>
    <s v="Cold"/>
    <s v="Lost to branded competitor"/>
  </r>
  <r>
    <s v="LD2351"/>
    <s v="Sunanda Shinde"/>
    <m/>
    <x v="3"/>
    <x v="8"/>
    <s v="Instagram Before-After Posts"/>
    <x v="4"/>
    <s v="2026-03-07"/>
    <x v="2"/>
    <x v="2"/>
    <x v="4"/>
    <n v="1"/>
    <n v="5"/>
    <s v="2026-04-13"/>
    <x v="0"/>
    <n v="246514"/>
    <m/>
    <m/>
    <x v="1"/>
    <n v="21.3"/>
    <s v="Cold"/>
    <s v="Customer messaged on Instagram, did not share contact"/>
  </r>
  <r>
    <s v="LD2352"/>
    <s v="Alka Nimbalkar"/>
    <n v="9294059834"/>
    <x v="4"/>
    <x v="8"/>
    <s v="Instagram Before-After Posts"/>
    <x v="6"/>
    <s v="2026-03-09"/>
    <x v="2"/>
    <x v="2"/>
    <x v="4"/>
    <n v="1"/>
    <n v="1"/>
    <s v="2026-03-16"/>
    <x v="0"/>
    <n v="206695"/>
    <m/>
    <m/>
    <x v="2"/>
    <n v="31.5"/>
    <s v="Cold"/>
    <s v="Project cancelled by customer"/>
  </r>
  <r>
    <s v="LD2353"/>
    <s v="Archana Joshi"/>
    <n v="9889594467"/>
    <x v="0"/>
    <x v="6"/>
    <s v="Facebook Home Decor Ads"/>
    <x v="8"/>
    <s v="2026-03-09"/>
    <x v="2"/>
    <x v="2"/>
    <x v="4"/>
    <n v="1"/>
    <n v="6"/>
    <s v="2026-03-23"/>
    <x v="4"/>
    <n v="812671"/>
    <n v="778671"/>
    <s v="2026-04-05"/>
    <x v="2"/>
    <n v="8"/>
    <s v="Warm"/>
    <s v="Customer referred 2 more leads after delivery"/>
  </r>
  <r>
    <s v="LD2354"/>
    <s v="Shweta Pawar"/>
    <n v="9530107281"/>
    <x v="3"/>
    <x v="7"/>
    <s v="Google Ads"/>
    <x v="13"/>
    <s v="2026-03-09"/>
    <x v="2"/>
    <x v="2"/>
    <x v="4"/>
    <n v="1"/>
    <n v="11"/>
    <s v="2026-05-07"/>
    <x v="0"/>
    <n v="1773331"/>
    <m/>
    <m/>
    <x v="1"/>
    <n v="32.1"/>
    <s v="Cold"/>
    <m/>
  </r>
  <r>
    <s v="LD2355"/>
    <s v="Seema More"/>
    <n v="9821375594"/>
    <x v="2"/>
    <x v="8"/>
    <s v="Instagram Kitchen Reels"/>
    <x v="7"/>
    <s v="2026-03-09"/>
    <x v="2"/>
    <x v="2"/>
    <x v="4"/>
    <n v="1"/>
    <n v="9"/>
    <s v="2026-04-10"/>
    <x v="1"/>
    <n v="1367588"/>
    <m/>
    <m/>
    <x v="0"/>
    <n v="35.799999999999997"/>
    <s v="Warm"/>
    <s v="Follow up after Diwali"/>
  </r>
  <r>
    <s v="LD2356"/>
    <s v="Sunita Chavan"/>
    <n v="9316317220"/>
    <x v="0"/>
    <x v="6"/>
    <s v="Facebook Kitchen Showcase"/>
    <x v="9"/>
    <s v="2026-03-10"/>
    <x v="2"/>
    <x v="2"/>
    <x v="4"/>
    <n v="1"/>
    <n v="0"/>
    <s v="2026-03-16"/>
    <x v="1"/>
    <n v="272020"/>
    <m/>
    <m/>
    <x v="0"/>
    <n v="30.7"/>
    <s v="Hot"/>
    <s v="Token amount discussed, decision this week"/>
  </r>
  <r>
    <s v="LD2357"/>
    <s v="Mahesh Aware"/>
    <n v="9537139309"/>
    <x v="1"/>
    <x v="2"/>
    <s v="Architect Referral"/>
    <x v="6"/>
    <s v="2026-03-10"/>
    <x v="2"/>
    <x v="2"/>
    <x v="4"/>
    <n v="1"/>
    <n v="1"/>
    <s v="2026-03-16"/>
    <x v="0"/>
    <n v="187736"/>
    <m/>
    <m/>
    <x v="0"/>
    <n v="14.6"/>
    <s v="Cold"/>
    <s v="Customer got work done from relative"/>
  </r>
  <r>
    <s v="LD2358"/>
    <s v="Sanjay More"/>
    <n v="9555581188"/>
    <x v="0"/>
    <x v="6"/>
    <s v="Facebook Gudi Padwa Offer"/>
    <x v="13"/>
    <s v="2026-03-10"/>
    <x v="2"/>
    <x v="2"/>
    <x v="4"/>
    <n v="1"/>
    <n v="3"/>
    <s v="2026-03-16"/>
    <x v="4"/>
    <n v="1802374"/>
    <n v="1820670"/>
    <s v="2026-03-18"/>
    <x v="0"/>
    <n v="5.4"/>
    <s v="Hot"/>
    <m/>
  </r>
  <r>
    <s v="LD2359"/>
    <s v="Deepak Jadhav"/>
    <n v="9939782179"/>
    <x v="4"/>
    <x v="8"/>
    <s v="Instagram Story Ads"/>
    <x v="8"/>
    <s v="2026-03-10"/>
    <x v="2"/>
    <x v="2"/>
    <x v="4"/>
    <n v="1"/>
    <n v="3"/>
    <s v="2026-04-01"/>
    <x v="0"/>
    <m/>
    <m/>
    <m/>
    <x v="1"/>
    <n v="27.5"/>
    <s v="Cold"/>
    <s v="Went with local vendor"/>
  </r>
  <r>
    <s v="LD2360"/>
    <s v="Pramod Nimbalkar"/>
    <n v="9993808608"/>
    <x v="0"/>
    <x v="2"/>
    <s v="Contractor Referral"/>
    <x v="9"/>
    <s v="2026-03-11"/>
    <x v="2"/>
    <x v="2"/>
    <x v="4"/>
    <n v="1"/>
    <n v="12"/>
    <s v="2026-05-07"/>
    <x v="4"/>
    <n v="195264"/>
    <n v="180482"/>
    <s v="2026-05-07"/>
    <x v="1"/>
    <n v="26.2"/>
    <s v="Warm"/>
    <s v="Token received, design finalised"/>
  </r>
  <r>
    <s v="LD2361"/>
    <s v="Sunanda More"/>
    <n v="9867947476"/>
    <x v="0"/>
    <x v="4"/>
    <s v="99acres New Project Enquiry — Inbound"/>
    <x v="1"/>
    <s v="2026-03-11"/>
    <x v="2"/>
    <x v="2"/>
    <x v="4"/>
    <n v="1"/>
    <n v="1"/>
    <s v="2026-03-20"/>
    <x v="4"/>
    <n v="313984"/>
    <n v="294612"/>
    <s v="2026-03-23"/>
    <x v="0"/>
    <n v="18.100000000000001"/>
    <s v="Warm"/>
    <s v="Deal closed, advance received"/>
  </r>
  <r>
    <s v="LD2362"/>
    <s v="Nikhil Pawar"/>
    <m/>
    <x v="4"/>
    <x v="8"/>
    <s v="Instagram Gudi Padwa Special"/>
    <x v="7"/>
    <s v="2026-03-12"/>
    <x v="2"/>
    <x v="2"/>
    <x v="4"/>
    <n v="1"/>
    <n v="6"/>
    <s v="2026-04-27"/>
    <x v="0"/>
    <n v="1056749"/>
    <m/>
    <m/>
    <x v="0"/>
    <n v="28.9"/>
    <s v="Cold"/>
    <s v="Customer messaged on Instagram, did not share contact"/>
  </r>
  <r>
    <s v="LD2363"/>
    <s v="Vikas Joshi"/>
    <n v="9321724661"/>
    <x v="2"/>
    <x v="1"/>
    <s v="Justdial Premium Listing — Inbound"/>
    <x v="3"/>
    <s v="2026-03-13"/>
    <x v="2"/>
    <x v="2"/>
    <x v="4"/>
    <n v="1"/>
    <n v="8"/>
    <s v="2026-04-20"/>
    <x v="0"/>
    <n v="103260"/>
    <m/>
    <m/>
    <x v="2"/>
    <n v="11.2"/>
    <s v="Cold"/>
    <s v="Customer chose readymade furniture"/>
  </r>
  <r>
    <s v="LD2364"/>
    <s v="Ravi Shelke"/>
    <n v="9384250200"/>
    <x v="4"/>
    <x v="8"/>
    <s v="Instagram Story Ads"/>
    <x v="3"/>
    <s v="2026-03-14"/>
    <x v="2"/>
    <x v="2"/>
    <x v="4"/>
    <n v="1"/>
    <n v="0"/>
    <s v="2026-03-23"/>
    <x v="1"/>
    <n v="208503"/>
    <m/>
    <m/>
    <x v="1"/>
    <n v="34.799999999999997"/>
    <s v="Warm"/>
    <s v="Follow up after Akshaya Tritiya"/>
  </r>
  <r>
    <s v="LD2365"/>
    <s v="Prashant Kakade"/>
    <n v="9146225778"/>
    <x v="0"/>
    <x v="1"/>
    <s v="Justdial Premium Listing — Inbound"/>
    <x v="12"/>
    <s v="2026-03-14"/>
    <x v="2"/>
    <x v="2"/>
    <x v="4"/>
    <n v="1"/>
    <n v="10"/>
    <s v="2026-05-07"/>
    <x v="0"/>
    <n v="1508647"/>
    <m/>
    <m/>
    <x v="0"/>
    <n v="30"/>
    <s v="Warm"/>
    <s v="Lost to competitor - cheaper quote"/>
  </r>
  <r>
    <s v="LD2366"/>
    <s v="Hemant Holkar"/>
    <n v="9488356472"/>
    <x v="2"/>
    <x v="8"/>
    <s v="Instagram Gudi Padwa Special"/>
    <x v="0"/>
    <s v="2026-03-14"/>
    <x v="2"/>
    <x v="2"/>
    <x v="4"/>
    <n v="1"/>
    <n v="1"/>
    <s v="2026-03-25"/>
    <x v="0"/>
    <n v="666692"/>
    <m/>
    <m/>
    <x v="0"/>
    <n v="11.2"/>
    <s v="Cold"/>
    <s v="Customer got work done from relative"/>
  </r>
  <r>
    <s v="LD2367"/>
    <s v="Sanjay Nikalje"/>
    <n v="9321848791"/>
    <x v="0"/>
    <x v="8"/>
    <s v="Instagram Gudi Padwa Special"/>
    <x v="7"/>
    <s v="2026-03-16"/>
    <x v="2"/>
    <x v="2"/>
    <x v="4"/>
    <n v="1"/>
    <n v="0"/>
    <s v="2026-03-23"/>
    <x v="1"/>
    <n v="831578"/>
    <m/>
    <m/>
    <x v="1"/>
    <n v="18.3"/>
    <s v="Hot"/>
    <m/>
  </r>
  <r>
    <s v="LD2368"/>
    <s v="Sanjay Joshi"/>
    <n v="9433645851"/>
    <x v="4"/>
    <x v="4"/>
    <s v="99acres New Project Enquiry — Inbound"/>
    <x v="7"/>
    <s v="2026-03-16"/>
    <x v="2"/>
    <x v="2"/>
    <x v="4"/>
    <n v="1"/>
    <n v="9"/>
    <s v="2026-05-07"/>
    <x v="4"/>
    <n v="873849"/>
    <n v="891037"/>
    <s v="2026-05-07"/>
    <x v="2"/>
    <n v="5.2"/>
    <s v="Hot"/>
    <s v="Customer referred 2 more leads after delivery"/>
  </r>
  <r>
    <s v="LD2369"/>
    <s v="Santosh Salve"/>
    <n v="9377382737"/>
    <x v="2"/>
    <x v="2"/>
    <s v="Contractor Referral"/>
    <x v="2"/>
    <s v="2026-03-16"/>
    <x v="2"/>
    <x v="2"/>
    <x v="4"/>
    <n v="1"/>
    <n v="9"/>
    <s v="2026-05-07"/>
    <x v="4"/>
    <n v="230588"/>
    <n v="223991"/>
    <s v="2026-05-07"/>
    <x v="2"/>
    <n v="4.3"/>
    <s v="Hot"/>
    <s v="Token received, design finalised"/>
  </r>
  <r>
    <s v="LD2370"/>
    <s v="Hemant Gavhane"/>
    <n v="9658313840"/>
    <x v="3"/>
    <x v="7"/>
    <s v="Google My Business"/>
    <x v="4"/>
    <s v="2026-03-16"/>
    <x v="2"/>
    <x v="2"/>
    <x v="4"/>
    <n v="1"/>
    <n v="11"/>
    <s v="2026-04-23"/>
    <x v="0"/>
    <n v="153465"/>
    <m/>
    <m/>
    <x v="0"/>
    <n v="16.899999999999999"/>
    <s v="Cold"/>
    <s v="Customer did not proceed with project"/>
  </r>
  <r>
    <s v="LD2371"/>
    <s v="Meena Gavhane"/>
    <m/>
    <x v="4"/>
    <x v="8"/>
    <s v="Instagram Gudi Padwa Special"/>
    <x v="5"/>
    <s v="2026-03-17"/>
    <x v="2"/>
    <x v="2"/>
    <x v="4"/>
    <n v="1"/>
    <n v="8"/>
    <s v="2026-04-27"/>
    <x v="0"/>
    <n v="194812"/>
    <m/>
    <m/>
    <x v="0"/>
    <n v="6.4"/>
    <s v="Cold"/>
    <s v="Customer messaged on Instagram, did not share contact"/>
  </r>
  <r>
    <s v="LD2372"/>
    <s v="Sonal Mohite"/>
    <n v="9433627454"/>
    <x v="4"/>
    <x v="8"/>
    <s v="Instagram Before-After Posts"/>
    <x v="8"/>
    <s v="2026-03-17"/>
    <x v="2"/>
    <x v="2"/>
    <x v="4"/>
    <n v="1"/>
    <n v="6"/>
    <s v="2026-04-25"/>
    <x v="4"/>
    <n v="1061068"/>
    <n v="976421"/>
    <s v="2026-05-07"/>
    <x v="1"/>
    <n v="3.2"/>
    <s v="Hot"/>
    <s v="Work order signed, production started"/>
  </r>
  <r>
    <s v="LD2373"/>
    <s v="Rajesh Wagh"/>
    <n v="9946388991"/>
    <x v="1"/>
    <x v="3"/>
    <s v="MagicBricks Property Enquiry — Inbound"/>
    <x v="0"/>
    <s v="2026-03-17"/>
    <x v="2"/>
    <x v="2"/>
    <x v="4"/>
    <n v="1"/>
    <n v="10"/>
    <s v="2026-04-20"/>
    <x v="4"/>
    <n v="809599"/>
    <n v="761596"/>
    <s v="2026-04-26"/>
    <x v="2"/>
    <n v="2.2000000000000002"/>
    <s v="Hot"/>
    <s v="Work order signed, production started"/>
  </r>
  <r>
    <s v="LD2374"/>
    <s v="Meena Kshirsagar"/>
    <n v="9754890392"/>
    <x v="1"/>
    <x v="8"/>
    <s v="Instagram Wardrobe Showcase"/>
    <x v="0"/>
    <s v="2026-03-19"/>
    <x v="2"/>
    <x v="2"/>
    <x v="4"/>
    <n v="1"/>
    <n v="9"/>
    <s v="2026-05-07"/>
    <x v="0"/>
    <n v="417455"/>
    <m/>
    <m/>
    <x v="1"/>
    <n v="32.4"/>
    <s v="Warm"/>
    <s v="No response, marked as lost after 60 days"/>
  </r>
  <r>
    <s v="LD2375"/>
    <s v="Sunil Holkar"/>
    <n v="9536065321"/>
    <x v="4"/>
    <x v="8"/>
    <s v="Instagram Before-After Posts"/>
    <x v="5"/>
    <s v="2026-03-19"/>
    <x v="2"/>
    <x v="2"/>
    <x v="4"/>
    <n v="1"/>
    <n v="1"/>
    <s v="2026-03-28"/>
    <x v="1"/>
    <n v="300226"/>
    <m/>
    <m/>
    <x v="1"/>
    <n v="11.3"/>
    <s v="Hot"/>
    <s v="Very interested, finalising design"/>
  </r>
  <r>
    <s v="LD2376"/>
    <s v="Dinesh Salve"/>
    <n v="9614907944"/>
    <x v="3"/>
    <x v="0"/>
    <s v="Family Reference"/>
    <x v="12"/>
    <s v="2026-03-19"/>
    <x v="2"/>
    <x v="2"/>
    <x v="4"/>
    <n v="1"/>
    <n v="3"/>
    <s v="2026-04-02"/>
    <x v="4"/>
    <n v="1848570"/>
    <n v="1891994"/>
    <s v="2026-04-21"/>
    <x v="0"/>
    <n v="5.4"/>
    <s v="Hot"/>
    <s v="Token paid, measurement done, work started"/>
  </r>
  <r>
    <s v="LD2377"/>
    <s v="Pramod Shinde"/>
    <n v="9584704191"/>
    <x v="0"/>
    <x v="6"/>
    <s v="Facebook Gudi Padwa Offer"/>
    <x v="0"/>
    <s v="2026-03-19"/>
    <x v="2"/>
    <x v="2"/>
    <x v="4"/>
    <n v="1"/>
    <n v="11"/>
    <s v="2026-04-27"/>
    <x v="4"/>
    <n v="711164"/>
    <n v="662620"/>
    <s v="2026-05-07"/>
    <x v="1"/>
    <n v="31.6"/>
    <s v="Warm"/>
    <s v="Deal closed, advance received"/>
  </r>
  <r>
    <s v="LD2378"/>
    <s v="Hemant Bhosale"/>
    <n v="9725881418"/>
    <x v="2"/>
    <x v="7"/>
    <s v="Google My Business"/>
    <x v="0"/>
    <s v="2026-03-19"/>
    <x v="2"/>
    <x v="2"/>
    <x v="4"/>
    <n v="1"/>
    <n v="1"/>
    <s v="2026-03-26"/>
    <x v="4"/>
    <n v="779552"/>
    <n v="768574"/>
    <s v="2026-04-12"/>
    <x v="1"/>
    <n v="2.9"/>
    <s v="Hot"/>
    <s v="Token received, design finalised"/>
  </r>
  <r>
    <s v="LD2379"/>
    <s v="Shweta Suryawanshi"/>
    <n v="9313125037"/>
    <x v="2"/>
    <x v="2"/>
    <s v="Contractor Referral"/>
    <x v="10"/>
    <s v="2026-03-19"/>
    <x v="2"/>
    <x v="2"/>
    <x v="4"/>
    <n v="1"/>
    <n v="11"/>
    <s v="2026-04-24"/>
    <x v="4"/>
    <n v="567201"/>
    <n v="566068"/>
    <s v="2026-05-07"/>
    <x v="1"/>
    <n v="22.7"/>
    <s v="Hot"/>
    <s v="Customer referred 2 more leads after delivery"/>
  </r>
  <r>
    <s v="LD2380"/>
    <s v="Prashant Nimbalkar"/>
    <n v="9382012140"/>
    <x v="2"/>
    <x v="5"/>
    <s v="Showroom Walk-in"/>
    <x v="9"/>
    <s v="2026-03-19"/>
    <x v="2"/>
    <x v="2"/>
    <x v="4"/>
    <n v="1"/>
    <n v="2"/>
    <s v="2026-03-30"/>
    <x v="4"/>
    <n v="440169"/>
    <n v="405675"/>
    <s v="2026-04-03"/>
    <x v="0"/>
    <n v="35.700000000000003"/>
    <s v="Hot"/>
    <s v="Full payment cleared, delivery done"/>
  </r>
  <r>
    <s v="LD2381"/>
    <s v="Lata Gavhane"/>
    <n v="9414382610"/>
    <x v="4"/>
    <x v="8"/>
    <s v="Instagram Diwali Campaign"/>
    <x v="2"/>
    <s v="2026-03-21"/>
    <x v="2"/>
    <x v="2"/>
    <x v="4"/>
    <n v="1"/>
    <n v="12"/>
    <s v="2026-05-07"/>
    <x v="4"/>
    <n v="203057"/>
    <n v="178986"/>
    <s v="2026-05-07"/>
    <x v="1"/>
    <n v="21.7"/>
    <s v="Warm"/>
    <s v="Work order signed, production started"/>
  </r>
  <r>
    <s v="LD2382"/>
    <s v="Bharati Shelke"/>
    <n v="9630466269"/>
    <x v="2"/>
    <x v="8"/>
    <s v="Instagram Wardrobe Showcase"/>
    <x v="7"/>
    <s v="2026-03-21"/>
    <x v="2"/>
    <x v="2"/>
    <x v="4"/>
    <n v="1"/>
    <n v="7"/>
    <s v="2026-05-07"/>
    <x v="3"/>
    <n v="1314280"/>
    <m/>
    <m/>
    <x v="2"/>
    <n v="5.4"/>
    <s v="Hot"/>
    <s v="Sample seen at showroom, liked veneer finish"/>
  </r>
  <r>
    <s v="LD2383"/>
    <s v="Manoj Joshi"/>
    <n v="9390566576"/>
    <x v="0"/>
    <x v="7"/>
    <s v="Google Ads"/>
    <x v="1"/>
    <s v="2026-03-23"/>
    <x v="2"/>
    <x v="2"/>
    <x v="4"/>
    <n v="1"/>
    <n v="8"/>
    <s v="2026-05-07"/>
    <x v="1"/>
    <n v="337612"/>
    <m/>
    <m/>
    <x v="2"/>
    <n v="15"/>
    <s v="Cold"/>
    <s v="Wrong number provided"/>
  </r>
  <r>
    <s v="LD2384"/>
    <s v="Bharati Patil"/>
    <n v="9883194721"/>
    <x v="0"/>
    <x v="8"/>
    <s v="Instagram Kitchen Reels"/>
    <x v="9"/>
    <s v="2026-03-23"/>
    <x v="2"/>
    <x v="2"/>
    <x v="4"/>
    <n v="1"/>
    <n v="5"/>
    <s v="2026-04-25"/>
    <x v="0"/>
    <n v="358610"/>
    <m/>
    <m/>
    <x v="1"/>
    <n v="20.8"/>
    <s v="Cold"/>
    <s v="Lost to branded competitor"/>
  </r>
  <r>
    <s v="LD2385"/>
    <s v="Sunil Nikalje"/>
    <n v="9798471185"/>
    <x v="3"/>
    <x v="8"/>
    <s v="Instagram Story Ads"/>
    <x v="0"/>
    <s v="2026-03-23"/>
    <x v="2"/>
    <x v="2"/>
    <x v="4"/>
    <n v="1"/>
    <n v="6"/>
    <s v="2026-04-08"/>
    <x v="0"/>
    <n v="827907"/>
    <m/>
    <m/>
    <x v="0"/>
    <n v="17.3"/>
    <s v="Cold"/>
    <s v="Went with local vendor"/>
  </r>
  <r>
    <s v="LD2386"/>
    <s v="Sunanda Nimbalkar"/>
    <n v="9357694501"/>
    <x v="3"/>
    <x v="8"/>
    <s v="Instagram Diwali Campaign"/>
    <x v="3"/>
    <s v="2026-03-23"/>
    <x v="2"/>
    <x v="2"/>
    <x v="4"/>
    <n v="1"/>
    <n v="6"/>
    <s v="2026-04-17"/>
    <x v="1"/>
    <n v="133718"/>
    <m/>
    <m/>
    <x v="2"/>
    <n v="34"/>
    <s v="Hot"/>
    <m/>
  </r>
  <r>
    <s v="LD2387"/>
    <s v="Nilesh Phule"/>
    <n v="9935278804"/>
    <x v="3"/>
    <x v="8"/>
    <s v="Instagram Gudi Padwa Special"/>
    <x v="5"/>
    <s v="2026-03-24"/>
    <x v="2"/>
    <x v="2"/>
    <x v="4"/>
    <n v="1"/>
    <n v="8"/>
    <s v="2026-04-30"/>
    <x v="1"/>
    <n v="247975"/>
    <m/>
    <m/>
    <x v="0"/>
    <n v="1.8"/>
    <s v="Warm"/>
    <s v="Site visit to be scheduled"/>
  </r>
  <r>
    <s v="LD2388"/>
    <s v="Pravin Nikalje"/>
    <n v="9197731327"/>
    <x v="0"/>
    <x v="8"/>
    <s v="Instagram Before-After Posts"/>
    <x v="0"/>
    <s v="2026-03-25"/>
    <x v="2"/>
    <x v="2"/>
    <x v="4"/>
    <n v="1"/>
    <n v="5"/>
    <s v="2026-04-30"/>
    <x v="1"/>
    <n v="759769"/>
    <m/>
    <m/>
    <x v="2"/>
    <n v="11.2"/>
    <s v="Warm"/>
    <s v="Follow up after Gudi Padwa"/>
  </r>
  <r>
    <s v="LD2389"/>
    <s v="Shweta Deshpande"/>
    <n v="9136106103"/>
    <x v="3"/>
    <x v="2"/>
    <s v="Architect Referral"/>
    <x v="10"/>
    <s v="2026-03-25"/>
    <x v="2"/>
    <x v="2"/>
    <x v="4"/>
    <n v="1"/>
    <n v="2"/>
    <s v="2026-03-31"/>
    <x v="1"/>
    <n v="600705"/>
    <m/>
    <m/>
    <x v="0"/>
    <n v="23.8"/>
    <s v="Hot"/>
    <s v="Ready to proceed, discussing payment terms"/>
  </r>
  <r>
    <s v="LD2390"/>
    <s v="Pramod Deshmukh"/>
    <n v="9548587990"/>
    <x v="2"/>
    <x v="7"/>
    <s v="Website Chat Enquiry"/>
    <x v="0"/>
    <s v="2026-03-25"/>
    <x v="2"/>
    <x v="2"/>
    <x v="4"/>
    <n v="1"/>
    <n v="11"/>
    <s v="2026-05-07"/>
    <x v="2"/>
    <n v="679706"/>
    <m/>
    <m/>
    <x v="2"/>
    <n v="3.3"/>
    <s v="Cold"/>
    <s v="Went with local carpenter"/>
  </r>
  <r>
    <s v="LD2391"/>
    <s v="Arun Joshi"/>
    <n v="9784269713"/>
    <x v="1"/>
    <x v="5"/>
    <s v="Showroom Walk-in"/>
    <x v="9"/>
    <s v="2026-03-26"/>
    <x v="2"/>
    <x v="2"/>
    <x v="4"/>
    <n v="1"/>
    <n v="5"/>
    <s v="2026-04-06"/>
    <x v="3"/>
    <n v="504114"/>
    <m/>
    <m/>
    <x v="1"/>
    <n v="34"/>
    <s v="Warm"/>
    <s v="Follow up after flat possession"/>
  </r>
  <r>
    <s v="LD2392"/>
    <s v="Manoj Bansode"/>
    <m/>
    <x v="1"/>
    <x v="6"/>
    <s v="Facebook Diwali Offer"/>
    <x v="10"/>
    <s v="2026-03-27"/>
    <x v="2"/>
    <x v="2"/>
    <x v="4"/>
    <n v="1"/>
    <n v="6"/>
    <s v="2026-05-07"/>
    <x v="0"/>
    <n v="255825"/>
    <m/>
    <m/>
    <x v="1"/>
    <n v="35.6"/>
    <s v="Cold"/>
    <s v="Facebook enquiry — no phone shared in form"/>
  </r>
  <r>
    <s v="LD2393"/>
    <s v="Mahesh Gavhane"/>
    <n v="9934621005"/>
    <x v="1"/>
    <x v="5"/>
    <s v="Showroom Walk-in"/>
    <x v="0"/>
    <s v="2026-03-28"/>
    <x v="2"/>
    <x v="2"/>
    <x v="4"/>
    <n v="1"/>
    <n v="7"/>
    <s v="2026-05-05"/>
    <x v="1"/>
    <n v="567628"/>
    <m/>
    <m/>
    <x v="1"/>
    <n v="18.5"/>
    <s v="Hot"/>
    <m/>
  </r>
  <r>
    <s v="LD2394"/>
    <s v="Manoj Nimbalkar"/>
    <n v="9144144469"/>
    <x v="2"/>
    <x v="8"/>
    <s v="Instagram Wardrobe Showcase"/>
    <x v="13"/>
    <s v="2026-03-28"/>
    <x v="2"/>
    <x v="2"/>
    <x v="4"/>
    <n v="1"/>
    <n v="10"/>
    <s v="2026-05-07"/>
    <x v="0"/>
    <n v="1788666"/>
    <m/>
    <m/>
    <x v="1"/>
    <n v="13.3"/>
    <s v="Cold"/>
    <s v="Budget mismatch - too low"/>
  </r>
  <r>
    <s v="LD2395"/>
    <s v="Sonal Nimbalkar"/>
    <n v="9948332363"/>
    <x v="0"/>
    <x v="6"/>
    <s v="Facebook Home Decor Ads"/>
    <x v="0"/>
    <s v="2026-03-28"/>
    <x v="2"/>
    <x v="2"/>
    <x v="4"/>
    <n v="1"/>
    <n v="0"/>
    <s v="2026-04-07"/>
    <x v="0"/>
    <n v="825348"/>
    <m/>
    <m/>
    <x v="0"/>
    <n v="1.4"/>
    <s v="Cold"/>
    <s v="Budget mismatch - too low"/>
  </r>
  <r>
    <s v="LD2396"/>
    <s v="Vijay Holkar"/>
    <n v="9574705412"/>
    <x v="0"/>
    <x v="5"/>
    <s v="Site Visit Walk-in"/>
    <x v="3"/>
    <s v="2026-03-28"/>
    <x v="2"/>
    <x v="2"/>
    <x v="4"/>
    <n v="1"/>
    <n v="9"/>
    <s v="2026-04-20"/>
    <x v="4"/>
    <n v="221853"/>
    <n v="222861"/>
    <s v="2026-04-28"/>
    <x v="0"/>
    <n v="1.8"/>
    <s v="Hot"/>
    <s v="Token paid, measurement done, work started"/>
  </r>
  <r>
    <s v="LD2397"/>
    <s v="Sunil Mohite"/>
    <n v="9690836590"/>
    <x v="3"/>
    <x v="2"/>
    <s v="Architect Referral"/>
    <x v="2"/>
    <s v="2026-03-30"/>
    <x v="2"/>
    <x v="2"/>
    <x v="4"/>
    <n v="1"/>
    <n v="10"/>
    <s v="2026-05-07"/>
    <x v="0"/>
    <n v="310100"/>
    <m/>
    <m/>
    <x v="0"/>
    <n v="29"/>
    <s v="Cold"/>
    <s v="Budget mismatch - too low"/>
  </r>
  <r>
    <s v="LD2398"/>
    <s v="Meena Zende"/>
    <n v="9482561704"/>
    <x v="2"/>
    <x v="6"/>
    <s v="Facebook Home Decor Ads"/>
    <x v="12"/>
    <s v="2026-03-30"/>
    <x v="2"/>
    <x v="2"/>
    <x v="4"/>
    <n v="1"/>
    <n v="4"/>
    <s v="2026-04-23"/>
    <x v="1"/>
    <n v="1887479"/>
    <m/>
    <m/>
    <x v="0"/>
    <n v="2.9"/>
    <s v="Cold"/>
    <m/>
  </r>
  <r>
    <s v="LD2399"/>
    <s v="Sunita Bhosale"/>
    <n v="9322298442"/>
    <x v="3"/>
    <x v="8"/>
    <s v="Instagram Kitchen Reels"/>
    <x v="7"/>
    <s v="2026-03-30"/>
    <x v="2"/>
    <x v="2"/>
    <x v="4"/>
    <n v="1"/>
    <n v="11"/>
    <s v="2026-05-07"/>
    <x v="4"/>
    <n v="905495"/>
    <n v="929782"/>
    <s v="2026-05-07"/>
    <x v="1"/>
    <n v="11.1"/>
    <s v="Hot"/>
    <s v="Work order signed, production started"/>
  </r>
  <r>
    <s v="LD2400"/>
    <s v="Suresh Gaikwad"/>
    <n v="9484200671"/>
    <x v="4"/>
    <x v="2"/>
    <s v="Contractor Referral"/>
    <x v="0"/>
    <s v="2026-03-30"/>
    <x v="2"/>
    <x v="2"/>
    <x v="4"/>
    <n v="1"/>
    <n v="7"/>
    <s v="2026-04-15"/>
    <x v="4"/>
    <n v="823835"/>
    <n v="803197"/>
    <s v="2026-04-17"/>
    <x v="0"/>
    <n v="25.7"/>
    <s v="Hot"/>
    <s v="Token paid, measurement done, work started"/>
  </r>
  <r>
    <s v="LD2401"/>
    <s v="Lata More"/>
    <n v="9680996937"/>
    <x v="2"/>
    <x v="2"/>
    <s v="Architect Referral"/>
    <x v="9"/>
    <s v="2026-03-30"/>
    <x v="2"/>
    <x v="2"/>
    <x v="4"/>
    <n v="1"/>
    <n v="1"/>
    <s v="2026-04-13"/>
    <x v="3"/>
    <n v="310061"/>
    <m/>
    <m/>
    <x v="1"/>
    <n v="7.3"/>
    <s v="Hot"/>
    <s v="Site visit done, quotation shared"/>
  </r>
  <r>
    <s v="LD2402"/>
    <s v="Hemant Bhalerao"/>
    <n v="9771217487"/>
    <x v="0"/>
    <x v="5"/>
    <s v="Showroom Walk-in"/>
    <x v="9"/>
    <s v="2026-03-30"/>
    <x v="2"/>
    <x v="2"/>
    <x v="4"/>
    <n v="1"/>
    <n v="11"/>
    <s v="2026-05-07"/>
    <x v="1"/>
    <n v="279051"/>
    <m/>
    <m/>
    <x v="0"/>
    <n v="23.7"/>
    <s v="Warm"/>
    <m/>
  </r>
  <r>
    <s v="LD2403"/>
    <s v="Manisha Shinde"/>
    <n v="9730848243"/>
    <x v="3"/>
    <x v="2"/>
    <s v="Architect Referral"/>
    <x v="0"/>
    <s v="2026-03-30"/>
    <x v="2"/>
    <x v="2"/>
    <x v="4"/>
    <n v="1"/>
    <n v="11"/>
    <s v="2026-05-07"/>
    <x v="0"/>
    <n v="881199"/>
    <m/>
    <m/>
    <x v="0"/>
    <n v="8.1999999999999993"/>
    <s v="Cold"/>
    <s v="Lost to branded competitor"/>
  </r>
  <r>
    <s v="LD2404"/>
    <s v="Mahesh More"/>
    <n v="9714790762"/>
    <x v="4"/>
    <x v="7"/>
    <s v="SEO Organic"/>
    <x v="8"/>
    <s v="2026-03-31"/>
    <x v="2"/>
    <x v="2"/>
    <x v="4"/>
    <n v="1"/>
    <n v="5"/>
    <s v="2026-04-28"/>
    <x v="4"/>
    <n v="787142"/>
    <n v="726574"/>
    <s v="2026-05-02"/>
    <x v="0"/>
    <n v="33.299999999999997"/>
    <s v="Hot"/>
    <s v="Final payment received, project handed over"/>
  </r>
  <r>
    <s v="LD2405"/>
    <s v="Sunita Deshmukh"/>
    <n v="9354996562"/>
    <x v="4"/>
    <x v="8"/>
    <s v="Instagram Story Ads"/>
    <x v="11"/>
    <s v="2026-03-31"/>
    <x v="2"/>
    <x v="2"/>
    <x v="4"/>
    <n v="1"/>
    <n v="11"/>
    <s v="2026-05-07"/>
    <x v="1"/>
    <n v="263003"/>
    <m/>
    <m/>
    <x v="2"/>
    <n v="20.3"/>
    <s v="Hot"/>
    <s v="Customer comparing 1-2 vendors only"/>
  </r>
  <r>
    <s v="LD2406"/>
    <s v="Rekha Gavhane"/>
    <n v="9587352476"/>
    <x v="2"/>
    <x v="2"/>
    <s v="Client Referral"/>
    <x v="3"/>
    <s v="2026-04-01"/>
    <x v="3"/>
    <x v="3"/>
    <x v="4"/>
    <n v="2"/>
    <n v="0"/>
    <s v="2026-04-04"/>
    <x v="1"/>
    <n v="272287"/>
    <m/>
    <m/>
    <x v="0"/>
    <n v="5.2"/>
    <s v="Warm"/>
    <s v="Follow up after Dussehra"/>
  </r>
  <r>
    <s v="LD2407"/>
    <s v="Seema Kale"/>
    <n v="9244326995"/>
    <x v="0"/>
    <x v="8"/>
    <s v="Instagram Before-After Posts"/>
    <x v="9"/>
    <s v="2026-04-01"/>
    <x v="3"/>
    <x v="3"/>
    <x v="4"/>
    <n v="2"/>
    <n v="2"/>
    <s v="2026-04-23"/>
    <x v="4"/>
    <n v="487124"/>
    <n v="453112"/>
    <s v="2026-05-04"/>
    <x v="0"/>
    <n v="8.5"/>
    <s v="Hot"/>
    <s v="Customer very satisfied, 5 star review given"/>
  </r>
  <r>
    <s v="LD2408"/>
    <s v="Sunanda Kakade"/>
    <n v="9127332786"/>
    <x v="2"/>
    <x v="4"/>
    <s v="99acres New Project Enquiry — Inbound"/>
    <x v="10"/>
    <s v="2026-04-02"/>
    <x v="3"/>
    <x v="3"/>
    <x v="4"/>
    <n v="2"/>
    <n v="4"/>
    <s v="2026-04-29"/>
    <x v="0"/>
    <n v="664271"/>
    <m/>
    <m/>
    <x v="1"/>
    <n v="2.7"/>
    <s v="Cold"/>
    <s v="Customer chose readymade furniture"/>
  </r>
  <r>
    <s v="LD2409"/>
    <s v="Amit Salve"/>
    <n v="9384739014"/>
    <x v="3"/>
    <x v="2"/>
    <s v="Neighbour Referral"/>
    <x v="6"/>
    <s v="2026-04-02"/>
    <x v="3"/>
    <x v="3"/>
    <x v="4"/>
    <n v="2"/>
    <n v="4"/>
    <s v="2026-04-21"/>
    <x v="4"/>
    <n v="240804"/>
    <n v="241235"/>
    <s v="2026-04-25"/>
    <x v="2"/>
    <n v="23.5"/>
    <s v="Hot"/>
    <s v="Deal closed, advance received"/>
  </r>
  <r>
    <s v="LD2410"/>
    <s v="Sunil Kulkarni"/>
    <n v="9301637057"/>
    <x v="3"/>
    <x v="4"/>
    <s v="99acres New Project Enquiry — Inbound"/>
    <x v="13"/>
    <s v="2026-04-02"/>
    <x v="3"/>
    <x v="3"/>
    <x v="4"/>
    <n v="2"/>
    <n v="11"/>
    <s v="2026-05-07"/>
    <x v="4"/>
    <n v="1978459"/>
    <n v="2010971"/>
    <s v="2026-05-07"/>
    <x v="2"/>
    <n v="22.4"/>
    <s v="Hot"/>
    <s v="Customer referred 2 more leads after delivery"/>
  </r>
  <r>
    <s v="LD2411"/>
    <s v="Archana More"/>
    <n v="9676913468"/>
    <x v="4"/>
    <x v="0"/>
    <s v="Friend Reference"/>
    <x v="0"/>
    <s v="2026-04-02"/>
    <x v="3"/>
    <x v="3"/>
    <x v="4"/>
    <n v="2"/>
    <n v="6"/>
    <s v="2026-05-04"/>
    <x v="4"/>
    <n v="608349"/>
    <n v="559088"/>
    <s v="2026-05-07"/>
    <x v="2"/>
    <n v="35.299999999999997"/>
    <s v="Warm"/>
    <m/>
  </r>
  <r>
    <s v="LD2412"/>
    <s v="Deepak Bhalerao"/>
    <n v="9923672521"/>
    <x v="2"/>
    <x v="2"/>
    <s v="Neighbour Referral"/>
    <x v="0"/>
    <s v="2026-04-02"/>
    <x v="3"/>
    <x v="3"/>
    <x v="4"/>
    <n v="2"/>
    <n v="10"/>
    <s v="2026-05-04"/>
    <x v="1"/>
    <n v="401054"/>
    <m/>
    <m/>
    <x v="0"/>
    <n v="21.9"/>
    <s v="Warm"/>
    <s v="Follow up after Akshaya Tritiya"/>
  </r>
  <r>
    <s v="LD2413"/>
    <s v="Nanda Bhalerao"/>
    <n v="9272296624"/>
    <x v="2"/>
    <x v="2"/>
    <s v="Contractor Referral"/>
    <x v="2"/>
    <s v="2026-04-03"/>
    <x v="3"/>
    <x v="3"/>
    <x v="4"/>
    <n v="2"/>
    <n v="3"/>
    <s v="2026-04-25"/>
    <x v="3"/>
    <n v="282537"/>
    <m/>
    <m/>
    <x v="4"/>
    <n v="15"/>
    <s v="Warm"/>
    <s v="Follow up after Gudi Padwa"/>
  </r>
  <r>
    <s v="LD2414"/>
    <s v="Ganesh Aware"/>
    <n v="9430899648"/>
    <x v="0"/>
    <x v="8"/>
    <s v="Instagram Diwali Campaign"/>
    <x v="7"/>
    <s v="2026-04-08"/>
    <x v="3"/>
    <x v="3"/>
    <x v="4"/>
    <n v="2"/>
    <n v="10"/>
    <s v="2026-05-07"/>
    <x v="0"/>
    <m/>
    <m/>
    <m/>
    <x v="0"/>
    <n v="24.6"/>
    <s v="Warm"/>
    <s v="Project cancelled by customer"/>
  </r>
  <r>
    <s v="LD2415"/>
    <s v="Alka Suryawanshi"/>
    <n v="9156335905"/>
    <x v="4"/>
    <x v="8"/>
    <s v="Instagram Kitchen Reels"/>
    <x v="9"/>
    <s v="2026-04-08"/>
    <x v="3"/>
    <x v="3"/>
    <x v="4"/>
    <n v="2"/>
    <n v="6"/>
    <s v="2026-05-07"/>
    <x v="4"/>
    <n v="308553"/>
    <n v="274218"/>
    <s v="2026-05-07"/>
    <x v="0"/>
    <n v="18.899999999999999"/>
    <s v="Hot"/>
    <s v="Token paid, measurement done, work started"/>
  </r>
  <r>
    <s v="LD2416"/>
    <s v="Pramod Kale"/>
    <n v="9750123761"/>
    <x v="4"/>
    <x v="2"/>
    <s v="Client Referral"/>
    <x v="6"/>
    <s v="2026-04-08"/>
    <x v="3"/>
    <x v="3"/>
    <x v="4"/>
    <n v="2"/>
    <n v="7"/>
    <s v="2026-05-07"/>
    <x v="0"/>
    <n v="153529"/>
    <m/>
    <m/>
    <x v="4"/>
    <n v="17.2"/>
    <s v="Cold"/>
    <m/>
  </r>
  <r>
    <s v="LD2417"/>
    <s v="Ashwini Gavhane"/>
    <n v="9253709122"/>
    <x v="0"/>
    <x v="0"/>
    <s v="Colony Reference"/>
    <x v="8"/>
    <s v="2026-04-08"/>
    <x v="3"/>
    <x v="3"/>
    <x v="4"/>
    <n v="2"/>
    <n v="6"/>
    <s v="2026-05-07"/>
    <x v="4"/>
    <n v="680655"/>
    <n v="692874"/>
    <s v="2026-05-07"/>
    <x v="2"/>
    <n v="30.4"/>
    <s v="Hot"/>
    <s v="Customer happy with sample, deal closed"/>
  </r>
  <r>
    <s v="LD2418"/>
    <s v="Rekha Bansode"/>
    <n v="9402088262"/>
    <x v="1"/>
    <x v="6"/>
    <s v="Facebook Gudi Padwa Offer"/>
    <x v="2"/>
    <s v="2026-04-09"/>
    <x v="3"/>
    <x v="3"/>
    <x v="4"/>
    <n v="2"/>
    <n v="3"/>
    <s v="2026-05-04"/>
    <x v="4"/>
    <n v="446323"/>
    <n v="410511"/>
    <s v="2026-05-07"/>
    <x v="1"/>
    <n v="33.5"/>
    <s v="Hot"/>
    <s v="Customer very satisfied, 5 star review given"/>
  </r>
  <r>
    <s v="LD2419"/>
    <s v="Arun Gaikwad"/>
    <n v="9701623488"/>
    <x v="0"/>
    <x v="7"/>
    <s v="Website Chat Enquiry"/>
    <x v="6"/>
    <s v="2026-04-10"/>
    <x v="3"/>
    <x v="3"/>
    <x v="4"/>
    <n v="2"/>
    <n v="5"/>
    <s v="2026-05-02"/>
    <x v="1"/>
    <n v="272124"/>
    <m/>
    <m/>
    <x v="4"/>
    <n v="5.2"/>
    <s v="Warm"/>
    <s v="Follow up after Gudi Padwa"/>
  </r>
  <r>
    <s v="LD2420"/>
    <s v="Meena Zende"/>
    <n v="9412230171"/>
    <x v="1"/>
    <x v="8"/>
    <s v="Instagram Before-After Posts"/>
    <x v="9"/>
    <s v="2026-04-10"/>
    <x v="3"/>
    <x v="3"/>
    <x v="4"/>
    <n v="2"/>
    <n v="8"/>
    <s v="2026-05-07"/>
    <x v="4"/>
    <n v="514301"/>
    <n v="453389"/>
    <s v="2026-05-07"/>
    <x v="4"/>
    <n v="4"/>
    <s v="Hot"/>
    <s v="Customer very satisfied, 5 star review given"/>
  </r>
  <r>
    <s v="LD2421"/>
    <s v="Nilesh Phule"/>
    <n v="9156110507"/>
    <x v="0"/>
    <x v="7"/>
    <s v="Google My Business"/>
    <x v="7"/>
    <s v="2026-04-10"/>
    <x v="3"/>
    <x v="3"/>
    <x v="4"/>
    <n v="2"/>
    <n v="1"/>
    <s v="2026-04-23"/>
    <x v="0"/>
    <n v="831296"/>
    <m/>
    <m/>
    <x v="0"/>
    <n v="26.2"/>
    <s v="Cold"/>
    <s v="Customer chose readymade furniture"/>
  </r>
  <r>
    <s v="LD2422"/>
    <s v="Santosh Tupe"/>
    <m/>
    <x v="0"/>
    <x v="8"/>
    <s v="Instagram Kitchen Reels"/>
    <x v="14"/>
    <s v="2026-04-11"/>
    <x v="3"/>
    <x v="3"/>
    <x v="4"/>
    <n v="2"/>
    <n v="1"/>
    <s v="2026-04-18"/>
    <x v="0"/>
    <n v="2018040"/>
    <m/>
    <m/>
    <x v="4"/>
    <n v="30.1"/>
    <s v="Cold"/>
    <s v="DM received on Instagram, no phone shared"/>
  </r>
  <r>
    <s v="LD2423"/>
    <s v="Seema Yadav"/>
    <n v="9779448672"/>
    <x v="0"/>
    <x v="2"/>
    <s v="Contractor Referral"/>
    <x v="13"/>
    <s v="2026-04-11"/>
    <x v="3"/>
    <x v="3"/>
    <x v="4"/>
    <n v="2"/>
    <n v="3"/>
    <s v="2026-04-21"/>
    <x v="4"/>
    <n v="2023685"/>
    <n v="2079554"/>
    <s v="2026-05-07"/>
    <x v="4"/>
    <n v="35.5"/>
    <s v="Hot"/>
    <s v="Customer happy with sample, deal closed"/>
  </r>
  <r>
    <s v="LD2424"/>
    <s v="Nikhil Tupe"/>
    <n v="9747231351"/>
    <x v="0"/>
    <x v="8"/>
    <s v="Instagram Gudi Padwa Special"/>
    <x v="7"/>
    <s v="2026-04-11"/>
    <x v="3"/>
    <x v="3"/>
    <x v="4"/>
    <n v="2"/>
    <n v="1"/>
    <s v="2026-04-27"/>
    <x v="4"/>
    <n v="916110"/>
    <n v="872283"/>
    <s v="2026-05-07"/>
    <x v="4"/>
    <n v="3"/>
    <s v="Hot"/>
    <s v="Work order signed, production started"/>
  </r>
  <r>
    <s v="LD2425"/>
    <s v="Shweta Phule"/>
    <n v="9243825399"/>
    <x v="0"/>
    <x v="5"/>
    <s v="Site Visit Walk-in"/>
    <x v="13"/>
    <s v="2026-04-13"/>
    <x v="3"/>
    <x v="3"/>
    <x v="4"/>
    <n v="2"/>
    <n v="7"/>
    <s v="2026-05-07"/>
    <x v="0"/>
    <n v="1776631"/>
    <m/>
    <m/>
    <x v="2"/>
    <n v="6.5"/>
    <s v="Cold"/>
    <s v="Lost to branded competitor"/>
  </r>
  <r>
    <s v="LD2426"/>
    <s v="Suresh Kakade"/>
    <n v="9479713694"/>
    <x v="3"/>
    <x v="2"/>
    <s v="Neighbour Referral"/>
    <x v="0"/>
    <s v="2026-04-13"/>
    <x v="3"/>
    <x v="3"/>
    <x v="4"/>
    <n v="2"/>
    <n v="9"/>
    <s v="2026-05-02"/>
    <x v="1"/>
    <n v="640168"/>
    <m/>
    <m/>
    <x v="2"/>
    <n v="3.2"/>
    <s v="Warm"/>
    <s v="Budget discussion pending"/>
  </r>
  <r>
    <s v="LD2427"/>
    <s v="Nilesh Kulkarni"/>
    <n v="9783564290"/>
    <x v="2"/>
    <x v="7"/>
    <s v="SEO Organic"/>
    <x v="7"/>
    <s v="2026-04-13"/>
    <x v="3"/>
    <x v="3"/>
    <x v="4"/>
    <n v="2"/>
    <n v="0"/>
    <s v="2026-04-21"/>
    <x v="0"/>
    <n v="939597"/>
    <m/>
    <m/>
    <x v="2"/>
    <n v="9.8000000000000007"/>
    <s v="Cold"/>
    <s v="Budget mismatch - too low"/>
  </r>
  <r>
    <s v="LD2428"/>
    <s v="Sunita Gaikwad"/>
    <n v="9191220927"/>
    <x v="0"/>
    <x v="8"/>
    <s v="Instagram Wardrobe Showcase"/>
    <x v="0"/>
    <s v="2026-04-13"/>
    <x v="3"/>
    <x v="3"/>
    <x v="4"/>
    <n v="2"/>
    <n v="10"/>
    <s v="2026-05-07"/>
    <x v="1"/>
    <n v="834606"/>
    <m/>
    <m/>
    <x v="2"/>
    <n v="33.5"/>
    <s v="Hot"/>
    <s v="Customer visited showroom twice, very interested"/>
  </r>
  <r>
    <s v="LD2429"/>
    <s v="Shweta Mane"/>
    <n v="9311636860"/>
    <x v="4"/>
    <x v="4"/>
    <s v="99acres New Project Enquiry — Inbound"/>
    <x v="13"/>
    <s v="2026-04-13"/>
    <x v="3"/>
    <x v="3"/>
    <x v="4"/>
    <n v="2"/>
    <n v="10"/>
    <s v="2026-05-07"/>
    <x v="4"/>
    <n v="2072760"/>
    <n v="1949488"/>
    <s v="2026-05-07"/>
    <x v="2"/>
    <n v="20.9"/>
    <s v="Hot"/>
    <s v="Deal closed, advance received"/>
  </r>
  <r>
    <s v="LD2430"/>
    <s v="Shweta Mohite"/>
    <n v="9193703094"/>
    <x v="3"/>
    <x v="8"/>
    <s v="Instagram Wardrobe Showcase"/>
    <x v="1"/>
    <s v="2026-04-13"/>
    <x v="3"/>
    <x v="3"/>
    <x v="4"/>
    <n v="2"/>
    <n v="7"/>
    <s v="2026-05-06"/>
    <x v="4"/>
    <n v="308377"/>
    <n v="290888"/>
    <s v="2026-05-07"/>
    <x v="0"/>
    <n v="5.3"/>
    <s v="Warm"/>
    <s v="Work order signed, production started"/>
  </r>
  <r>
    <s v="LD2431"/>
    <s v="Rohit Holkar"/>
    <n v="9215657761"/>
    <x v="2"/>
    <x v="2"/>
    <s v="Neighbour Referral"/>
    <x v="2"/>
    <s v="2026-04-14"/>
    <x v="3"/>
    <x v="3"/>
    <x v="4"/>
    <n v="2"/>
    <n v="2"/>
    <s v="2026-04-27"/>
    <x v="0"/>
    <n v="216901"/>
    <m/>
    <m/>
    <x v="1"/>
    <n v="6.9"/>
    <s v="Cold"/>
    <s v="Budget mismatch - too low"/>
  </r>
  <r>
    <s v="LD2432"/>
    <s v="Vikas Phule"/>
    <n v="9907706435"/>
    <x v="0"/>
    <x v="2"/>
    <s v="Contractor Referral"/>
    <x v="7"/>
    <s v="2026-04-14"/>
    <x v="3"/>
    <x v="3"/>
    <x v="4"/>
    <n v="2"/>
    <n v="10"/>
    <s v="2026-05-07"/>
    <x v="2"/>
    <n v="820736"/>
    <m/>
    <m/>
    <x v="4"/>
    <n v="26.7"/>
    <s v="Cold"/>
    <s v="Wrong number provided"/>
  </r>
  <r>
    <s v="LD2433"/>
    <s v="Suresh Tupe"/>
    <n v="9270038592"/>
    <x v="0"/>
    <x v="2"/>
    <s v="Client Referral"/>
    <x v="6"/>
    <s v="2026-04-14"/>
    <x v="3"/>
    <x v="3"/>
    <x v="4"/>
    <n v="2"/>
    <n v="3"/>
    <s v="2026-05-07"/>
    <x v="1"/>
    <n v="224110"/>
    <m/>
    <m/>
    <x v="4"/>
    <n v="33.6"/>
    <s v="Warm"/>
    <s v="Follow up after Diwali"/>
  </r>
  <r>
    <s v="LD2434"/>
    <s v="Smita Kshirsagar"/>
    <n v="9963799681"/>
    <x v="2"/>
    <x v="8"/>
    <s v="Instagram Story Ads"/>
    <x v="0"/>
    <s v="2026-04-14"/>
    <x v="3"/>
    <x v="3"/>
    <x v="4"/>
    <n v="2"/>
    <n v="12"/>
    <s v="2026-05-07"/>
    <x v="0"/>
    <n v="906460"/>
    <m/>
    <m/>
    <x v="0"/>
    <n v="32.299999999999997"/>
    <s v="Warm"/>
    <s v="Went with local vendor"/>
  </r>
  <r>
    <s v="LD2435"/>
    <s v="Anita Shinde"/>
    <n v="9713583280"/>
    <x v="2"/>
    <x v="8"/>
    <s v="Instagram Gudi Padwa Special"/>
    <x v="2"/>
    <s v="2026-04-15"/>
    <x v="3"/>
    <x v="3"/>
    <x v="4"/>
    <n v="2"/>
    <n v="5"/>
    <s v="2026-05-05"/>
    <x v="0"/>
    <n v="598142"/>
    <m/>
    <m/>
    <x v="0"/>
    <n v="18.5"/>
    <s v="Cold"/>
    <s v="Customer did not proceed with project"/>
  </r>
  <r>
    <s v="LD2436"/>
    <s v="Arun Bhosale"/>
    <n v="9490436316"/>
    <x v="0"/>
    <x v="8"/>
    <s v="Instagram Wardrobe Showcase"/>
    <x v="9"/>
    <s v="2026-04-15"/>
    <x v="3"/>
    <x v="3"/>
    <x v="4"/>
    <n v="2"/>
    <n v="12"/>
    <s v="2026-05-07"/>
    <x v="0"/>
    <n v="378373"/>
    <m/>
    <m/>
    <x v="0"/>
    <n v="34.700000000000003"/>
    <s v="Cold"/>
    <s v="Customer did not proceed with project"/>
  </r>
  <r>
    <s v="LD2437"/>
    <s v="Santosh Patil"/>
    <n v="9884155879"/>
    <x v="1"/>
    <x v="8"/>
    <s v="Instagram Story Ads"/>
    <x v="14"/>
    <s v="2026-04-16"/>
    <x v="3"/>
    <x v="3"/>
    <x v="4"/>
    <n v="2"/>
    <n v="3"/>
    <s v="2026-05-07"/>
    <x v="0"/>
    <n v="2329073"/>
    <m/>
    <m/>
    <x v="0"/>
    <n v="8.6999999999999993"/>
    <s v="Cold"/>
    <s v="Customer got work done from relative"/>
  </r>
  <r>
    <s v="LD2438"/>
    <s v="Anita Kadam"/>
    <n v="9587354623"/>
    <x v="1"/>
    <x v="8"/>
    <s v="Instagram Gudi Padwa Special"/>
    <x v="6"/>
    <s v="2026-04-16"/>
    <x v="3"/>
    <x v="3"/>
    <x v="4"/>
    <n v="2"/>
    <n v="12"/>
    <s v="2026-05-07"/>
    <x v="3"/>
    <n v="406442"/>
    <m/>
    <m/>
    <x v="0"/>
    <n v="8.8000000000000007"/>
    <s v="Warm"/>
    <s v="New flat, moving in after 2 months"/>
  </r>
  <r>
    <s v="LD2439"/>
    <s v="Vikas Kakade"/>
    <n v="9561744257"/>
    <x v="0"/>
    <x v="8"/>
    <s v="Instagram Story Ads"/>
    <x v="10"/>
    <s v="2026-04-17"/>
    <x v="3"/>
    <x v="3"/>
    <x v="4"/>
    <n v="2"/>
    <n v="2"/>
    <s v="2026-04-25"/>
    <x v="3"/>
    <n v="462538"/>
    <m/>
    <m/>
    <x v="1"/>
    <n v="21.6"/>
    <s v="Hot"/>
    <m/>
  </r>
  <r>
    <s v="LD2440"/>
    <s v="Sunita Nikalje"/>
    <n v="9813816530"/>
    <x v="0"/>
    <x v="2"/>
    <s v="Contractor Referral"/>
    <x v="2"/>
    <s v="2026-04-17"/>
    <x v="3"/>
    <x v="3"/>
    <x v="4"/>
    <n v="2"/>
    <n v="5"/>
    <s v="2026-05-07"/>
    <x v="4"/>
    <n v="276801"/>
    <n v="269339"/>
    <s v="2026-05-07"/>
    <x v="2"/>
    <n v="28.3"/>
    <s v="Hot"/>
    <s v="Customer very satisfied, 5 star review given"/>
  </r>
  <r>
    <s v="LD2441"/>
    <s v="Shweta Gaikwad"/>
    <m/>
    <x v="0"/>
    <x v="8"/>
    <s v="Instagram Kitchen Reels"/>
    <x v="12"/>
    <s v="2026-04-18"/>
    <x v="3"/>
    <x v="3"/>
    <x v="4"/>
    <n v="2"/>
    <n v="12"/>
    <s v="2026-05-07"/>
    <x v="0"/>
    <n v="1202644"/>
    <m/>
    <m/>
    <x v="4"/>
    <n v="16"/>
    <s v="Cold"/>
    <s v="Replied to Instagram reel, no further response"/>
  </r>
  <r>
    <s v="LD2442"/>
    <s v="Alka Kale"/>
    <n v="9785931052"/>
    <x v="4"/>
    <x v="2"/>
    <s v="Architect Referral"/>
    <x v="0"/>
    <s v="2026-04-18"/>
    <x v="3"/>
    <x v="3"/>
    <x v="4"/>
    <n v="2"/>
    <n v="10"/>
    <s v="2026-05-07"/>
    <x v="4"/>
    <n v="654447"/>
    <n v="586659"/>
    <s v="2026-05-07"/>
    <x v="4"/>
    <n v="14.9"/>
    <s v="Hot"/>
    <s v="Deal closed, advance received"/>
  </r>
  <r>
    <s v="LD2443"/>
    <s v="Sonal Aware"/>
    <n v="9535095663"/>
    <x v="3"/>
    <x v="2"/>
    <s v="Architect Referral"/>
    <x v="2"/>
    <s v="2026-04-20"/>
    <x v="3"/>
    <x v="3"/>
    <x v="4"/>
    <n v="2"/>
    <n v="7"/>
    <s v="2026-05-07"/>
    <x v="4"/>
    <n v="170185"/>
    <n v="162797"/>
    <s v="2026-05-07"/>
    <x v="2"/>
    <n v="9.6"/>
    <s v="Hot"/>
    <m/>
  </r>
  <r>
    <s v="LD2444"/>
    <s v="Lata Kale"/>
    <n v="9932388060"/>
    <x v="2"/>
    <x v="8"/>
    <s v="Instagram Wardrobe Showcase"/>
    <x v="7"/>
    <s v="2026-04-20"/>
    <x v="3"/>
    <x v="3"/>
    <x v="4"/>
    <n v="2"/>
    <n v="9"/>
    <s v="2026-05-07"/>
    <x v="0"/>
    <n v="832753"/>
    <m/>
    <m/>
    <x v="0"/>
    <n v="25.3"/>
    <s v="Cold"/>
    <s v="Customer did not proceed with project"/>
  </r>
  <r>
    <s v="LD2445"/>
    <s v="Arun Kale"/>
    <n v="9235250387"/>
    <x v="0"/>
    <x v="2"/>
    <s v="Architect Referral"/>
    <x v="9"/>
    <s v="2026-04-20"/>
    <x v="3"/>
    <x v="3"/>
    <x v="4"/>
    <n v="2"/>
    <n v="2"/>
    <s v="2026-05-07"/>
    <x v="1"/>
    <n v="327868"/>
    <m/>
    <m/>
    <x v="1"/>
    <n v="20.8"/>
    <s v="Hot"/>
    <s v="Customer comparing 1-2 vendors only"/>
  </r>
  <r>
    <s v="LD2446"/>
    <s v="Jyoti Tupe"/>
    <n v="9961267322"/>
    <x v="0"/>
    <x v="2"/>
    <s v="Client Referral"/>
    <x v="7"/>
    <s v="2026-04-20"/>
    <x v="3"/>
    <x v="3"/>
    <x v="4"/>
    <n v="2"/>
    <n v="4"/>
    <s v="2026-05-07"/>
    <x v="0"/>
    <n v="1299716"/>
    <m/>
    <m/>
    <x v="4"/>
    <n v="23.8"/>
    <s v="Cold"/>
    <s v="Customer chose readymade furniture"/>
  </r>
  <r>
    <s v="LD2447"/>
    <s v="Anita Aware"/>
    <n v="9127105755"/>
    <x v="2"/>
    <x v="2"/>
    <s v="Neighbour Referral"/>
    <x v="7"/>
    <s v="2026-04-20"/>
    <x v="3"/>
    <x v="3"/>
    <x v="4"/>
    <n v="2"/>
    <n v="5"/>
    <s v="2026-05-07"/>
    <x v="0"/>
    <n v="1089843"/>
    <m/>
    <m/>
    <x v="1"/>
    <n v="1.3"/>
    <s v="Cold"/>
    <s v="Project cancelled by customer"/>
  </r>
  <r>
    <s v="LD2448"/>
    <s v="Vijay Chavan"/>
    <n v="9768472118"/>
    <x v="2"/>
    <x v="2"/>
    <s v="Architect Referral"/>
    <x v="2"/>
    <s v="2026-04-20"/>
    <x v="3"/>
    <x v="3"/>
    <x v="4"/>
    <n v="2"/>
    <n v="11"/>
    <s v="2026-05-07"/>
    <x v="0"/>
    <n v="338303"/>
    <m/>
    <m/>
    <x v="0"/>
    <n v="11.3"/>
    <s v="Cold"/>
    <s v="Customer got work done from relative"/>
  </r>
  <r>
    <s v="LD2449"/>
    <s v="Lata Wagh"/>
    <n v="9862324754"/>
    <x v="0"/>
    <x v="8"/>
    <s v="Instagram Diwali Campaign"/>
    <x v="1"/>
    <s v="2026-04-20"/>
    <x v="3"/>
    <x v="3"/>
    <x v="4"/>
    <n v="2"/>
    <n v="3"/>
    <s v="2026-05-07"/>
    <x v="4"/>
    <n v="154099"/>
    <n v="154176"/>
    <s v="2026-05-07"/>
    <x v="2"/>
    <n v="11.1"/>
    <s v="Hot"/>
    <s v="Token received, design finalised"/>
  </r>
  <r>
    <s v="LD2450"/>
    <s v="Alka Raut"/>
    <n v="9207351908"/>
    <x v="0"/>
    <x v="8"/>
    <s v="Instagram Story Ads"/>
    <x v="12"/>
    <s v="2026-04-21"/>
    <x v="3"/>
    <x v="3"/>
    <x v="4"/>
    <n v="2"/>
    <n v="7"/>
    <s v="2026-05-07"/>
    <x v="0"/>
    <n v="1226876"/>
    <m/>
    <m/>
    <x v="0"/>
    <n v="33.6"/>
    <s v="Cold"/>
    <s v="Customer got work done from relative"/>
  </r>
  <r>
    <s v="LD2451"/>
    <s v="Shweta Thorat"/>
    <n v="9176480267"/>
    <x v="2"/>
    <x v="2"/>
    <s v="Neighbour Referral"/>
    <x v="2"/>
    <s v="2026-04-21"/>
    <x v="3"/>
    <x v="3"/>
    <x v="4"/>
    <n v="2"/>
    <n v="11"/>
    <s v="2026-05-07"/>
    <x v="0"/>
    <n v="413918"/>
    <m/>
    <m/>
    <x v="4"/>
    <n v="3.5"/>
    <s v="Cold"/>
    <s v="Went with local vendor"/>
  </r>
  <r>
    <s v="LD2452"/>
    <s v="Sunil Aware"/>
    <n v="9856826828"/>
    <x v="0"/>
    <x v="1"/>
    <s v="Justdial Sponsored — Inbound"/>
    <x v="4"/>
    <s v="2026-04-22"/>
    <x v="3"/>
    <x v="3"/>
    <x v="4"/>
    <n v="2"/>
    <n v="10"/>
    <s v="2026-05-07"/>
    <x v="2"/>
    <n v="130365"/>
    <m/>
    <m/>
    <x v="4"/>
    <n v="4.0999999999999996"/>
    <s v="Cold"/>
    <m/>
  </r>
  <r>
    <s v="LD2453"/>
    <s v="Devendra Kshirsagar"/>
    <n v="9712326946"/>
    <x v="3"/>
    <x v="2"/>
    <s v="Contractor Referral"/>
    <x v="7"/>
    <s v="2026-04-22"/>
    <x v="3"/>
    <x v="3"/>
    <x v="4"/>
    <n v="2"/>
    <n v="1"/>
    <s v="2026-05-07"/>
    <x v="4"/>
    <n v="1374363"/>
    <n v="1360798"/>
    <s v="2026-05-07"/>
    <x v="0"/>
    <n v="18.600000000000001"/>
    <s v="Hot"/>
    <s v="Customer very satisfied, 5 star review given"/>
  </r>
  <r>
    <s v="LD2454"/>
    <s v="Nikhil Yadav"/>
    <n v="9117889229"/>
    <x v="3"/>
    <x v="2"/>
    <s v="Contractor Referral"/>
    <x v="7"/>
    <s v="2026-04-22"/>
    <x v="3"/>
    <x v="3"/>
    <x v="4"/>
    <n v="2"/>
    <n v="11"/>
    <s v="2026-05-07"/>
    <x v="3"/>
    <n v="1525267"/>
    <m/>
    <m/>
    <x v="4"/>
    <n v="21.5"/>
    <s v="Warm"/>
    <s v="Interested but waiting for loan approval"/>
  </r>
  <r>
    <s v="LD2455"/>
    <s v="Rekha Deshpande"/>
    <n v="9299614275"/>
    <x v="2"/>
    <x v="8"/>
    <s v="Instagram Wardrobe Showcase"/>
    <x v="12"/>
    <s v="2026-04-23"/>
    <x v="3"/>
    <x v="3"/>
    <x v="4"/>
    <n v="2"/>
    <n v="0"/>
    <s v="2026-04-27"/>
    <x v="4"/>
    <n v="1637117"/>
    <n v="1587222"/>
    <s v="2026-05-07"/>
    <x v="2"/>
    <n v="9"/>
    <s v="Warm"/>
    <s v="Customer happy with sample, deal closed"/>
  </r>
  <r>
    <s v="LD2456"/>
    <s v="Manoj Nimbalkar"/>
    <n v="9569461351"/>
    <x v="4"/>
    <x v="8"/>
    <s v="Instagram Before-After Posts"/>
    <x v="10"/>
    <s v="2026-04-27"/>
    <x v="3"/>
    <x v="3"/>
    <x v="4"/>
    <n v="2"/>
    <n v="8"/>
    <s v="2026-05-07"/>
    <x v="4"/>
    <n v="192588"/>
    <n v="195643"/>
    <s v="2026-05-07"/>
    <x v="4"/>
    <n v="15.4"/>
    <s v="Hot"/>
    <s v="Work order signed, production started"/>
  </r>
  <r>
    <s v="LD2457"/>
    <s v="Manoj Kakade"/>
    <n v="9441138045"/>
    <x v="2"/>
    <x v="2"/>
    <s v="Neighbour Referral"/>
    <x v="4"/>
    <s v="2026-04-27"/>
    <x v="3"/>
    <x v="3"/>
    <x v="4"/>
    <n v="2"/>
    <n v="2"/>
    <s v="2026-05-07"/>
    <x v="4"/>
    <n v="401685"/>
    <n v="407308"/>
    <s v="2026-05-07"/>
    <x v="0"/>
    <n v="18.2"/>
    <s v="Hot"/>
    <s v="Customer happy with sample, deal closed"/>
  </r>
  <r>
    <s v="LD2458"/>
    <s v="Nilesh Nimbalkar"/>
    <n v="9252706996"/>
    <x v="2"/>
    <x v="8"/>
    <s v="Instagram Gudi Padwa Special"/>
    <x v="4"/>
    <s v="2026-04-27"/>
    <x v="3"/>
    <x v="3"/>
    <x v="4"/>
    <n v="2"/>
    <m/>
    <s v="2026-05-07"/>
    <x v="0"/>
    <n v="254554"/>
    <m/>
    <m/>
    <x v="2"/>
    <n v="18.5"/>
    <s v="Cold"/>
    <s v="Lost to competitor - cheaper quote"/>
  </r>
  <r>
    <s v="LD2459"/>
    <s v="Hemant Kakade"/>
    <n v="9505771287"/>
    <x v="3"/>
    <x v="0"/>
    <s v="Friend Reference"/>
    <x v="0"/>
    <s v="2026-04-28"/>
    <x v="3"/>
    <x v="3"/>
    <x v="4"/>
    <n v="2"/>
    <n v="8"/>
    <s v="2026-05-07"/>
    <x v="4"/>
    <n v="430135"/>
    <n v="430429"/>
    <s v="2026-05-07"/>
    <x v="1"/>
    <n v="30.4"/>
    <s v="Warm"/>
    <s v="Full payment cleared, delivery done"/>
  </r>
  <r>
    <s v="LD2460"/>
    <s v="Mahesh Naik"/>
    <n v="9700778451"/>
    <x v="0"/>
    <x v="8"/>
    <s v="Instagram Kitchen Reels"/>
    <x v="10"/>
    <s v="2026-04-28"/>
    <x v="3"/>
    <x v="3"/>
    <x v="4"/>
    <n v="2"/>
    <n v="9"/>
    <s v="2026-05-07"/>
    <x v="3"/>
    <n v="561110"/>
    <m/>
    <m/>
    <x v="0"/>
    <n v="4.0999999999999996"/>
    <s v="Warm"/>
    <s v="Follow up after flat possession"/>
  </r>
  <r>
    <s v="LD2461"/>
    <s v="Ganesh Joshi"/>
    <n v="9484085741"/>
    <x v="0"/>
    <x v="2"/>
    <s v="Architect Referral"/>
    <x v="8"/>
    <s v="2026-04-28"/>
    <x v="3"/>
    <x v="3"/>
    <x v="4"/>
    <n v="2"/>
    <n v="7"/>
    <s v="2026-05-07"/>
    <x v="3"/>
    <n v="1041449"/>
    <m/>
    <m/>
    <x v="1"/>
    <n v="24.5"/>
    <s v="Hot"/>
    <s v="Token amount discussed, decision this week"/>
  </r>
  <r>
    <s v="LD2462"/>
    <s v="Seema Patil"/>
    <n v="9419797541"/>
    <x v="0"/>
    <x v="8"/>
    <s v="Instagram Wardrobe Showcase"/>
    <x v="3"/>
    <s v="2026-04-30"/>
    <x v="3"/>
    <x v="3"/>
    <x v="4"/>
    <n v="2"/>
    <n v="3"/>
    <s v="2026-05-07"/>
    <x v="4"/>
    <n v="83780"/>
    <n v="83467"/>
    <s v="2026-05-07"/>
    <x v="0"/>
    <n v="5.0999999999999996"/>
    <s v="Hot"/>
    <s v="Deal closed, advance received"/>
  </r>
  <r>
    <s v="LD2463"/>
    <s v="Manoj Mohite"/>
    <m/>
    <x v="2"/>
    <x v="6"/>
    <s v="Facebook Kitchen Showcase"/>
    <x v="8"/>
    <s v="2026-04-30"/>
    <x v="3"/>
    <x v="3"/>
    <x v="4"/>
    <n v="2"/>
    <n v="0"/>
    <s v="2026-05-07"/>
    <x v="0"/>
    <n v="862494"/>
    <m/>
    <m/>
    <x v="1"/>
    <n v="35.9"/>
    <s v="Cold"/>
    <s v="Facebook form filled, number not provided"/>
  </r>
  <r>
    <s v="LD2464"/>
    <s v="Meena Zende"/>
    <n v="9832037433"/>
    <x v="2"/>
    <x v="0"/>
    <s v="Colony Reference"/>
    <x v="2"/>
    <s v="2026-05-01"/>
    <x v="4"/>
    <x v="4"/>
    <x v="4"/>
    <n v="2"/>
    <n v="7"/>
    <s v="2026-05-07"/>
    <x v="4"/>
    <n v="343411"/>
    <n v="340198"/>
    <s v="2026-05-07"/>
    <x v="0"/>
    <n v="17"/>
    <s v="Hot"/>
    <s v="Deal closed, advance received"/>
  </r>
  <r>
    <s v="LD2465"/>
    <s v="Amit Raut"/>
    <n v="9761730178"/>
    <x v="2"/>
    <x v="8"/>
    <s v="Instagram Kitchen Reels"/>
    <x v="6"/>
    <s v="2026-05-01"/>
    <x v="4"/>
    <x v="4"/>
    <x v="4"/>
    <n v="2"/>
    <n v="3"/>
    <s v="2026-05-07"/>
    <x v="1"/>
    <n v="206582"/>
    <m/>
    <m/>
    <x v="1"/>
    <n v="21.9"/>
    <s v="Warm"/>
    <s v="Site visit to be scheduled"/>
  </r>
  <r>
    <s v="LD2466"/>
    <s v="Nikhil Naik"/>
    <n v="9449825146"/>
    <x v="0"/>
    <x v="8"/>
    <s v="Instagram Gudi Padwa Special"/>
    <x v="8"/>
    <s v="2026-05-02"/>
    <x v="4"/>
    <x v="4"/>
    <x v="4"/>
    <n v="2"/>
    <n v="1"/>
    <s v="2026-05-07"/>
    <x v="0"/>
    <n v="762956"/>
    <m/>
    <m/>
    <x v="2"/>
    <n v="18.8"/>
    <s v="Warm"/>
    <s v="No response, marked as lost after 60 days"/>
  </r>
  <r>
    <s v="LD2467"/>
    <s v="Devendra Kadam"/>
    <n v="9933554216"/>
    <x v="4"/>
    <x v="8"/>
    <s v="Instagram Diwali Campaign"/>
    <x v="0"/>
    <s v="2026-05-02"/>
    <x v="4"/>
    <x v="4"/>
    <x v="4"/>
    <n v="2"/>
    <n v="5"/>
    <s v="2026-05-07"/>
    <x v="3"/>
    <n v="523285"/>
    <m/>
    <m/>
    <x v="0"/>
    <n v="23.9"/>
    <s v="Warm"/>
    <s v="Follow up after Akshaya Tritiya"/>
  </r>
  <r>
    <s v="LD2468"/>
    <s v="Archana Patil"/>
    <n v="9111563398"/>
    <x v="2"/>
    <x v="8"/>
    <s v="Instagram Story Ads"/>
    <x v="2"/>
    <s v="2026-05-05"/>
    <x v="4"/>
    <x v="4"/>
    <x v="4"/>
    <n v="2"/>
    <n v="8"/>
    <s v="2026-05-07"/>
    <x v="0"/>
    <n v="201143"/>
    <m/>
    <m/>
    <x v="2"/>
    <n v="15.9"/>
    <s v="Cold"/>
    <s v="Budget mismatch - too low"/>
  </r>
  <r>
    <s v="LD2469"/>
    <s v="Alka Raut"/>
    <n v="9611805163"/>
    <x v="2"/>
    <x v="2"/>
    <s v="Neighbour Referral"/>
    <x v="7"/>
    <s v="2026-05-07"/>
    <x v="4"/>
    <x v="4"/>
    <x v="4"/>
    <n v="2"/>
    <n v="8"/>
    <s v="2026-05-07"/>
    <x v="0"/>
    <n v="751018"/>
    <m/>
    <m/>
    <x v="4"/>
    <n v="21.8"/>
    <s v="Cold"/>
    <s v="Customer chose readymade furniture"/>
  </r>
  <r>
    <s v="LD2470"/>
    <s v="Lata Nikalje"/>
    <n v="9166130265"/>
    <x v="2"/>
    <x v="5"/>
    <s v="Site Visit Walk-in"/>
    <x v="3"/>
    <s v="2026-05-07"/>
    <x v="4"/>
    <x v="4"/>
    <x v="4"/>
    <n v="2"/>
    <n v="9"/>
    <s v="2026-05-07"/>
    <x v="4"/>
    <n v="177125"/>
    <n v="157876"/>
    <s v="2026-05-07"/>
    <x v="0"/>
    <n v="35.200000000000003"/>
    <s v="Hot"/>
    <s v="Token received, design finalised"/>
  </r>
  <r>
    <m/>
    <m/>
    <m/>
    <x v="5"/>
    <x v="9"/>
    <m/>
    <x v="15"/>
    <m/>
    <x v="12"/>
    <x v="12"/>
    <x v="5"/>
    <m/>
    <m/>
    <m/>
    <x v="5"/>
    <m/>
    <m/>
    <m/>
    <x v="5"/>
    <m/>
    <m/>
    <m/>
  </r>
  <r>
    <m/>
    <m/>
    <m/>
    <x v="5"/>
    <x v="9"/>
    <m/>
    <x v="15"/>
    <m/>
    <x v="12"/>
    <x v="12"/>
    <x v="5"/>
    <m/>
    <m/>
    <m/>
    <x v="5"/>
    <m/>
    <m/>
    <m/>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2B3B0-1B3D-4EF6-9E80-597B16F2545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29" firstHeaderRow="1" firstDataRow="1" firstDataCol="1"/>
  <pivotFields count="22">
    <pivotField dataField="1"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axis="axisRow" showAll="0">
      <items count="14">
        <item x="0"/>
        <item x="1"/>
        <item x="2"/>
        <item x="3"/>
        <item x="4"/>
        <item x="5"/>
        <item x="6"/>
        <item x="7"/>
        <item x="8"/>
        <item x="9"/>
        <item x="10"/>
        <item x="11"/>
        <item x="12"/>
        <item t="default"/>
      </items>
    </pivotField>
    <pivotField axis="axisRow" showAll="0">
      <items count="7">
        <item h="1" x="0"/>
        <item h="1" x="1"/>
        <item x="2"/>
        <item h="1" x="3"/>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3">
    <field x="10"/>
    <field x="9"/>
    <field x="8"/>
  </rowFields>
  <rowItems count="26">
    <i>
      <x v="2"/>
    </i>
    <i r="1">
      <x/>
    </i>
    <i r="2">
      <x/>
    </i>
    <i r="1">
      <x v="1"/>
    </i>
    <i r="2">
      <x v="1"/>
    </i>
    <i r="1">
      <x v="2"/>
    </i>
    <i r="2">
      <x v="2"/>
    </i>
    <i r="1">
      <x v="3"/>
    </i>
    <i r="2">
      <x v="3"/>
    </i>
    <i r="1">
      <x v="4"/>
    </i>
    <i r="2">
      <x v="4"/>
    </i>
    <i r="1">
      <x v="5"/>
    </i>
    <i r="2">
      <x v="5"/>
    </i>
    <i r="1">
      <x v="6"/>
    </i>
    <i r="2">
      <x v="6"/>
    </i>
    <i r="1">
      <x v="7"/>
    </i>
    <i r="2">
      <x v="7"/>
    </i>
    <i r="1">
      <x v="8"/>
    </i>
    <i r="2">
      <x v="8"/>
    </i>
    <i r="1">
      <x v="9"/>
    </i>
    <i r="2">
      <x v="9"/>
    </i>
    <i r="1">
      <x v="10"/>
    </i>
    <i r="2">
      <x v="10"/>
    </i>
    <i r="1">
      <x v="11"/>
    </i>
    <i r="2">
      <x v="11"/>
    </i>
    <i t="grand">
      <x/>
    </i>
  </rowItems>
  <colItems count="1">
    <i/>
  </colItems>
  <dataFields count="1">
    <dataField name="Count of Lead_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85EE5-1D20-4B93-968A-CC2F40C2A2A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C13" firstHeaderRow="0" firstDataRow="1" firstDataCol="1"/>
  <pivotFields count="22">
    <pivotField dataField="1" showAll="0"/>
    <pivotField showAll="0"/>
    <pivotField showAll="0"/>
    <pivotField showAll="0">
      <items count="11">
        <item x="4"/>
        <item x="3"/>
        <item m="1" x="9"/>
        <item x="2"/>
        <item m="1" x="6"/>
        <item m="1" x="7"/>
        <item m="1" x="8"/>
        <item x="0"/>
        <item x="1"/>
        <item x="5"/>
        <item t="default"/>
      </items>
    </pivotField>
    <pivotField axis="axisRow" showAll="0">
      <items count="11">
        <item x="4"/>
        <item x="6"/>
        <item x="8"/>
        <item x="1"/>
        <item x="3"/>
        <item x="2"/>
        <item x="5"/>
        <item x="7"/>
        <item x="0"/>
        <item x="9"/>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Count of Lead_ID" fld="0" subtotal="count" baseField="0" baseItem="0"/>
    <dataField name="Count of Conversion" fld="17" subtotal="count"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D187D6-9CD0-4F96-B351-BCAC53EE4B7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8" firstHeaderRow="0" firstDataRow="1" firstDataCol="1"/>
  <pivotFields count="22">
    <pivotField dataField="1"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showAll="0"/>
    <pivotField showAll="0"/>
    <pivotField axis="axisRow" showAll="0">
      <items count="7">
        <item x="0"/>
        <item x="2"/>
        <item x="1"/>
        <item x="4"/>
        <item x="3"/>
        <item x="5"/>
        <item t="default"/>
      </items>
    </pivotField>
    <pivotField dataField="1" showAll="0"/>
    <pivotField showAll="0"/>
    <pivotField showAll="0"/>
  </pivotFields>
  <rowFields count="1">
    <field x="18"/>
  </rowFields>
  <rowItems count="5">
    <i>
      <x/>
    </i>
    <i>
      <x v="1"/>
    </i>
    <i>
      <x v="2"/>
    </i>
    <i>
      <x v="4"/>
    </i>
    <i t="grand">
      <x/>
    </i>
  </rowItems>
  <colFields count="1">
    <field x="-2"/>
  </colFields>
  <colItems count="2">
    <i>
      <x/>
    </i>
    <i i="1">
      <x v="1"/>
    </i>
  </colItems>
  <dataFields count="2">
    <dataField name="Count of Lead_ID" fld="0" subtotal="count" baseField="0" baseItem="0"/>
    <dataField name="Average of Response_Time_Hours" fld="19" subtotal="average" baseField="18"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A19CE-8081-4DFA-869C-8683A733E20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0" firstDataRow="1" firstDataCol="1"/>
  <pivotFields count="22">
    <pivotField dataField="1" showAll="0"/>
    <pivotField showAll="0"/>
    <pivotField showAll="0"/>
    <pivotField axis="axisRow"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
    <i>
      <x/>
    </i>
    <i>
      <x v="1"/>
    </i>
    <i>
      <x v="3"/>
    </i>
    <i>
      <x v="7"/>
    </i>
    <i>
      <x v="8"/>
    </i>
    <i t="grand">
      <x/>
    </i>
  </rowItems>
  <colFields count="1">
    <field x="-2"/>
  </colFields>
  <colItems count="2">
    <i>
      <x/>
    </i>
    <i i="1">
      <x v="1"/>
    </i>
  </colItems>
  <dataFields count="2">
    <dataField name="Count of Lead_ID" fld="0" subtotal="count" baseField="0" baseItem="0"/>
    <dataField name="Sum of Final_Deal_Value"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94C17-2486-48EF-A6B4-96087970F2D3}"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20" firstHeaderRow="0" firstDataRow="1" firstDataCol="1"/>
  <pivotFields count="22">
    <pivotField dataField="1" showAll="0"/>
    <pivotField showAll="0"/>
    <pivotField showAll="0"/>
    <pivotField showAll="0"/>
    <pivotField showAll="0"/>
    <pivotField showAll="0"/>
    <pivotField axis="axisRow" showAll="0">
      <items count="17">
        <item x="5"/>
        <item x="9"/>
        <item x="14"/>
        <item x="13"/>
        <item x="3"/>
        <item x="0"/>
        <item x="8"/>
        <item x="12"/>
        <item x="7"/>
        <item x="4"/>
        <item x="6"/>
        <item x="11"/>
        <item x="1"/>
        <item x="2"/>
        <item x="10"/>
        <item x="1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Final_Deal_Value" fld="16" baseField="0" baseItem="0"/>
    <dataField name="Count of Lead_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35AC3A-370E-4E8A-B91A-F749BC6CC38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7:A18" firstHeaderRow="1" firstDataRow="1" firstDataCol="0"/>
  <pivotFields count="22">
    <pivotField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Count of Conversion_Date" fld="17"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2F05D-8554-44A4-A126-5539CCD03CE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3:A14" firstHeaderRow="1" firstDataRow="1" firstDataCol="0"/>
  <pivotFields count="22">
    <pivotField dataField="1"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Lead_ID" fld="0"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DA66CF-14E5-4AB0-89C9-2A64C3279A6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22">
    <pivotField dataField="1"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axis="axisRow" showAll="0">
      <items count="7">
        <item x="4"/>
        <item x="2"/>
        <item x="3"/>
        <item x="1"/>
        <item x="0"/>
        <item x="5"/>
        <item t="default"/>
      </items>
    </pivotField>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Lead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4" count="1" selected="0">
            <x v="0"/>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2"/>
          </reference>
        </references>
      </pivotArea>
    </chartFormat>
    <chartFormat chart="3" format="15">
      <pivotArea type="data" outline="0" fieldPosition="0">
        <references count="2">
          <reference field="4294967294" count="1" selected="0">
            <x v="0"/>
          </reference>
          <reference field="14" count="1" selected="0">
            <x v="3"/>
          </reference>
        </references>
      </pivotArea>
    </chartFormat>
    <chartFormat chart="3" format="16">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346BB-4B57-44D3-B6F1-37A2D600BF34}"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2:D28" firstHeaderRow="1" firstDataRow="1" firstDataCol="1"/>
  <pivotFields count="22">
    <pivotField dataField="1"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axis="axisRow" showAll="0">
      <items count="7">
        <item x="4"/>
        <item x="2"/>
        <item x="3"/>
        <item x="1"/>
        <item x="0"/>
        <item x="5"/>
        <item t="default"/>
      </items>
    </pivotField>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Lead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3F5B87-7472-4331-A4F8-8221FCA4BA04}"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Name of Designer">
  <location ref="H19:I34" firstHeaderRow="1" firstDataRow="1" firstDataCol="1"/>
  <pivotFields count="22">
    <pivotField showAll="0"/>
    <pivotField showAll="0"/>
    <pivotField showAll="0"/>
    <pivotField showAll="0">
      <items count="11">
        <item x="4"/>
        <item x="3"/>
        <item m="1" x="9"/>
        <item x="2"/>
        <item m="1" x="6"/>
        <item m="1" x="7"/>
        <item m="1" x="8"/>
        <item x="0"/>
        <item x="1"/>
        <item x="5"/>
        <item t="default"/>
      </items>
    </pivotField>
    <pivotField showAll="0"/>
    <pivotField showAll="0"/>
    <pivotField axis="axisRow" showAll="0">
      <items count="17">
        <item x="5"/>
        <item x="9"/>
        <item x="14"/>
        <item x="13"/>
        <item x="3"/>
        <item x="0"/>
        <item x="8"/>
        <item x="12"/>
        <item x="7"/>
        <item x="4"/>
        <item x="6"/>
        <item x="11"/>
        <item x="1"/>
        <item x="2"/>
        <item x="10"/>
        <item x="15"/>
        <item t="default"/>
      </items>
    </pivotField>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15">
    <i>
      <x/>
    </i>
    <i>
      <x v="1"/>
    </i>
    <i>
      <x v="3"/>
    </i>
    <i>
      <x v="4"/>
    </i>
    <i>
      <x v="5"/>
    </i>
    <i>
      <x v="6"/>
    </i>
    <i>
      <x v="7"/>
    </i>
    <i>
      <x v="8"/>
    </i>
    <i>
      <x v="9"/>
    </i>
    <i>
      <x v="10"/>
    </i>
    <i>
      <x v="11"/>
    </i>
    <i>
      <x v="12"/>
    </i>
    <i>
      <x v="13"/>
    </i>
    <i>
      <x v="14"/>
    </i>
    <i t="grand">
      <x/>
    </i>
  </rowItems>
  <colItems count="1">
    <i/>
  </colItems>
  <dataFields count="1">
    <dataField name="Value" fld="16" baseField="0" baseItem="0"/>
  </dataFields>
  <formats count="6">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15">
            <x v="0"/>
            <x v="1"/>
            <x v="2"/>
            <x v="3"/>
            <x v="4"/>
            <x v="5"/>
            <x v="6"/>
            <x v="7"/>
            <x v="8"/>
            <x v="9"/>
            <x v="10"/>
            <x v="11"/>
            <x v="12"/>
            <x v="13"/>
            <x v="14"/>
          </reference>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44C19C-FC5D-46C9-9B71-A377D2E8FD72}"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1:A22" firstHeaderRow="1" firstDataRow="1" firstDataCol="0"/>
  <pivotFields count="22">
    <pivotField showAll="0"/>
    <pivotField showAll="0"/>
    <pivotField showAll="0"/>
    <pivotField showAll="0">
      <items count="11">
        <item x="4"/>
        <item x="3"/>
        <item m="1" x="9"/>
        <item x="2"/>
        <item m="1" x="6"/>
        <item m="1" x="7"/>
        <item m="1" x="8"/>
        <item x="0"/>
        <item x="1"/>
        <item x="5"/>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7">
        <item h="1" x="0"/>
        <item h="1" x="1"/>
        <item x="2"/>
        <item h="1" x="3"/>
        <item h="1" x="4"/>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Final_Deal_Value" fld="16"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43A001B-5FE1-4DA2-90C5-A5213AE16097}" sourceName="Month">
  <pivotTables>
    <pivotTable tabId="12" name="PivotTable6"/>
    <pivotTable tabId="12" name="PivotTable7"/>
    <pivotTable tabId="12" name="PivotTable8"/>
    <pivotTable tabId="12" name="PivotTable9"/>
    <pivotTable tabId="12" name="PivotTable11"/>
    <pivotTable tabId="12" name="PivotTable13"/>
    <pivotTable tabId="8" name="PivotTable3"/>
    <pivotTable tabId="9" name="PivotTable4"/>
    <pivotTable tabId="7" name="PivotTable2"/>
    <pivotTable tabId="5" name="PivotTable1"/>
  </pivotTables>
  <data>
    <tabular pivotCacheId="537243971" crossFilter="showItemsWithNoData">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C07BD4-DF5A-48AE-ACBF-5D30526425B4}" sourceName="Year">
  <pivotTables>
    <pivotTable tabId="12" name="PivotTable6"/>
    <pivotTable tabId="12" name="PivotTable7"/>
    <pivotTable tabId="12" name="PivotTable8"/>
    <pivotTable tabId="12" name="PivotTable9"/>
    <pivotTable tabId="12" name="PivotTable11"/>
    <pivotTable tabId="12" name="PivotTable13"/>
    <pivotTable tabId="8" name="PivotTable3"/>
    <pivotTable tabId="9" name="PivotTable4"/>
    <pivotTable tabId="7" name="PivotTable2"/>
    <pivotTable tabId="5" name="PivotTable1"/>
  </pivotTables>
  <data>
    <tabular pivotCacheId="537243971">
      <items count="6">
        <i x="0"/>
        <i x="1"/>
        <i x="2" s="1"/>
        <i x="3"/>
        <i x="4"/>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6642F2C-2814-4BB7-9A02-8E8CFE7321A7}" sourceName="City">
  <pivotTables>
    <pivotTable tabId="12" name="PivotTable6"/>
    <pivotTable tabId="12" name="PivotTable7"/>
    <pivotTable tabId="12" name="PivotTable8"/>
    <pivotTable tabId="12" name="PivotTable9"/>
    <pivotTable tabId="12" name="PivotTable11"/>
    <pivotTable tabId="12" name="PivotTable13"/>
    <pivotTable tabId="8" name="PivotTable3"/>
    <pivotTable tabId="9" name="PivotTable4"/>
    <pivotTable tabId="7" name="PivotTable2"/>
    <pivotTable tabId="5" name="PivotTable1"/>
  </pivotTables>
  <data>
    <tabular pivotCacheId="537243971">
      <items count="10">
        <i x="4" s="1"/>
        <i x="3" s="1"/>
        <i x="2" s="1"/>
        <i x="0" s="1"/>
        <i x="1" s="1"/>
        <i x="9" s="1" nd="1"/>
        <i x="6" s="1" nd="1"/>
        <i x="7" s="1" nd="1"/>
        <i x="8"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81A5FC4-32F2-49DA-BDFE-DF864C2BA51A}" cache="Slicer_Month" caption="Month" columnCount="2" style="SlicerStyleDark4" rowHeight="234950"/>
  <slicer name="Year 1" xr10:uid="{21DCC2BD-A609-4A7A-B02E-2EAA3A3111AF}" cache="Slicer_Year" caption="Year" columnCount="2" style="SlicerStyleDark4" rowHeight="234950"/>
  <slicer name="City 1" xr10:uid="{2FAC2863-594A-4110-AAA9-48C647D4DB9A}" cache="Slicer_City" caption="City" columnCount="2"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78F2B49-87AC-4238-B6D3-92B3B9865CE3}" cache="Slicer_Month" caption="Month" rowHeight="234950"/>
  <slicer name="Year" xr10:uid="{6AF9A7D8-354D-433E-ADF6-82B293E2FCF8}" cache="Slicer_Year" caption="Year" rowHeight="234950"/>
  <slicer name="City" xr10:uid="{1311C6FC-98ED-481A-86C0-9BF290F990B9}"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8.xml"/><Relationship Id="rId7"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46F9-A37C-4A6D-A4E7-6596184E0C2F}">
  <dimension ref="E1:P4"/>
  <sheetViews>
    <sheetView zoomScale="85" zoomScaleNormal="85" workbookViewId="0">
      <selection activeCell="R5" sqref="R5"/>
    </sheetView>
  </sheetViews>
  <sheetFormatPr defaultRowHeight="14.4" x14ac:dyDescent="0.3"/>
  <cols>
    <col min="4" max="4" width="4.6640625" customWidth="1"/>
    <col min="7" max="7" width="19.88671875" customWidth="1"/>
    <col min="10" max="10" width="21.44140625" customWidth="1"/>
    <col min="13" max="13" width="24.33203125" customWidth="1"/>
    <col min="16" max="16" width="25.44140625" customWidth="1"/>
  </cols>
  <sheetData>
    <row r="1" spans="5:16" ht="23.4" customHeight="1" x14ac:dyDescent="0.3">
      <c r="E1" s="63">
        <f>+GETPIVOTDATA("Lead_ID",'Pivot 6'!$A$13)</f>
        <v>793</v>
      </c>
      <c r="F1" s="63"/>
      <c r="G1" s="63"/>
      <c r="H1" s="64">
        <f>+GETPIVOTDATA("Conversion_Date",'Pivot 6'!$A$17)</f>
        <v>213</v>
      </c>
      <c r="I1" s="64"/>
      <c r="J1" s="64"/>
      <c r="K1" s="65">
        <f>+H1/E1</f>
        <v>0.26860025220680961</v>
      </c>
      <c r="L1" s="65"/>
      <c r="M1" s="65"/>
      <c r="N1" s="62">
        <f>+GETPIVOTDATA("Final_Deal_Value",'Pivot 6'!$A$21)</f>
        <v>99773552</v>
      </c>
      <c r="O1" s="62"/>
      <c r="P1" s="62"/>
    </row>
    <row r="2" spans="5:16" ht="14.4" customHeight="1" x14ac:dyDescent="0.3">
      <c r="E2" s="63"/>
      <c r="F2" s="63"/>
      <c r="G2" s="63"/>
      <c r="H2" s="64"/>
      <c r="I2" s="64"/>
      <c r="J2" s="64"/>
      <c r="K2" s="65"/>
      <c r="L2" s="65"/>
      <c r="M2" s="65"/>
      <c r="N2" s="62"/>
      <c r="O2" s="62"/>
      <c r="P2" s="62"/>
    </row>
    <row r="3" spans="5:16" ht="14.4" customHeight="1" x14ac:dyDescent="0.3">
      <c r="E3" s="63"/>
      <c r="F3" s="63"/>
      <c r="G3" s="63"/>
      <c r="H3" s="64"/>
      <c r="I3" s="64"/>
      <c r="J3" s="64"/>
      <c r="K3" s="65"/>
      <c r="L3" s="65"/>
      <c r="M3" s="65"/>
      <c r="N3" s="62"/>
      <c r="O3" s="62"/>
      <c r="P3" s="62"/>
    </row>
    <row r="4" spans="5:16" ht="14.4" customHeight="1" x14ac:dyDescent="0.3"/>
  </sheetData>
  <mergeCells count="4">
    <mergeCell ref="N1:P3"/>
    <mergeCell ref="E1:G3"/>
    <mergeCell ref="H1:J3"/>
    <mergeCell ref="K1:M3"/>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13"/>
  <sheetViews>
    <sheetView tabSelected="1" topLeftCell="S1" workbookViewId="0">
      <pane ySplit="1" topLeftCell="A2" activePane="bottomLeft" state="frozen"/>
      <selection pane="bottomLeft" activeCell="Z2642" sqref="Z2642"/>
    </sheetView>
  </sheetViews>
  <sheetFormatPr defaultRowHeight="14.4" x14ac:dyDescent="0.3"/>
  <cols>
    <col min="1" max="1" width="11.77734375" bestFit="1" customWidth="1"/>
    <col min="2" max="2" width="18.77734375" bestFit="1" customWidth="1"/>
    <col min="3" max="3" width="10.44140625" bestFit="1" customWidth="1"/>
    <col min="4" max="4" width="9.5546875" bestFit="1" customWidth="1"/>
    <col min="5" max="5" width="15.33203125" bestFit="1" customWidth="1"/>
    <col min="6" max="6" width="29.109375" bestFit="1" customWidth="1"/>
    <col min="7" max="7" width="38" customWidth="1"/>
    <col min="8" max="8" width="13.77734375" bestFit="1" customWidth="1"/>
    <col min="9" max="9" width="10.77734375" bestFit="1" customWidth="1"/>
    <col min="10" max="10" width="14.21875" bestFit="1" customWidth="1"/>
    <col min="11" max="11" width="9" bestFit="1" customWidth="1"/>
    <col min="12" max="12" width="11.6640625" bestFit="1" customWidth="1"/>
    <col min="13" max="13" width="18.33203125" bestFit="1" customWidth="1"/>
    <col min="14" max="14" width="20.21875" bestFit="1" customWidth="1"/>
    <col min="15" max="15" width="14.88671875" bestFit="1" customWidth="1"/>
    <col min="16" max="16" width="20" bestFit="1" customWidth="1"/>
    <col min="17" max="18" width="19" bestFit="1" customWidth="1"/>
    <col min="19" max="19" width="18" bestFit="1" customWidth="1"/>
    <col min="20" max="20" width="22.88671875" bestFit="1" customWidth="1"/>
    <col min="21" max="21" width="15" bestFit="1" customWidth="1"/>
    <col min="22" max="22" width="47.21875" bestFit="1" customWidth="1"/>
    <col min="23" max="23" width="17.21875" style="68" customWidth="1"/>
  </cols>
  <sheetData>
    <row r="1" spans="1:23" ht="34.049999999999997" customHeight="1" x14ac:dyDescent="0.3">
      <c r="A1" s="45" t="s">
        <v>0</v>
      </c>
      <c r="B1" s="1" t="s">
        <v>1</v>
      </c>
      <c r="C1" s="1" t="s">
        <v>2</v>
      </c>
      <c r="D1" s="1" t="s">
        <v>3</v>
      </c>
      <c r="E1" s="1" t="s">
        <v>4</v>
      </c>
      <c r="F1" s="1" t="s">
        <v>5</v>
      </c>
      <c r="G1" s="1" t="s">
        <v>6</v>
      </c>
      <c r="H1" s="45" t="s">
        <v>7</v>
      </c>
      <c r="I1" s="1" t="s">
        <v>5327</v>
      </c>
      <c r="J1" s="1" t="s">
        <v>5328</v>
      </c>
      <c r="K1" s="1" t="s">
        <v>5276</v>
      </c>
      <c r="L1" s="1" t="s">
        <v>5329</v>
      </c>
      <c r="M1" s="1" t="s">
        <v>8</v>
      </c>
      <c r="N1" s="1" t="s">
        <v>9</v>
      </c>
      <c r="O1" s="1" t="s">
        <v>10</v>
      </c>
      <c r="P1" s="1" t="s">
        <v>11</v>
      </c>
      <c r="Q1" s="1" t="s">
        <v>12</v>
      </c>
      <c r="R1" s="45" t="s">
        <v>13</v>
      </c>
      <c r="S1" s="1" t="s">
        <v>14</v>
      </c>
      <c r="T1" s="1" t="s">
        <v>15</v>
      </c>
      <c r="U1" s="1" t="s">
        <v>16</v>
      </c>
      <c r="V1" s="1" t="s">
        <v>17</v>
      </c>
      <c r="W1" s="66" t="s">
        <v>5820</v>
      </c>
    </row>
    <row r="2" spans="1:23" x14ac:dyDescent="0.3">
      <c r="A2" s="2" t="s">
        <v>18</v>
      </c>
      <c r="B2" s="2" t="s">
        <v>19</v>
      </c>
      <c r="C2" s="2">
        <v>9146654552</v>
      </c>
      <c r="D2" s="2" t="s">
        <v>20</v>
      </c>
      <c r="E2" s="2" t="s">
        <v>21</v>
      </c>
      <c r="F2" s="2" t="s">
        <v>22</v>
      </c>
      <c r="G2" s="2" t="s">
        <v>23</v>
      </c>
      <c r="H2" s="2" t="s">
        <v>24</v>
      </c>
      <c r="I2" s="2" t="str">
        <f t="shared" ref="I2:I65" si="0">TEXT(H2,"mmm")</f>
        <v>Jan</v>
      </c>
      <c r="J2" s="2">
        <f t="shared" ref="J2:J65" si="1">MONTH(H2)</f>
        <v>1</v>
      </c>
      <c r="K2" s="2">
        <f t="shared" ref="K2:K65" si="2">YEAR(H2)</f>
        <v>2022</v>
      </c>
      <c r="L2" s="2">
        <f t="shared" ref="L2:L65" si="3">ROUNDUP(MONTH(H2)/3,0)</f>
        <v>1</v>
      </c>
      <c r="M2" s="2">
        <v>2</v>
      </c>
      <c r="N2" s="2" t="s">
        <v>26</v>
      </c>
      <c r="O2" s="2" t="s">
        <v>27</v>
      </c>
      <c r="P2" s="3">
        <v>597628</v>
      </c>
      <c r="Q2" s="2"/>
      <c r="R2" s="2"/>
      <c r="S2" s="2" t="s">
        <v>28</v>
      </c>
      <c r="T2" s="2">
        <v>15.2</v>
      </c>
      <c r="U2" s="2" t="s">
        <v>29</v>
      </c>
      <c r="V2" s="2" t="s">
        <v>30</v>
      </c>
      <c r="W2" s="67" t="str">
        <f t="shared" ref="W2:W65" si="4">IF($O2&lt;&gt;"Converted","-",IF(ISNUMBER(SEARCH("Architect",$F2)),"Architect","Customer"))</f>
        <v>-</v>
      </c>
    </row>
    <row r="3" spans="1:23" x14ac:dyDescent="0.3">
      <c r="A3" s="4" t="s">
        <v>31</v>
      </c>
      <c r="B3" s="4" t="s">
        <v>32</v>
      </c>
      <c r="C3" s="4">
        <v>9642621108</v>
      </c>
      <c r="D3" s="4" t="s">
        <v>20</v>
      </c>
      <c r="E3" s="4" t="s">
        <v>33</v>
      </c>
      <c r="F3" s="4" t="s">
        <v>34</v>
      </c>
      <c r="G3" s="4" t="s">
        <v>35</v>
      </c>
      <c r="H3" s="4" t="s">
        <v>25</v>
      </c>
      <c r="I3" s="2" t="str">
        <f t="shared" si="0"/>
        <v>Jan</v>
      </c>
      <c r="J3" s="2">
        <f t="shared" si="1"/>
        <v>1</v>
      </c>
      <c r="K3" s="2">
        <f t="shared" si="2"/>
        <v>2022</v>
      </c>
      <c r="L3" s="2">
        <f t="shared" si="3"/>
        <v>1</v>
      </c>
      <c r="M3" s="4">
        <v>0</v>
      </c>
      <c r="N3" s="4" t="s">
        <v>37</v>
      </c>
      <c r="O3" s="4" t="s">
        <v>27</v>
      </c>
      <c r="P3" s="5">
        <v>114180</v>
      </c>
      <c r="Q3" s="4"/>
      <c r="R3" s="4"/>
      <c r="S3" s="4" t="s">
        <v>28</v>
      </c>
      <c r="T3" s="4">
        <v>55.1</v>
      </c>
      <c r="U3" s="4" t="s">
        <v>29</v>
      </c>
      <c r="V3" s="4" t="s">
        <v>38</v>
      </c>
      <c r="W3" s="67" t="str">
        <f t="shared" si="4"/>
        <v>-</v>
      </c>
    </row>
    <row r="4" spans="1:23" x14ac:dyDescent="0.3">
      <c r="A4" s="2" t="s">
        <v>39</v>
      </c>
      <c r="B4" s="2" t="s">
        <v>40</v>
      </c>
      <c r="C4" s="2">
        <v>9676567501</v>
      </c>
      <c r="D4" s="2" t="s">
        <v>20</v>
      </c>
      <c r="E4" s="2" t="s">
        <v>41</v>
      </c>
      <c r="F4" s="2" t="s">
        <v>42</v>
      </c>
      <c r="G4" s="2" t="s">
        <v>23</v>
      </c>
      <c r="H4" s="2" t="s">
        <v>43</v>
      </c>
      <c r="I4" s="2" t="str">
        <f t="shared" si="0"/>
        <v>Jan</v>
      </c>
      <c r="J4" s="2">
        <f t="shared" si="1"/>
        <v>1</v>
      </c>
      <c r="K4" s="2">
        <f t="shared" si="2"/>
        <v>2022</v>
      </c>
      <c r="L4" s="2">
        <f t="shared" si="3"/>
        <v>1</v>
      </c>
      <c r="M4" s="2">
        <v>5</v>
      </c>
      <c r="N4" s="2" t="s">
        <v>44</v>
      </c>
      <c r="O4" s="2" t="s">
        <v>45</v>
      </c>
      <c r="P4" s="3">
        <v>637808</v>
      </c>
      <c r="Q4" s="2"/>
      <c r="R4" s="2"/>
      <c r="S4" s="2" t="s">
        <v>5819</v>
      </c>
      <c r="T4" s="2">
        <v>28.6</v>
      </c>
      <c r="U4" s="2" t="s">
        <v>47</v>
      </c>
      <c r="V4" s="2" t="s">
        <v>48</v>
      </c>
      <c r="W4" s="67" t="str">
        <f t="shared" si="4"/>
        <v>-</v>
      </c>
    </row>
    <row r="5" spans="1:23" x14ac:dyDescent="0.3">
      <c r="A5" s="4" t="s">
        <v>49</v>
      </c>
      <c r="B5" s="4" t="s">
        <v>50</v>
      </c>
      <c r="C5" s="4">
        <v>9731832764</v>
      </c>
      <c r="D5" s="4" t="s">
        <v>51</v>
      </c>
      <c r="E5" s="4" t="s">
        <v>41</v>
      </c>
      <c r="F5" s="4" t="s">
        <v>42</v>
      </c>
      <c r="G5" s="4" t="s">
        <v>52</v>
      </c>
      <c r="H5" s="4" t="s">
        <v>53</v>
      </c>
      <c r="I5" s="2" t="str">
        <f t="shared" si="0"/>
        <v>Jan</v>
      </c>
      <c r="J5" s="2">
        <f t="shared" si="1"/>
        <v>1</v>
      </c>
      <c r="K5" s="2">
        <f t="shared" si="2"/>
        <v>2022</v>
      </c>
      <c r="L5" s="2">
        <f t="shared" si="3"/>
        <v>1</v>
      </c>
      <c r="M5" s="4">
        <v>2</v>
      </c>
      <c r="N5" s="4" t="s">
        <v>54</v>
      </c>
      <c r="O5" s="4" t="s">
        <v>55</v>
      </c>
      <c r="P5" s="5">
        <v>238821</v>
      </c>
      <c r="Q5" s="4"/>
      <c r="R5" s="4"/>
      <c r="S5" s="4" t="s">
        <v>28</v>
      </c>
      <c r="T5" s="4">
        <v>16.899999999999999</v>
      </c>
      <c r="U5" s="4" t="s">
        <v>29</v>
      </c>
      <c r="V5" s="4" t="s">
        <v>56</v>
      </c>
      <c r="W5" s="67" t="str">
        <f t="shared" si="4"/>
        <v>-</v>
      </c>
    </row>
    <row r="6" spans="1:23" x14ac:dyDescent="0.3">
      <c r="A6" s="2" t="s">
        <v>57</v>
      </c>
      <c r="B6" s="2" t="s">
        <v>58</v>
      </c>
      <c r="C6" s="2">
        <v>9528853029</v>
      </c>
      <c r="D6" s="2" t="s">
        <v>59</v>
      </c>
      <c r="E6" s="2" t="s">
        <v>41</v>
      </c>
      <c r="F6" s="2" t="s">
        <v>42</v>
      </c>
      <c r="G6" s="2" t="s">
        <v>60</v>
      </c>
      <c r="H6" s="2" t="s">
        <v>53</v>
      </c>
      <c r="I6" s="2" t="str">
        <f t="shared" si="0"/>
        <v>Jan</v>
      </c>
      <c r="J6" s="2">
        <f t="shared" si="1"/>
        <v>1</v>
      </c>
      <c r="K6" s="2">
        <f t="shared" si="2"/>
        <v>2022</v>
      </c>
      <c r="L6" s="2">
        <f t="shared" si="3"/>
        <v>1</v>
      </c>
      <c r="M6" s="2">
        <v>5</v>
      </c>
      <c r="N6" s="2" t="s">
        <v>61</v>
      </c>
      <c r="O6" s="2" t="s">
        <v>62</v>
      </c>
      <c r="P6" s="3">
        <v>79361</v>
      </c>
      <c r="Q6" s="2"/>
      <c r="R6" s="2"/>
      <c r="S6" s="2" t="s">
        <v>28</v>
      </c>
      <c r="T6" s="2">
        <v>73</v>
      </c>
      <c r="U6" s="2" t="s">
        <v>63</v>
      </c>
      <c r="V6" s="2" t="s">
        <v>64</v>
      </c>
      <c r="W6" s="67" t="str">
        <f t="shared" si="4"/>
        <v>-</v>
      </c>
    </row>
    <row r="7" spans="1:23" x14ac:dyDescent="0.3">
      <c r="A7" s="4" t="s">
        <v>65</v>
      </c>
      <c r="B7" s="4" t="s">
        <v>66</v>
      </c>
      <c r="C7" s="4">
        <v>9554814084</v>
      </c>
      <c r="D7" s="4" t="s">
        <v>20</v>
      </c>
      <c r="E7" s="4" t="s">
        <v>67</v>
      </c>
      <c r="F7" s="4" t="s">
        <v>68</v>
      </c>
      <c r="G7" s="4" t="s">
        <v>69</v>
      </c>
      <c r="H7" s="4" t="s">
        <v>36</v>
      </c>
      <c r="I7" s="2" t="str">
        <f t="shared" si="0"/>
        <v>Jan</v>
      </c>
      <c r="J7" s="2">
        <f t="shared" si="1"/>
        <v>1</v>
      </c>
      <c r="K7" s="2">
        <f t="shared" si="2"/>
        <v>2022</v>
      </c>
      <c r="L7" s="2">
        <f t="shared" si="3"/>
        <v>1</v>
      </c>
      <c r="M7" s="4">
        <v>3</v>
      </c>
      <c r="N7" s="4" t="s">
        <v>70</v>
      </c>
      <c r="O7" s="4" t="s">
        <v>27</v>
      </c>
      <c r="P7" s="5">
        <v>183361</v>
      </c>
      <c r="Q7" s="4"/>
      <c r="R7" s="4"/>
      <c r="S7" s="4" t="s">
        <v>5819</v>
      </c>
      <c r="T7" s="4">
        <v>48.5</v>
      </c>
      <c r="U7" s="4" t="s">
        <v>29</v>
      </c>
      <c r="V7" s="4"/>
      <c r="W7" s="67" t="str">
        <f t="shared" si="4"/>
        <v>-</v>
      </c>
    </row>
    <row r="8" spans="1:23" x14ac:dyDescent="0.3">
      <c r="A8" s="2" t="s">
        <v>71</v>
      </c>
      <c r="B8" s="2" t="s">
        <v>72</v>
      </c>
      <c r="C8" s="2">
        <v>9100614068</v>
      </c>
      <c r="D8" s="2" t="s">
        <v>51</v>
      </c>
      <c r="E8" s="2" t="s">
        <v>73</v>
      </c>
      <c r="F8" s="2" t="s">
        <v>74</v>
      </c>
      <c r="G8" s="2" t="s">
        <v>35</v>
      </c>
      <c r="H8" s="2" t="s">
        <v>37</v>
      </c>
      <c r="I8" s="2" t="str">
        <f t="shared" si="0"/>
        <v>Jan</v>
      </c>
      <c r="J8" s="2">
        <f t="shared" si="1"/>
        <v>1</v>
      </c>
      <c r="K8" s="2">
        <f t="shared" si="2"/>
        <v>2022</v>
      </c>
      <c r="L8" s="2">
        <f t="shared" si="3"/>
        <v>1</v>
      </c>
      <c r="M8" s="2">
        <v>1</v>
      </c>
      <c r="N8" s="2" t="s">
        <v>76</v>
      </c>
      <c r="O8" s="2" t="s">
        <v>45</v>
      </c>
      <c r="P8" s="3">
        <v>193039</v>
      </c>
      <c r="Q8" s="2"/>
      <c r="R8" s="2"/>
      <c r="S8" s="2" t="s">
        <v>28</v>
      </c>
      <c r="T8" s="2">
        <v>60.8</v>
      </c>
      <c r="U8" s="2" t="s">
        <v>47</v>
      </c>
      <c r="V8" s="2" t="s">
        <v>77</v>
      </c>
      <c r="W8" s="67" t="str">
        <f t="shared" si="4"/>
        <v>-</v>
      </c>
    </row>
    <row r="9" spans="1:23" x14ac:dyDescent="0.3">
      <c r="A9" s="4" t="s">
        <v>78</v>
      </c>
      <c r="B9" s="4" t="s">
        <v>79</v>
      </c>
      <c r="C9" s="4">
        <v>9690347116</v>
      </c>
      <c r="D9" s="4" t="s">
        <v>20</v>
      </c>
      <c r="E9" s="4" t="s">
        <v>67</v>
      </c>
      <c r="F9" s="4" t="s">
        <v>80</v>
      </c>
      <c r="G9" s="4" t="s">
        <v>23</v>
      </c>
      <c r="H9" s="4" t="s">
        <v>75</v>
      </c>
      <c r="I9" s="2" t="str">
        <f t="shared" si="0"/>
        <v>Jan</v>
      </c>
      <c r="J9" s="2">
        <f t="shared" si="1"/>
        <v>1</v>
      </c>
      <c r="K9" s="2">
        <f t="shared" si="2"/>
        <v>2022</v>
      </c>
      <c r="L9" s="2">
        <f t="shared" si="3"/>
        <v>1</v>
      </c>
      <c r="M9" s="4">
        <v>1</v>
      </c>
      <c r="N9" s="4" t="s">
        <v>82</v>
      </c>
      <c r="O9" s="4" t="s">
        <v>62</v>
      </c>
      <c r="P9" s="5">
        <v>614904</v>
      </c>
      <c r="Q9" s="4"/>
      <c r="R9" s="4"/>
      <c r="S9" s="4" t="s">
        <v>5819</v>
      </c>
      <c r="T9" s="4">
        <v>94</v>
      </c>
      <c r="U9" s="4" t="s">
        <v>29</v>
      </c>
      <c r="V9" s="4" t="s">
        <v>83</v>
      </c>
      <c r="W9" s="67" t="str">
        <f t="shared" si="4"/>
        <v>-</v>
      </c>
    </row>
    <row r="10" spans="1:23" x14ac:dyDescent="0.3">
      <c r="A10" s="2" t="s">
        <v>84</v>
      </c>
      <c r="B10" s="2" t="s">
        <v>85</v>
      </c>
      <c r="C10" s="2">
        <v>9491735568</v>
      </c>
      <c r="D10" s="2" t="s">
        <v>59</v>
      </c>
      <c r="E10" s="2" t="s">
        <v>41</v>
      </c>
      <c r="F10" s="2" t="s">
        <v>86</v>
      </c>
      <c r="G10" s="2" t="s">
        <v>87</v>
      </c>
      <c r="H10" s="2" t="s">
        <v>75</v>
      </c>
      <c r="I10" s="2" t="str">
        <f t="shared" si="0"/>
        <v>Jan</v>
      </c>
      <c r="J10" s="2">
        <f t="shared" si="1"/>
        <v>1</v>
      </c>
      <c r="K10" s="2">
        <f t="shared" si="2"/>
        <v>2022</v>
      </c>
      <c r="L10" s="2">
        <f t="shared" si="3"/>
        <v>1</v>
      </c>
      <c r="M10" s="2">
        <v>3</v>
      </c>
      <c r="N10" s="2" t="s">
        <v>88</v>
      </c>
      <c r="O10" s="2" t="s">
        <v>45</v>
      </c>
      <c r="P10" s="3">
        <v>210176</v>
      </c>
      <c r="Q10" s="2"/>
      <c r="R10" s="2"/>
      <c r="S10" s="2" t="s">
        <v>5819</v>
      </c>
      <c r="T10" s="2">
        <v>94.7</v>
      </c>
      <c r="U10" s="2" t="s">
        <v>47</v>
      </c>
      <c r="V10" s="2" t="s">
        <v>89</v>
      </c>
      <c r="W10" s="67" t="str">
        <f t="shared" si="4"/>
        <v>-</v>
      </c>
    </row>
    <row r="11" spans="1:23" x14ac:dyDescent="0.3">
      <c r="A11" s="4" t="s">
        <v>90</v>
      </c>
      <c r="B11" s="4" t="s">
        <v>91</v>
      </c>
      <c r="C11" s="4">
        <v>9680451872</v>
      </c>
      <c r="D11" s="4" t="s">
        <v>20</v>
      </c>
      <c r="E11" s="4" t="s">
        <v>41</v>
      </c>
      <c r="F11" s="4" t="s">
        <v>92</v>
      </c>
      <c r="G11" s="4" t="s">
        <v>52</v>
      </c>
      <c r="H11" s="4" t="s">
        <v>81</v>
      </c>
      <c r="I11" s="2" t="str">
        <f t="shared" si="0"/>
        <v>Jan</v>
      </c>
      <c r="J11" s="2">
        <f t="shared" si="1"/>
        <v>1</v>
      </c>
      <c r="K11" s="2">
        <f t="shared" si="2"/>
        <v>2022</v>
      </c>
      <c r="L11" s="2">
        <f t="shared" si="3"/>
        <v>1</v>
      </c>
      <c r="M11" s="4">
        <v>3</v>
      </c>
      <c r="N11" s="4" t="s">
        <v>93</v>
      </c>
      <c r="O11" s="4" t="s">
        <v>27</v>
      </c>
      <c r="P11" s="5">
        <v>280706</v>
      </c>
      <c r="Q11" s="4"/>
      <c r="R11" s="4"/>
      <c r="S11" s="4" t="s">
        <v>28</v>
      </c>
      <c r="T11" s="4">
        <v>31.1</v>
      </c>
      <c r="U11" s="4" t="s">
        <v>29</v>
      </c>
      <c r="V11" s="4"/>
      <c r="W11" s="67" t="str">
        <f t="shared" si="4"/>
        <v>-</v>
      </c>
    </row>
    <row r="12" spans="1:23" x14ac:dyDescent="0.3">
      <c r="A12" s="6" t="s">
        <v>94</v>
      </c>
      <c r="B12" s="6" t="s">
        <v>95</v>
      </c>
      <c r="C12" s="6">
        <v>9721890096</v>
      </c>
      <c r="D12" s="6" t="s">
        <v>59</v>
      </c>
      <c r="E12" s="6" t="s">
        <v>33</v>
      </c>
      <c r="F12" s="6" t="s">
        <v>34</v>
      </c>
      <c r="G12" s="6" t="s">
        <v>23</v>
      </c>
      <c r="H12" s="6" t="s">
        <v>81</v>
      </c>
      <c r="I12" s="2" t="str">
        <f t="shared" si="0"/>
        <v>Jan</v>
      </c>
      <c r="J12" s="2">
        <f t="shared" si="1"/>
        <v>1</v>
      </c>
      <c r="K12" s="2">
        <f t="shared" si="2"/>
        <v>2022</v>
      </c>
      <c r="L12" s="2">
        <f t="shared" si="3"/>
        <v>1</v>
      </c>
      <c r="M12" s="6">
        <v>5</v>
      </c>
      <c r="N12" s="6" t="s">
        <v>96</v>
      </c>
      <c r="O12" s="6" t="s">
        <v>97</v>
      </c>
      <c r="P12" s="7">
        <v>504003</v>
      </c>
      <c r="Q12" s="7">
        <v>469451</v>
      </c>
      <c r="R12" s="6" t="s">
        <v>98</v>
      </c>
      <c r="S12" s="6" t="s">
        <v>5819</v>
      </c>
      <c r="T12" s="6">
        <v>31.7</v>
      </c>
      <c r="U12" s="6" t="s">
        <v>63</v>
      </c>
      <c r="V12" s="6" t="s">
        <v>99</v>
      </c>
      <c r="W12" s="67" t="str">
        <f t="shared" si="4"/>
        <v>Customer</v>
      </c>
    </row>
    <row r="13" spans="1:23" x14ac:dyDescent="0.3">
      <c r="A13" s="4" t="s">
        <v>100</v>
      </c>
      <c r="B13" s="4" t="s">
        <v>101</v>
      </c>
      <c r="C13" s="4">
        <v>9964411347</v>
      </c>
      <c r="D13" s="4" t="s">
        <v>51</v>
      </c>
      <c r="E13" s="4" t="s">
        <v>33</v>
      </c>
      <c r="F13" s="4" t="s">
        <v>102</v>
      </c>
      <c r="G13" s="4" t="s">
        <v>87</v>
      </c>
      <c r="H13" s="4" t="s">
        <v>76</v>
      </c>
      <c r="I13" s="2" t="str">
        <f t="shared" si="0"/>
        <v>Jan</v>
      </c>
      <c r="J13" s="2">
        <f t="shared" si="1"/>
        <v>1</v>
      </c>
      <c r="K13" s="2">
        <f t="shared" si="2"/>
        <v>2022</v>
      </c>
      <c r="L13" s="2">
        <f t="shared" si="3"/>
        <v>1</v>
      </c>
      <c r="M13" s="4">
        <v>2</v>
      </c>
      <c r="N13" s="4" t="s">
        <v>104</v>
      </c>
      <c r="O13" s="4" t="s">
        <v>27</v>
      </c>
      <c r="P13" s="5">
        <v>224426</v>
      </c>
      <c r="Q13" s="4"/>
      <c r="R13" s="4"/>
      <c r="S13" s="4" t="s">
        <v>28</v>
      </c>
      <c r="T13" s="4">
        <v>67.900000000000006</v>
      </c>
      <c r="U13" s="4" t="s">
        <v>29</v>
      </c>
      <c r="V13" s="4" t="s">
        <v>105</v>
      </c>
      <c r="W13" s="67" t="str">
        <f t="shared" si="4"/>
        <v>-</v>
      </c>
    </row>
    <row r="14" spans="1:23" x14ac:dyDescent="0.3">
      <c r="A14" s="6" t="s">
        <v>106</v>
      </c>
      <c r="B14" s="6" t="s">
        <v>107</v>
      </c>
      <c r="C14" s="6">
        <v>9216070149</v>
      </c>
      <c r="D14" s="6" t="s">
        <v>108</v>
      </c>
      <c r="E14" s="6" t="s">
        <v>109</v>
      </c>
      <c r="F14" s="6" t="s">
        <v>110</v>
      </c>
      <c r="G14" s="6" t="s">
        <v>23</v>
      </c>
      <c r="H14" s="6" t="s">
        <v>103</v>
      </c>
      <c r="I14" s="2" t="str">
        <f t="shared" si="0"/>
        <v>Feb</v>
      </c>
      <c r="J14" s="2">
        <f t="shared" si="1"/>
        <v>2</v>
      </c>
      <c r="K14" s="2">
        <f t="shared" si="2"/>
        <v>2022</v>
      </c>
      <c r="L14" s="2">
        <f t="shared" si="3"/>
        <v>1</v>
      </c>
      <c r="M14" s="6">
        <v>4</v>
      </c>
      <c r="N14" s="6" t="s">
        <v>111</v>
      </c>
      <c r="O14" s="6" t="s">
        <v>97</v>
      </c>
      <c r="P14" s="7">
        <v>520798</v>
      </c>
      <c r="Q14" s="7">
        <v>494690</v>
      </c>
      <c r="R14" s="6" t="s">
        <v>112</v>
      </c>
      <c r="S14" s="6" t="s">
        <v>5819</v>
      </c>
      <c r="T14" s="6">
        <v>29.1</v>
      </c>
      <c r="U14" s="6" t="s">
        <v>63</v>
      </c>
      <c r="V14" s="6" t="s">
        <v>113</v>
      </c>
      <c r="W14" s="67" t="str">
        <f t="shared" si="4"/>
        <v>Customer</v>
      </c>
    </row>
    <row r="15" spans="1:23" x14ac:dyDescent="0.3">
      <c r="A15" s="4" t="s">
        <v>114</v>
      </c>
      <c r="B15" s="4" t="s">
        <v>115</v>
      </c>
      <c r="C15" s="4">
        <v>9958043599</v>
      </c>
      <c r="D15" s="4" t="s">
        <v>59</v>
      </c>
      <c r="E15" s="4" t="s">
        <v>67</v>
      </c>
      <c r="F15" s="4" t="s">
        <v>68</v>
      </c>
      <c r="G15" s="4" t="s">
        <v>52</v>
      </c>
      <c r="H15" s="4" t="s">
        <v>70</v>
      </c>
      <c r="I15" s="2" t="str">
        <f t="shared" si="0"/>
        <v>Feb</v>
      </c>
      <c r="J15" s="2">
        <f t="shared" si="1"/>
        <v>2</v>
      </c>
      <c r="K15" s="2">
        <f t="shared" si="2"/>
        <v>2022</v>
      </c>
      <c r="L15" s="2">
        <f t="shared" si="3"/>
        <v>1</v>
      </c>
      <c r="M15" s="4">
        <v>0</v>
      </c>
      <c r="N15" s="4" t="s">
        <v>117</v>
      </c>
      <c r="O15" s="4" t="s">
        <v>27</v>
      </c>
      <c r="P15" s="5">
        <v>238498</v>
      </c>
      <c r="Q15" s="4"/>
      <c r="R15" s="4"/>
      <c r="S15" s="4" t="s">
        <v>5819</v>
      </c>
      <c r="T15" s="4">
        <v>73.7</v>
      </c>
      <c r="U15" s="4" t="s">
        <v>29</v>
      </c>
      <c r="V15" s="4" t="s">
        <v>118</v>
      </c>
      <c r="W15" s="67" t="str">
        <f t="shared" si="4"/>
        <v>-</v>
      </c>
    </row>
    <row r="16" spans="1:23" x14ac:dyDescent="0.3">
      <c r="A16" s="2" t="s">
        <v>119</v>
      </c>
      <c r="B16" s="2" t="s">
        <v>120</v>
      </c>
      <c r="C16" s="2">
        <v>9274484941</v>
      </c>
      <c r="D16" s="2" t="s">
        <v>121</v>
      </c>
      <c r="E16" s="2" t="s">
        <v>73</v>
      </c>
      <c r="F16" s="2" t="s">
        <v>74</v>
      </c>
      <c r="G16" s="2" t="s">
        <v>23</v>
      </c>
      <c r="H16" s="2" t="s">
        <v>116</v>
      </c>
      <c r="I16" s="2" t="str">
        <f t="shared" si="0"/>
        <v>Feb</v>
      </c>
      <c r="J16" s="2">
        <f t="shared" si="1"/>
        <v>2</v>
      </c>
      <c r="K16" s="2">
        <f t="shared" si="2"/>
        <v>2022</v>
      </c>
      <c r="L16" s="2">
        <f t="shared" si="3"/>
        <v>1</v>
      </c>
      <c r="M16" s="2">
        <v>4</v>
      </c>
      <c r="N16" s="2" t="s">
        <v>122</v>
      </c>
      <c r="O16" s="2" t="s">
        <v>27</v>
      </c>
      <c r="P16" s="3">
        <v>453387</v>
      </c>
      <c r="Q16" s="2"/>
      <c r="R16" s="2"/>
      <c r="S16" s="2" t="s">
        <v>28</v>
      </c>
      <c r="T16" s="2">
        <v>15.3</v>
      </c>
      <c r="U16" s="2" t="s">
        <v>29</v>
      </c>
      <c r="V16" s="2" t="s">
        <v>123</v>
      </c>
      <c r="W16" s="67" t="str">
        <f t="shared" si="4"/>
        <v>-</v>
      </c>
    </row>
    <row r="17" spans="1:23" x14ac:dyDescent="0.3">
      <c r="A17" s="4" t="s">
        <v>124</v>
      </c>
      <c r="B17" s="4" t="s">
        <v>125</v>
      </c>
      <c r="C17" s="4">
        <v>9266910922</v>
      </c>
      <c r="D17" s="4" t="s">
        <v>59</v>
      </c>
      <c r="E17" s="4" t="s">
        <v>73</v>
      </c>
      <c r="F17" s="4" t="s">
        <v>126</v>
      </c>
      <c r="G17" s="4" t="s">
        <v>87</v>
      </c>
      <c r="H17" s="4" t="s">
        <v>104</v>
      </c>
      <c r="I17" s="2" t="str">
        <f t="shared" si="0"/>
        <v>Feb</v>
      </c>
      <c r="J17" s="2">
        <f t="shared" si="1"/>
        <v>2</v>
      </c>
      <c r="K17" s="2">
        <f t="shared" si="2"/>
        <v>2022</v>
      </c>
      <c r="L17" s="2">
        <f t="shared" si="3"/>
        <v>1</v>
      </c>
      <c r="M17" s="4">
        <v>2</v>
      </c>
      <c r="N17" s="4" t="s">
        <v>117</v>
      </c>
      <c r="O17" s="4" t="s">
        <v>45</v>
      </c>
      <c r="P17" s="5">
        <v>252165</v>
      </c>
      <c r="Q17" s="4"/>
      <c r="R17" s="4"/>
      <c r="S17" s="4" t="s">
        <v>5819</v>
      </c>
      <c r="T17" s="4">
        <v>89.9</v>
      </c>
      <c r="U17" s="4" t="s">
        <v>47</v>
      </c>
      <c r="V17" s="4" t="s">
        <v>48</v>
      </c>
      <c r="W17" s="67" t="str">
        <f t="shared" si="4"/>
        <v>-</v>
      </c>
    </row>
    <row r="18" spans="1:23" x14ac:dyDescent="0.3">
      <c r="A18" s="2" t="s">
        <v>127</v>
      </c>
      <c r="B18" s="2" t="s">
        <v>128</v>
      </c>
      <c r="C18" s="2"/>
      <c r="D18" s="2" t="s">
        <v>59</v>
      </c>
      <c r="E18" s="2" t="s">
        <v>73</v>
      </c>
      <c r="F18" s="2" t="s">
        <v>126</v>
      </c>
      <c r="G18" s="2" t="s">
        <v>52</v>
      </c>
      <c r="H18" s="2" t="s">
        <v>129</v>
      </c>
      <c r="I18" s="2" t="str">
        <f t="shared" si="0"/>
        <v>Feb</v>
      </c>
      <c r="J18" s="2">
        <f t="shared" si="1"/>
        <v>2</v>
      </c>
      <c r="K18" s="2">
        <f t="shared" si="2"/>
        <v>2022</v>
      </c>
      <c r="L18" s="2">
        <f t="shared" si="3"/>
        <v>1</v>
      </c>
      <c r="M18" s="2">
        <v>1</v>
      </c>
      <c r="N18" s="2" t="s">
        <v>44</v>
      </c>
      <c r="O18" s="2" t="s">
        <v>27</v>
      </c>
      <c r="P18" s="3">
        <v>199871</v>
      </c>
      <c r="Q18" s="2"/>
      <c r="R18" s="2"/>
      <c r="S18" s="2" t="s">
        <v>28</v>
      </c>
      <c r="T18" s="2">
        <v>42.4</v>
      </c>
      <c r="U18" s="2" t="s">
        <v>29</v>
      </c>
      <c r="V18" s="2" t="s">
        <v>130</v>
      </c>
      <c r="W18" s="67" t="str">
        <f t="shared" si="4"/>
        <v>-</v>
      </c>
    </row>
    <row r="19" spans="1:23" x14ac:dyDescent="0.3">
      <c r="A19" s="4" t="s">
        <v>131</v>
      </c>
      <c r="B19" s="4" t="s">
        <v>132</v>
      </c>
      <c r="C19" s="4">
        <v>9909037759</v>
      </c>
      <c r="D19" s="4" t="s">
        <v>121</v>
      </c>
      <c r="E19" s="4" t="s">
        <v>67</v>
      </c>
      <c r="F19" s="4" t="s">
        <v>68</v>
      </c>
      <c r="G19" s="4" t="s">
        <v>87</v>
      </c>
      <c r="H19" s="4" t="s">
        <v>117</v>
      </c>
      <c r="I19" s="2" t="str">
        <f t="shared" si="0"/>
        <v>Feb</v>
      </c>
      <c r="J19" s="2">
        <f t="shared" si="1"/>
        <v>2</v>
      </c>
      <c r="K19" s="2">
        <f t="shared" si="2"/>
        <v>2022</v>
      </c>
      <c r="L19" s="2">
        <f t="shared" si="3"/>
        <v>1</v>
      </c>
      <c r="M19" s="4">
        <v>4</v>
      </c>
      <c r="N19" s="4" t="s">
        <v>112</v>
      </c>
      <c r="O19" s="4" t="s">
        <v>27</v>
      </c>
      <c r="P19" s="5">
        <v>86162</v>
      </c>
      <c r="Q19" s="4"/>
      <c r="R19" s="4"/>
      <c r="S19" s="4" t="s">
        <v>28</v>
      </c>
      <c r="T19" s="4">
        <v>91.1</v>
      </c>
      <c r="U19" s="4" t="s">
        <v>29</v>
      </c>
      <c r="V19" s="4"/>
      <c r="W19" s="67" t="str">
        <f t="shared" si="4"/>
        <v>-</v>
      </c>
    </row>
    <row r="20" spans="1:23" x14ac:dyDescent="0.3">
      <c r="A20" s="2" t="s">
        <v>133</v>
      </c>
      <c r="B20" s="2" t="s">
        <v>134</v>
      </c>
      <c r="C20" s="2">
        <v>9702269164</v>
      </c>
      <c r="D20" s="2" t="s">
        <v>59</v>
      </c>
      <c r="E20" s="2" t="s">
        <v>67</v>
      </c>
      <c r="F20" s="2" t="s">
        <v>80</v>
      </c>
      <c r="G20" s="2" t="s">
        <v>23</v>
      </c>
      <c r="H20" s="2" t="s">
        <v>135</v>
      </c>
      <c r="I20" s="2" t="str">
        <f t="shared" si="0"/>
        <v>Feb</v>
      </c>
      <c r="J20" s="2">
        <f t="shared" si="1"/>
        <v>2</v>
      </c>
      <c r="K20" s="2">
        <f t="shared" si="2"/>
        <v>2022</v>
      </c>
      <c r="L20" s="2">
        <f t="shared" si="3"/>
        <v>1</v>
      </c>
      <c r="M20" s="2">
        <v>5</v>
      </c>
      <c r="N20" s="2" t="s">
        <v>136</v>
      </c>
      <c r="O20" s="2" t="s">
        <v>45</v>
      </c>
      <c r="P20" s="3">
        <v>385275</v>
      </c>
      <c r="Q20" s="2"/>
      <c r="R20" s="2"/>
      <c r="S20" s="2" t="s">
        <v>28</v>
      </c>
      <c r="T20" s="2">
        <v>63.3</v>
      </c>
      <c r="U20" s="2" t="s">
        <v>47</v>
      </c>
      <c r="V20" s="2" t="s">
        <v>137</v>
      </c>
      <c r="W20" s="67" t="str">
        <f t="shared" si="4"/>
        <v>-</v>
      </c>
    </row>
    <row r="21" spans="1:23" x14ac:dyDescent="0.3">
      <c r="A21" s="4" t="s">
        <v>138</v>
      </c>
      <c r="B21" s="4" t="s">
        <v>139</v>
      </c>
      <c r="C21" s="4"/>
      <c r="D21" s="4" t="s">
        <v>59</v>
      </c>
      <c r="E21" s="4" t="s">
        <v>73</v>
      </c>
      <c r="F21" s="4" t="s">
        <v>126</v>
      </c>
      <c r="G21" s="4" t="s">
        <v>23</v>
      </c>
      <c r="H21" s="4" t="s">
        <v>61</v>
      </c>
      <c r="I21" s="2" t="str">
        <f t="shared" si="0"/>
        <v>Feb</v>
      </c>
      <c r="J21" s="2">
        <f t="shared" si="1"/>
        <v>2</v>
      </c>
      <c r="K21" s="2">
        <f t="shared" si="2"/>
        <v>2022</v>
      </c>
      <c r="L21" s="2">
        <f t="shared" si="3"/>
        <v>1</v>
      </c>
      <c r="M21" s="4">
        <v>3</v>
      </c>
      <c r="N21" s="4" t="s">
        <v>98</v>
      </c>
      <c r="O21" s="4" t="s">
        <v>27</v>
      </c>
      <c r="P21" s="5">
        <v>535235</v>
      </c>
      <c r="Q21" s="4"/>
      <c r="R21" s="4"/>
      <c r="S21" s="4" t="s">
        <v>28</v>
      </c>
      <c r="T21" s="4">
        <v>49.6</v>
      </c>
      <c r="U21" s="4" t="s">
        <v>29</v>
      </c>
      <c r="V21" s="4" t="s">
        <v>140</v>
      </c>
      <c r="W21" s="67" t="str">
        <f t="shared" si="4"/>
        <v>-</v>
      </c>
    </row>
    <row r="22" spans="1:23" x14ac:dyDescent="0.3">
      <c r="A22" s="2" t="s">
        <v>141</v>
      </c>
      <c r="B22" s="2" t="s">
        <v>142</v>
      </c>
      <c r="C22" s="2">
        <v>9718121922</v>
      </c>
      <c r="D22" s="2" t="s">
        <v>51</v>
      </c>
      <c r="E22" s="2" t="s">
        <v>67</v>
      </c>
      <c r="F22" s="2" t="s">
        <v>80</v>
      </c>
      <c r="G22" s="2" t="s">
        <v>23</v>
      </c>
      <c r="H22" s="2" t="s">
        <v>44</v>
      </c>
      <c r="I22" s="2" t="str">
        <f t="shared" si="0"/>
        <v>Feb</v>
      </c>
      <c r="J22" s="2">
        <f t="shared" si="1"/>
        <v>2</v>
      </c>
      <c r="K22" s="2">
        <f t="shared" si="2"/>
        <v>2022</v>
      </c>
      <c r="L22" s="2">
        <f t="shared" si="3"/>
        <v>1</v>
      </c>
      <c r="M22" s="2">
        <v>0</v>
      </c>
      <c r="N22" s="2" t="s">
        <v>144</v>
      </c>
      <c r="O22" s="2" t="s">
        <v>45</v>
      </c>
      <c r="P22" s="3">
        <v>317720</v>
      </c>
      <c r="Q22" s="2"/>
      <c r="R22" s="2"/>
      <c r="S22" s="2" t="s">
        <v>28</v>
      </c>
      <c r="T22" s="2">
        <v>28</v>
      </c>
      <c r="U22" s="2" t="s">
        <v>63</v>
      </c>
      <c r="V22" s="2" t="s">
        <v>64</v>
      </c>
      <c r="W22" s="67" t="str">
        <f t="shared" si="4"/>
        <v>-</v>
      </c>
    </row>
    <row r="23" spans="1:23" x14ac:dyDescent="0.3">
      <c r="A23" s="4" t="s">
        <v>145</v>
      </c>
      <c r="B23" s="4" t="s">
        <v>146</v>
      </c>
      <c r="C23" s="4">
        <v>9371365120</v>
      </c>
      <c r="D23" s="4" t="s">
        <v>59</v>
      </c>
      <c r="E23" s="4" t="s">
        <v>67</v>
      </c>
      <c r="F23" s="4" t="s">
        <v>68</v>
      </c>
      <c r="G23" s="4" t="s">
        <v>52</v>
      </c>
      <c r="H23" s="4" t="s">
        <v>147</v>
      </c>
      <c r="I23" s="2" t="str">
        <f t="shared" si="0"/>
        <v>Feb</v>
      </c>
      <c r="J23" s="2">
        <f t="shared" si="1"/>
        <v>2</v>
      </c>
      <c r="K23" s="2">
        <f t="shared" si="2"/>
        <v>2022</v>
      </c>
      <c r="L23" s="2">
        <f t="shared" si="3"/>
        <v>1</v>
      </c>
      <c r="M23" s="4">
        <v>3</v>
      </c>
      <c r="N23" s="4" t="s">
        <v>148</v>
      </c>
      <c r="O23" s="4" t="s">
        <v>27</v>
      </c>
      <c r="P23" s="5">
        <v>153411</v>
      </c>
      <c r="Q23" s="4"/>
      <c r="R23" s="4"/>
      <c r="S23" s="4" t="s">
        <v>28</v>
      </c>
      <c r="T23" s="4">
        <v>73.7</v>
      </c>
      <c r="U23" s="4" t="s">
        <v>29</v>
      </c>
      <c r="V23" s="4" t="s">
        <v>30</v>
      </c>
      <c r="W23" s="67" t="str">
        <f t="shared" si="4"/>
        <v>-</v>
      </c>
    </row>
    <row r="24" spans="1:23" x14ac:dyDescent="0.3">
      <c r="A24" s="2" t="s">
        <v>149</v>
      </c>
      <c r="B24" s="2" t="s">
        <v>150</v>
      </c>
      <c r="C24" s="2">
        <v>9450236225</v>
      </c>
      <c r="D24" s="2" t="s">
        <v>121</v>
      </c>
      <c r="E24" s="2" t="s">
        <v>41</v>
      </c>
      <c r="F24" s="2" t="s">
        <v>151</v>
      </c>
      <c r="G24" s="2" t="s">
        <v>35</v>
      </c>
      <c r="H24" s="2" t="s">
        <v>143</v>
      </c>
      <c r="I24" s="2" t="str">
        <f t="shared" si="0"/>
        <v>Feb</v>
      </c>
      <c r="J24" s="2">
        <f t="shared" si="1"/>
        <v>2</v>
      </c>
      <c r="K24" s="2">
        <f t="shared" si="2"/>
        <v>2022</v>
      </c>
      <c r="L24" s="2">
        <f t="shared" si="3"/>
        <v>1</v>
      </c>
      <c r="M24" s="2">
        <v>2</v>
      </c>
      <c r="N24" s="2" t="s">
        <v>152</v>
      </c>
      <c r="O24" s="2" t="s">
        <v>27</v>
      </c>
      <c r="P24" s="3">
        <v>102578</v>
      </c>
      <c r="Q24" s="2"/>
      <c r="R24" s="2"/>
      <c r="S24" s="2" t="s">
        <v>5819</v>
      </c>
      <c r="T24" s="2">
        <v>65.7</v>
      </c>
      <c r="U24" s="2" t="s">
        <v>29</v>
      </c>
      <c r="V24" s="2" t="s">
        <v>153</v>
      </c>
      <c r="W24" s="67" t="str">
        <f t="shared" si="4"/>
        <v>-</v>
      </c>
    </row>
    <row r="25" spans="1:23" x14ac:dyDescent="0.3">
      <c r="A25" s="4" t="s">
        <v>154</v>
      </c>
      <c r="B25" s="4" t="s">
        <v>155</v>
      </c>
      <c r="C25" s="4">
        <v>9329460134</v>
      </c>
      <c r="D25" s="4" t="s">
        <v>51</v>
      </c>
      <c r="E25" s="4" t="s">
        <v>33</v>
      </c>
      <c r="F25" s="4" t="s">
        <v>102</v>
      </c>
      <c r="G25" s="4" t="s">
        <v>87</v>
      </c>
      <c r="H25" s="4" t="s">
        <v>143</v>
      </c>
      <c r="I25" s="2" t="str">
        <f t="shared" si="0"/>
        <v>Feb</v>
      </c>
      <c r="J25" s="2">
        <f t="shared" si="1"/>
        <v>2</v>
      </c>
      <c r="K25" s="2">
        <f t="shared" si="2"/>
        <v>2022</v>
      </c>
      <c r="L25" s="2">
        <f t="shared" si="3"/>
        <v>1</v>
      </c>
      <c r="M25" s="4">
        <v>2</v>
      </c>
      <c r="N25" s="4" t="s">
        <v>156</v>
      </c>
      <c r="O25" s="4" t="s">
        <v>27</v>
      </c>
      <c r="P25" s="5">
        <v>267084</v>
      </c>
      <c r="Q25" s="4"/>
      <c r="R25" s="4"/>
      <c r="S25" s="4" t="s">
        <v>28</v>
      </c>
      <c r="T25" s="4">
        <v>76.7</v>
      </c>
      <c r="U25" s="4" t="s">
        <v>29</v>
      </c>
      <c r="V25" s="4" t="s">
        <v>157</v>
      </c>
      <c r="W25" s="67" t="str">
        <f t="shared" si="4"/>
        <v>-</v>
      </c>
    </row>
    <row r="26" spans="1:23" x14ac:dyDescent="0.3">
      <c r="A26" s="2" t="s">
        <v>158</v>
      </c>
      <c r="B26" s="2" t="s">
        <v>159</v>
      </c>
      <c r="C26" s="2">
        <v>9739362057</v>
      </c>
      <c r="D26" s="2" t="s">
        <v>108</v>
      </c>
      <c r="E26" s="2" t="s">
        <v>21</v>
      </c>
      <c r="F26" s="2" t="s">
        <v>160</v>
      </c>
      <c r="G26" s="2" t="s">
        <v>23</v>
      </c>
      <c r="H26" s="2" t="s">
        <v>161</v>
      </c>
      <c r="I26" s="2" t="str">
        <f t="shared" si="0"/>
        <v>Feb</v>
      </c>
      <c r="J26" s="2">
        <f t="shared" si="1"/>
        <v>2</v>
      </c>
      <c r="K26" s="2">
        <f t="shared" si="2"/>
        <v>2022</v>
      </c>
      <c r="L26" s="2">
        <f t="shared" si="3"/>
        <v>1</v>
      </c>
      <c r="M26" s="2">
        <v>3</v>
      </c>
      <c r="N26" s="2" t="s">
        <v>162</v>
      </c>
      <c r="O26" s="2" t="s">
        <v>27</v>
      </c>
      <c r="P26" s="3">
        <v>506886</v>
      </c>
      <c r="Q26" s="2"/>
      <c r="R26" s="2"/>
      <c r="S26" s="2" t="s">
        <v>28</v>
      </c>
      <c r="T26" s="2">
        <v>82.4</v>
      </c>
      <c r="U26" s="2" t="s">
        <v>29</v>
      </c>
      <c r="V26" s="2" t="s">
        <v>163</v>
      </c>
      <c r="W26" s="67" t="str">
        <f t="shared" si="4"/>
        <v>-</v>
      </c>
    </row>
    <row r="27" spans="1:23" x14ac:dyDescent="0.3">
      <c r="A27" s="4" t="s">
        <v>164</v>
      </c>
      <c r="B27" s="4" t="s">
        <v>165</v>
      </c>
      <c r="C27" s="4">
        <v>9307371533</v>
      </c>
      <c r="D27" s="4" t="s">
        <v>20</v>
      </c>
      <c r="E27" s="4" t="s">
        <v>41</v>
      </c>
      <c r="F27" s="4" t="s">
        <v>151</v>
      </c>
      <c r="G27" s="4" t="s">
        <v>35</v>
      </c>
      <c r="H27" s="4" t="s">
        <v>166</v>
      </c>
      <c r="I27" s="2" t="str">
        <f t="shared" si="0"/>
        <v>Feb</v>
      </c>
      <c r="J27" s="2">
        <f t="shared" si="1"/>
        <v>2</v>
      </c>
      <c r="K27" s="2">
        <f t="shared" si="2"/>
        <v>2022</v>
      </c>
      <c r="L27" s="2">
        <f t="shared" si="3"/>
        <v>1</v>
      </c>
      <c r="M27" s="4">
        <v>2</v>
      </c>
      <c r="N27" s="4" t="s">
        <v>122</v>
      </c>
      <c r="O27" s="4" t="s">
        <v>27</v>
      </c>
      <c r="P27" s="5">
        <v>197096</v>
      </c>
      <c r="Q27" s="4"/>
      <c r="R27" s="4"/>
      <c r="S27" s="4" t="s">
        <v>5819</v>
      </c>
      <c r="T27" s="4">
        <v>26</v>
      </c>
      <c r="U27" s="4" t="s">
        <v>29</v>
      </c>
      <c r="V27" s="4"/>
      <c r="W27" s="67" t="str">
        <f t="shared" si="4"/>
        <v>-</v>
      </c>
    </row>
    <row r="28" spans="1:23" x14ac:dyDescent="0.3">
      <c r="A28" s="6" t="s">
        <v>167</v>
      </c>
      <c r="B28" s="6" t="s">
        <v>168</v>
      </c>
      <c r="C28" s="6">
        <v>9719106699</v>
      </c>
      <c r="D28" s="6" t="s">
        <v>108</v>
      </c>
      <c r="E28" s="6" t="s">
        <v>109</v>
      </c>
      <c r="F28" s="6" t="s">
        <v>110</v>
      </c>
      <c r="G28" s="6" t="s">
        <v>52</v>
      </c>
      <c r="H28" s="6" t="s">
        <v>98</v>
      </c>
      <c r="I28" s="2" t="str">
        <f t="shared" si="0"/>
        <v>Feb</v>
      </c>
      <c r="J28" s="2">
        <f t="shared" si="1"/>
        <v>2</v>
      </c>
      <c r="K28" s="2">
        <f t="shared" si="2"/>
        <v>2022</v>
      </c>
      <c r="L28" s="2">
        <f t="shared" si="3"/>
        <v>1</v>
      </c>
      <c r="M28" s="6"/>
      <c r="N28" s="6" t="s">
        <v>156</v>
      </c>
      <c r="O28" s="6" t="s">
        <v>97</v>
      </c>
      <c r="P28" s="7">
        <v>321874</v>
      </c>
      <c r="Q28" s="7">
        <v>303463</v>
      </c>
      <c r="R28" s="6" t="s">
        <v>169</v>
      </c>
      <c r="S28" s="6" t="s">
        <v>5819</v>
      </c>
      <c r="T28" s="6">
        <v>9.4</v>
      </c>
      <c r="U28" s="6" t="s">
        <v>47</v>
      </c>
      <c r="V28" s="6" t="s">
        <v>170</v>
      </c>
      <c r="W28" s="67" t="str">
        <f t="shared" si="4"/>
        <v>Customer</v>
      </c>
    </row>
    <row r="29" spans="1:23" x14ac:dyDescent="0.3">
      <c r="A29" s="4" t="s">
        <v>171</v>
      </c>
      <c r="B29" s="4" t="s">
        <v>172</v>
      </c>
      <c r="C29" s="4">
        <v>9765055833</v>
      </c>
      <c r="D29" s="4" t="s">
        <v>20</v>
      </c>
      <c r="E29" s="4" t="s">
        <v>109</v>
      </c>
      <c r="F29" s="4" t="s">
        <v>110</v>
      </c>
      <c r="G29" s="4" t="s">
        <v>23</v>
      </c>
      <c r="H29" s="4" t="s">
        <v>98</v>
      </c>
      <c r="I29" s="2" t="str">
        <f t="shared" si="0"/>
        <v>Feb</v>
      </c>
      <c r="J29" s="2">
        <f t="shared" si="1"/>
        <v>2</v>
      </c>
      <c r="K29" s="2">
        <f t="shared" si="2"/>
        <v>2022</v>
      </c>
      <c r="L29" s="2">
        <f t="shared" si="3"/>
        <v>1</v>
      </c>
      <c r="M29" s="4">
        <v>4</v>
      </c>
      <c r="N29" s="4" t="s">
        <v>156</v>
      </c>
      <c r="O29" s="4" t="s">
        <v>55</v>
      </c>
      <c r="P29" s="5">
        <v>240339</v>
      </c>
      <c r="Q29" s="4"/>
      <c r="R29" s="4"/>
      <c r="S29" s="4" t="s">
        <v>28</v>
      </c>
      <c r="T29" s="4">
        <v>83.6</v>
      </c>
      <c r="U29" s="4" t="s">
        <v>47</v>
      </c>
      <c r="V29" s="4" t="s">
        <v>174</v>
      </c>
      <c r="W29" s="67" t="str">
        <f t="shared" si="4"/>
        <v>-</v>
      </c>
    </row>
    <row r="30" spans="1:23" x14ac:dyDescent="0.3">
      <c r="A30" s="2" t="s">
        <v>175</v>
      </c>
      <c r="B30" s="2" t="s">
        <v>176</v>
      </c>
      <c r="C30" s="2">
        <v>9456476596</v>
      </c>
      <c r="D30" s="2" t="s">
        <v>20</v>
      </c>
      <c r="E30" s="2" t="s">
        <v>67</v>
      </c>
      <c r="F30" s="2" t="s">
        <v>68</v>
      </c>
      <c r="G30" s="2" t="s">
        <v>35</v>
      </c>
      <c r="H30" s="2" t="s">
        <v>111</v>
      </c>
      <c r="I30" s="2" t="str">
        <f t="shared" si="0"/>
        <v>Mar</v>
      </c>
      <c r="J30" s="2">
        <f t="shared" si="1"/>
        <v>3</v>
      </c>
      <c r="K30" s="2">
        <f t="shared" si="2"/>
        <v>2022</v>
      </c>
      <c r="L30" s="2">
        <f t="shared" si="3"/>
        <v>1</v>
      </c>
      <c r="M30" s="2">
        <v>0</v>
      </c>
      <c r="N30" s="2" t="s">
        <v>112</v>
      </c>
      <c r="O30" s="2" t="s">
        <v>45</v>
      </c>
      <c r="P30" s="3">
        <v>256334</v>
      </c>
      <c r="Q30" s="2"/>
      <c r="R30" s="2"/>
      <c r="S30" s="2" t="s">
        <v>5819</v>
      </c>
      <c r="T30" s="2">
        <v>64.7</v>
      </c>
      <c r="U30" s="2" t="s">
        <v>47</v>
      </c>
      <c r="V30" s="2" t="s">
        <v>137</v>
      </c>
      <c r="W30" s="67" t="str">
        <f t="shared" si="4"/>
        <v>-</v>
      </c>
    </row>
    <row r="31" spans="1:23" x14ac:dyDescent="0.3">
      <c r="A31" s="4" t="s">
        <v>177</v>
      </c>
      <c r="B31" s="4" t="s">
        <v>178</v>
      </c>
      <c r="C31" s="4">
        <v>9894664845</v>
      </c>
      <c r="D31" s="4" t="s">
        <v>20</v>
      </c>
      <c r="E31" s="4" t="s">
        <v>67</v>
      </c>
      <c r="F31" s="4" t="s">
        <v>68</v>
      </c>
      <c r="G31" s="4" t="s">
        <v>23</v>
      </c>
      <c r="H31" s="4" t="s">
        <v>173</v>
      </c>
      <c r="I31" s="2" t="str">
        <f t="shared" si="0"/>
        <v>Mar</v>
      </c>
      <c r="J31" s="2">
        <f t="shared" si="1"/>
        <v>3</v>
      </c>
      <c r="K31" s="2">
        <f t="shared" si="2"/>
        <v>2022</v>
      </c>
      <c r="L31" s="2">
        <f t="shared" si="3"/>
        <v>1</v>
      </c>
      <c r="M31" s="4">
        <v>2</v>
      </c>
      <c r="N31" s="4" t="s">
        <v>179</v>
      </c>
      <c r="O31" s="4" t="s">
        <v>45</v>
      </c>
      <c r="P31" s="5">
        <v>384604</v>
      </c>
      <c r="Q31" s="4"/>
      <c r="R31" s="4"/>
      <c r="S31" s="4" t="s">
        <v>5819</v>
      </c>
      <c r="T31" s="4">
        <v>45.8</v>
      </c>
      <c r="U31" s="4" t="s">
        <v>47</v>
      </c>
      <c r="V31" s="4"/>
      <c r="W31" s="67" t="str">
        <f t="shared" si="4"/>
        <v>-</v>
      </c>
    </row>
    <row r="32" spans="1:23" x14ac:dyDescent="0.3">
      <c r="A32" s="2" t="s">
        <v>180</v>
      </c>
      <c r="B32" s="2" t="s">
        <v>181</v>
      </c>
      <c r="C32" s="2">
        <v>9743576792</v>
      </c>
      <c r="D32" s="2" t="s">
        <v>121</v>
      </c>
      <c r="E32" s="2" t="s">
        <v>41</v>
      </c>
      <c r="F32" s="2" t="s">
        <v>42</v>
      </c>
      <c r="G32" s="2" t="s">
        <v>23</v>
      </c>
      <c r="H32" s="2" t="s">
        <v>144</v>
      </c>
      <c r="I32" s="2" t="str">
        <f t="shared" si="0"/>
        <v>Mar</v>
      </c>
      <c r="J32" s="2">
        <f t="shared" si="1"/>
        <v>3</v>
      </c>
      <c r="K32" s="2">
        <f t="shared" si="2"/>
        <v>2022</v>
      </c>
      <c r="L32" s="2">
        <f t="shared" si="3"/>
        <v>1</v>
      </c>
      <c r="M32" s="2">
        <v>3</v>
      </c>
      <c r="N32" s="2" t="s">
        <v>182</v>
      </c>
      <c r="O32" s="2" t="s">
        <v>62</v>
      </c>
      <c r="P32" s="3">
        <v>346710</v>
      </c>
      <c r="Q32" s="2"/>
      <c r="R32" s="2"/>
      <c r="S32" s="2" t="s">
        <v>5819</v>
      </c>
      <c r="T32" s="2">
        <v>49.4</v>
      </c>
      <c r="U32" s="2" t="s">
        <v>47</v>
      </c>
      <c r="V32" s="2" t="s">
        <v>183</v>
      </c>
      <c r="W32" s="67" t="str">
        <f t="shared" si="4"/>
        <v>-</v>
      </c>
    </row>
    <row r="33" spans="1:23" x14ac:dyDescent="0.3">
      <c r="A33" s="4" t="s">
        <v>184</v>
      </c>
      <c r="B33" s="4" t="s">
        <v>185</v>
      </c>
      <c r="C33" s="4">
        <v>9929517022</v>
      </c>
      <c r="D33" s="4" t="s">
        <v>108</v>
      </c>
      <c r="E33" s="4" t="s">
        <v>33</v>
      </c>
      <c r="F33" s="4" t="s">
        <v>34</v>
      </c>
      <c r="G33" s="4" t="s">
        <v>52</v>
      </c>
      <c r="H33" s="4" t="s">
        <v>144</v>
      </c>
      <c r="I33" s="2" t="str">
        <f t="shared" si="0"/>
        <v>Mar</v>
      </c>
      <c r="J33" s="2">
        <f t="shared" si="1"/>
        <v>3</v>
      </c>
      <c r="K33" s="2">
        <f t="shared" si="2"/>
        <v>2022</v>
      </c>
      <c r="L33" s="2">
        <f t="shared" si="3"/>
        <v>1</v>
      </c>
      <c r="M33" s="4">
        <v>2</v>
      </c>
      <c r="N33" s="4" t="s">
        <v>186</v>
      </c>
      <c r="O33" s="4" t="s">
        <v>45</v>
      </c>
      <c r="P33" s="5">
        <v>376124</v>
      </c>
      <c r="Q33" s="4"/>
      <c r="R33" s="4"/>
      <c r="S33" s="4" t="s">
        <v>5819</v>
      </c>
      <c r="T33" s="4">
        <v>55.5</v>
      </c>
      <c r="U33" s="4" t="s">
        <v>29</v>
      </c>
      <c r="V33" s="4" t="s">
        <v>187</v>
      </c>
      <c r="W33" s="67" t="str">
        <f t="shared" si="4"/>
        <v>-</v>
      </c>
    </row>
    <row r="34" spans="1:23" x14ac:dyDescent="0.3">
      <c r="A34" s="2" t="s">
        <v>188</v>
      </c>
      <c r="B34" s="2" t="s">
        <v>189</v>
      </c>
      <c r="C34" s="2">
        <v>9860229059</v>
      </c>
      <c r="D34" s="2" t="s">
        <v>20</v>
      </c>
      <c r="E34" s="2" t="s">
        <v>67</v>
      </c>
      <c r="F34" s="2" t="s">
        <v>80</v>
      </c>
      <c r="G34" s="2" t="s">
        <v>23</v>
      </c>
      <c r="H34" s="2" t="s">
        <v>112</v>
      </c>
      <c r="I34" s="2" t="str">
        <f t="shared" si="0"/>
        <v>Mar</v>
      </c>
      <c r="J34" s="2">
        <f t="shared" si="1"/>
        <v>3</v>
      </c>
      <c r="K34" s="2">
        <f t="shared" si="2"/>
        <v>2022</v>
      </c>
      <c r="L34" s="2">
        <f t="shared" si="3"/>
        <v>1</v>
      </c>
      <c r="M34" s="2">
        <v>1</v>
      </c>
      <c r="N34" s="2" t="s">
        <v>191</v>
      </c>
      <c r="O34" s="2" t="s">
        <v>27</v>
      </c>
      <c r="P34" s="3">
        <v>513574</v>
      </c>
      <c r="Q34" s="2"/>
      <c r="R34" s="2"/>
      <c r="S34" s="2" t="s">
        <v>5819</v>
      </c>
      <c r="T34" s="2">
        <v>53.2</v>
      </c>
      <c r="U34" s="2" t="s">
        <v>29</v>
      </c>
      <c r="V34" s="2" t="s">
        <v>105</v>
      </c>
      <c r="W34" s="67" t="str">
        <f t="shared" si="4"/>
        <v>-</v>
      </c>
    </row>
    <row r="35" spans="1:23" x14ac:dyDescent="0.3">
      <c r="A35" s="4" t="s">
        <v>192</v>
      </c>
      <c r="B35" s="4" t="s">
        <v>193</v>
      </c>
      <c r="C35" s="4">
        <v>9559967386</v>
      </c>
      <c r="D35" s="4" t="s">
        <v>121</v>
      </c>
      <c r="E35" s="4" t="s">
        <v>33</v>
      </c>
      <c r="F35" s="4" t="s">
        <v>102</v>
      </c>
      <c r="G35" s="4" t="s">
        <v>87</v>
      </c>
      <c r="H35" s="4" t="s">
        <v>112</v>
      </c>
      <c r="I35" s="2" t="str">
        <f t="shared" si="0"/>
        <v>Mar</v>
      </c>
      <c r="J35" s="2">
        <f t="shared" si="1"/>
        <v>3</v>
      </c>
      <c r="K35" s="2">
        <f t="shared" si="2"/>
        <v>2022</v>
      </c>
      <c r="L35" s="2">
        <f t="shared" si="3"/>
        <v>1</v>
      </c>
      <c r="M35" s="4">
        <v>4</v>
      </c>
      <c r="N35" s="4" t="s">
        <v>194</v>
      </c>
      <c r="O35" s="4" t="s">
        <v>62</v>
      </c>
      <c r="P35" s="5">
        <v>178403</v>
      </c>
      <c r="Q35" s="4"/>
      <c r="R35" s="4"/>
      <c r="S35" s="4" t="s">
        <v>5819</v>
      </c>
      <c r="T35" s="4">
        <v>67.599999999999994</v>
      </c>
      <c r="U35" s="4" t="s">
        <v>63</v>
      </c>
      <c r="V35" s="4" t="s">
        <v>195</v>
      </c>
      <c r="W35" s="67" t="str">
        <f t="shared" si="4"/>
        <v>-</v>
      </c>
    </row>
    <row r="36" spans="1:23" x14ac:dyDescent="0.3">
      <c r="A36" s="2" t="s">
        <v>196</v>
      </c>
      <c r="B36" s="2" t="s">
        <v>197</v>
      </c>
      <c r="C36" s="2">
        <v>9256304376</v>
      </c>
      <c r="D36" s="2" t="s">
        <v>59</v>
      </c>
      <c r="E36" s="2" t="s">
        <v>21</v>
      </c>
      <c r="F36" s="2" t="s">
        <v>160</v>
      </c>
      <c r="G36" s="2" t="s">
        <v>23</v>
      </c>
      <c r="H36" s="2" t="s">
        <v>198</v>
      </c>
      <c r="I36" s="2" t="str">
        <f t="shared" si="0"/>
        <v>Mar</v>
      </c>
      <c r="J36" s="2">
        <f t="shared" si="1"/>
        <v>3</v>
      </c>
      <c r="K36" s="2">
        <f t="shared" si="2"/>
        <v>2022</v>
      </c>
      <c r="L36" s="2">
        <f t="shared" si="3"/>
        <v>1</v>
      </c>
      <c r="M36" s="2">
        <v>0</v>
      </c>
      <c r="N36" s="2" t="s">
        <v>191</v>
      </c>
      <c r="O36" s="2" t="s">
        <v>55</v>
      </c>
      <c r="P36" s="3">
        <v>604974</v>
      </c>
      <c r="Q36" s="2"/>
      <c r="R36" s="2"/>
      <c r="S36" s="2" t="s">
        <v>28</v>
      </c>
      <c r="T36" s="2">
        <v>8.6</v>
      </c>
      <c r="U36" s="2" t="s">
        <v>29</v>
      </c>
      <c r="V36" s="2" t="s">
        <v>187</v>
      </c>
      <c r="W36" s="67" t="str">
        <f t="shared" si="4"/>
        <v>-</v>
      </c>
    </row>
    <row r="37" spans="1:23" x14ac:dyDescent="0.3">
      <c r="A37" s="4" t="s">
        <v>199</v>
      </c>
      <c r="B37" s="4" t="s">
        <v>200</v>
      </c>
      <c r="C37" s="4">
        <v>9637377910</v>
      </c>
      <c r="D37" s="4" t="s">
        <v>20</v>
      </c>
      <c r="E37" s="4" t="s">
        <v>33</v>
      </c>
      <c r="F37" s="4" t="s">
        <v>201</v>
      </c>
      <c r="G37" s="4" t="s">
        <v>23</v>
      </c>
      <c r="H37" s="4" t="s">
        <v>190</v>
      </c>
      <c r="I37" s="2" t="str">
        <f t="shared" si="0"/>
        <v>Mar</v>
      </c>
      <c r="J37" s="2">
        <f t="shared" si="1"/>
        <v>3</v>
      </c>
      <c r="K37" s="2">
        <f t="shared" si="2"/>
        <v>2022</v>
      </c>
      <c r="L37" s="2">
        <f t="shared" si="3"/>
        <v>1</v>
      </c>
      <c r="M37" s="4">
        <v>5</v>
      </c>
      <c r="N37" s="4" t="s">
        <v>162</v>
      </c>
      <c r="O37" s="4" t="s">
        <v>27</v>
      </c>
      <c r="P37" s="5">
        <v>263928</v>
      </c>
      <c r="Q37" s="4"/>
      <c r="R37" s="4"/>
      <c r="S37" s="4" t="s">
        <v>5819</v>
      </c>
      <c r="T37" s="4">
        <v>32</v>
      </c>
      <c r="U37" s="4" t="s">
        <v>29</v>
      </c>
      <c r="V37" s="4" t="s">
        <v>202</v>
      </c>
      <c r="W37" s="67" t="str">
        <f t="shared" si="4"/>
        <v>-</v>
      </c>
    </row>
    <row r="38" spans="1:23" x14ac:dyDescent="0.3">
      <c r="A38" s="2" t="s">
        <v>203</v>
      </c>
      <c r="B38" s="2" t="s">
        <v>204</v>
      </c>
      <c r="C38" s="2">
        <v>9294872482</v>
      </c>
      <c r="D38" s="2" t="s">
        <v>20</v>
      </c>
      <c r="E38" s="2" t="s">
        <v>33</v>
      </c>
      <c r="F38" s="2" t="s">
        <v>201</v>
      </c>
      <c r="G38" s="2" t="s">
        <v>23</v>
      </c>
      <c r="H38" s="2" t="s">
        <v>190</v>
      </c>
      <c r="I38" s="2" t="str">
        <f t="shared" si="0"/>
        <v>Mar</v>
      </c>
      <c r="J38" s="2">
        <f t="shared" si="1"/>
        <v>3</v>
      </c>
      <c r="K38" s="2">
        <f t="shared" si="2"/>
        <v>2022</v>
      </c>
      <c r="L38" s="2">
        <f t="shared" si="3"/>
        <v>1</v>
      </c>
      <c r="M38" s="2">
        <v>4</v>
      </c>
      <c r="N38" s="2" t="s">
        <v>205</v>
      </c>
      <c r="O38" s="2" t="s">
        <v>55</v>
      </c>
      <c r="P38" s="3">
        <v>360631</v>
      </c>
      <c r="Q38" s="2"/>
      <c r="R38" s="2"/>
      <c r="S38" s="2" t="s">
        <v>5819</v>
      </c>
      <c r="T38" s="2">
        <v>9.6</v>
      </c>
      <c r="U38" s="2" t="s">
        <v>29</v>
      </c>
      <c r="V38" s="2" t="s">
        <v>206</v>
      </c>
      <c r="W38" s="67" t="str">
        <f t="shared" si="4"/>
        <v>-</v>
      </c>
    </row>
    <row r="39" spans="1:23" x14ac:dyDescent="0.3">
      <c r="A39" s="4" t="s">
        <v>207</v>
      </c>
      <c r="B39" s="4" t="s">
        <v>208</v>
      </c>
      <c r="C39" s="4"/>
      <c r="D39" s="4" t="s">
        <v>59</v>
      </c>
      <c r="E39" s="4" t="s">
        <v>73</v>
      </c>
      <c r="F39" s="4" t="s">
        <v>74</v>
      </c>
      <c r="G39" s="4" t="s">
        <v>23</v>
      </c>
      <c r="H39" s="4" t="s">
        <v>136</v>
      </c>
      <c r="I39" s="2" t="str">
        <f t="shared" si="0"/>
        <v>Mar</v>
      </c>
      <c r="J39" s="2">
        <f t="shared" si="1"/>
        <v>3</v>
      </c>
      <c r="K39" s="2">
        <f t="shared" si="2"/>
        <v>2022</v>
      </c>
      <c r="L39" s="2">
        <f t="shared" si="3"/>
        <v>1</v>
      </c>
      <c r="M39" s="4">
        <v>0</v>
      </c>
      <c r="N39" s="4" t="s">
        <v>162</v>
      </c>
      <c r="O39" s="4" t="s">
        <v>27</v>
      </c>
      <c r="P39" s="5">
        <v>364176</v>
      </c>
      <c r="Q39" s="4"/>
      <c r="R39" s="4"/>
      <c r="S39" s="4" t="s">
        <v>28</v>
      </c>
      <c r="T39" s="4">
        <v>8</v>
      </c>
      <c r="U39" s="4" t="s">
        <v>29</v>
      </c>
      <c r="V39" s="4" t="s">
        <v>140</v>
      </c>
      <c r="W39" s="67" t="str">
        <f t="shared" si="4"/>
        <v>-</v>
      </c>
    </row>
    <row r="40" spans="1:23" x14ac:dyDescent="0.3">
      <c r="A40" s="2" t="s">
        <v>209</v>
      </c>
      <c r="B40" s="2" t="s">
        <v>210</v>
      </c>
      <c r="C40" s="2">
        <v>9915401487</v>
      </c>
      <c r="D40" s="2" t="s">
        <v>20</v>
      </c>
      <c r="E40" s="2" t="s">
        <v>41</v>
      </c>
      <c r="F40" s="2" t="s">
        <v>92</v>
      </c>
      <c r="G40" s="2" t="s">
        <v>23</v>
      </c>
      <c r="H40" s="2" t="s">
        <v>136</v>
      </c>
      <c r="I40" s="2" t="str">
        <f t="shared" si="0"/>
        <v>Mar</v>
      </c>
      <c r="J40" s="2">
        <f t="shared" si="1"/>
        <v>3</v>
      </c>
      <c r="K40" s="2">
        <f t="shared" si="2"/>
        <v>2022</v>
      </c>
      <c r="L40" s="2">
        <f t="shared" si="3"/>
        <v>1</v>
      </c>
      <c r="M40" s="2">
        <v>4</v>
      </c>
      <c r="N40" s="2" t="s">
        <v>211</v>
      </c>
      <c r="O40" s="2" t="s">
        <v>45</v>
      </c>
      <c r="P40" s="3">
        <v>571553</v>
      </c>
      <c r="Q40" s="2"/>
      <c r="R40" s="2"/>
      <c r="S40" s="2" t="s">
        <v>5819</v>
      </c>
      <c r="T40" s="2">
        <v>13.2</v>
      </c>
      <c r="U40" s="2" t="s">
        <v>47</v>
      </c>
      <c r="V40" s="2" t="s">
        <v>212</v>
      </c>
      <c r="W40" s="67" t="str">
        <f t="shared" si="4"/>
        <v>-</v>
      </c>
    </row>
    <row r="41" spans="1:23" x14ac:dyDescent="0.3">
      <c r="A41" s="4" t="s">
        <v>213</v>
      </c>
      <c r="B41" s="4" t="s">
        <v>214</v>
      </c>
      <c r="C41" s="4">
        <v>9771150922</v>
      </c>
      <c r="D41" s="4" t="s">
        <v>20</v>
      </c>
      <c r="E41" s="4" t="s">
        <v>33</v>
      </c>
      <c r="F41" s="4" t="s">
        <v>201</v>
      </c>
      <c r="G41" s="4" t="s">
        <v>23</v>
      </c>
      <c r="H41" s="4" t="s">
        <v>156</v>
      </c>
      <c r="I41" s="2" t="str">
        <f t="shared" si="0"/>
        <v>Mar</v>
      </c>
      <c r="J41" s="2">
        <f t="shared" si="1"/>
        <v>3</v>
      </c>
      <c r="K41" s="2">
        <f t="shared" si="2"/>
        <v>2022</v>
      </c>
      <c r="L41" s="2">
        <f t="shared" si="3"/>
        <v>1</v>
      </c>
      <c r="M41" s="4">
        <v>5</v>
      </c>
      <c r="N41" s="4" t="s">
        <v>205</v>
      </c>
      <c r="O41" s="4" t="s">
        <v>27</v>
      </c>
      <c r="P41" s="5">
        <v>595306</v>
      </c>
      <c r="Q41" s="4"/>
      <c r="R41" s="4"/>
      <c r="S41" s="4" t="s">
        <v>28</v>
      </c>
      <c r="T41" s="4">
        <v>31.4</v>
      </c>
      <c r="U41" s="4" t="s">
        <v>29</v>
      </c>
      <c r="V41" s="4" t="s">
        <v>153</v>
      </c>
      <c r="W41" s="67" t="str">
        <f t="shared" si="4"/>
        <v>-</v>
      </c>
    </row>
    <row r="42" spans="1:23" x14ac:dyDescent="0.3">
      <c r="A42" s="2" t="s">
        <v>215</v>
      </c>
      <c r="B42" s="2" t="s">
        <v>216</v>
      </c>
      <c r="C42" s="2">
        <v>9654724287</v>
      </c>
      <c r="D42" s="2" t="s">
        <v>121</v>
      </c>
      <c r="E42" s="2" t="s">
        <v>109</v>
      </c>
      <c r="F42" s="2" t="s">
        <v>217</v>
      </c>
      <c r="G42" s="2" t="s">
        <v>69</v>
      </c>
      <c r="H42" s="2" t="s">
        <v>186</v>
      </c>
      <c r="I42" s="2" t="str">
        <f t="shared" si="0"/>
        <v>Mar</v>
      </c>
      <c r="J42" s="2">
        <f t="shared" si="1"/>
        <v>3</v>
      </c>
      <c r="K42" s="2">
        <f t="shared" si="2"/>
        <v>2022</v>
      </c>
      <c r="L42" s="2">
        <f t="shared" si="3"/>
        <v>1</v>
      </c>
      <c r="M42" s="2">
        <v>4</v>
      </c>
      <c r="N42" s="2" t="s">
        <v>218</v>
      </c>
      <c r="O42" s="2" t="s">
        <v>27</v>
      </c>
      <c r="P42" s="3">
        <v>316235</v>
      </c>
      <c r="Q42" s="2"/>
      <c r="R42" s="2"/>
      <c r="S42" s="2" t="s">
        <v>28</v>
      </c>
      <c r="T42" s="2">
        <v>77.8</v>
      </c>
      <c r="U42" s="2" t="s">
        <v>29</v>
      </c>
      <c r="V42" s="2" t="s">
        <v>153</v>
      </c>
      <c r="W42" s="67" t="str">
        <f t="shared" si="4"/>
        <v>-</v>
      </c>
    </row>
    <row r="43" spans="1:23" x14ac:dyDescent="0.3">
      <c r="A43" s="4" t="s">
        <v>219</v>
      </c>
      <c r="B43" s="4" t="s">
        <v>220</v>
      </c>
      <c r="C43" s="4">
        <v>9574303740</v>
      </c>
      <c r="D43" s="4" t="s">
        <v>108</v>
      </c>
      <c r="E43" s="4" t="s">
        <v>41</v>
      </c>
      <c r="F43" s="4" t="s">
        <v>42</v>
      </c>
      <c r="G43" s="4" t="s">
        <v>52</v>
      </c>
      <c r="H43" s="4" t="s">
        <v>148</v>
      </c>
      <c r="I43" s="2" t="str">
        <f t="shared" si="0"/>
        <v>Mar</v>
      </c>
      <c r="J43" s="2">
        <f t="shared" si="1"/>
        <v>3</v>
      </c>
      <c r="K43" s="2">
        <f t="shared" si="2"/>
        <v>2022</v>
      </c>
      <c r="L43" s="2">
        <f t="shared" si="3"/>
        <v>1</v>
      </c>
      <c r="M43" s="4">
        <v>3</v>
      </c>
      <c r="N43" s="4" t="s">
        <v>211</v>
      </c>
      <c r="O43" s="4" t="s">
        <v>62</v>
      </c>
      <c r="P43" s="5">
        <v>276803</v>
      </c>
      <c r="Q43" s="4"/>
      <c r="R43" s="4"/>
      <c r="S43" s="4" t="s">
        <v>28</v>
      </c>
      <c r="T43" s="4">
        <v>29</v>
      </c>
      <c r="U43" s="4" t="s">
        <v>63</v>
      </c>
      <c r="V43" s="4" t="s">
        <v>221</v>
      </c>
      <c r="W43" s="67" t="str">
        <f t="shared" si="4"/>
        <v>-</v>
      </c>
    </row>
    <row r="44" spans="1:23" x14ac:dyDescent="0.3">
      <c r="A44" s="2" t="s">
        <v>222</v>
      </c>
      <c r="B44" s="2" t="s">
        <v>223</v>
      </c>
      <c r="C44" s="2">
        <v>9433665422</v>
      </c>
      <c r="D44" s="2" t="s">
        <v>51</v>
      </c>
      <c r="E44" s="2" t="s">
        <v>21</v>
      </c>
      <c r="F44" s="2" t="s">
        <v>22</v>
      </c>
      <c r="G44" s="2" t="s">
        <v>60</v>
      </c>
      <c r="H44" s="2" t="s">
        <v>148</v>
      </c>
      <c r="I44" s="2" t="str">
        <f t="shared" si="0"/>
        <v>Mar</v>
      </c>
      <c r="J44" s="2">
        <f t="shared" si="1"/>
        <v>3</v>
      </c>
      <c r="K44" s="2">
        <f t="shared" si="2"/>
        <v>2022</v>
      </c>
      <c r="L44" s="2">
        <f t="shared" si="3"/>
        <v>1</v>
      </c>
      <c r="M44" s="2">
        <v>0</v>
      </c>
      <c r="N44" s="2" t="s">
        <v>224</v>
      </c>
      <c r="O44" s="2" t="s">
        <v>27</v>
      </c>
      <c r="P44" s="3">
        <v>145728</v>
      </c>
      <c r="Q44" s="2"/>
      <c r="R44" s="2"/>
      <c r="S44" s="2" t="s">
        <v>28</v>
      </c>
      <c r="T44" s="2">
        <v>31.9</v>
      </c>
      <c r="U44" s="2" t="s">
        <v>47</v>
      </c>
      <c r="V44" s="2" t="s">
        <v>105</v>
      </c>
      <c r="W44" s="67" t="str">
        <f t="shared" si="4"/>
        <v>-</v>
      </c>
    </row>
    <row r="45" spans="1:23" x14ac:dyDescent="0.3">
      <c r="A45" s="4" t="s">
        <v>225</v>
      </c>
      <c r="B45" s="4" t="s">
        <v>226</v>
      </c>
      <c r="C45" s="4">
        <v>9900942073</v>
      </c>
      <c r="D45" s="4" t="s">
        <v>59</v>
      </c>
      <c r="E45" s="4" t="s">
        <v>41</v>
      </c>
      <c r="F45" s="4" t="s">
        <v>42</v>
      </c>
      <c r="G45" s="4" t="s">
        <v>60</v>
      </c>
      <c r="H45" s="4" t="s">
        <v>148</v>
      </c>
      <c r="I45" s="2" t="str">
        <f t="shared" si="0"/>
        <v>Mar</v>
      </c>
      <c r="J45" s="2">
        <f t="shared" si="1"/>
        <v>3</v>
      </c>
      <c r="K45" s="2">
        <f t="shared" si="2"/>
        <v>2022</v>
      </c>
      <c r="L45" s="2">
        <f t="shared" si="3"/>
        <v>1</v>
      </c>
      <c r="M45" s="4">
        <v>3</v>
      </c>
      <c r="N45" s="4" t="s">
        <v>227</v>
      </c>
      <c r="O45" s="4" t="s">
        <v>62</v>
      </c>
      <c r="P45" s="5">
        <v>171239</v>
      </c>
      <c r="Q45" s="4"/>
      <c r="R45" s="4"/>
      <c r="S45" s="4" t="s">
        <v>28</v>
      </c>
      <c r="T45" s="4">
        <v>33.6</v>
      </c>
      <c r="U45" s="4" t="s">
        <v>47</v>
      </c>
      <c r="V45" s="4" t="s">
        <v>137</v>
      </c>
      <c r="W45" s="67" t="str">
        <f t="shared" si="4"/>
        <v>-</v>
      </c>
    </row>
    <row r="46" spans="1:23" x14ac:dyDescent="0.3">
      <c r="A46" s="2" t="s">
        <v>228</v>
      </c>
      <c r="B46" s="2" t="s">
        <v>229</v>
      </c>
      <c r="C46" s="2">
        <v>9628008852</v>
      </c>
      <c r="D46" s="2" t="s">
        <v>20</v>
      </c>
      <c r="E46" s="2" t="s">
        <v>21</v>
      </c>
      <c r="F46" s="2" t="s">
        <v>230</v>
      </c>
      <c r="G46" s="2" t="s">
        <v>60</v>
      </c>
      <c r="H46" s="2" t="s">
        <v>162</v>
      </c>
      <c r="I46" s="2" t="str">
        <f t="shared" si="0"/>
        <v>Mar</v>
      </c>
      <c r="J46" s="2">
        <f t="shared" si="1"/>
        <v>3</v>
      </c>
      <c r="K46" s="2">
        <f t="shared" si="2"/>
        <v>2022</v>
      </c>
      <c r="L46" s="2">
        <f t="shared" si="3"/>
        <v>1</v>
      </c>
      <c r="M46" s="2">
        <v>3</v>
      </c>
      <c r="N46" s="2" t="s">
        <v>231</v>
      </c>
      <c r="O46" s="2" t="s">
        <v>62</v>
      </c>
      <c r="P46" s="3">
        <v>196985</v>
      </c>
      <c r="Q46" s="2"/>
      <c r="R46" s="2"/>
      <c r="S46" s="2" t="s">
        <v>28</v>
      </c>
      <c r="T46" s="2">
        <v>22.6</v>
      </c>
      <c r="U46" s="2" t="s">
        <v>47</v>
      </c>
      <c r="V46" s="2"/>
      <c r="W46" s="67" t="str">
        <f t="shared" si="4"/>
        <v>-</v>
      </c>
    </row>
    <row r="47" spans="1:23" x14ac:dyDescent="0.3">
      <c r="A47" s="4" t="s">
        <v>232</v>
      </c>
      <c r="B47" s="4" t="s">
        <v>233</v>
      </c>
      <c r="C47" s="4">
        <v>9736164778</v>
      </c>
      <c r="D47" s="4" t="s">
        <v>20</v>
      </c>
      <c r="E47" s="4" t="s">
        <v>73</v>
      </c>
      <c r="F47" s="4" t="s">
        <v>126</v>
      </c>
      <c r="G47" s="4" t="s">
        <v>23</v>
      </c>
      <c r="H47" s="4" t="s">
        <v>162</v>
      </c>
      <c r="I47" s="2" t="str">
        <f t="shared" si="0"/>
        <v>Mar</v>
      </c>
      <c r="J47" s="2">
        <f t="shared" si="1"/>
        <v>3</v>
      </c>
      <c r="K47" s="2">
        <f t="shared" si="2"/>
        <v>2022</v>
      </c>
      <c r="L47" s="2">
        <f t="shared" si="3"/>
        <v>1</v>
      </c>
      <c r="M47" s="4">
        <v>4</v>
      </c>
      <c r="N47" s="4" t="s">
        <v>234</v>
      </c>
      <c r="O47" s="4" t="s">
        <v>55</v>
      </c>
      <c r="P47" s="5">
        <v>342538</v>
      </c>
      <c r="Q47" s="4"/>
      <c r="R47" s="4"/>
      <c r="S47" s="4" t="s">
        <v>28</v>
      </c>
      <c r="T47" s="4">
        <v>53</v>
      </c>
      <c r="U47" s="4" t="s">
        <v>47</v>
      </c>
      <c r="V47" s="4" t="s">
        <v>89</v>
      </c>
      <c r="W47" s="67" t="str">
        <f t="shared" si="4"/>
        <v>-</v>
      </c>
    </row>
    <row r="48" spans="1:23" x14ac:dyDescent="0.3">
      <c r="A48" s="2" t="s">
        <v>235</v>
      </c>
      <c r="B48" s="2" t="s">
        <v>236</v>
      </c>
      <c r="C48" s="2">
        <v>9588922557</v>
      </c>
      <c r="D48" s="2" t="s">
        <v>51</v>
      </c>
      <c r="E48" s="2" t="s">
        <v>73</v>
      </c>
      <c r="F48" s="2" t="s">
        <v>74</v>
      </c>
      <c r="G48" s="2" t="s">
        <v>52</v>
      </c>
      <c r="H48" s="2" t="s">
        <v>182</v>
      </c>
      <c r="I48" s="2" t="str">
        <f t="shared" si="0"/>
        <v>Mar</v>
      </c>
      <c r="J48" s="2">
        <f t="shared" si="1"/>
        <v>3</v>
      </c>
      <c r="K48" s="2">
        <f t="shared" si="2"/>
        <v>2022</v>
      </c>
      <c r="L48" s="2">
        <f t="shared" si="3"/>
        <v>1</v>
      </c>
      <c r="M48" s="2">
        <v>3</v>
      </c>
      <c r="N48" s="2" t="s">
        <v>237</v>
      </c>
      <c r="O48" s="2" t="s">
        <v>27</v>
      </c>
      <c r="P48" s="3">
        <v>410992</v>
      </c>
      <c r="Q48" s="2"/>
      <c r="R48" s="2"/>
      <c r="S48" s="2" t="s">
        <v>5819</v>
      </c>
      <c r="T48" s="2">
        <v>83.9</v>
      </c>
      <c r="U48" s="2" t="s">
        <v>29</v>
      </c>
      <c r="V48" s="2" t="s">
        <v>238</v>
      </c>
      <c r="W48" s="67" t="str">
        <f t="shared" si="4"/>
        <v>-</v>
      </c>
    </row>
    <row r="49" spans="1:23" x14ac:dyDescent="0.3">
      <c r="A49" s="6" t="s">
        <v>239</v>
      </c>
      <c r="B49" s="6" t="s">
        <v>240</v>
      </c>
      <c r="C49" s="6">
        <v>9874233009</v>
      </c>
      <c r="D49" s="6" t="s">
        <v>20</v>
      </c>
      <c r="E49" s="6" t="s">
        <v>33</v>
      </c>
      <c r="F49" s="6" t="s">
        <v>34</v>
      </c>
      <c r="G49" s="6" t="s">
        <v>23</v>
      </c>
      <c r="H49" s="6" t="s">
        <v>224</v>
      </c>
      <c r="I49" s="2" t="str">
        <f t="shared" si="0"/>
        <v>Apr</v>
      </c>
      <c r="J49" s="2">
        <f t="shared" si="1"/>
        <v>4</v>
      </c>
      <c r="K49" s="2">
        <f t="shared" si="2"/>
        <v>2022</v>
      </c>
      <c r="L49" s="2">
        <f t="shared" si="3"/>
        <v>2</v>
      </c>
      <c r="M49" s="6">
        <v>5</v>
      </c>
      <c r="N49" s="6" t="s">
        <v>241</v>
      </c>
      <c r="O49" s="6" t="s">
        <v>97</v>
      </c>
      <c r="P49" s="7">
        <v>634832</v>
      </c>
      <c r="Q49" s="7">
        <v>572280</v>
      </c>
      <c r="R49" s="6" t="s">
        <v>242</v>
      </c>
      <c r="S49" s="6" t="s">
        <v>28</v>
      </c>
      <c r="T49" s="6">
        <v>92.1</v>
      </c>
      <c r="U49" s="6" t="s">
        <v>63</v>
      </c>
      <c r="V49" s="6" t="s">
        <v>243</v>
      </c>
      <c r="W49" s="67" t="str">
        <f t="shared" si="4"/>
        <v>Customer</v>
      </c>
    </row>
    <row r="50" spans="1:23" x14ac:dyDescent="0.3">
      <c r="A50" s="2" t="s">
        <v>244</v>
      </c>
      <c r="B50" s="2" t="s">
        <v>245</v>
      </c>
      <c r="C50" s="2">
        <v>9255357534</v>
      </c>
      <c r="D50" s="2" t="s">
        <v>59</v>
      </c>
      <c r="E50" s="2" t="s">
        <v>109</v>
      </c>
      <c r="F50" s="2" t="s">
        <v>110</v>
      </c>
      <c r="G50" s="2" t="s">
        <v>52</v>
      </c>
      <c r="H50" s="2" t="s">
        <v>211</v>
      </c>
      <c r="I50" s="2" t="str">
        <f t="shared" si="0"/>
        <v>Apr</v>
      </c>
      <c r="J50" s="2">
        <f t="shared" si="1"/>
        <v>4</v>
      </c>
      <c r="K50" s="2">
        <f t="shared" si="2"/>
        <v>2022</v>
      </c>
      <c r="L50" s="2">
        <f t="shared" si="3"/>
        <v>2</v>
      </c>
      <c r="M50" s="2">
        <v>4</v>
      </c>
      <c r="N50" s="2" t="s">
        <v>246</v>
      </c>
      <c r="O50" s="2" t="s">
        <v>62</v>
      </c>
      <c r="P50" s="3">
        <v>397932</v>
      </c>
      <c r="Q50" s="2"/>
      <c r="R50" s="2"/>
      <c r="S50" s="2" t="s">
        <v>5819</v>
      </c>
      <c r="T50" s="2"/>
      <c r="U50" s="2" t="s">
        <v>29</v>
      </c>
      <c r="V50" s="2" t="s">
        <v>247</v>
      </c>
      <c r="W50" s="67" t="str">
        <f t="shared" si="4"/>
        <v>-</v>
      </c>
    </row>
    <row r="51" spans="1:23" x14ac:dyDescent="0.3">
      <c r="A51" s="4" t="s">
        <v>248</v>
      </c>
      <c r="B51" s="4" t="s">
        <v>249</v>
      </c>
      <c r="C51" s="4">
        <v>9497341481</v>
      </c>
      <c r="D51" s="4" t="s">
        <v>20</v>
      </c>
      <c r="E51" s="4" t="s">
        <v>67</v>
      </c>
      <c r="F51" s="4" t="s">
        <v>80</v>
      </c>
      <c r="G51" s="4" t="s">
        <v>23</v>
      </c>
      <c r="H51" s="4" t="s">
        <v>250</v>
      </c>
      <c r="I51" s="2" t="str">
        <f t="shared" si="0"/>
        <v>Apr</v>
      </c>
      <c r="J51" s="2">
        <f t="shared" si="1"/>
        <v>4</v>
      </c>
      <c r="K51" s="2">
        <f t="shared" si="2"/>
        <v>2022</v>
      </c>
      <c r="L51" s="2">
        <f t="shared" si="3"/>
        <v>2</v>
      </c>
      <c r="M51" s="4">
        <v>3</v>
      </c>
      <c r="N51" s="4" t="s">
        <v>251</v>
      </c>
      <c r="O51" s="4" t="s">
        <v>62</v>
      </c>
      <c r="P51" s="5">
        <v>506105</v>
      </c>
      <c r="Q51" s="4"/>
      <c r="R51" s="4"/>
      <c r="S51" s="4" t="s">
        <v>28</v>
      </c>
      <c r="T51" s="4">
        <v>8.8000000000000007</v>
      </c>
      <c r="U51" s="4" t="s">
        <v>47</v>
      </c>
      <c r="V51" s="4" t="s">
        <v>89</v>
      </c>
      <c r="W51" s="67" t="str">
        <f t="shared" si="4"/>
        <v>-</v>
      </c>
    </row>
    <row r="52" spans="1:23" x14ac:dyDescent="0.3">
      <c r="A52" s="2" t="s">
        <v>252</v>
      </c>
      <c r="B52" s="2" t="s">
        <v>253</v>
      </c>
      <c r="C52" s="2">
        <v>9545478870</v>
      </c>
      <c r="D52" s="2" t="s">
        <v>59</v>
      </c>
      <c r="E52" s="2" t="s">
        <v>33</v>
      </c>
      <c r="F52" s="2" t="s">
        <v>201</v>
      </c>
      <c r="G52" s="2" t="s">
        <v>23</v>
      </c>
      <c r="H52" s="2" t="s">
        <v>254</v>
      </c>
      <c r="I52" s="2" t="str">
        <f t="shared" si="0"/>
        <v>Apr</v>
      </c>
      <c r="J52" s="2">
        <f t="shared" si="1"/>
        <v>4</v>
      </c>
      <c r="K52" s="2">
        <f t="shared" si="2"/>
        <v>2022</v>
      </c>
      <c r="L52" s="2">
        <f t="shared" si="3"/>
        <v>2</v>
      </c>
      <c r="M52" s="2">
        <v>4</v>
      </c>
      <c r="N52" s="2" t="s">
        <v>255</v>
      </c>
      <c r="O52" s="2" t="s">
        <v>62</v>
      </c>
      <c r="P52" s="3">
        <v>554263</v>
      </c>
      <c r="Q52" s="2"/>
      <c r="R52" s="2"/>
      <c r="S52" s="2" t="s">
        <v>28</v>
      </c>
      <c r="T52" s="2">
        <v>72.900000000000006</v>
      </c>
      <c r="U52" s="2" t="s">
        <v>47</v>
      </c>
      <c r="V52" s="2" t="s">
        <v>256</v>
      </c>
      <c r="W52" s="67" t="str">
        <f t="shared" si="4"/>
        <v>-</v>
      </c>
    </row>
    <row r="53" spans="1:23" x14ac:dyDescent="0.3">
      <c r="A53" s="4" t="s">
        <v>257</v>
      </c>
      <c r="B53" s="4" t="s">
        <v>258</v>
      </c>
      <c r="C53" s="4">
        <v>9449165212</v>
      </c>
      <c r="D53" s="4" t="s">
        <v>59</v>
      </c>
      <c r="E53" s="4" t="s">
        <v>73</v>
      </c>
      <c r="F53" s="4" t="s">
        <v>74</v>
      </c>
      <c r="G53" s="4" t="s">
        <v>60</v>
      </c>
      <c r="H53" s="4" t="s">
        <v>254</v>
      </c>
      <c r="I53" s="2" t="str">
        <f t="shared" si="0"/>
        <v>Apr</v>
      </c>
      <c r="J53" s="2">
        <f t="shared" si="1"/>
        <v>4</v>
      </c>
      <c r="K53" s="2">
        <f t="shared" si="2"/>
        <v>2022</v>
      </c>
      <c r="L53" s="2">
        <f t="shared" si="3"/>
        <v>2</v>
      </c>
      <c r="M53" s="4">
        <v>4</v>
      </c>
      <c r="N53" s="4" t="s">
        <v>259</v>
      </c>
      <c r="O53" s="4" t="s">
        <v>45</v>
      </c>
      <c r="P53" s="5">
        <v>128111</v>
      </c>
      <c r="Q53" s="4"/>
      <c r="R53" s="4"/>
      <c r="S53" s="4" t="s">
        <v>5819</v>
      </c>
      <c r="T53" s="4">
        <v>19.399999999999999</v>
      </c>
      <c r="U53" s="4" t="s">
        <v>63</v>
      </c>
      <c r="V53" s="4" t="s">
        <v>260</v>
      </c>
      <c r="W53" s="67" t="str">
        <f t="shared" si="4"/>
        <v>-</v>
      </c>
    </row>
    <row r="54" spans="1:23" x14ac:dyDescent="0.3">
      <c r="A54" s="2" t="s">
        <v>261</v>
      </c>
      <c r="B54" s="2" t="s">
        <v>262</v>
      </c>
      <c r="C54" s="2">
        <v>9526717340</v>
      </c>
      <c r="D54" s="2" t="s">
        <v>20</v>
      </c>
      <c r="E54" s="2" t="s">
        <v>73</v>
      </c>
      <c r="F54" s="2" t="s">
        <v>74</v>
      </c>
      <c r="G54" s="2" t="s">
        <v>52</v>
      </c>
      <c r="H54" s="2" t="s">
        <v>227</v>
      </c>
      <c r="I54" s="2" t="str">
        <f t="shared" si="0"/>
        <v>Apr</v>
      </c>
      <c r="J54" s="2">
        <f t="shared" si="1"/>
        <v>4</v>
      </c>
      <c r="K54" s="2">
        <f t="shared" si="2"/>
        <v>2022</v>
      </c>
      <c r="L54" s="2">
        <f t="shared" si="3"/>
        <v>2</v>
      </c>
      <c r="M54" s="2">
        <v>1</v>
      </c>
      <c r="N54" s="2" t="s">
        <v>263</v>
      </c>
      <c r="O54" s="2" t="s">
        <v>27</v>
      </c>
      <c r="P54" s="3">
        <v>299469</v>
      </c>
      <c r="Q54" s="2"/>
      <c r="R54" s="2"/>
      <c r="S54" s="2" t="s">
        <v>28</v>
      </c>
      <c r="T54" s="2">
        <v>78.400000000000006</v>
      </c>
      <c r="U54" s="2" t="s">
        <v>29</v>
      </c>
      <c r="V54" s="2" t="s">
        <v>105</v>
      </c>
      <c r="W54" s="67" t="str">
        <f t="shared" si="4"/>
        <v>-</v>
      </c>
    </row>
    <row r="55" spans="1:23" x14ac:dyDescent="0.3">
      <c r="A55" s="4" t="s">
        <v>264</v>
      </c>
      <c r="B55" s="4" t="s">
        <v>265</v>
      </c>
      <c r="C55" s="4">
        <v>9416872439</v>
      </c>
      <c r="D55" s="4" t="s">
        <v>20</v>
      </c>
      <c r="E55" s="4" t="s">
        <v>21</v>
      </c>
      <c r="F55" s="4" t="s">
        <v>22</v>
      </c>
      <c r="G55" s="4" t="s">
        <v>69</v>
      </c>
      <c r="H55" s="4" t="s">
        <v>266</v>
      </c>
      <c r="I55" s="2" t="str">
        <f t="shared" si="0"/>
        <v>Apr</v>
      </c>
      <c r="J55" s="2">
        <f t="shared" si="1"/>
        <v>4</v>
      </c>
      <c r="K55" s="2">
        <f t="shared" si="2"/>
        <v>2022</v>
      </c>
      <c r="L55" s="2">
        <f t="shared" si="3"/>
        <v>2</v>
      </c>
      <c r="M55" s="4">
        <v>4</v>
      </c>
      <c r="N55" s="4" t="s">
        <v>268</v>
      </c>
      <c r="O55" s="4" t="s">
        <v>45</v>
      </c>
      <c r="P55" s="5">
        <v>259667</v>
      </c>
      <c r="Q55" s="4"/>
      <c r="R55" s="4"/>
      <c r="S55" s="4" t="s">
        <v>28</v>
      </c>
      <c r="T55" s="4">
        <v>9.5</v>
      </c>
      <c r="U55" s="4" t="s">
        <v>47</v>
      </c>
      <c r="V55" s="4" t="s">
        <v>256</v>
      </c>
      <c r="W55" s="67" t="str">
        <f t="shared" si="4"/>
        <v>-</v>
      </c>
    </row>
    <row r="56" spans="1:23" x14ac:dyDescent="0.3">
      <c r="A56" s="2" t="s">
        <v>269</v>
      </c>
      <c r="B56" s="2" t="s">
        <v>270</v>
      </c>
      <c r="C56" s="2">
        <v>9990626742</v>
      </c>
      <c r="D56" s="2" t="s">
        <v>59</v>
      </c>
      <c r="E56" s="2" t="s">
        <v>73</v>
      </c>
      <c r="F56" s="2" t="s">
        <v>74</v>
      </c>
      <c r="G56" s="2" t="s">
        <v>52</v>
      </c>
      <c r="H56" s="2" t="s">
        <v>266</v>
      </c>
      <c r="I56" s="2" t="str">
        <f t="shared" si="0"/>
        <v>Apr</v>
      </c>
      <c r="J56" s="2">
        <f t="shared" si="1"/>
        <v>4</v>
      </c>
      <c r="K56" s="2">
        <f t="shared" si="2"/>
        <v>2022</v>
      </c>
      <c r="L56" s="2">
        <f t="shared" si="3"/>
        <v>2</v>
      </c>
      <c r="M56" s="2">
        <v>4</v>
      </c>
      <c r="N56" s="2" t="s">
        <v>271</v>
      </c>
      <c r="O56" s="2" t="s">
        <v>27</v>
      </c>
      <c r="P56" s="3">
        <v>293743</v>
      </c>
      <c r="Q56" s="2"/>
      <c r="R56" s="2"/>
      <c r="S56" s="2" t="s">
        <v>28</v>
      </c>
      <c r="T56" s="2">
        <v>26.4</v>
      </c>
      <c r="U56" s="2" t="s">
        <v>29</v>
      </c>
      <c r="V56" s="2"/>
      <c r="W56" s="67" t="str">
        <f t="shared" si="4"/>
        <v>-</v>
      </c>
    </row>
    <row r="57" spans="1:23" x14ac:dyDescent="0.3">
      <c r="A57" s="4" t="s">
        <v>272</v>
      </c>
      <c r="B57" s="4" t="s">
        <v>273</v>
      </c>
      <c r="C57" s="4">
        <v>9435596237</v>
      </c>
      <c r="D57" s="4" t="s">
        <v>59</v>
      </c>
      <c r="E57" s="4" t="s">
        <v>33</v>
      </c>
      <c r="F57" s="4" t="s">
        <v>102</v>
      </c>
      <c r="G57" s="4" t="s">
        <v>69</v>
      </c>
      <c r="H57" s="4" t="s">
        <v>274</v>
      </c>
      <c r="I57" s="2" t="str">
        <f t="shared" si="0"/>
        <v>Apr</v>
      </c>
      <c r="J57" s="2">
        <f t="shared" si="1"/>
        <v>4</v>
      </c>
      <c r="K57" s="2">
        <f t="shared" si="2"/>
        <v>2022</v>
      </c>
      <c r="L57" s="2">
        <f t="shared" si="3"/>
        <v>2</v>
      </c>
      <c r="M57" s="4">
        <v>3</v>
      </c>
      <c r="N57" s="4" t="s">
        <v>268</v>
      </c>
      <c r="O57" s="4" t="s">
        <v>62</v>
      </c>
      <c r="P57" s="5">
        <v>168088</v>
      </c>
      <c r="Q57" s="4"/>
      <c r="R57" s="4"/>
      <c r="S57" s="4" t="s">
        <v>5819</v>
      </c>
      <c r="T57" s="4">
        <v>85.9</v>
      </c>
      <c r="U57" s="4" t="s">
        <v>47</v>
      </c>
      <c r="V57" s="4" t="s">
        <v>276</v>
      </c>
      <c r="W57" s="67" t="str">
        <f t="shared" si="4"/>
        <v>-</v>
      </c>
    </row>
    <row r="58" spans="1:23" x14ac:dyDescent="0.3">
      <c r="A58" s="2" t="s">
        <v>277</v>
      </c>
      <c r="B58" s="2" t="s">
        <v>278</v>
      </c>
      <c r="C58" s="2">
        <v>9984968439</v>
      </c>
      <c r="D58" s="2" t="s">
        <v>59</v>
      </c>
      <c r="E58" s="2" t="s">
        <v>67</v>
      </c>
      <c r="F58" s="2" t="s">
        <v>68</v>
      </c>
      <c r="G58" s="2" t="s">
        <v>52</v>
      </c>
      <c r="H58" s="2" t="s">
        <v>274</v>
      </c>
      <c r="I58" s="2" t="str">
        <f t="shared" si="0"/>
        <v>Apr</v>
      </c>
      <c r="J58" s="2">
        <f t="shared" si="1"/>
        <v>4</v>
      </c>
      <c r="K58" s="2">
        <f t="shared" si="2"/>
        <v>2022</v>
      </c>
      <c r="L58" s="2">
        <f t="shared" si="3"/>
        <v>2</v>
      </c>
      <c r="M58" s="2">
        <v>3</v>
      </c>
      <c r="N58" s="2" t="s">
        <v>279</v>
      </c>
      <c r="O58" s="2" t="s">
        <v>27</v>
      </c>
      <c r="P58" s="3">
        <v>303967</v>
      </c>
      <c r="Q58" s="2"/>
      <c r="R58" s="2"/>
      <c r="S58" s="2" t="s">
        <v>28</v>
      </c>
      <c r="T58" s="2">
        <v>55</v>
      </c>
      <c r="U58" s="2" t="s">
        <v>29</v>
      </c>
      <c r="V58" s="2" t="s">
        <v>105</v>
      </c>
      <c r="W58" s="67" t="str">
        <f t="shared" si="4"/>
        <v>-</v>
      </c>
    </row>
    <row r="59" spans="1:23" x14ac:dyDescent="0.3">
      <c r="A59" s="4" t="s">
        <v>280</v>
      </c>
      <c r="B59" s="4" t="s">
        <v>281</v>
      </c>
      <c r="C59" s="4">
        <v>9984607950</v>
      </c>
      <c r="D59" s="4" t="s">
        <v>59</v>
      </c>
      <c r="E59" s="4" t="s">
        <v>41</v>
      </c>
      <c r="F59" s="4" t="s">
        <v>42</v>
      </c>
      <c r="G59" s="4" t="s">
        <v>52</v>
      </c>
      <c r="H59" s="4" t="s">
        <v>267</v>
      </c>
      <c r="I59" s="2" t="str">
        <f t="shared" si="0"/>
        <v>Apr</v>
      </c>
      <c r="J59" s="2">
        <f t="shared" si="1"/>
        <v>4</v>
      </c>
      <c r="K59" s="2">
        <f t="shared" si="2"/>
        <v>2022</v>
      </c>
      <c r="L59" s="2">
        <f t="shared" si="3"/>
        <v>2</v>
      </c>
      <c r="M59" s="4">
        <v>4</v>
      </c>
      <c r="N59" s="4" t="s">
        <v>268</v>
      </c>
      <c r="O59" s="4" t="s">
        <v>62</v>
      </c>
      <c r="P59" s="5">
        <v>158880</v>
      </c>
      <c r="Q59" s="4"/>
      <c r="R59" s="4"/>
      <c r="S59" s="4" t="s">
        <v>5819</v>
      </c>
      <c r="T59" s="4">
        <v>61.8</v>
      </c>
      <c r="U59" s="4" t="s">
        <v>47</v>
      </c>
      <c r="V59" s="4"/>
      <c r="W59" s="67" t="str">
        <f t="shared" si="4"/>
        <v>-</v>
      </c>
    </row>
    <row r="60" spans="1:23" x14ac:dyDescent="0.3">
      <c r="A60" s="6" t="s">
        <v>282</v>
      </c>
      <c r="B60" s="6" t="s">
        <v>283</v>
      </c>
      <c r="C60" s="6">
        <v>9760465943</v>
      </c>
      <c r="D60" s="6" t="s">
        <v>108</v>
      </c>
      <c r="E60" s="6" t="s">
        <v>67</v>
      </c>
      <c r="F60" s="6" t="s">
        <v>68</v>
      </c>
      <c r="G60" s="6" t="s">
        <v>87</v>
      </c>
      <c r="H60" s="6" t="s">
        <v>275</v>
      </c>
      <c r="I60" s="2" t="str">
        <f t="shared" si="0"/>
        <v>Apr</v>
      </c>
      <c r="J60" s="2">
        <f t="shared" si="1"/>
        <v>4</v>
      </c>
      <c r="K60" s="2">
        <f t="shared" si="2"/>
        <v>2022</v>
      </c>
      <c r="L60" s="2">
        <f t="shared" si="3"/>
        <v>2</v>
      </c>
      <c r="M60" s="6">
        <v>3</v>
      </c>
      <c r="N60" s="6" t="s">
        <v>284</v>
      </c>
      <c r="O60" s="6" t="s">
        <v>97</v>
      </c>
      <c r="P60" s="7">
        <v>104468</v>
      </c>
      <c r="Q60" s="7">
        <v>101564</v>
      </c>
      <c r="R60" s="6" t="s">
        <v>285</v>
      </c>
      <c r="S60" s="6" t="s">
        <v>28</v>
      </c>
      <c r="T60" s="6">
        <v>16.2</v>
      </c>
      <c r="U60" s="6" t="s">
        <v>63</v>
      </c>
      <c r="V60" s="6" t="s">
        <v>286</v>
      </c>
      <c r="W60" s="67" t="str">
        <f t="shared" si="4"/>
        <v>Customer</v>
      </c>
    </row>
    <row r="61" spans="1:23" x14ac:dyDescent="0.3">
      <c r="A61" s="4" t="s">
        <v>287</v>
      </c>
      <c r="B61" s="4" t="s">
        <v>288</v>
      </c>
      <c r="C61" s="4">
        <v>9828519068</v>
      </c>
      <c r="D61" s="4" t="s">
        <v>20</v>
      </c>
      <c r="E61" s="4" t="s">
        <v>41</v>
      </c>
      <c r="F61" s="4" t="s">
        <v>86</v>
      </c>
      <c r="G61" s="4" t="s">
        <v>23</v>
      </c>
      <c r="H61" s="4" t="s">
        <v>234</v>
      </c>
      <c r="I61" s="2" t="str">
        <f t="shared" si="0"/>
        <v>May</v>
      </c>
      <c r="J61" s="2">
        <f t="shared" si="1"/>
        <v>5</v>
      </c>
      <c r="K61" s="2">
        <f t="shared" si="2"/>
        <v>2022</v>
      </c>
      <c r="L61" s="2">
        <f t="shared" si="3"/>
        <v>2</v>
      </c>
      <c r="M61" s="4">
        <v>2</v>
      </c>
      <c r="N61" s="4" t="s">
        <v>271</v>
      </c>
      <c r="O61" s="4" t="s">
        <v>27</v>
      </c>
      <c r="P61" s="5">
        <v>481119</v>
      </c>
      <c r="Q61" s="4"/>
      <c r="R61" s="4"/>
      <c r="S61" s="4" t="s">
        <v>5819</v>
      </c>
      <c r="T61" s="4">
        <v>25.4</v>
      </c>
      <c r="U61" s="4" t="s">
        <v>29</v>
      </c>
      <c r="V61" s="4" t="s">
        <v>38</v>
      </c>
      <c r="W61" s="67" t="str">
        <f t="shared" si="4"/>
        <v>-</v>
      </c>
    </row>
    <row r="62" spans="1:23" x14ac:dyDescent="0.3">
      <c r="A62" s="2" t="s">
        <v>289</v>
      </c>
      <c r="B62" s="2" t="s">
        <v>290</v>
      </c>
      <c r="C62" s="2">
        <v>9637152602</v>
      </c>
      <c r="D62" s="2" t="s">
        <v>20</v>
      </c>
      <c r="E62" s="2" t="s">
        <v>33</v>
      </c>
      <c r="F62" s="2" t="s">
        <v>201</v>
      </c>
      <c r="G62" s="2" t="s">
        <v>52</v>
      </c>
      <c r="H62" s="2" t="s">
        <v>234</v>
      </c>
      <c r="I62" s="2" t="str">
        <f t="shared" si="0"/>
        <v>May</v>
      </c>
      <c r="J62" s="2">
        <f t="shared" si="1"/>
        <v>5</v>
      </c>
      <c r="K62" s="2">
        <f t="shared" si="2"/>
        <v>2022</v>
      </c>
      <c r="L62" s="2">
        <f t="shared" si="3"/>
        <v>2</v>
      </c>
      <c r="M62" s="2">
        <v>1</v>
      </c>
      <c r="N62" s="2" t="s">
        <v>284</v>
      </c>
      <c r="O62" s="2" t="s">
        <v>62</v>
      </c>
      <c r="P62" s="3">
        <v>308682</v>
      </c>
      <c r="Q62" s="2"/>
      <c r="R62" s="2"/>
      <c r="S62" s="2" t="s">
        <v>28</v>
      </c>
      <c r="T62" s="2">
        <v>50.8</v>
      </c>
      <c r="U62" s="2" t="s">
        <v>63</v>
      </c>
      <c r="V62" s="2" t="s">
        <v>221</v>
      </c>
      <c r="W62" s="67" t="str">
        <f t="shared" si="4"/>
        <v>-</v>
      </c>
    </row>
    <row r="63" spans="1:23" x14ac:dyDescent="0.3">
      <c r="A63" s="4" t="s">
        <v>291</v>
      </c>
      <c r="B63" s="4" t="s">
        <v>292</v>
      </c>
      <c r="C63" s="4">
        <v>9190966348</v>
      </c>
      <c r="D63" s="4" t="s">
        <v>59</v>
      </c>
      <c r="E63" s="4" t="s">
        <v>109</v>
      </c>
      <c r="F63" s="4" t="s">
        <v>217</v>
      </c>
      <c r="G63" s="4" t="s">
        <v>69</v>
      </c>
      <c r="H63" s="4" t="s">
        <v>251</v>
      </c>
      <c r="I63" s="2" t="str">
        <f t="shared" si="0"/>
        <v>May</v>
      </c>
      <c r="J63" s="2">
        <f t="shared" si="1"/>
        <v>5</v>
      </c>
      <c r="K63" s="2">
        <f t="shared" si="2"/>
        <v>2022</v>
      </c>
      <c r="L63" s="2">
        <f t="shared" si="3"/>
        <v>2</v>
      </c>
      <c r="M63" s="4">
        <v>2</v>
      </c>
      <c r="N63" s="4" t="s">
        <v>255</v>
      </c>
      <c r="O63" s="4" t="s">
        <v>27</v>
      </c>
      <c r="P63" s="5">
        <v>224321</v>
      </c>
      <c r="Q63" s="4"/>
      <c r="R63" s="4"/>
      <c r="S63" s="4" t="s">
        <v>5819</v>
      </c>
      <c r="T63" s="4">
        <v>58.4</v>
      </c>
      <c r="U63" s="4" t="s">
        <v>29</v>
      </c>
      <c r="V63" s="4" t="s">
        <v>123</v>
      </c>
      <c r="W63" s="67" t="str">
        <f t="shared" si="4"/>
        <v>-</v>
      </c>
    </row>
    <row r="64" spans="1:23" x14ac:dyDescent="0.3">
      <c r="A64" s="6" t="s">
        <v>293</v>
      </c>
      <c r="B64" s="6" t="s">
        <v>294</v>
      </c>
      <c r="C64" s="6">
        <v>9915133660</v>
      </c>
      <c r="D64" s="6" t="s">
        <v>20</v>
      </c>
      <c r="E64" s="6" t="s">
        <v>67</v>
      </c>
      <c r="F64" s="6" t="s">
        <v>80</v>
      </c>
      <c r="G64" s="6" t="s">
        <v>35</v>
      </c>
      <c r="H64" s="6" t="s">
        <v>279</v>
      </c>
      <c r="I64" s="2" t="str">
        <f t="shared" si="0"/>
        <v>May</v>
      </c>
      <c r="J64" s="2">
        <f t="shared" si="1"/>
        <v>5</v>
      </c>
      <c r="K64" s="2">
        <f t="shared" si="2"/>
        <v>2022</v>
      </c>
      <c r="L64" s="2">
        <f t="shared" si="3"/>
        <v>2</v>
      </c>
      <c r="M64" s="6">
        <v>0</v>
      </c>
      <c r="N64" s="6" t="s">
        <v>284</v>
      </c>
      <c r="O64" s="6" t="s">
        <v>97</v>
      </c>
      <c r="P64" s="7">
        <v>215710</v>
      </c>
      <c r="Q64" s="7">
        <v>192689</v>
      </c>
      <c r="R64" s="6" t="s">
        <v>271</v>
      </c>
      <c r="S64" s="6" t="s">
        <v>5819</v>
      </c>
      <c r="T64" s="6">
        <v>37.4</v>
      </c>
      <c r="U64" s="6" t="s">
        <v>47</v>
      </c>
      <c r="V64" s="6" t="s">
        <v>295</v>
      </c>
      <c r="W64" s="67" t="str">
        <f t="shared" si="4"/>
        <v>Customer</v>
      </c>
    </row>
    <row r="65" spans="1:23" x14ac:dyDescent="0.3">
      <c r="A65" s="4" t="s">
        <v>296</v>
      </c>
      <c r="B65" s="4" t="s">
        <v>297</v>
      </c>
      <c r="C65" s="4">
        <v>9213669678</v>
      </c>
      <c r="D65" s="4" t="s">
        <v>20</v>
      </c>
      <c r="E65" s="4" t="s">
        <v>33</v>
      </c>
      <c r="F65" s="4" t="s">
        <v>102</v>
      </c>
      <c r="G65" s="4" t="s">
        <v>52</v>
      </c>
      <c r="H65" s="4" t="s">
        <v>259</v>
      </c>
      <c r="I65" s="2" t="str">
        <f t="shared" si="0"/>
        <v>May</v>
      </c>
      <c r="J65" s="2">
        <f t="shared" si="1"/>
        <v>5</v>
      </c>
      <c r="K65" s="2">
        <f t="shared" si="2"/>
        <v>2022</v>
      </c>
      <c r="L65" s="2">
        <f t="shared" si="3"/>
        <v>2</v>
      </c>
      <c r="M65" s="4">
        <v>4</v>
      </c>
      <c r="N65" s="4" t="s">
        <v>298</v>
      </c>
      <c r="O65" s="4" t="s">
        <v>27</v>
      </c>
      <c r="P65" s="5">
        <v>294882</v>
      </c>
      <c r="Q65" s="4"/>
      <c r="R65" s="4"/>
      <c r="S65" s="4" t="s">
        <v>5819</v>
      </c>
      <c r="T65" s="4">
        <v>42.5</v>
      </c>
      <c r="U65" s="4" t="s">
        <v>29</v>
      </c>
      <c r="V65" s="4"/>
      <c r="W65" s="67" t="str">
        <f t="shared" si="4"/>
        <v>-</v>
      </c>
    </row>
    <row r="66" spans="1:23" x14ac:dyDescent="0.3">
      <c r="A66" s="2" t="s">
        <v>299</v>
      </c>
      <c r="B66" s="2" t="s">
        <v>189</v>
      </c>
      <c r="C66" s="2">
        <v>9179661615</v>
      </c>
      <c r="D66" s="2" t="s">
        <v>20</v>
      </c>
      <c r="E66" s="2" t="s">
        <v>21</v>
      </c>
      <c r="F66" s="2" t="s">
        <v>160</v>
      </c>
      <c r="G66" s="2" t="s">
        <v>87</v>
      </c>
      <c r="H66" s="2" t="s">
        <v>300</v>
      </c>
      <c r="I66" s="2" t="str">
        <f t="shared" ref="I66:I129" si="5">TEXT(H66,"mmm")</f>
        <v>May</v>
      </c>
      <c r="J66" s="2">
        <f t="shared" ref="J66:J129" si="6">MONTH(H66)</f>
        <v>5</v>
      </c>
      <c r="K66" s="2">
        <f t="shared" ref="K66:K129" si="7">YEAR(H66)</f>
        <v>2022</v>
      </c>
      <c r="L66" s="2">
        <f t="shared" ref="L66:L129" si="8">ROUNDUP(MONTH(H66)/3,0)</f>
        <v>2</v>
      </c>
      <c r="M66" s="2">
        <v>2</v>
      </c>
      <c r="N66" s="2" t="s">
        <v>301</v>
      </c>
      <c r="O66" s="2" t="s">
        <v>45</v>
      </c>
      <c r="P66" s="3">
        <v>171792</v>
      </c>
      <c r="Q66" s="2"/>
      <c r="R66" s="2"/>
      <c r="S66" s="2" t="s">
        <v>28</v>
      </c>
      <c r="T66" s="2">
        <v>48.2</v>
      </c>
      <c r="U66" s="2" t="s">
        <v>47</v>
      </c>
      <c r="V66" s="2" t="s">
        <v>302</v>
      </c>
      <c r="W66" s="67" t="str">
        <f t="shared" ref="W66:W129" si="9">IF($O66&lt;&gt;"Converted","-",IF(ISNUMBER(SEARCH("Architect",$F66)),"Architect","Customer"))</f>
        <v>-</v>
      </c>
    </row>
    <row r="67" spans="1:23" x14ac:dyDescent="0.3">
      <c r="A67" s="4" t="s">
        <v>303</v>
      </c>
      <c r="B67" s="4" t="s">
        <v>304</v>
      </c>
      <c r="C67" s="4">
        <v>9463318956</v>
      </c>
      <c r="D67" s="4" t="s">
        <v>59</v>
      </c>
      <c r="E67" s="4" t="s">
        <v>33</v>
      </c>
      <c r="F67" s="4" t="s">
        <v>102</v>
      </c>
      <c r="G67" s="4" t="s">
        <v>60</v>
      </c>
      <c r="H67" s="4" t="s">
        <v>271</v>
      </c>
      <c r="I67" s="2" t="str">
        <f t="shared" si="5"/>
        <v>May</v>
      </c>
      <c r="J67" s="2">
        <f t="shared" si="6"/>
        <v>5</v>
      </c>
      <c r="K67" s="2">
        <f t="shared" si="7"/>
        <v>2022</v>
      </c>
      <c r="L67" s="2">
        <f t="shared" si="8"/>
        <v>2</v>
      </c>
      <c r="M67" s="4">
        <v>2</v>
      </c>
      <c r="N67" s="4" t="s">
        <v>305</v>
      </c>
      <c r="O67" s="4" t="s">
        <v>27</v>
      </c>
      <c r="P67" s="5">
        <v>55663</v>
      </c>
      <c r="Q67" s="4"/>
      <c r="R67" s="4"/>
      <c r="S67" s="4" t="s">
        <v>28</v>
      </c>
      <c r="T67" s="4">
        <v>53</v>
      </c>
      <c r="U67" s="4" t="s">
        <v>29</v>
      </c>
      <c r="V67" s="4" t="s">
        <v>202</v>
      </c>
      <c r="W67" s="67" t="str">
        <f t="shared" si="9"/>
        <v>-</v>
      </c>
    </row>
    <row r="68" spans="1:23" x14ac:dyDescent="0.3">
      <c r="A68" s="2" t="s">
        <v>306</v>
      </c>
      <c r="B68" s="2" t="s">
        <v>307</v>
      </c>
      <c r="C68" s="2">
        <v>9610702777</v>
      </c>
      <c r="D68" s="2" t="s">
        <v>121</v>
      </c>
      <c r="E68" s="2" t="s">
        <v>33</v>
      </c>
      <c r="F68" s="2" t="s">
        <v>102</v>
      </c>
      <c r="G68" s="2" t="s">
        <v>87</v>
      </c>
      <c r="H68" s="2" t="s">
        <v>308</v>
      </c>
      <c r="I68" s="2" t="str">
        <f t="shared" si="5"/>
        <v>May</v>
      </c>
      <c r="J68" s="2">
        <f t="shared" si="6"/>
        <v>5</v>
      </c>
      <c r="K68" s="2">
        <f t="shared" si="7"/>
        <v>2022</v>
      </c>
      <c r="L68" s="2">
        <f t="shared" si="8"/>
        <v>2</v>
      </c>
      <c r="M68" s="2">
        <v>4</v>
      </c>
      <c r="N68" s="2" t="s">
        <v>309</v>
      </c>
      <c r="O68" s="2" t="s">
        <v>45</v>
      </c>
      <c r="P68" s="3">
        <v>112394</v>
      </c>
      <c r="Q68" s="2"/>
      <c r="R68" s="2"/>
      <c r="S68" s="2" t="s">
        <v>5819</v>
      </c>
      <c r="T68" s="2">
        <v>86.6</v>
      </c>
      <c r="U68" s="2" t="s">
        <v>47</v>
      </c>
      <c r="V68" s="2" t="s">
        <v>310</v>
      </c>
      <c r="W68" s="67" t="str">
        <f t="shared" si="9"/>
        <v>-</v>
      </c>
    </row>
    <row r="69" spans="1:23" x14ac:dyDescent="0.3">
      <c r="A69" s="4" t="s">
        <v>311</v>
      </c>
      <c r="B69" s="4" t="s">
        <v>312</v>
      </c>
      <c r="C69" s="4">
        <v>9872649234</v>
      </c>
      <c r="D69" s="4" t="s">
        <v>20</v>
      </c>
      <c r="E69" s="4" t="s">
        <v>41</v>
      </c>
      <c r="F69" s="4" t="s">
        <v>151</v>
      </c>
      <c r="G69" s="4" t="s">
        <v>52</v>
      </c>
      <c r="H69" s="4" t="s">
        <v>313</v>
      </c>
      <c r="I69" s="2" t="str">
        <f t="shared" si="5"/>
        <v>Jun</v>
      </c>
      <c r="J69" s="2">
        <f t="shared" si="6"/>
        <v>6</v>
      </c>
      <c r="K69" s="2">
        <f t="shared" si="7"/>
        <v>2022</v>
      </c>
      <c r="L69" s="2">
        <f t="shared" si="8"/>
        <v>2</v>
      </c>
      <c r="M69" s="4">
        <v>3</v>
      </c>
      <c r="N69" s="4" t="s">
        <v>315</v>
      </c>
      <c r="O69" s="4" t="s">
        <v>45</v>
      </c>
      <c r="P69" s="5">
        <v>113309</v>
      </c>
      <c r="Q69" s="4"/>
      <c r="R69" s="4"/>
      <c r="S69" s="4" t="s">
        <v>28</v>
      </c>
      <c r="T69" s="4">
        <v>62.2</v>
      </c>
      <c r="U69" s="4" t="s">
        <v>47</v>
      </c>
      <c r="V69" s="4" t="s">
        <v>276</v>
      </c>
      <c r="W69" s="67" t="str">
        <f t="shared" si="9"/>
        <v>-</v>
      </c>
    </row>
    <row r="70" spans="1:23" x14ac:dyDescent="0.3">
      <c r="A70" s="2" t="s">
        <v>316</v>
      </c>
      <c r="B70" s="2" t="s">
        <v>317</v>
      </c>
      <c r="C70" s="2">
        <v>9117439966</v>
      </c>
      <c r="D70" s="2" t="s">
        <v>59</v>
      </c>
      <c r="E70" s="2" t="s">
        <v>109</v>
      </c>
      <c r="F70" s="2" t="s">
        <v>110</v>
      </c>
      <c r="G70" s="2" t="s">
        <v>52</v>
      </c>
      <c r="H70" s="2" t="s">
        <v>314</v>
      </c>
      <c r="I70" s="2" t="str">
        <f t="shared" si="5"/>
        <v>Jun</v>
      </c>
      <c r="J70" s="2">
        <f t="shared" si="6"/>
        <v>6</v>
      </c>
      <c r="K70" s="2">
        <f t="shared" si="7"/>
        <v>2022</v>
      </c>
      <c r="L70" s="2">
        <f t="shared" si="8"/>
        <v>2</v>
      </c>
      <c r="M70" s="2">
        <v>5</v>
      </c>
      <c r="N70" s="2" t="s">
        <v>309</v>
      </c>
      <c r="O70" s="2" t="s">
        <v>55</v>
      </c>
      <c r="P70" s="3">
        <v>311752</v>
      </c>
      <c r="Q70" s="2"/>
      <c r="R70" s="2"/>
      <c r="S70" s="2" t="s">
        <v>5819</v>
      </c>
      <c r="T70" s="2">
        <v>7.8</v>
      </c>
      <c r="U70" s="2" t="s">
        <v>29</v>
      </c>
      <c r="V70" s="2" t="s">
        <v>187</v>
      </c>
      <c r="W70" s="67" t="str">
        <f t="shared" si="9"/>
        <v>-</v>
      </c>
    </row>
    <row r="71" spans="1:23" x14ac:dyDescent="0.3">
      <c r="A71" s="4" t="s">
        <v>318</v>
      </c>
      <c r="B71" s="4" t="s">
        <v>319</v>
      </c>
      <c r="C71" s="4">
        <v>9514642708</v>
      </c>
      <c r="D71" s="4" t="s">
        <v>20</v>
      </c>
      <c r="E71" s="4" t="s">
        <v>67</v>
      </c>
      <c r="F71" s="4" t="s">
        <v>80</v>
      </c>
      <c r="G71" s="4" t="s">
        <v>23</v>
      </c>
      <c r="H71" s="4" t="s">
        <v>320</v>
      </c>
      <c r="I71" s="2" t="str">
        <f t="shared" si="5"/>
        <v>Jun</v>
      </c>
      <c r="J71" s="2">
        <f t="shared" si="6"/>
        <v>6</v>
      </c>
      <c r="K71" s="2">
        <f t="shared" si="7"/>
        <v>2022</v>
      </c>
      <c r="L71" s="2">
        <f t="shared" si="8"/>
        <v>2</v>
      </c>
      <c r="M71" s="4">
        <v>0</v>
      </c>
      <c r="N71" s="4" t="s">
        <v>321</v>
      </c>
      <c r="O71" s="4" t="s">
        <v>27</v>
      </c>
      <c r="P71" s="5">
        <v>425966</v>
      </c>
      <c r="Q71" s="4"/>
      <c r="R71" s="4"/>
      <c r="S71" s="4" t="s">
        <v>5819</v>
      </c>
      <c r="T71" s="4">
        <v>87.9</v>
      </c>
      <c r="U71" s="4" t="s">
        <v>47</v>
      </c>
      <c r="V71" s="4" t="s">
        <v>118</v>
      </c>
      <c r="W71" s="67" t="str">
        <f t="shared" si="9"/>
        <v>-</v>
      </c>
    </row>
    <row r="72" spans="1:23" x14ac:dyDescent="0.3">
      <c r="A72" s="2" t="s">
        <v>322</v>
      </c>
      <c r="B72" s="2" t="s">
        <v>323</v>
      </c>
      <c r="C72" s="2">
        <v>9254164462</v>
      </c>
      <c r="D72" s="2" t="s">
        <v>59</v>
      </c>
      <c r="E72" s="2" t="s">
        <v>33</v>
      </c>
      <c r="F72" s="2" t="s">
        <v>34</v>
      </c>
      <c r="G72" s="2" t="s">
        <v>52</v>
      </c>
      <c r="H72" s="2" t="s">
        <v>320</v>
      </c>
      <c r="I72" s="2" t="str">
        <f t="shared" si="5"/>
        <v>Jun</v>
      </c>
      <c r="J72" s="2">
        <f t="shared" si="6"/>
        <v>6</v>
      </c>
      <c r="K72" s="2">
        <f t="shared" si="7"/>
        <v>2022</v>
      </c>
      <c r="L72" s="2">
        <f t="shared" si="8"/>
        <v>2</v>
      </c>
      <c r="M72" s="2">
        <v>5</v>
      </c>
      <c r="N72" s="2" t="s">
        <v>325</v>
      </c>
      <c r="O72" s="2" t="s">
        <v>45</v>
      </c>
      <c r="P72" s="3">
        <v>424742</v>
      </c>
      <c r="Q72" s="2"/>
      <c r="R72" s="2"/>
      <c r="S72" s="2" t="s">
        <v>28</v>
      </c>
      <c r="T72" s="2">
        <v>51</v>
      </c>
      <c r="U72" s="2" t="s">
        <v>29</v>
      </c>
      <c r="V72" s="2" t="s">
        <v>56</v>
      </c>
      <c r="W72" s="67" t="str">
        <f t="shared" si="9"/>
        <v>-</v>
      </c>
    </row>
    <row r="73" spans="1:23" x14ac:dyDescent="0.3">
      <c r="A73" s="4" t="s">
        <v>326</v>
      </c>
      <c r="B73" s="4" t="s">
        <v>327</v>
      </c>
      <c r="C73" s="4"/>
      <c r="D73" s="4" t="s">
        <v>108</v>
      </c>
      <c r="E73" s="4" t="s">
        <v>67</v>
      </c>
      <c r="F73" s="4" t="s">
        <v>80</v>
      </c>
      <c r="G73" s="4" t="s">
        <v>60</v>
      </c>
      <c r="H73" s="4" t="s">
        <v>324</v>
      </c>
      <c r="I73" s="2" t="str">
        <f t="shared" si="5"/>
        <v>Jun</v>
      </c>
      <c r="J73" s="2">
        <f t="shared" si="6"/>
        <v>6</v>
      </c>
      <c r="K73" s="2">
        <f t="shared" si="7"/>
        <v>2022</v>
      </c>
      <c r="L73" s="2">
        <f t="shared" si="8"/>
        <v>2</v>
      </c>
      <c r="M73" s="4">
        <v>1</v>
      </c>
      <c r="N73" s="4" t="s">
        <v>309</v>
      </c>
      <c r="O73" s="4" t="s">
        <v>27</v>
      </c>
      <c r="P73" s="5">
        <v>64176</v>
      </c>
      <c r="Q73" s="4"/>
      <c r="R73" s="4"/>
      <c r="S73" s="4" t="s">
        <v>28</v>
      </c>
      <c r="T73" s="4">
        <v>40.4</v>
      </c>
      <c r="U73" s="4" t="s">
        <v>29</v>
      </c>
      <c r="V73" s="4" t="s">
        <v>328</v>
      </c>
      <c r="W73" s="67" t="str">
        <f t="shared" si="9"/>
        <v>-</v>
      </c>
    </row>
    <row r="74" spans="1:23" x14ac:dyDescent="0.3">
      <c r="A74" s="2" t="s">
        <v>329</v>
      </c>
      <c r="B74" s="2" t="s">
        <v>330</v>
      </c>
      <c r="C74" s="2">
        <v>9266371119</v>
      </c>
      <c r="D74" s="2" t="s">
        <v>20</v>
      </c>
      <c r="E74" s="2" t="s">
        <v>109</v>
      </c>
      <c r="F74" s="2" t="s">
        <v>331</v>
      </c>
      <c r="G74" s="2" t="s">
        <v>23</v>
      </c>
      <c r="H74" s="2" t="s">
        <v>332</v>
      </c>
      <c r="I74" s="2" t="str">
        <f t="shared" si="5"/>
        <v>Jun</v>
      </c>
      <c r="J74" s="2">
        <f t="shared" si="6"/>
        <v>6</v>
      </c>
      <c r="K74" s="2">
        <f t="shared" si="7"/>
        <v>2022</v>
      </c>
      <c r="L74" s="2">
        <f t="shared" si="8"/>
        <v>2</v>
      </c>
      <c r="M74" s="2">
        <v>3</v>
      </c>
      <c r="N74" s="2" t="s">
        <v>334</v>
      </c>
      <c r="O74" s="2" t="s">
        <v>45</v>
      </c>
      <c r="P74" s="3">
        <v>311475</v>
      </c>
      <c r="Q74" s="2"/>
      <c r="R74" s="2"/>
      <c r="S74" s="2" t="s">
        <v>28</v>
      </c>
      <c r="T74" s="2">
        <v>91.6</v>
      </c>
      <c r="U74" s="2" t="s">
        <v>63</v>
      </c>
      <c r="V74" s="2" t="s">
        <v>335</v>
      </c>
      <c r="W74" s="67" t="str">
        <f t="shared" si="9"/>
        <v>-</v>
      </c>
    </row>
    <row r="75" spans="1:23" x14ac:dyDescent="0.3">
      <c r="A75" s="6" t="s">
        <v>336</v>
      </c>
      <c r="B75" s="6" t="s">
        <v>337</v>
      </c>
      <c r="C75" s="6">
        <v>9591429705</v>
      </c>
      <c r="D75" s="6" t="s">
        <v>108</v>
      </c>
      <c r="E75" s="6" t="s">
        <v>21</v>
      </c>
      <c r="F75" s="6" t="s">
        <v>230</v>
      </c>
      <c r="G75" s="6" t="s">
        <v>52</v>
      </c>
      <c r="H75" s="6" t="s">
        <v>333</v>
      </c>
      <c r="I75" s="2" t="str">
        <f t="shared" si="5"/>
        <v>Jun</v>
      </c>
      <c r="J75" s="2">
        <f t="shared" si="6"/>
        <v>6</v>
      </c>
      <c r="K75" s="2">
        <f t="shared" si="7"/>
        <v>2022</v>
      </c>
      <c r="L75" s="2">
        <f t="shared" si="8"/>
        <v>2</v>
      </c>
      <c r="M75" s="6">
        <v>3</v>
      </c>
      <c r="N75" s="6" t="s">
        <v>339</v>
      </c>
      <c r="O75" s="6" t="s">
        <v>97</v>
      </c>
      <c r="P75" s="7">
        <v>279153</v>
      </c>
      <c r="Q75" s="7">
        <v>257365</v>
      </c>
      <c r="R75" s="6" t="s">
        <v>340</v>
      </c>
      <c r="S75" s="6" t="s">
        <v>5819</v>
      </c>
      <c r="T75" s="6">
        <v>76.099999999999994</v>
      </c>
      <c r="U75" s="6" t="s">
        <v>63</v>
      </c>
      <c r="V75" s="6" t="s">
        <v>341</v>
      </c>
      <c r="W75" s="67" t="str">
        <f t="shared" si="9"/>
        <v>Customer</v>
      </c>
    </row>
    <row r="76" spans="1:23" x14ac:dyDescent="0.3">
      <c r="A76" s="2" t="s">
        <v>342</v>
      </c>
      <c r="B76" s="2" t="s">
        <v>343</v>
      </c>
      <c r="C76" s="2">
        <v>9260545470</v>
      </c>
      <c r="D76" s="2" t="s">
        <v>108</v>
      </c>
      <c r="E76" s="2" t="s">
        <v>33</v>
      </c>
      <c r="F76" s="2" t="s">
        <v>201</v>
      </c>
      <c r="G76" s="2" t="s">
        <v>23</v>
      </c>
      <c r="H76" s="2" t="s">
        <v>338</v>
      </c>
      <c r="I76" s="2" t="str">
        <f t="shared" si="5"/>
        <v>Jun</v>
      </c>
      <c r="J76" s="2">
        <f t="shared" si="6"/>
        <v>6</v>
      </c>
      <c r="K76" s="2">
        <f t="shared" si="7"/>
        <v>2022</v>
      </c>
      <c r="L76" s="2">
        <f t="shared" si="8"/>
        <v>2</v>
      </c>
      <c r="M76" s="2">
        <v>0</v>
      </c>
      <c r="N76" s="2" t="s">
        <v>344</v>
      </c>
      <c r="O76" s="2" t="s">
        <v>27</v>
      </c>
      <c r="P76" s="3">
        <v>447881</v>
      </c>
      <c r="Q76" s="2"/>
      <c r="R76" s="2"/>
      <c r="S76" s="2" t="s">
        <v>5819</v>
      </c>
      <c r="T76" s="2">
        <v>48.2</v>
      </c>
      <c r="U76" s="2" t="s">
        <v>29</v>
      </c>
      <c r="V76" s="2" t="s">
        <v>153</v>
      </c>
      <c r="W76" s="67" t="str">
        <f t="shared" si="9"/>
        <v>-</v>
      </c>
    </row>
    <row r="77" spans="1:23" x14ac:dyDescent="0.3">
      <c r="A77" s="4" t="s">
        <v>345</v>
      </c>
      <c r="B77" s="4" t="s">
        <v>128</v>
      </c>
      <c r="C77" s="4">
        <v>9705180256</v>
      </c>
      <c r="D77" s="4" t="s">
        <v>59</v>
      </c>
      <c r="E77" s="4" t="s">
        <v>67</v>
      </c>
      <c r="F77" s="4" t="s">
        <v>68</v>
      </c>
      <c r="G77" s="4" t="s">
        <v>52</v>
      </c>
      <c r="H77" s="4" t="s">
        <v>325</v>
      </c>
      <c r="I77" s="2" t="str">
        <f t="shared" si="5"/>
        <v>Jul</v>
      </c>
      <c r="J77" s="2">
        <f t="shared" si="6"/>
        <v>7</v>
      </c>
      <c r="K77" s="2">
        <f t="shared" si="7"/>
        <v>2022</v>
      </c>
      <c r="L77" s="2">
        <f t="shared" si="8"/>
        <v>3</v>
      </c>
      <c r="M77" s="4">
        <v>1</v>
      </c>
      <c r="N77" s="4" t="s">
        <v>346</v>
      </c>
      <c r="O77" s="4" t="s">
        <v>27</v>
      </c>
      <c r="P77" s="5">
        <v>268778</v>
      </c>
      <c r="Q77" s="4"/>
      <c r="R77" s="4"/>
      <c r="S77" s="4" t="s">
        <v>5819</v>
      </c>
      <c r="T77" s="4">
        <v>21.2</v>
      </c>
      <c r="U77" s="4" t="s">
        <v>29</v>
      </c>
      <c r="V77" s="4" t="s">
        <v>30</v>
      </c>
      <c r="W77" s="67" t="str">
        <f t="shared" si="9"/>
        <v>-</v>
      </c>
    </row>
    <row r="78" spans="1:23" x14ac:dyDescent="0.3">
      <c r="A78" s="2" t="s">
        <v>347</v>
      </c>
      <c r="B78" s="2" t="s">
        <v>348</v>
      </c>
      <c r="C78" s="2">
        <v>9576642996</v>
      </c>
      <c r="D78" s="2" t="s">
        <v>59</v>
      </c>
      <c r="E78" s="2" t="s">
        <v>41</v>
      </c>
      <c r="F78" s="2" t="s">
        <v>92</v>
      </c>
      <c r="G78" s="2" t="s">
        <v>60</v>
      </c>
      <c r="H78" s="2" t="s">
        <v>325</v>
      </c>
      <c r="I78" s="2" t="str">
        <f t="shared" si="5"/>
        <v>Jul</v>
      </c>
      <c r="J78" s="2">
        <f t="shared" si="6"/>
        <v>7</v>
      </c>
      <c r="K78" s="2">
        <f t="shared" si="7"/>
        <v>2022</v>
      </c>
      <c r="L78" s="2">
        <f t="shared" si="8"/>
        <v>3</v>
      </c>
      <c r="M78" s="2">
        <v>3</v>
      </c>
      <c r="N78" s="2" t="s">
        <v>349</v>
      </c>
      <c r="O78" s="2" t="s">
        <v>27</v>
      </c>
      <c r="P78" s="3">
        <v>124068</v>
      </c>
      <c r="Q78" s="2"/>
      <c r="R78" s="2"/>
      <c r="S78" s="2" t="s">
        <v>28</v>
      </c>
      <c r="T78" s="2">
        <v>35.5</v>
      </c>
      <c r="U78" s="2" t="s">
        <v>47</v>
      </c>
      <c r="V78" s="2" t="s">
        <v>202</v>
      </c>
      <c r="W78" s="67" t="str">
        <f t="shared" si="9"/>
        <v>-</v>
      </c>
    </row>
    <row r="79" spans="1:23" x14ac:dyDescent="0.3">
      <c r="A79" s="6" t="s">
        <v>350</v>
      </c>
      <c r="B79" s="6" t="s">
        <v>351</v>
      </c>
      <c r="C79" s="6">
        <v>9925884151</v>
      </c>
      <c r="D79" s="6" t="s">
        <v>121</v>
      </c>
      <c r="E79" s="6" t="s">
        <v>33</v>
      </c>
      <c r="F79" s="6" t="s">
        <v>34</v>
      </c>
      <c r="G79" s="6" t="s">
        <v>52</v>
      </c>
      <c r="H79" s="6" t="s">
        <v>352</v>
      </c>
      <c r="I79" s="2" t="str">
        <f t="shared" si="5"/>
        <v>Jul</v>
      </c>
      <c r="J79" s="2">
        <f t="shared" si="6"/>
        <v>7</v>
      </c>
      <c r="K79" s="2">
        <f t="shared" si="7"/>
        <v>2022</v>
      </c>
      <c r="L79" s="2">
        <f t="shared" si="8"/>
        <v>3</v>
      </c>
      <c r="M79" s="6">
        <v>0</v>
      </c>
      <c r="N79" s="6" t="s">
        <v>353</v>
      </c>
      <c r="O79" s="6" t="s">
        <v>97</v>
      </c>
      <c r="P79" s="7">
        <v>372557</v>
      </c>
      <c r="Q79" s="7">
        <v>328273</v>
      </c>
      <c r="R79" s="6" t="s">
        <v>340</v>
      </c>
      <c r="S79" s="6" t="s">
        <v>28</v>
      </c>
      <c r="T79" s="6">
        <v>55.6</v>
      </c>
      <c r="U79" s="6" t="s">
        <v>47</v>
      </c>
      <c r="V79" s="6" t="s">
        <v>286</v>
      </c>
      <c r="W79" s="67" t="str">
        <f t="shared" si="9"/>
        <v>Customer</v>
      </c>
    </row>
    <row r="80" spans="1:23" x14ac:dyDescent="0.3">
      <c r="A80" s="2" t="s">
        <v>354</v>
      </c>
      <c r="B80" s="2" t="s">
        <v>355</v>
      </c>
      <c r="C80" s="2">
        <v>9422076028</v>
      </c>
      <c r="D80" s="2" t="s">
        <v>121</v>
      </c>
      <c r="E80" s="2" t="s">
        <v>33</v>
      </c>
      <c r="F80" s="2" t="s">
        <v>201</v>
      </c>
      <c r="G80" s="2" t="s">
        <v>23</v>
      </c>
      <c r="H80" s="2" t="s">
        <v>353</v>
      </c>
      <c r="I80" s="2" t="str">
        <f t="shared" si="5"/>
        <v>Jul</v>
      </c>
      <c r="J80" s="2">
        <f t="shared" si="6"/>
        <v>7</v>
      </c>
      <c r="K80" s="2">
        <f t="shared" si="7"/>
        <v>2022</v>
      </c>
      <c r="L80" s="2">
        <f t="shared" si="8"/>
        <v>3</v>
      </c>
      <c r="M80" s="2">
        <v>2</v>
      </c>
      <c r="N80" s="2" t="s">
        <v>356</v>
      </c>
      <c r="O80" s="2" t="s">
        <v>62</v>
      </c>
      <c r="P80" s="3">
        <v>604301</v>
      </c>
      <c r="Q80" s="2"/>
      <c r="R80" s="2"/>
      <c r="S80" s="2" t="s">
        <v>5819</v>
      </c>
      <c r="T80" s="2">
        <v>13.9</v>
      </c>
      <c r="U80" s="2" t="s">
        <v>47</v>
      </c>
      <c r="V80" s="2" t="s">
        <v>137</v>
      </c>
      <c r="W80" s="67" t="str">
        <f t="shared" si="9"/>
        <v>-</v>
      </c>
    </row>
    <row r="81" spans="1:23" x14ac:dyDescent="0.3">
      <c r="A81" s="4" t="s">
        <v>357</v>
      </c>
      <c r="B81" s="4" t="s">
        <v>358</v>
      </c>
      <c r="C81" s="4">
        <v>9178354184</v>
      </c>
      <c r="D81" s="4" t="s">
        <v>51</v>
      </c>
      <c r="E81" s="4" t="s">
        <v>33</v>
      </c>
      <c r="F81" s="4" t="s">
        <v>102</v>
      </c>
      <c r="G81" s="4" t="s">
        <v>35</v>
      </c>
      <c r="H81" s="4" t="s">
        <v>359</v>
      </c>
      <c r="I81" s="2" t="str">
        <f t="shared" si="5"/>
        <v>Jul</v>
      </c>
      <c r="J81" s="2">
        <f t="shared" si="6"/>
        <v>7</v>
      </c>
      <c r="K81" s="2">
        <f t="shared" si="7"/>
        <v>2022</v>
      </c>
      <c r="L81" s="2">
        <f t="shared" si="8"/>
        <v>3</v>
      </c>
      <c r="M81" s="4">
        <v>1</v>
      </c>
      <c r="N81" s="4" t="s">
        <v>360</v>
      </c>
      <c r="O81" s="4" t="s">
        <v>27</v>
      </c>
      <c r="P81" s="5">
        <v>110558</v>
      </c>
      <c r="Q81" s="4"/>
      <c r="R81" s="4"/>
      <c r="S81" s="4" t="s">
        <v>5819</v>
      </c>
      <c r="T81" s="4">
        <v>63.8</v>
      </c>
      <c r="U81" s="4" t="s">
        <v>29</v>
      </c>
      <c r="V81" s="4" t="s">
        <v>202</v>
      </c>
      <c r="W81" s="67" t="str">
        <f t="shared" si="9"/>
        <v>-</v>
      </c>
    </row>
    <row r="82" spans="1:23" x14ac:dyDescent="0.3">
      <c r="A82" s="2" t="s">
        <v>361</v>
      </c>
      <c r="B82" s="2" t="s">
        <v>362</v>
      </c>
      <c r="C82" s="2">
        <v>9703091482</v>
      </c>
      <c r="D82" s="2" t="s">
        <v>20</v>
      </c>
      <c r="E82" s="2" t="s">
        <v>73</v>
      </c>
      <c r="F82" s="2" t="s">
        <v>126</v>
      </c>
      <c r="G82" s="2" t="s">
        <v>52</v>
      </c>
      <c r="H82" s="2" t="s">
        <v>363</v>
      </c>
      <c r="I82" s="2" t="str">
        <f t="shared" si="5"/>
        <v>Jul</v>
      </c>
      <c r="J82" s="2">
        <f t="shared" si="6"/>
        <v>7</v>
      </c>
      <c r="K82" s="2">
        <f t="shared" si="7"/>
        <v>2022</v>
      </c>
      <c r="L82" s="2">
        <f t="shared" si="8"/>
        <v>3</v>
      </c>
      <c r="M82" s="2">
        <v>0</v>
      </c>
      <c r="N82" s="2" t="s">
        <v>364</v>
      </c>
      <c r="O82" s="2" t="s">
        <v>27</v>
      </c>
      <c r="P82" s="3">
        <v>113279</v>
      </c>
      <c r="Q82" s="2"/>
      <c r="R82" s="2"/>
      <c r="S82" s="2" t="s">
        <v>28</v>
      </c>
      <c r="T82" s="2">
        <v>34.299999999999997</v>
      </c>
      <c r="U82" s="2" t="s">
        <v>29</v>
      </c>
      <c r="V82" s="2" t="s">
        <v>123</v>
      </c>
      <c r="W82" s="67" t="str">
        <f t="shared" si="9"/>
        <v>-</v>
      </c>
    </row>
    <row r="83" spans="1:23" x14ac:dyDescent="0.3">
      <c r="A83" s="4" t="s">
        <v>365</v>
      </c>
      <c r="B83" s="4" t="s">
        <v>366</v>
      </c>
      <c r="C83" s="4">
        <v>9273910700</v>
      </c>
      <c r="D83" s="4" t="s">
        <v>59</v>
      </c>
      <c r="E83" s="4" t="s">
        <v>109</v>
      </c>
      <c r="F83" s="4" t="s">
        <v>110</v>
      </c>
      <c r="G83" s="4" t="s">
        <v>52</v>
      </c>
      <c r="H83" s="4" t="s">
        <v>363</v>
      </c>
      <c r="I83" s="2" t="str">
        <f t="shared" si="5"/>
        <v>Jul</v>
      </c>
      <c r="J83" s="2">
        <f t="shared" si="6"/>
        <v>7</v>
      </c>
      <c r="K83" s="2">
        <f t="shared" si="7"/>
        <v>2022</v>
      </c>
      <c r="L83" s="2">
        <f t="shared" si="8"/>
        <v>3</v>
      </c>
      <c r="M83" s="4">
        <v>0</v>
      </c>
      <c r="N83" s="4" t="s">
        <v>367</v>
      </c>
      <c r="O83" s="4" t="s">
        <v>62</v>
      </c>
      <c r="P83" s="5">
        <v>368297</v>
      </c>
      <c r="Q83" s="4"/>
      <c r="R83" s="4"/>
      <c r="S83" s="4" t="s">
        <v>5819</v>
      </c>
      <c r="T83" s="4">
        <v>17.600000000000001</v>
      </c>
      <c r="U83" s="4" t="s">
        <v>47</v>
      </c>
      <c r="V83" s="4" t="s">
        <v>183</v>
      </c>
      <c r="W83" s="67" t="str">
        <f t="shared" si="9"/>
        <v>-</v>
      </c>
    </row>
    <row r="84" spans="1:23" x14ac:dyDescent="0.3">
      <c r="A84" s="2" t="s">
        <v>368</v>
      </c>
      <c r="B84" s="2" t="s">
        <v>369</v>
      </c>
      <c r="C84" s="2">
        <v>9172191273</v>
      </c>
      <c r="D84" s="2" t="s">
        <v>108</v>
      </c>
      <c r="E84" s="2" t="s">
        <v>33</v>
      </c>
      <c r="F84" s="2" t="s">
        <v>102</v>
      </c>
      <c r="G84" s="2" t="s">
        <v>23</v>
      </c>
      <c r="H84" s="2" t="s">
        <v>364</v>
      </c>
      <c r="I84" s="2" t="str">
        <f t="shared" si="5"/>
        <v>Jul</v>
      </c>
      <c r="J84" s="2">
        <f t="shared" si="6"/>
        <v>7</v>
      </c>
      <c r="K84" s="2">
        <f t="shared" si="7"/>
        <v>2022</v>
      </c>
      <c r="L84" s="2">
        <f t="shared" si="8"/>
        <v>3</v>
      </c>
      <c r="M84" s="2">
        <v>5</v>
      </c>
      <c r="N84" s="2" t="s">
        <v>371</v>
      </c>
      <c r="O84" s="2" t="s">
        <v>45</v>
      </c>
      <c r="P84" s="3">
        <v>351658</v>
      </c>
      <c r="Q84" s="2"/>
      <c r="R84" s="2"/>
      <c r="S84" s="2" t="s">
        <v>5819</v>
      </c>
      <c r="T84" s="2">
        <v>91.8</v>
      </c>
      <c r="U84" s="2" t="s">
        <v>47</v>
      </c>
      <c r="V84" s="2"/>
      <c r="W84" s="67" t="str">
        <f t="shared" si="9"/>
        <v>-</v>
      </c>
    </row>
    <row r="85" spans="1:23" x14ac:dyDescent="0.3">
      <c r="A85" s="6" t="s">
        <v>372</v>
      </c>
      <c r="B85" s="6" t="s">
        <v>373</v>
      </c>
      <c r="C85" s="6">
        <v>9515156661</v>
      </c>
      <c r="D85" s="6" t="s">
        <v>20</v>
      </c>
      <c r="E85" s="6" t="s">
        <v>109</v>
      </c>
      <c r="F85" s="6" t="s">
        <v>217</v>
      </c>
      <c r="G85" s="6" t="s">
        <v>60</v>
      </c>
      <c r="H85" s="6" t="s">
        <v>370</v>
      </c>
      <c r="I85" s="2" t="str">
        <f t="shared" si="5"/>
        <v>Jul</v>
      </c>
      <c r="J85" s="2">
        <f t="shared" si="6"/>
        <v>7</v>
      </c>
      <c r="K85" s="2">
        <f t="shared" si="7"/>
        <v>2022</v>
      </c>
      <c r="L85" s="2">
        <f t="shared" si="8"/>
        <v>3</v>
      </c>
      <c r="M85" s="6">
        <v>0</v>
      </c>
      <c r="N85" s="6" t="s">
        <v>367</v>
      </c>
      <c r="O85" s="6" t="s">
        <v>97</v>
      </c>
      <c r="P85" s="7">
        <v>188918</v>
      </c>
      <c r="Q85" s="7">
        <v>166511</v>
      </c>
      <c r="R85" s="6" t="s">
        <v>374</v>
      </c>
      <c r="S85" s="6" t="s">
        <v>28</v>
      </c>
      <c r="T85" s="6">
        <v>10.3</v>
      </c>
      <c r="U85" s="6" t="s">
        <v>47</v>
      </c>
      <c r="V85" s="6" t="s">
        <v>286</v>
      </c>
      <c r="W85" s="67" t="str">
        <f t="shared" si="9"/>
        <v>Customer</v>
      </c>
    </row>
    <row r="86" spans="1:23" x14ac:dyDescent="0.3">
      <c r="A86" s="2" t="s">
        <v>375</v>
      </c>
      <c r="B86" s="2" t="s">
        <v>376</v>
      </c>
      <c r="C86" s="2">
        <v>9866213410</v>
      </c>
      <c r="D86" s="2" t="s">
        <v>20</v>
      </c>
      <c r="E86" s="2" t="s">
        <v>33</v>
      </c>
      <c r="F86" s="2" t="s">
        <v>34</v>
      </c>
      <c r="G86" s="2" t="s">
        <v>23</v>
      </c>
      <c r="H86" s="2" t="s">
        <v>367</v>
      </c>
      <c r="I86" s="2" t="str">
        <f t="shared" si="5"/>
        <v>Aug</v>
      </c>
      <c r="J86" s="2">
        <f t="shared" si="6"/>
        <v>8</v>
      </c>
      <c r="K86" s="2">
        <f t="shared" si="7"/>
        <v>2022</v>
      </c>
      <c r="L86" s="2">
        <f t="shared" si="8"/>
        <v>3</v>
      </c>
      <c r="M86" s="2">
        <v>4</v>
      </c>
      <c r="N86" s="2" t="s">
        <v>377</v>
      </c>
      <c r="O86" s="2" t="s">
        <v>27</v>
      </c>
      <c r="P86" s="3">
        <v>626081</v>
      </c>
      <c r="Q86" s="2"/>
      <c r="R86" s="2"/>
      <c r="S86" s="2" t="s">
        <v>5819</v>
      </c>
      <c r="T86" s="2">
        <v>23.9</v>
      </c>
      <c r="U86" s="2" t="s">
        <v>29</v>
      </c>
      <c r="V86" s="2"/>
      <c r="W86" s="67" t="str">
        <f t="shared" si="9"/>
        <v>-</v>
      </c>
    </row>
    <row r="87" spans="1:23" x14ac:dyDescent="0.3">
      <c r="A87" s="4" t="s">
        <v>378</v>
      </c>
      <c r="B87" s="4" t="s">
        <v>379</v>
      </c>
      <c r="C87" s="4">
        <v>9251266214</v>
      </c>
      <c r="D87" s="4" t="s">
        <v>20</v>
      </c>
      <c r="E87" s="4" t="s">
        <v>67</v>
      </c>
      <c r="F87" s="4" t="s">
        <v>68</v>
      </c>
      <c r="G87" s="4" t="s">
        <v>69</v>
      </c>
      <c r="H87" s="4" t="s">
        <v>380</v>
      </c>
      <c r="I87" s="2" t="str">
        <f t="shared" si="5"/>
        <v>Aug</v>
      </c>
      <c r="J87" s="2">
        <f t="shared" si="6"/>
        <v>8</v>
      </c>
      <c r="K87" s="2">
        <f t="shared" si="7"/>
        <v>2022</v>
      </c>
      <c r="L87" s="2">
        <f t="shared" si="8"/>
        <v>3</v>
      </c>
      <c r="M87" s="4">
        <v>3</v>
      </c>
      <c r="N87" s="4" t="s">
        <v>377</v>
      </c>
      <c r="O87" s="4" t="s">
        <v>45</v>
      </c>
      <c r="P87" s="5">
        <v>190376</v>
      </c>
      <c r="Q87" s="4"/>
      <c r="R87" s="4"/>
      <c r="S87" s="4" t="s">
        <v>28</v>
      </c>
      <c r="T87" s="4">
        <v>56.5</v>
      </c>
      <c r="U87" s="4" t="s">
        <v>47</v>
      </c>
      <c r="V87" s="4" t="s">
        <v>381</v>
      </c>
      <c r="W87" s="67" t="str">
        <f t="shared" si="9"/>
        <v>-</v>
      </c>
    </row>
    <row r="88" spans="1:23" x14ac:dyDescent="0.3">
      <c r="A88" s="2" t="s">
        <v>382</v>
      </c>
      <c r="B88" s="2" t="s">
        <v>383</v>
      </c>
      <c r="C88" s="2">
        <v>9178954113</v>
      </c>
      <c r="D88" s="2" t="s">
        <v>108</v>
      </c>
      <c r="E88" s="2" t="s">
        <v>109</v>
      </c>
      <c r="F88" s="2" t="s">
        <v>110</v>
      </c>
      <c r="G88" s="2" t="s">
        <v>23</v>
      </c>
      <c r="H88" s="2" t="s">
        <v>384</v>
      </c>
      <c r="I88" s="2" t="str">
        <f t="shared" si="5"/>
        <v>Aug</v>
      </c>
      <c r="J88" s="2">
        <f t="shared" si="6"/>
        <v>8</v>
      </c>
      <c r="K88" s="2">
        <f t="shared" si="7"/>
        <v>2022</v>
      </c>
      <c r="L88" s="2">
        <f t="shared" si="8"/>
        <v>3</v>
      </c>
      <c r="M88" s="2">
        <v>4</v>
      </c>
      <c r="N88" s="2" t="s">
        <v>385</v>
      </c>
      <c r="O88" s="2" t="s">
        <v>27</v>
      </c>
      <c r="P88" s="3">
        <v>440074</v>
      </c>
      <c r="Q88" s="2"/>
      <c r="R88" s="2"/>
      <c r="S88" s="2" t="s">
        <v>28</v>
      </c>
      <c r="T88" s="2">
        <v>10.1</v>
      </c>
      <c r="U88" s="2" t="s">
        <v>29</v>
      </c>
      <c r="V88" s="2" t="s">
        <v>238</v>
      </c>
      <c r="W88" s="67" t="str">
        <f t="shared" si="9"/>
        <v>-</v>
      </c>
    </row>
    <row r="89" spans="1:23" x14ac:dyDescent="0.3">
      <c r="A89" s="4" t="s">
        <v>386</v>
      </c>
      <c r="B89" s="4" t="s">
        <v>387</v>
      </c>
      <c r="C89" s="4">
        <v>9526269674</v>
      </c>
      <c r="D89" s="4" t="s">
        <v>108</v>
      </c>
      <c r="E89" s="4" t="s">
        <v>41</v>
      </c>
      <c r="F89" s="4" t="s">
        <v>92</v>
      </c>
      <c r="G89" s="4" t="s">
        <v>23</v>
      </c>
      <c r="H89" s="4" t="s">
        <v>384</v>
      </c>
      <c r="I89" s="2" t="str">
        <f t="shared" si="5"/>
        <v>Aug</v>
      </c>
      <c r="J89" s="2">
        <f t="shared" si="6"/>
        <v>8</v>
      </c>
      <c r="K89" s="2">
        <f t="shared" si="7"/>
        <v>2022</v>
      </c>
      <c r="L89" s="2">
        <f t="shared" si="8"/>
        <v>3</v>
      </c>
      <c r="M89" s="4">
        <v>1</v>
      </c>
      <c r="N89" s="4" t="s">
        <v>388</v>
      </c>
      <c r="O89" s="4" t="s">
        <v>45</v>
      </c>
      <c r="P89" s="4"/>
      <c r="Q89" s="4"/>
      <c r="R89" s="4"/>
      <c r="S89" s="4" t="s">
        <v>5819</v>
      </c>
      <c r="T89" s="4">
        <v>9.4</v>
      </c>
      <c r="U89" s="4" t="s">
        <v>29</v>
      </c>
      <c r="V89" s="4" t="s">
        <v>389</v>
      </c>
      <c r="W89" s="67" t="str">
        <f t="shared" si="9"/>
        <v>-</v>
      </c>
    </row>
    <row r="90" spans="1:23" x14ac:dyDescent="0.3">
      <c r="A90" s="6" t="s">
        <v>390</v>
      </c>
      <c r="B90" s="6" t="s">
        <v>391</v>
      </c>
      <c r="C90" s="6">
        <v>9902448600</v>
      </c>
      <c r="D90" s="6" t="s">
        <v>20</v>
      </c>
      <c r="E90" s="6" t="s">
        <v>41</v>
      </c>
      <c r="F90" s="6" t="s">
        <v>86</v>
      </c>
      <c r="G90" s="6" t="s">
        <v>52</v>
      </c>
      <c r="H90" s="6" t="s">
        <v>392</v>
      </c>
      <c r="I90" s="2" t="str">
        <f t="shared" si="5"/>
        <v>Aug</v>
      </c>
      <c r="J90" s="2">
        <f t="shared" si="6"/>
        <v>8</v>
      </c>
      <c r="K90" s="2">
        <f t="shared" si="7"/>
        <v>2022</v>
      </c>
      <c r="L90" s="2">
        <f t="shared" si="8"/>
        <v>3</v>
      </c>
      <c r="M90" s="6">
        <v>0</v>
      </c>
      <c r="N90" s="6" t="s">
        <v>385</v>
      </c>
      <c r="O90" s="6" t="s">
        <v>97</v>
      </c>
      <c r="P90" s="7">
        <v>220015</v>
      </c>
      <c r="Q90" s="7">
        <v>201842</v>
      </c>
      <c r="R90" s="6" t="s">
        <v>393</v>
      </c>
      <c r="S90" s="6" t="s">
        <v>28</v>
      </c>
      <c r="T90" s="6">
        <v>79.7</v>
      </c>
      <c r="U90" s="6" t="s">
        <v>47</v>
      </c>
      <c r="V90" s="6" t="s">
        <v>286</v>
      </c>
      <c r="W90" s="67" t="str">
        <f t="shared" si="9"/>
        <v>Customer</v>
      </c>
    </row>
    <row r="91" spans="1:23" x14ac:dyDescent="0.3">
      <c r="A91" s="4" t="s">
        <v>394</v>
      </c>
      <c r="B91" s="4" t="s">
        <v>395</v>
      </c>
      <c r="C91" s="4">
        <v>9690936560</v>
      </c>
      <c r="D91" s="4" t="s">
        <v>59</v>
      </c>
      <c r="E91" s="4" t="s">
        <v>41</v>
      </c>
      <c r="F91" s="4" t="s">
        <v>151</v>
      </c>
      <c r="G91" s="4" t="s">
        <v>87</v>
      </c>
      <c r="H91" s="4" t="s">
        <v>396</v>
      </c>
      <c r="I91" s="2" t="str">
        <f t="shared" si="5"/>
        <v>Aug</v>
      </c>
      <c r="J91" s="2">
        <f t="shared" si="6"/>
        <v>8</v>
      </c>
      <c r="K91" s="2">
        <f t="shared" si="7"/>
        <v>2022</v>
      </c>
      <c r="L91" s="2">
        <f t="shared" si="8"/>
        <v>3</v>
      </c>
      <c r="M91" s="4">
        <v>5</v>
      </c>
      <c r="N91" s="4" t="s">
        <v>398</v>
      </c>
      <c r="O91" s="4" t="s">
        <v>27</v>
      </c>
      <c r="P91" s="5">
        <v>205120</v>
      </c>
      <c r="Q91" s="4"/>
      <c r="R91" s="4"/>
      <c r="S91" s="4" t="s">
        <v>5819</v>
      </c>
      <c r="T91" s="4">
        <v>43.2</v>
      </c>
      <c r="U91" s="4" t="s">
        <v>47</v>
      </c>
      <c r="V91" s="4"/>
      <c r="W91" s="67" t="str">
        <f t="shared" si="9"/>
        <v>-</v>
      </c>
    </row>
    <row r="92" spans="1:23" x14ac:dyDescent="0.3">
      <c r="A92" s="2" t="s">
        <v>399</v>
      </c>
      <c r="B92" s="2" t="s">
        <v>400</v>
      </c>
      <c r="C92" s="2">
        <v>9656931857</v>
      </c>
      <c r="D92" s="2" t="s">
        <v>59</v>
      </c>
      <c r="E92" s="2" t="s">
        <v>33</v>
      </c>
      <c r="F92" s="2" t="s">
        <v>201</v>
      </c>
      <c r="G92" s="2" t="s">
        <v>23</v>
      </c>
      <c r="H92" s="2" t="s">
        <v>397</v>
      </c>
      <c r="I92" s="2" t="str">
        <f t="shared" si="5"/>
        <v>Aug</v>
      </c>
      <c r="J92" s="2">
        <f t="shared" si="6"/>
        <v>8</v>
      </c>
      <c r="K92" s="2">
        <f t="shared" si="7"/>
        <v>2022</v>
      </c>
      <c r="L92" s="2">
        <f t="shared" si="8"/>
        <v>3</v>
      </c>
      <c r="M92" s="2">
        <v>5</v>
      </c>
      <c r="N92" s="2" t="s">
        <v>401</v>
      </c>
      <c r="O92" s="2" t="s">
        <v>27</v>
      </c>
      <c r="P92" s="3">
        <v>383754</v>
      </c>
      <c r="Q92" s="2"/>
      <c r="R92" s="2"/>
      <c r="S92" s="2" t="s">
        <v>28</v>
      </c>
      <c r="T92" s="2">
        <v>51.2</v>
      </c>
      <c r="U92" s="2" t="s">
        <v>29</v>
      </c>
      <c r="V92" s="2" t="s">
        <v>118</v>
      </c>
      <c r="W92" s="67" t="str">
        <f t="shared" si="9"/>
        <v>-</v>
      </c>
    </row>
    <row r="93" spans="1:23" x14ac:dyDescent="0.3">
      <c r="A93" s="4" t="s">
        <v>402</v>
      </c>
      <c r="B93" s="4" t="s">
        <v>403</v>
      </c>
      <c r="C93" s="4">
        <v>9765436255</v>
      </c>
      <c r="D93" s="4" t="s">
        <v>20</v>
      </c>
      <c r="E93" s="4" t="s">
        <v>41</v>
      </c>
      <c r="F93" s="4" t="s">
        <v>92</v>
      </c>
      <c r="G93" s="4" t="s">
        <v>87</v>
      </c>
      <c r="H93" s="4" t="s">
        <v>385</v>
      </c>
      <c r="I93" s="2" t="str">
        <f t="shared" si="5"/>
        <v>Aug</v>
      </c>
      <c r="J93" s="2">
        <f t="shared" si="6"/>
        <v>8</v>
      </c>
      <c r="K93" s="2">
        <f t="shared" si="7"/>
        <v>2022</v>
      </c>
      <c r="L93" s="2">
        <f t="shared" si="8"/>
        <v>3</v>
      </c>
      <c r="M93" s="4">
        <v>3</v>
      </c>
      <c r="N93" s="4" t="s">
        <v>404</v>
      </c>
      <c r="O93" s="4" t="s">
        <v>45</v>
      </c>
      <c r="P93" s="5">
        <v>66734</v>
      </c>
      <c r="Q93" s="4"/>
      <c r="R93" s="4"/>
      <c r="S93" s="4" t="s">
        <v>5819</v>
      </c>
      <c r="T93" s="4">
        <v>58</v>
      </c>
      <c r="U93" s="4" t="s">
        <v>47</v>
      </c>
      <c r="V93" s="4" t="s">
        <v>137</v>
      </c>
      <c r="W93" s="67" t="str">
        <f t="shared" si="9"/>
        <v>-</v>
      </c>
    </row>
    <row r="94" spans="1:23" x14ac:dyDescent="0.3">
      <c r="A94" s="2" t="s">
        <v>405</v>
      </c>
      <c r="B94" s="2" t="s">
        <v>406</v>
      </c>
      <c r="C94" s="2">
        <v>9726360971</v>
      </c>
      <c r="D94" s="2" t="s">
        <v>20</v>
      </c>
      <c r="E94" s="2" t="s">
        <v>67</v>
      </c>
      <c r="F94" s="2" t="s">
        <v>68</v>
      </c>
      <c r="G94" s="2" t="s">
        <v>87</v>
      </c>
      <c r="H94" s="2" t="s">
        <v>388</v>
      </c>
      <c r="I94" s="2" t="str">
        <f t="shared" si="5"/>
        <v>Aug</v>
      </c>
      <c r="J94" s="2">
        <f t="shared" si="6"/>
        <v>8</v>
      </c>
      <c r="K94" s="2">
        <f t="shared" si="7"/>
        <v>2022</v>
      </c>
      <c r="L94" s="2">
        <f t="shared" si="8"/>
        <v>3</v>
      </c>
      <c r="M94" s="2">
        <v>0</v>
      </c>
      <c r="N94" s="2" t="s">
        <v>408</v>
      </c>
      <c r="O94" s="2" t="s">
        <v>27</v>
      </c>
      <c r="P94" s="3">
        <v>99612</v>
      </c>
      <c r="Q94" s="2"/>
      <c r="R94" s="2"/>
      <c r="S94" s="2" t="s">
        <v>5819</v>
      </c>
      <c r="T94" s="2">
        <v>85.1</v>
      </c>
      <c r="U94" s="2" t="s">
        <v>29</v>
      </c>
      <c r="V94" s="2" t="s">
        <v>163</v>
      </c>
      <c r="W94" s="67" t="str">
        <f t="shared" si="9"/>
        <v>-</v>
      </c>
    </row>
    <row r="95" spans="1:23" x14ac:dyDescent="0.3">
      <c r="A95" s="4" t="s">
        <v>409</v>
      </c>
      <c r="B95" s="4" t="s">
        <v>410</v>
      </c>
      <c r="C95" s="4">
        <v>9975903641</v>
      </c>
      <c r="D95" s="4" t="s">
        <v>20</v>
      </c>
      <c r="E95" s="4" t="s">
        <v>109</v>
      </c>
      <c r="F95" s="4" t="s">
        <v>110</v>
      </c>
      <c r="G95" s="4" t="s">
        <v>52</v>
      </c>
      <c r="H95" s="4" t="s">
        <v>407</v>
      </c>
      <c r="I95" s="2" t="str">
        <f t="shared" si="5"/>
        <v>Aug</v>
      </c>
      <c r="J95" s="2">
        <f t="shared" si="6"/>
        <v>8</v>
      </c>
      <c r="K95" s="2">
        <f t="shared" si="7"/>
        <v>2022</v>
      </c>
      <c r="L95" s="2">
        <f t="shared" si="8"/>
        <v>3</v>
      </c>
      <c r="M95" s="4">
        <v>3</v>
      </c>
      <c r="N95" s="4" t="s">
        <v>411</v>
      </c>
      <c r="O95" s="4" t="s">
        <v>27</v>
      </c>
      <c r="P95" s="5">
        <v>267156</v>
      </c>
      <c r="Q95" s="4"/>
      <c r="R95" s="4"/>
      <c r="S95" s="4" t="s">
        <v>5819</v>
      </c>
      <c r="T95" s="4">
        <v>51.7</v>
      </c>
      <c r="U95" s="4" t="s">
        <v>29</v>
      </c>
      <c r="V95" s="4" t="s">
        <v>30</v>
      </c>
      <c r="W95" s="67" t="str">
        <f t="shared" si="9"/>
        <v>-</v>
      </c>
    </row>
    <row r="96" spans="1:23" x14ac:dyDescent="0.3">
      <c r="A96" s="2" t="s">
        <v>412</v>
      </c>
      <c r="B96" s="2" t="s">
        <v>413</v>
      </c>
      <c r="C96" s="2">
        <v>9419561201</v>
      </c>
      <c r="D96" s="2" t="s">
        <v>121</v>
      </c>
      <c r="E96" s="2" t="s">
        <v>109</v>
      </c>
      <c r="F96" s="2" t="s">
        <v>331</v>
      </c>
      <c r="G96" s="2" t="s">
        <v>52</v>
      </c>
      <c r="H96" s="2" t="s">
        <v>407</v>
      </c>
      <c r="I96" s="2" t="str">
        <f t="shared" si="5"/>
        <v>Aug</v>
      </c>
      <c r="J96" s="2">
        <f t="shared" si="6"/>
        <v>8</v>
      </c>
      <c r="K96" s="2">
        <f t="shared" si="7"/>
        <v>2022</v>
      </c>
      <c r="L96" s="2">
        <f t="shared" si="8"/>
        <v>3</v>
      </c>
      <c r="M96" s="2">
        <v>1</v>
      </c>
      <c r="N96" s="2" t="s">
        <v>414</v>
      </c>
      <c r="O96" s="2" t="s">
        <v>27</v>
      </c>
      <c r="P96" s="3">
        <v>314483</v>
      </c>
      <c r="Q96" s="2"/>
      <c r="R96" s="2"/>
      <c r="S96" s="2" t="s">
        <v>5819</v>
      </c>
      <c r="T96" s="2">
        <v>29.8</v>
      </c>
      <c r="U96" s="2" t="s">
        <v>29</v>
      </c>
      <c r="V96" s="2" t="s">
        <v>163</v>
      </c>
      <c r="W96" s="67" t="str">
        <f t="shared" si="9"/>
        <v>-</v>
      </c>
    </row>
    <row r="97" spans="1:23" x14ac:dyDescent="0.3">
      <c r="A97" s="4" t="s">
        <v>415</v>
      </c>
      <c r="B97" s="4" t="s">
        <v>416</v>
      </c>
      <c r="C97" s="4">
        <v>9352889019</v>
      </c>
      <c r="D97" s="4" t="s">
        <v>59</v>
      </c>
      <c r="E97" s="4" t="s">
        <v>109</v>
      </c>
      <c r="F97" s="4" t="s">
        <v>217</v>
      </c>
      <c r="G97" s="4" t="s">
        <v>87</v>
      </c>
      <c r="H97" s="4" t="s">
        <v>408</v>
      </c>
      <c r="I97" s="2" t="str">
        <f t="shared" si="5"/>
        <v>Sep</v>
      </c>
      <c r="J97" s="2">
        <f t="shared" si="6"/>
        <v>9</v>
      </c>
      <c r="K97" s="2">
        <f t="shared" si="7"/>
        <v>2022</v>
      </c>
      <c r="L97" s="2">
        <f t="shared" si="8"/>
        <v>3</v>
      </c>
      <c r="M97" s="4">
        <v>2</v>
      </c>
      <c r="N97" s="4" t="s">
        <v>417</v>
      </c>
      <c r="O97" s="4" t="s">
        <v>62</v>
      </c>
      <c r="P97" s="5">
        <v>250444</v>
      </c>
      <c r="Q97" s="4"/>
      <c r="R97" s="4"/>
      <c r="S97" s="4" t="s">
        <v>28</v>
      </c>
      <c r="T97" s="4">
        <v>22.6</v>
      </c>
      <c r="U97" s="4" t="s">
        <v>47</v>
      </c>
      <c r="V97" s="4" t="s">
        <v>302</v>
      </c>
      <c r="W97" s="67" t="str">
        <f t="shared" si="9"/>
        <v>-</v>
      </c>
    </row>
    <row r="98" spans="1:23" x14ac:dyDescent="0.3">
      <c r="A98" s="2" t="s">
        <v>418</v>
      </c>
      <c r="B98" s="2" t="s">
        <v>419</v>
      </c>
      <c r="C98" s="2">
        <v>9335287540</v>
      </c>
      <c r="D98" s="2" t="s">
        <v>59</v>
      </c>
      <c r="E98" s="2" t="s">
        <v>41</v>
      </c>
      <c r="F98" s="2" t="s">
        <v>92</v>
      </c>
      <c r="G98" s="2" t="s">
        <v>52</v>
      </c>
      <c r="H98" s="2" t="s">
        <v>420</v>
      </c>
      <c r="I98" s="2" t="str">
        <f t="shared" si="5"/>
        <v>Sep</v>
      </c>
      <c r="J98" s="2">
        <f t="shared" si="6"/>
        <v>9</v>
      </c>
      <c r="K98" s="2">
        <f t="shared" si="7"/>
        <v>2022</v>
      </c>
      <c r="L98" s="2">
        <f t="shared" si="8"/>
        <v>3</v>
      </c>
      <c r="M98" s="2">
        <v>0</v>
      </c>
      <c r="N98" s="2" t="s">
        <v>417</v>
      </c>
      <c r="O98" s="2" t="s">
        <v>45</v>
      </c>
      <c r="P98" s="3">
        <v>147196</v>
      </c>
      <c r="Q98" s="2"/>
      <c r="R98" s="2"/>
      <c r="S98" s="2" t="s">
        <v>28</v>
      </c>
      <c r="T98" s="2">
        <v>89.1</v>
      </c>
      <c r="U98" s="2" t="s">
        <v>47</v>
      </c>
      <c r="V98" s="2" t="s">
        <v>212</v>
      </c>
      <c r="W98" s="67" t="str">
        <f t="shared" si="9"/>
        <v>-</v>
      </c>
    </row>
    <row r="99" spans="1:23" x14ac:dyDescent="0.3">
      <c r="A99" s="4" t="s">
        <v>421</v>
      </c>
      <c r="B99" s="4" t="s">
        <v>422</v>
      </c>
      <c r="C99" s="4">
        <v>9596474925</v>
      </c>
      <c r="D99" s="4" t="s">
        <v>121</v>
      </c>
      <c r="E99" s="4" t="s">
        <v>33</v>
      </c>
      <c r="F99" s="4" t="s">
        <v>201</v>
      </c>
      <c r="G99" s="4" t="s">
        <v>69</v>
      </c>
      <c r="H99" s="4" t="s">
        <v>423</v>
      </c>
      <c r="I99" s="2" t="str">
        <f t="shared" si="5"/>
        <v>Sep</v>
      </c>
      <c r="J99" s="2">
        <f t="shared" si="6"/>
        <v>9</v>
      </c>
      <c r="K99" s="2">
        <f t="shared" si="7"/>
        <v>2022</v>
      </c>
      <c r="L99" s="2">
        <f t="shared" si="8"/>
        <v>3</v>
      </c>
      <c r="M99" s="4">
        <v>3</v>
      </c>
      <c r="N99" s="4" t="s">
        <v>424</v>
      </c>
      <c r="O99" s="4" t="s">
        <v>45</v>
      </c>
      <c r="P99" s="5">
        <v>194018</v>
      </c>
      <c r="Q99" s="4"/>
      <c r="R99" s="4"/>
      <c r="S99" s="4" t="s">
        <v>5819</v>
      </c>
      <c r="T99" s="4">
        <v>11</v>
      </c>
      <c r="U99" s="4" t="s">
        <v>47</v>
      </c>
      <c r="V99" s="4"/>
      <c r="W99" s="67" t="str">
        <f t="shared" si="9"/>
        <v>-</v>
      </c>
    </row>
    <row r="100" spans="1:23" x14ac:dyDescent="0.3">
      <c r="A100" s="2" t="s">
        <v>425</v>
      </c>
      <c r="B100" s="2" t="s">
        <v>426</v>
      </c>
      <c r="C100" s="2">
        <v>9253824712</v>
      </c>
      <c r="D100" s="2" t="s">
        <v>59</v>
      </c>
      <c r="E100" s="2" t="s">
        <v>33</v>
      </c>
      <c r="F100" s="2" t="s">
        <v>201</v>
      </c>
      <c r="G100" s="2" t="s">
        <v>35</v>
      </c>
      <c r="H100" s="2" t="s">
        <v>417</v>
      </c>
      <c r="I100" s="2" t="str">
        <f t="shared" si="5"/>
        <v>Sep</v>
      </c>
      <c r="J100" s="2">
        <f t="shared" si="6"/>
        <v>9</v>
      </c>
      <c r="K100" s="2">
        <f t="shared" si="7"/>
        <v>2022</v>
      </c>
      <c r="L100" s="2">
        <f t="shared" si="8"/>
        <v>3</v>
      </c>
      <c r="M100" s="2">
        <v>5</v>
      </c>
      <c r="N100" s="2" t="s">
        <v>427</v>
      </c>
      <c r="O100" s="2" t="s">
        <v>27</v>
      </c>
      <c r="P100" s="3">
        <v>223239</v>
      </c>
      <c r="Q100" s="2"/>
      <c r="R100" s="2"/>
      <c r="S100" s="2" t="s">
        <v>5819</v>
      </c>
      <c r="T100" s="2">
        <v>34.700000000000003</v>
      </c>
      <c r="U100" s="2" t="s">
        <v>29</v>
      </c>
      <c r="V100" s="2" t="s">
        <v>238</v>
      </c>
      <c r="W100" s="67" t="str">
        <f t="shared" si="9"/>
        <v>-</v>
      </c>
    </row>
    <row r="101" spans="1:23" x14ac:dyDescent="0.3">
      <c r="A101" s="4" t="s">
        <v>428</v>
      </c>
      <c r="B101" s="4" t="s">
        <v>216</v>
      </c>
      <c r="C101" s="4">
        <v>9922301213</v>
      </c>
      <c r="D101" s="4" t="s">
        <v>20</v>
      </c>
      <c r="E101" s="4" t="s">
        <v>33</v>
      </c>
      <c r="F101" s="4" t="s">
        <v>34</v>
      </c>
      <c r="G101" s="4" t="s">
        <v>23</v>
      </c>
      <c r="H101" s="4" t="s">
        <v>417</v>
      </c>
      <c r="I101" s="2" t="str">
        <f t="shared" si="5"/>
        <v>Sep</v>
      </c>
      <c r="J101" s="2">
        <f t="shared" si="6"/>
        <v>9</v>
      </c>
      <c r="K101" s="2">
        <f t="shared" si="7"/>
        <v>2022</v>
      </c>
      <c r="L101" s="2">
        <f t="shared" si="8"/>
        <v>3</v>
      </c>
      <c r="M101" s="4">
        <v>2</v>
      </c>
      <c r="N101" s="4" t="s">
        <v>429</v>
      </c>
      <c r="O101" s="4" t="s">
        <v>27</v>
      </c>
      <c r="P101" s="5">
        <v>283239</v>
      </c>
      <c r="Q101" s="4"/>
      <c r="R101" s="4"/>
      <c r="S101" s="4" t="s">
        <v>5819</v>
      </c>
      <c r="T101" s="4">
        <v>12.2</v>
      </c>
      <c r="U101" s="4" t="s">
        <v>29</v>
      </c>
      <c r="V101" s="4" t="s">
        <v>123</v>
      </c>
      <c r="W101" s="67" t="str">
        <f t="shared" si="9"/>
        <v>-</v>
      </c>
    </row>
    <row r="102" spans="1:23" x14ac:dyDescent="0.3">
      <c r="A102" s="2" t="s">
        <v>430</v>
      </c>
      <c r="B102" s="2" t="s">
        <v>431</v>
      </c>
      <c r="C102" s="2">
        <v>9989889367</v>
      </c>
      <c r="D102" s="2" t="s">
        <v>59</v>
      </c>
      <c r="E102" s="2" t="s">
        <v>109</v>
      </c>
      <c r="F102" s="2" t="s">
        <v>110</v>
      </c>
      <c r="G102" s="2" t="s">
        <v>69</v>
      </c>
      <c r="H102" s="2" t="s">
        <v>398</v>
      </c>
      <c r="I102" s="2" t="str">
        <f t="shared" si="5"/>
        <v>Sep</v>
      </c>
      <c r="J102" s="2">
        <f t="shared" si="6"/>
        <v>9</v>
      </c>
      <c r="K102" s="2">
        <f t="shared" si="7"/>
        <v>2022</v>
      </c>
      <c r="L102" s="2">
        <f t="shared" si="8"/>
        <v>3</v>
      </c>
      <c r="M102" s="2">
        <v>2</v>
      </c>
      <c r="N102" s="2" t="s">
        <v>424</v>
      </c>
      <c r="O102" s="2" t="s">
        <v>62</v>
      </c>
      <c r="P102" s="3">
        <v>148021</v>
      </c>
      <c r="Q102" s="2"/>
      <c r="R102" s="2"/>
      <c r="S102" s="2" t="s">
        <v>5819</v>
      </c>
      <c r="T102" s="2">
        <v>53.3</v>
      </c>
      <c r="U102" s="2" t="s">
        <v>47</v>
      </c>
      <c r="V102" s="2" t="s">
        <v>174</v>
      </c>
      <c r="W102" s="67" t="str">
        <f t="shared" si="9"/>
        <v>-</v>
      </c>
    </row>
    <row r="103" spans="1:23" x14ac:dyDescent="0.3">
      <c r="A103" s="4" t="s">
        <v>433</v>
      </c>
      <c r="B103" s="4" t="s">
        <v>229</v>
      </c>
      <c r="C103" s="4">
        <v>9737742679</v>
      </c>
      <c r="D103" s="4" t="s">
        <v>20</v>
      </c>
      <c r="E103" s="4" t="s">
        <v>33</v>
      </c>
      <c r="F103" s="4" t="s">
        <v>34</v>
      </c>
      <c r="G103" s="4" t="s">
        <v>52</v>
      </c>
      <c r="H103" s="4" t="s">
        <v>434</v>
      </c>
      <c r="I103" s="2" t="str">
        <f t="shared" si="5"/>
        <v>Sep</v>
      </c>
      <c r="J103" s="2">
        <f t="shared" si="6"/>
        <v>9</v>
      </c>
      <c r="K103" s="2">
        <f t="shared" si="7"/>
        <v>2022</v>
      </c>
      <c r="L103" s="2">
        <f t="shared" si="8"/>
        <v>3</v>
      </c>
      <c r="M103" s="4">
        <v>0</v>
      </c>
      <c r="N103" s="4" t="s">
        <v>435</v>
      </c>
      <c r="O103" s="4" t="s">
        <v>27</v>
      </c>
      <c r="P103" s="5">
        <v>224694</v>
      </c>
      <c r="Q103" s="4"/>
      <c r="R103" s="4"/>
      <c r="S103" s="4" t="s">
        <v>5819</v>
      </c>
      <c r="T103" s="4">
        <v>16.2</v>
      </c>
      <c r="U103" s="4" t="s">
        <v>29</v>
      </c>
      <c r="V103" s="4"/>
      <c r="W103" s="67" t="str">
        <f t="shared" si="9"/>
        <v>-</v>
      </c>
    </row>
    <row r="104" spans="1:23" x14ac:dyDescent="0.3">
      <c r="A104" s="2" t="s">
        <v>436</v>
      </c>
      <c r="B104" s="2" t="s">
        <v>437</v>
      </c>
      <c r="C104" s="2"/>
      <c r="D104" s="2" t="s">
        <v>121</v>
      </c>
      <c r="E104" s="2" t="s">
        <v>67</v>
      </c>
      <c r="F104" s="2" t="s">
        <v>68</v>
      </c>
      <c r="G104" s="2" t="s">
        <v>52</v>
      </c>
      <c r="H104" s="2" t="s">
        <v>432</v>
      </c>
      <c r="I104" s="2" t="str">
        <f t="shared" si="5"/>
        <v>Sep</v>
      </c>
      <c r="J104" s="2">
        <f t="shared" si="6"/>
        <v>9</v>
      </c>
      <c r="K104" s="2">
        <f t="shared" si="7"/>
        <v>2022</v>
      </c>
      <c r="L104" s="2">
        <f t="shared" si="8"/>
        <v>3</v>
      </c>
      <c r="M104" s="2">
        <v>1</v>
      </c>
      <c r="N104" s="2" t="s">
        <v>438</v>
      </c>
      <c r="O104" s="2" t="s">
        <v>55</v>
      </c>
      <c r="P104" s="3">
        <v>157929</v>
      </c>
      <c r="Q104" s="2"/>
      <c r="R104" s="2"/>
      <c r="S104" s="2" t="s">
        <v>28</v>
      </c>
      <c r="T104" s="2">
        <v>82.6</v>
      </c>
      <c r="U104" s="2" t="s">
        <v>29</v>
      </c>
      <c r="V104" s="2" t="s">
        <v>439</v>
      </c>
      <c r="W104" s="67" t="str">
        <f t="shared" si="9"/>
        <v>-</v>
      </c>
    </row>
    <row r="105" spans="1:23" x14ac:dyDescent="0.3">
      <c r="A105" s="4" t="s">
        <v>440</v>
      </c>
      <c r="B105" s="4" t="s">
        <v>441</v>
      </c>
      <c r="C105" s="4">
        <v>9996382881</v>
      </c>
      <c r="D105" s="4" t="s">
        <v>59</v>
      </c>
      <c r="E105" s="4" t="s">
        <v>67</v>
      </c>
      <c r="F105" s="4" t="s">
        <v>80</v>
      </c>
      <c r="G105" s="4" t="s">
        <v>52</v>
      </c>
      <c r="H105" s="4" t="s">
        <v>432</v>
      </c>
      <c r="I105" s="2" t="str">
        <f t="shared" si="5"/>
        <v>Sep</v>
      </c>
      <c r="J105" s="2">
        <f t="shared" si="6"/>
        <v>9</v>
      </c>
      <c r="K105" s="2">
        <f t="shared" si="7"/>
        <v>2022</v>
      </c>
      <c r="L105" s="2">
        <f t="shared" si="8"/>
        <v>3</v>
      </c>
      <c r="M105" s="4">
        <v>4</v>
      </c>
      <c r="N105" s="4" t="s">
        <v>438</v>
      </c>
      <c r="O105" s="4" t="s">
        <v>45</v>
      </c>
      <c r="P105" s="5">
        <v>439457</v>
      </c>
      <c r="Q105" s="4"/>
      <c r="R105" s="4"/>
      <c r="S105" s="4" t="s">
        <v>28</v>
      </c>
      <c r="T105" s="4">
        <v>16.7</v>
      </c>
      <c r="U105" s="4" t="s">
        <v>29</v>
      </c>
      <c r="V105" s="4" t="s">
        <v>442</v>
      </c>
      <c r="W105" s="67" t="str">
        <f t="shared" si="9"/>
        <v>-</v>
      </c>
    </row>
    <row r="106" spans="1:23" x14ac:dyDescent="0.3">
      <c r="A106" s="2" t="s">
        <v>443</v>
      </c>
      <c r="B106" s="2" t="s">
        <v>444</v>
      </c>
      <c r="C106" s="2">
        <v>9126373949</v>
      </c>
      <c r="D106" s="2" t="s">
        <v>20</v>
      </c>
      <c r="E106" s="2" t="s">
        <v>33</v>
      </c>
      <c r="F106" s="2" t="s">
        <v>34</v>
      </c>
      <c r="G106" s="2" t="s">
        <v>23</v>
      </c>
      <c r="H106" s="2" t="s">
        <v>435</v>
      </c>
      <c r="I106" s="2" t="str">
        <f t="shared" si="5"/>
        <v>Oct</v>
      </c>
      <c r="J106" s="2">
        <f t="shared" si="6"/>
        <v>10</v>
      </c>
      <c r="K106" s="2">
        <f t="shared" si="7"/>
        <v>2022</v>
      </c>
      <c r="L106" s="2">
        <f t="shared" si="8"/>
        <v>4</v>
      </c>
      <c r="M106" s="2">
        <v>5</v>
      </c>
      <c r="N106" s="2" t="s">
        <v>445</v>
      </c>
      <c r="O106" s="2" t="s">
        <v>27</v>
      </c>
      <c r="P106" s="3">
        <v>420197</v>
      </c>
      <c r="Q106" s="2"/>
      <c r="R106" s="2"/>
      <c r="S106" s="2" t="s">
        <v>5819</v>
      </c>
      <c r="T106" s="2">
        <v>46.1</v>
      </c>
      <c r="U106" s="2" t="s">
        <v>29</v>
      </c>
      <c r="V106" s="2" t="s">
        <v>163</v>
      </c>
      <c r="W106" s="67" t="str">
        <f t="shared" si="9"/>
        <v>-</v>
      </c>
    </row>
    <row r="107" spans="1:23" x14ac:dyDescent="0.3">
      <c r="A107" s="4" t="s">
        <v>446</v>
      </c>
      <c r="B107" s="4" t="s">
        <v>447</v>
      </c>
      <c r="C107" s="4">
        <v>9427124037</v>
      </c>
      <c r="D107" s="4" t="s">
        <v>59</v>
      </c>
      <c r="E107" s="4" t="s">
        <v>33</v>
      </c>
      <c r="F107" s="4" t="s">
        <v>34</v>
      </c>
      <c r="G107" s="4" t="s">
        <v>23</v>
      </c>
      <c r="H107" s="4" t="s">
        <v>448</v>
      </c>
      <c r="I107" s="2" t="str">
        <f t="shared" si="5"/>
        <v>Oct</v>
      </c>
      <c r="J107" s="2">
        <f t="shared" si="6"/>
        <v>10</v>
      </c>
      <c r="K107" s="2">
        <f t="shared" si="7"/>
        <v>2022</v>
      </c>
      <c r="L107" s="2">
        <f t="shared" si="8"/>
        <v>4</v>
      </c>
      <c r="M107" s="4">
        <v>4</v>
      </c>
      <c r="N107" s="4" t="s">
        <v>450</v>
      </c>
      <c r="O107" s="4" t="s">
        <v>27</v>
      </c>
      <c r="P107" s="5">
        <v>312152</v>
      </c>
      <c r="Q107" s="4"/>
      <c r="R107" s="4"/>
      <c r="S107" s="4" t="s">
        <v>5819</v>
      </c>
      <c r="T107" s="4">
        <v>91</v>
      </c>
      <c r="U107" s="4" t="s">
        <v>29</v>
      </c>
      <c r="V107" s="4"/>
      <c r="W107" s="67" t="str">
        <f t="shared" si="9"/>
        <v>-</v>
      </c>
    </row>
    <row r="108" spans="1:23" x14ac:dyDescent="0.3">
      <c r="A108" s="2" t="s">
        <v>451</v>
      </c>
      <c r="B108" s="2" t="s">
        <v>452</v>
      </c>
      <c r="C108" s="2">
        <v>9388258432</v>
      </c>
      <c r="D108" s="2" t="s">
        <v>20</v>
      </c>
      <c r="E108" s="2" t="s">
        <v>73</v>
      </c>
      <c r="F108" s="2" t="s">
        <v>126</v>
      </c>
      <c r="G108" s="2" t="s">
        <v>23</v>
      </c>
      <c r="H108" s="2" t="s">
        <v>448</v>
      </c>
      <c r="I108" s="2" t="str">
        <f t="shared" si="5"/>
        <v>Oct</v>
      </c>
      <c r="J108" s="2">
        <f t="shared" si="6"/>
        <v>10</v>
      </c>
      <c r="K108" s="2">
        <f t="shared" si="7"/>
        <v>2022</v>
      </c>
      <c r="L108" s="2">
        <f t="shared" si="8"/>
        <v>4</v>
      </c>
      <c r="M108" s="2">
        <v>2</v>
      </c>
      <c r="N108" s="2" t="s">
        <v>453</v>
      </c>
      <c r="O108" s="2" t="s">
        <v>55</v>
      </c>
      <c r="P108" s="3">
        <v>486944</v>
      </c>
      <c r="Q108" s="2"/>
      <c r="R108" s="2"/>
      <c r="S108" s="2" t="s">
        <v>28</v>
      </c>
      <c r="T108" s="2">
        <v>24.3</v>
      </c>
      <c r="U108" s="2" t="s">
        <v>29</v>
      </c>
      <c r="V108" s="2" t="s">
        <v>454</v>
      </c>
      <c r="W108" s="67" t="str">
        <f t="shared" si="9"/>
        <v>-</v>
      </c>
    </row>
    <row r="109" spans="1:23" x14ac:dyDescent="0.3">
      <c r="A109" s="4" t="s">
        <v>455</v>
      </c>
      <c r="B109" s="4" t="s">
        <v>456</v>
      </c>
      <c r="C109" s="4">
        <v>9682115008</v>
      </c>
      <c r="D109" s="4" t="s">
        <v>59</v>
      </c>
      <c r="E109" s="4" t="s">
        <v>73</v>
      </c>
      <c r="F109" s="4" t="s">
        <v>126</v>
      </c>
      <c r="G109" s="4" t="s">
        <v>87</v>
      </c>
      <c r="H109" s="4" t="s">
        <v>449</v>
      </c>
      <c r="I109" s="2" t="str">
        <f t="shared" si="5"/>
        <v>Oct</v>
      </c>
      <c r="J109" s="2">
        <f t="shared" si="6"/>
        <v>10</v>
      </c>
      <c r="K109" s="2">
        <f t="shared" si="7"/>
        <v>2022</v>
      </c>
      <c r="L109" s="2">
        <f t="shared" si="8"/>
        <v>4</v>
      </c>
      <c r="M109" s="4">
        <v>1</v>
      </c>
      <c r="N109" s="4" t="s">
        <v>457</v>
      </c>
      <c r="O109" s="4" t="s">
        <v>27</v>
      </c>
      <c r="P109" s="5">
        <v>156085</v>
      </c>
      <c r="Q109" s="4"/>
      <c r="R109" s="4"/>
      <c r="S109" s="4" t="s">
        <v>5819</v>
      </c>
      <c r="T109" s="4">
        <v>21.1</v>
      </c>
      <c r="U109" s="4" t="s">
        <v>29</v>
      </c>
      <c r="V109" s="4" t="s">
        <v>163</v>
      </c>
      <c r="W109" s="67" t="str">
        <f t="shared" si="9"/>
        <v>-</v>
      </c>
    </row>
    <row r="110" spans="1:23" x14ac:dyDescent="0.3">
      <c r="A110" s="2" t="s">
        <v>458</v>
      </c>
      <c r="B110" s="2" t="s">
        <v>459</v>
      </c>
      <c r="C110" s="2">
        <v>9795752405</v>
      </c>
      <c r="D110" s="2" t="s">
        <v>121</v>
      </c>
      <c r="E110" s="2" t="s">
        <v>67</v>
      </c>
      <c r="F110" s="2" t="s">
        <v>80</v>
      </c>
      <c r="G110" s="2" t="s">
        <v>60</v>
      </c>
      <c r="H110" s="2" t="s">
        <v>429</v>
      </c>
      <c r="I110" s="2" t="str">
        <f t="shared" si="5"/>
        <v>Oct</v>
      </c>
      <c r="J110" s="2">
        <f t="shared" si="6"/>
        <v>10</v>
      </c>
      <c r="K110" s="2">
        <f t="shared" si="7"/>
        <v>2022</v>
      </c>
      <c r="L110" s="2">
        <f t="shared" si="8"/>
        <v>4</v>
      </c>
      <c r="M110" s="2">
        <v>0</v>
      </c>
      <c r="N110" s="2" t="s">
        <v>460</v>
      </c>
      <c r="O110" s="2" t="s">
        <v>45</v>
      </c>
      <c r="P110" s="3">
        <v>85961</v>
      </c>
      <c r="Q110" s="2"/>
      <c r="R110" s="2"/>
      <c r="S110" s="2" t="s">
        <v>28</v>
      </c>
      <c r="T110" s="2">
        <v>46.7</v>
      </c>
      <c r="U110" s="2" t="s">
        <v>47</v>
      </c>
      <c r="V110" s="2" t="s">
        <v>302</v>
      </c>
      <c r="W110" s="67" t="str">
        <f t="shared" si="9"/>
        <v>-</v>
      </c>
    </row>
    <row r="111" spans="1:23" x14ac:dyDescent="0.3">
      <c r="A111" s="6" t="s">
        <v>461</v>
      </c>
      <c r="B111" s="6" t="s">
        <v>462</v>
      </c>
      <c r="C111" s="6">
        <v>9727099478</v>
      </c>
      <c r="D111" s="6" t="s">
        <v>59</v>
      </c>
      <c r="E111" s="6" t="s">
        <v>109</v>
      </c>
      <c r="F111" s="6" t="s">
        <v>217</v>
      </c>
      <c r="G111" s="6" t="s">
        <v>60</v>
      </c>
      <c r="H111" s="6" t="s">
        <v>460</v>
      </c>
      <c r="I111" s="2" t="str">
        <f t="shared" si="5"/>
        <v>Oct</v>
      </c>
      <c r="J111" s="2">
        <f t="shared" si="6"/>
        <v>10</v>
      </c>
      <c r="K111" s="2">
        <f t="shared" si="7"/>
        <v>2022</v>
      </c>
      <c r="L111" s="2">
        <f t="shared" si="8"/>
        <v>4</v>
      </c>
      <c r="M111" s="6">
        <v>0</v>
      </c>
      <c r="N111" s="6" t="s">
        <v>457</v>
      </c>
      <c r="O111" s="6" t="s">
        <v>97</v>
      </c>
      <c r="P111" s="7">
        <v>123975</v>
      </c>
      <c r="Q111" s="7">
        <v>117749</v>
      </c>
      <c r="R111" s="6" t="s">
        <v>464</v>
      </c>
      <c r="S111" s="6" t="s">
        <v>5819</v>
      </c>
      <c r="T111" s="6">
        <v>24.3</v>
      </c>
      <c r="U111" s="6" t="s">
        <v>63</v>
      </c>
      <c r="V111" s="6" t="s">
        <v>465</v>
      </c>
      <c r="W111" s="67" t="str">
        <f t="shared" si="9"/>
        <v>Customer</v>
      </c>
    </row>
    <row r="112" spans="1:23" x14ac:dyDescent="0.3">
      <c r="A112" s="2" t="s">
        <v>466</v>
      </c>
      <c r="B112" s="2" t="s">
        <v>467</v>
      </c>
      <c r="C112" s="2">
        <v>9939638591</v>
      </c>
      <c r="D112" s="2" t="s">
        <v>59</v>
      </c>
      <c r="E112" s="2" t="s">
        <v>41</v>
      </c>
      <c r="F112" s="2" t="s">
        <v>151</v>
      </c>
      <c r="G112" s="2" t="s">
        <v>87</v>
      </c>
      <c r="H112" s="2" t="s">
        <v>463</v>
      </c>
      <c r="I112" s="2" t="str">
        <f t="shared" si="5"/>
        <v>Oct</v>
      </c>
      <c r="J112" s="2">
        <f t="shared" si="6"/>
        <v>10</v>
      </c>
      <c r="K112" s="2">
        <f t="shared" si="7"/>
        <v>2022</v>
      </c>
      <c r="L112" s="2">
        <f t="shared" si="8"/>
        <v>4</v>
      </c>
      <c r="M112" s="2">
        <v>5</v>
      </c>
      <c r="N112" s="2" t="s">
        <v>468</v>
      </c>
      <c r="O112" s="2" t="s">
        <v>27</v>
      </c>
      <c r="P112" s="3">
        <v>183358</v>
      </c>
      <c r="Q112" s="2"/>
      <c r="R112" s="2"/>
      <c r="S112" s="2" t="s">
        <v>28</v>
      </c>
      <c r="T112" s="2">
        <v>93.2</v>
      </c>
      <c r="U112" s="2" t="s">
        <v>29</v>
      </c>
      <c r="V112" s="2" t="s">
        <v>157</v>
      </c>
      <c r="W112" s="67" t="str">
        <f t="shared" si="9"/>
        <v>-</v>
      </c>
    </row>
    <row r="113" spans="1:23" x14ac:dyDescent="0.3">
      <c r="A113" s="4" t="s">
        <v>469</v>
      </c>
      <c r="B113" s="4" t="s">
        <v>470</v>
      </c>
      <c r="C113" s="4">
        <v>9330635563</v>
      </c>
      <c r="D113" s="4" t="s">
        <v>121</v>
      </c>
      <c r="E113" s="4" t="s">
        <v>73</v>
      </c>
      <c r="F113" s="4" t="s">
        <v>126</v>
      </c>
      <c r="G113" s="4" t="s">
        <v>52</v>
      </c>
      <c r="H113" s="4" t="s">
        <v>463</v>
      </c>
      <c r="I113" s="2" t="str">
        <f t="shared" si="5"/>
        <v>Oct</v>
      </c>
      <c r="J113" s="2">
        <f t="shared" si="6"/>
        <v>10</v>
      </c>
      <c r="K113" s="2">
        <f t="shared" si="7"/>
        <v>2022</v>
      </c>
      <c r="L113" s="2">
        <f t="shared" si="8"/>
        <v>4</v>
      </c>
      <c r="M113" s="4">
        <v>4</v>
      </c>
      <c r="N113" s="4" t="s">
        <v>471</v>
      </c>
      <c r="O113" s="4" t="s">
        <v>45</v>
      </c>
      <c r="P113" s="5">
        <v>217016</v>
      </c>
      <c r="Q113" s="4"/>
      <c r="R113" s="4"/>
      <c r="S113" s="4" t="s">
        <v>5819</v>
      </c>
      <c r="T113" s="4">
        <v>72.400000000000006</v>
      </c>
      <c r="U113" s="4" t="s">
        <v>47</v>
      </c>
      <c r="V113" s="4"/>
      <c r="W113" s="67" t="str">
        <f t="shared" si="9"/>
        <v>-</v>
      </c>
    </row>
    <row r="114" spans="1:23" x14ac:dyDescent="0.3">
      <c r="A114" s="2" t="s">
        <v>472</v>
      </c>
      <c r="B114" s="2" t="s">
        <v>473</v>
      </c>
      <c r="C114" s="2">
        <v>9184846271</v>
      </c>
      <c r="D114" s="2" t="s">
        <v>20</v>
      </c>
      <c r="E114" s="2" t="s">
        <v>67</v>
      </c>
      <c r="F114" s="2" t="s">
        <v>68</v>
      </c>
      <c r="G114" s="2" t="s">
        <v>23</v>
      </c>
      <c r="H114" s="2" t="s">
        <v>474</v>
      </c>
      <c r="I114" s="2" t="str">
        <f t="shared" si="5"/>
        <v>Oct</v>
      </c>
      <c r="J114" s="2">
        <f t="shared" si="6"/>
        <v>10</v>
      </c>
      <c r="K114" s="2">
        <f t="shared" si="7"/>
        <v>2022</v>
      </c>
      <c r="L114" s="2">
        <f t="shared" si="8"/>
        <v>4</v>
      </c>
      <c r="M114" s="2">
        <v>2</v>
      </c>
      <c r="N114" s="2" t="s">
        <v>475</v>
      </c>
      <c r="O114" s="2" t="s">
        <v>62</v>
      </c>
      <c r="P114" s="3">
        <v>339446</v>
      </c>
      <c r="Q114" s="2"/>
      <c r="R114" s="2"/>
      <c r="S114" s="2" t="s">
        <v>5819</v>
      </c>
      <c r="T114" s="2">
        <v>27.7</v>
      </c>
      <c r="U114" s="2" t="s">
        <v>47</v>
      </c>
      <c r="V114" s="2" t="s">
        <v>381</v>
      </c>
      <c r="W114" s="67" t="str">
        <f t="shared" si="9"/>
        <v>-</v>
      </c>
    </row>
    <row r="115" spans="1:23" x14ac:dyDescent="0.3">
      <c r="A115" s="6" t="s">
        <v>476</v>
      </c>
      <c r="B115" s="6" t="s">
        <v>477</v>
      </c>
      <c r="C115" s="6">
        <v>9360642799</v>
      </c>
      <c r="D115" s="6" t="s">
        <v>108</v>
      </c>
      <c r="E115" s="6" t="s">
        <v>109</v>
      </c>
      <c r="F115" s="6" t="s">
        <v>217</v>
      </c>
      <c r="G115" s="6" t="s">
        <v>60</v>
      </c>
      <c r="H115" s="6" t="s">
        <v>474</v>
      </c>
      <c r="I115" s="2" t="str">
        <f t="shared" si="5"/>
        <v>Oct</v>
      </c>
      <c r="J115" s="2">
        <f t="shared" si="6"/>
        <v>10</v>
      </c>
      <c r="K115" s="2">
        <f t="shared" si="7"/>
        <v>2022</v>
      </c>
      <c r="L115" s="2">
        <f t="shared" si="8"/>
        <v>4</v>
      </c>
      <c r="M115" s="6">
        <v>2</v>
      </c>
      <c r="N115" s="6" t="s">
        <v>475</v>
      </c>
      <c r="O115" s="6" t="s">
        <v>97</v>
      </c>
      <c r="P115" s="7">
        <v>162917</v>
      </c>
      <c r="Q115" s="7">
        <v>155960</v>
      </c>
      <c r="R115" s="6" t="s">
        <v>478</v>
      </c>
      <c r="S115" s="6" t="s">
        <v>5819</v>
      </c>
      <c r="T115" s="6">
        <v>76.599999999999994</v>
      </c>
      <c r="U115" s="6" t="s">
        <v>63</v>
      </c>
      <c r="V115" s="6" t="s">
        <v>170</v>
      </c>
      <c r="W115" s="67" t="str">
        <f t="shared" si="9"/>
        <v>Customer</v>
      </c>
    </row>
    <row r="116" spans="1:23" x14ac:dyDescent="0.3">
      <c r="A116" s="6" t="s">
        <v>479</v>
      </c>
      <c r="B116" s="6" t="s">
        <v>480</v>
      </c>
      <c r="C116" s="6">
        <v>9807233980</v>
      </c>
      <c r="D116" s="6" t="s">
        <v>59</v>
      </c>
      <c r="E116" s="6" t="s">
        <v>33</v>
      </c>
      <c r="F116" s="6" t="s">
        <v>102</v>
      </c>
      <c r="G116" s="6" t="s">
        <v>69</v>
      </c>
      <c r="H116" s="6" t="s">
        <v>474</v>
      </c>
      <c r="I116" s="2" t="str">
        <f t="shared" si="5"/>
        <v>Oct</v>
      </c>
      <c r="J116" s="2">
        <f t="shared" si="6"/>
        <v>10</v>
      </c>
      <c r="K116" s="2">
        <f t="shared" si="7"/>
        <v>2022</v>
      </c>
      <c r="L116" s="2">
        <f t="shared" si="8"/>
        <v>4</v>
      </c>
      <c r="M116" s="6">
        <v>3</v>
      </c>
      <c r="N116" s="6" t="s">
        <v>481</v>
      </c>
      <c r="O116" s="6" t="s">
        <v>97</v>
      </c>
      <c r="P116" s="7">
        <v>263981</v>
      </c>
      <c r="Q116" s="7">
        <v>251667</v>
      </c>
      <c r="R116" s="6" t="s">
        <v>482</v>
      </c>
      <c r="S116" s="6" t="s">
        <v>28</v>
      </c>
      <c r="T116" s="6">
        <v>80.8</v>
      </c>
      <c r="U116" s="6" t="s">
        <v>63</v>
      </c>
      <c r="V116" s="6" t="s">
        <v>483</v>
      </c>
      <c r="W116" s="67" t="str">
        <f t="shared" si="9"/>
        <v>Customer</v>
      </c>
    </row>
    <row r="117" spans="1:23" x14ac:dyDescent="0.3">
      <c r="A117" s="4" t="s">
        <v>484</v>
      </c>
      <c r="B117" s="4" t="s">
        <v>485</v>
      </c>
      <c r="C117" s="4">
        <v>9794710793</v>
      </c>
      <c r="D117" s="4" t="s">
        <v>20</v>
      </c>
      <c r="E117" s="4" t="s">
        <v>73</v>
      </c>
      <c r="F117" s="4" t="s">
        <v>126</v>
      </c>
      <c r="G117" s="4" t="s">
        <v>69</v>
      </c>
      <c r="H117" s="4" t="s">
        <v>474</v>
      </c>
      <c r="I117" s="2" t="str">
        <f t="shared" si="5"/>
        <v>Oct</v>
      </c>
      <c r="J117" s="2">
        <f t="shared" si="6"/>
        <v>10</v>
      </c>
      <c r="K117" s="2">
        <f t="shared" si="7"/>
        <v>2022</v>
      </c>
      <c r="L117" s="2">
        <f t="shared" si="8"/>
        <v>4</v>
      </c>
      <c r="M117" s="4">
        <v>1</v>
      </c>
      <c r="N117" s="4" t="s">
        <v>486</v>
      </c>
      <c r="O117" s="4" t="s">
        <v>45</v>
      </c>
      <c r="P117" s="5">
        <v>278131</v>
      </c>
      <c r="Q117" s="4"/>
      <c r="R117" s="4"/>
      <c r="S117" s="4" t="s">
        <v>5819</v>
      </c>
      <c r="T117" s="4">
        <v>63.4</v>
      </c>
      <c r="U117" s="4" t="s">
        <v>47</v>
      </c>
      <c r="V117" s="4" t="s">
        <v>487</v>
      </c>
      <c r="W117" s="67" t="str">
        <f t="shared" si="9"/>
        <v>-</v>
      </c>
    </row>
    <row r="118" spans="1:23" x14ac:dyDescent="0.3">
      <c r="A118" s="2" t="s">
        <v>488</v>
      </c>
      <c r="B118" s="2" t="s">
        <v>489</v>
      </c>
      <c r="C118" s="2">
        <v>9105578324</v>
      </c>
      <c r="D118" s="2" t="s">
        <v>20</v>
      </c>
      <c r="E118" s="2" t="s">
        <v>67</v>
      </c>
      <c r="F118" s="2" t="s">
        <v>68</v>
      </c>
      <c r="G118" s="2" t="s">
        <v>23</v>
      </c>
      <c r="H118" s="2" t="s">
        <v>450</v>
      </c>
      <c r="I118" s="2" t="str">
        <f t="shared" si="5"/>
        <v>Oct</v>
      </c>
      <c r="J118" s="2">
        <f t="shared" si="6"/>
        <v>10</v>
      </c>
      <c r="K118" s="2">
        <f t="shared" si="7"/>
        <v>2022</v>
      </c>
      <c r="L118" s="2">
        <f t="shared" si="8"/>
        <v>4</v>
      </c>
      <c r="M118" s="2">
        <v>3</v>
      </c>
      <c r="N118" s="2" t="s">
        <v>490</v>
      </c>
      <c r="O118" s="2" t="s">
        <v>62</v>
      </c>
      <c r="P118" s="3">
        <v>328456</v>
      </c>
      <c r="Q118" s="2"/>
      <c r="R118" s="2"/>
      <c r="S118" s="2" t="s">
        <v>28</v>
      </c>
      <c r="T118" s="2">
        <v>76.599999999999994</v>
      </c>
      <c r="U118" s="2" t="s">
        <v>47</v>
      </c>
      <c r="V118" s="2"/>
      <c r="W118" s="67" t="str">
        <f t="shared" si="9"/>
        <v>-</v>
      </c>
    </row>
    <row r="119" spans="1:23" x14ac:dyDescent="0.3">
      <c r="A119" s="4" t="s">
        <v>491</v>
      </c>
      <c r="B119" s="4" t="s">
        <v>492</v>
      </c>
      <c r="C119" s="4">
        <v>9807901168</v>
      </c>
      <c r="D119" s="4" t="s">
        <v>108</v>
      </c>
      <c r="E119" s="4" t="s">
        <v>33</v>
      </c>
      <c r="F119" s="4" t="s">
        <v>201</v>
      </c>
      <c r="G119" s="4" t="s">
        <v>35</v>
      </c>
      <c r="H119" s="4" t="s">
        <v>450</v>
      </c>
      <c r="I119" s="2" t="str">
        <f t="shared" si="5"/>
        <v>Oct</v>
      </c>
      <c r="J119" s="2">
        <f t="shared" si="6"/>
        <v>10</v>
      </c>
      <c r="K119" s="2">
        <f t="shared" si="7"/>
        <v>2022</v>
      </c>
      <c r="L119" s="2">
        <f t="shared" si="8"/>
        <v>4</v>
      </c>
      <c r="M119" s="4">
        <v>4</v>
      </c>
      <c r="N119" s="4" t="s">
        <v>478</v>
      </c>
      <c r="O119" s="4" t="s">
        <v>27</v>
      </c>
      <c r="P119" s="5">
        <v>93045</v>
      </c>
      <c r="Q119" s="4"/>
      <c r="R119" s="4"/>
      <c r="S119" s="4" t="s">
        <v>5819</v>
      </c>
      <c r="T119" s="4">
        <v>51.5</v>
      </c>
      <c r="U119" s="4" t="s">
        <v>47</v>
      </c>
      <c r="V119" s="4" t="s">
        <v>30</v>
      </c>
      <c r="W119" s="67" t="str">
        <f t="shared" si="9"/>
        <v>-</v>
      </c>
    </row>
    <row r="120" spans="1:23" x14ac:dyDescent="0.3">
      <c r="A120" s="6" t="s">
        <v>493</v>
      </c>
      <c r="B120" s="6" t="s">
        <v>494</v>
      </c>
      <c r="C120" s="6">
        <v>9393482659</v>
      </c>
      <c r="D120" s="6" t="s">
        <v>51</v>
      </c>
      <c r="E120" s="6" t="s">
        <v>33</v>
      </c>
      <c r="F120" s="6" t="s">
        <v>102</v>
      </c>
      <c r="G120" s="6" t="s">
        <v>69</v>
      </c>
      <c r="H120" s="6" t="s">
        <v>457</v>
      </c>
      <c r="I120" s="2" t="str">
        <f t="shared" si="5"/>
        <v>Oct</v>
      </c>
      <c r="J120" s="2">
        <f t="shared" si="6"/>
        <v>10</v>
      </c>
      <c r="K120" s="2">
        <f t="shared" si="7"/>
        <v>2022</v>
      </c>
      <c r="L120" s="2">
        <f t="shared" si="8"/>
        <v>4</v>
      </c>
      <c r="M120" s="6">
        <v>4</v>
      </c>
      <c r="N120" s="6" t="s">
        <v>496</v>
      </c>
      <c r="O120" s="6" t="s">
        <v>97</v>
      </c>
      <c r="P120" s="7">
        <v>240302</v>
      </c>
      <c r="Q120" s="7">
        <v>212774</v>
      </c>
      <c r="R120" s="6" t="s">
        <v>497</v>
      </c>
      <c r="S120" s="6" t="s">
        <v>28</v>
      </c>
      <c r="T120" s="6">
        <v>12.8</v>
      </c>
      <c r="U120" s="6" t="s">
        <v>63</v>
      </c>
      <c r="V120" s="6"/>
      <c r="W120" s="67" t="str">
        <f t="shared" si="9"/>
        <v>Customer</v>
      </c>
    </row>
    <row r="121" spans="1:23" x14ac:dyDescent="0.3">
      <c r="A121" s="4" t="s">
        <v>498</v>
      </c>
      <c r="B121" s="4" t="s">
        <v>499</v>
      </c>
      <c r="C121" s="4">
        <v>9525880424</v>
      </c>
      <c r="D121" s="4" t="s">
        <v>59</v>
      </c>
      <c r="E121" s="4" t="s">
        <v>41</v>
      </c>
      <c r="F121" s="4" t="s">
        <v>151</v>
      </c>
      <c r="G121" s="4" t="s">
        <v>87</v>
      </c>
      <c r="H121" s="4" t="s">
        <v>457</v>
      </c>
      <c r="I121" s="2" t="str">
        <f t="shared" si="5"/>
        <v>Oct</v>
      </c>
      <c r="J121" s="2">
        <f t="shared" si="6"/>
        <v>10</v>
      </c>
      <c r="K121" s="2">
        <f t="shared" si="7"/>
        <v>2022</v>
      </c>
      <c r="L121" s="2">
        <f t="shared" si="8"/>
        <v>4</v>
      </c>
      <c r="M121" s="4">
        <v>3</v>
      </c>
      <c r="N121" s="4" t="s">
        <v>475</v>
      </c>
      <c r="O121" s="4" t="s">
        <v>45</v>
      </c>
      <c r="P121" s="5">
        <v>169869</v>
      </c>
      <c r="Q121" s="4"/>
      <c r="R121" s="4"/>
      <c r="S121" s="4" t="s">
        <v>5819</v>
      </c>
      <c r="T121" s="4">
        <v>90.3</v>
      </c>
      <c r="U121" s="4" t="s">
        <v>63</v>
      </c>
      <c r="V121" s="4" t="s">
        <v>260</v>
      </c>
      <c r="W121" s="67" t="str">
        <f t="shared" si="9"/>
        <v>-</v>
      </c>
    </row>
    <row r="122" spans="1:23" x14ac:dyDescent="0.3">
      <c r="A122" s="6" t="s">
        <v>500</v>
      </c>
      <c r="B122" s="6" t="s">
        <v>501</v>
      </c>
      <c r="C122" s="6">
        <v>9421346113</v>
      </c>
      <c r="D122" s="6" t="s">
        <v>59</v>
      </c>
      <c r="E122" s="6" t="s">
        <v>109</v>
      </c>
      <c r="F122" s="6" t="s">
        <v>217</v>
      </c>
      <c r="G122" s="6" t="s">
        <v>60</v>
      </c>
      <c r="H122" s="6" t="s">
        <v>457</v>
      </c>
      <c r="I122" s="2" t="str">
        <f t="shared" si="5"/>
        <v>Oct</v>
      </c>
      <c r="J122" s="2">
        <f t="shared" si="6"/>
        <v>10</v>
      </c>
      <c r="K122" s="2">
        <f t="shared" si="7"/>
        <v>2022</v>
      </c>
      <c r="L122" s="2">
        <f t="shared" si="8"/>
        <v>4</v>
      </c>
      <c r="M122" s="6">
        <v>2</v>
      </c>
      <c r="N122" s="6" t="s">
        <v>495</v>
      </c>
      <c r="O122" s="6" t="s">
        <v>97</v>
      </c>
      <c r="P122" s="7">
        <v>201831</v>
      </c>
      <c r="Q122" s="7">
        <v>184229</v>
      </c>
      <c r="R122" s="6" t="s">
        <v>471</v>
      </c>
      <c r="S122" s="6" t="s">
        <v>5819</v>
      </c>
      <c r="T122" s="6">
        <v>56.7</v>
      </c>
      <c r="U122" s="6" t="s">
        <v>47</v>
      </c>
      <c r="V122" s="6" t="s">
        <v>243</v>
      </c>
      <c r="W122" s="67" t="str">
        <f t="shared" si="9"/>
        <v>Customer</v>
      </c>
    </row>
    <row r="123" spans="1:23" x14ac:dyDescent="0.3">
      <c r="A123" s="4" t="s">
        <v>502</v>
      </c>
      <c r="B123" s="4" t="s">
        <v>503</v>
      </c>
      <c r="C123" s="4">
        <v>9792463878</v>
      </c>
      <c r="D123" s="4" t="s">
        <v>59</v>
      </c>
      <c r="E123" s="4" t="s">
        <v>33</v>
      </c>
      <c r="F123" s="4" t="s">
        <v>102</v>
      </c>
      <c r="G123" s="4" t="s">
        <v>69</v>
      </c>
      <c r="H123" s="4" t="s">
        <v>504</v>
      </c>
      <c r="I123" s="2" t="str">
        <f t="shared" si="5"/>
        <v>Oct</v>
      </c>
      <c r="J123" s="2">
        <f t="shared" si="6"/>
        <v>10</v>
      </c>
      <c r="K123" s="2">
        <f t="shared" si="7"/>
        <v>2022</v>
      </c>
      <c r="L123" s="2">
        <f t="shared" si="8"/>
        <v>4</v>
      </c>
      <c r="M123" s="4">
        <v>1</v>
      </c>
      <c r="N123" s="4" t="s">
        <v>486</v>
      </c>
      <c r="O123" s="4" t="s">
        <v>62</v>
      </c>
      <c r="P123" s="5">
        <v>148447</v>
      </c>
      <c r="Q123" s="4"/>
      <c r="R123" s="4"/>
      <c r="S123" s="4" t="s">
        <v>28</v>
      </c>
      <c r="T123" s="4">
        <v>11.1</v>
      </c>
      <c r="U123" s="4" t="s">
        <v>47</v>
      </c>
      <c r="V123" s="4" t="s">
        <v>89</v>
      </c>
      <c r="W123" s="67" t="str">
        <f t="shared" si="9"/>
        <v>-</v>
      </c>
    </row>
    <row r="124" spans="1:23" x14ac:dyDescent="0.3">
      <c r="A124" s="2" t="s">
        <v>505</v>
      </c>
      <c r="B124" s="2" t="s">
        <v>506</v>
      </c>
      <c r="C124" s="2">
        <v>9297438548</v>
      </c>
      <c r="D124" s="2" t="s">
        <v>108</v>
      </c>
      <c r="E124" s="2" t="s">
        <v>41</v>
      </c>
      <c r="F124" s="2" t="s">
        <v>42</v>
      </c>
      <c r="G124" s="2" t="s">
        <v>23</v>
      </c>
      <c r="H124" s="2" t="s">
        <v>427</v>
      </c>
      <c r="I124" s="2" t="str">
        <f t="shared" si="5"/>
        <v>Oct</v>
      </c>
      <c r="J124" s="2">
        <f t="shared" si="6"/>
        <v>10</v>
      </c>
      <c r="K124" s="2">
        <f t="shared" si="7"/>
        <v>2022</v>
      </c>
      <c r="L124" s="2">
        <f t="shared" si="8"/>
        <v>4</v>
      </c>
      <c r="M124" s="2">
        <v>3</v>
      </c>
      <c r="N124" s="2" t="s">
        <v>507</v>
      </c>
      <c r="O124" s="2" t="s">
        <v>45</v>
      </c>
      <c r="P124" s="3">
        <v>331316</v>
      </c>
      <c r="Q124" s="2"/>
      <c r="R124" s="2"/>
      <c r="S124" s="2" t="s">
        <v>5819</v>
      </c>
      <c r="T124" s="2">
        <v>76.7</v>
      </c>
      <c r="U124" s="2" t="s">
        <v>47</v>
      </c>
      <c r="V124" s="2" t="s">
        <v>183</v>
      </c>
      <c r="W124" s="67" t="str">
        <f t="shared" si="9"/>
        <v>-</v>
      </c>
    </row>
    <row r="125" spans="1:23" x14ac:dyDescent="0.3">
      <c r="A125" s="4" t="s">
        <v>508</v>
      </c>
      <c r="B125" s="4" t="s">
        <v>509</v>
      </c>
      <c r="C125" s="4">
        <v>9499264207</v>
      </c>
      <c r="D125" s="4" t="s">
        <v>59</v>
      </c>
      <c r="E125" s="4" t="s">
        <v>33</v>
      </c>
      <c r="F125" s="4" t="s">
        <v>34</v>
      </c>
      <c r="G125" s="4" t="s">
        <v>23</v>
      </c>
      <c r="H125" s="4" t="s">
        <v>510</v>
      </c>
      <c r="I125" s="2" t="str">
        <f t="shared" si="5"/>
        <v>Nov</v>
      </c>
      <c r="J125" s="2">
        <f t="shared" si="6"/>
        <v>11</v>
      </c>
      <c r="K125" s="2">
        <f t="shared" si="7"/>
        <v>2022</v>
      </c>
      <c r="L125" s="2">
        <f t="shared" si="8"/>
        <v>4</v>
      </c>
      <c r="M125" s="4">
        <v>2</v>
      </c>
      <c r="N125" s="4" t="s">
        <v>490</v>
      </c>
      <c r="O125" s="4" t="s">
        <v>27</v>
      </c>
      <c r="P125" s="5">
        <v>593175</v>
      </c>
      <c r="Q125" s="4"/>
      <c r="R125" s="4"/>
      <c r="S125" s="4" t="s">
        <v>5819</v>
      </c>
      <c r="T125" s="4">
        <v>85.4</v>
      </c>
      <c r="U125" s="4" t="s">
        <v>29</v>
      </c>
      <c r="V125" s="4" t="s">
        <v>238</v>
      </c>
      <c r="W125" s="67" t="str">
        <f t="shared" si="9"/>
        <v>-</v>
      </c>
    </row>
    <row r="126" spans="1:23" x14ac:dyDescent="0.3">
      <c r="A126" s="2" t="s">
        <v>511</v>
      </c>
      <c r="B126" s="2" t="s">
        <v>512</v>
      </c>
      <c r="C126" s="2">
        <v>9905407446</v>
      </c>
      <c r="D126" s="2" t="s">
        <v>121</v>
      </c>
      <c r="E126" s="2" t="s">
        <v>109</v>
      </c>
      <c r="F126" s="2" t="s">
        <v>331</v>
      </c>
      <c r="G126" s="2" t="s">
        <v>52</v>
      </c>
      <c r="H126" s="2" t="s">
        <v>464</v>
      </c>
      <c r="I126" s="2" t="str">
        <f t="shared" si="5"/>
        <v>Nov</v>
      </c>
      <c r="J126" s="2">
        <f t="shared" si="6"/>
        <v>11</v>
      </c>
      <c r="K126" s="2">
        <f t="shared" si="7"/>
        <v>2022</v>
      </c>
      <c r="L126" s="2">
        <f t="shared" si="8"/>
        <v>4</v>
      </c>
      <c r="M126" s="2">
        <v>5</v>
      </c>
      <c r="N126" s="2" t="s">
        <v>513</v>
      </c>
      <c r="O126" s="2" t="s">
        <v>27</v>
      </c>
      <c r="P126" s="3">
        <v>198573</v>
      </c>
      <c r="Q126" s="2"/>
      <c r="R126" s="2"/>
      <c r="S126" s="2" t="s">
        <v>28</v>
      </c>
      <c r="T126" s="2">
        <v>32</v>
      </c>
      <c r="U126" s="2" t="s">
        <v>29</v>
      </c>
      <c r="V126" s="2" t="s">
        <v>38</v>
      </c>
      <c r="W126" s="67" t="str">
        <f t="shared" si="9"/>
        <v>-</v>
      </c>
    </row>
    <row r="127" spans="1:23" x14ac:dyDescent="0.3">
      <c r="A127" s="4" t="s">
        <v>514</v>
      </c>
      <c r="B127" s="4" t="s">
        <v>515</v>
      </c>
      <c r="C127" s="4">
        <v>9276218805</v>
      </c>
      <c r="D127" s="4" t="s">
        <v>108</v>
      </c>
      <c r="E127" s="4" t="s">
        <v>33</v>
      </c>
      <c r="F127" s="4" t="s">
        <v>34</v>
      </c>
      <c r="G127" s="4" t="s">
        <v>52</v>
      </c>
      <c r="H127" s="4" t="s">
        <v>445</v>
      </c>
      <c r="I127" s="2" t="str">
        <f t="shared" si="5"/>
        <v>Nov</v>
      </c>
      <c r="J127" s="2">
        <f t="shared" si="6"/>
        <v>11</v>
      </c>
      <c r="K127" s="2">
        <f t="shared" si="7"/>
        <v>2022</v>
      </c>
      <c r="L127" s="2">
        <f t="shared" si="8"/>
        <v>4</v>
      </c>
      <c r="M127" s="4">
        <v>4</v>
      </c>
      <c r="N127" s="4" t="s">
        <v>482</v>
      </c>
      <c r="O127" s="4" t="s">
        <v>62</v>
      </c>
      <c r="P127" s="5">
        <v>281010</v>
      </c>
      <c r="Q127" s="4"/>
      <c r="R127" s="4"/>
      <c r="S127" s="4" t="s">
        <v>5819</v>
      </c>
      <c r="T127" s="4">
        <v>18</v>
      </c>
      <c r="U127" s="4" t="s">
        <v>47</v>
      </c>
      <c r="V127" s="4" t="s">
        <v>302</v>
      </c>
      <c r="W127" s="67" t="str">
        <f t="shared" si="9"/>
        <v>-</v>
      </c>
    </row>
    <row r="128" spans="1:23" x14ac:dyDescent="0.3">
      <c r="A128" s="2" t="s">
        <v>516</v>
      </c>
      <c r="B128" s="2" t="s">
        <v>517</v>
      </c>
      <c r="C128" s="2">
        <v>9874360740</v>
      </c>
      <c r="D128" s="2" t="s">
        <v>20</v>
      </c>
      <c r="E128" s="2" t="s">
        <v>33</v>
      </c>
      <c r="F128" s="2" t="s">
        <v>201</v>
      </c>
      <c r="G128" s="2" t="s">
        <v>23</v>
      </c>
      <c r="H128" s="2" t="s">
        <v>475</v>
      </c>
      <c r="I128" s="2" t="str">
        <f t="shared" si="5"/>
        <v>Nov</v>
      </c>
      <c r="J128" s="2">
        <f t="shared" si="6"/>
        <v>11</v>
      </c>
      <c r="K128" s="2">
        <f t="shared" si="7"/>
        <v>2022</v>
      </c>
      <c r="L128" s="2">
        <f t="shared" si="8"/>
        <v>4</v>
      </c>
      <c r="M128" s="2">
        <v>0</v>
      </c>
      <c r="N128" s="2" t="s">
        <v>481</v>
      </c>
      <c r="O128" s="2" t="s">
        <v>62</v>
      </c>
      <c r="P128" s="3">
        <v>446460</v>
      </c>
      <c r="Q128" s="2"/>
      <c r="R128" s="2"/>
      <c r="S128" s="2" t="s">
        <v>5819</v>
      </c>
      <c r="T128" s="2">
        <v>18.600000000000001</v>
      </c>
      <c r="U128" s="2" t="s">
        <v>63</v>
      </c>
      <c r="V128" s="2" t="s">
        <v>221</v>
      </c>
      <c r="W128" s="67" t="str">
        <f t="shared" si="9"/>
        <v>-</v>
      </c>
    </row>
    <row r="129" spans="1:23" x14ac:dyDescent="0.3">
      <c r="A129" s="4" t="s">
        <v>518</v>
      </c>
      <c r="B129" s="4" t="s">
        <v>519</v>
      </c>
      <c r="C129" s="4">
        <v>9493914829</v>
      </c>
      <c r="D129" s="4" t="s">
        <v>20</v>
      </c>
      <c r="E129" s="4" t="s">
        <v>33</v>
      </c>
      <c r="F129" s="4" t="s">
        <v>34</v>
      </c>
      <c r="G129" s="4" t="s">
        <v>87</v>
      </c>
      <c r="H129" s="4" t="s">
        <v>490</v>
      </c>
      <c r="I129" s="2" t="str">
        <f t="shared" si="5"/>
        <v>Nov</v>
      </c>
      <c r="J129" s="2">
        <f t="shared" si="6"/>
        <v>11</v>
      </c>
      <c r="K129" s="2">
        <f t="shared" si="7"/>
        <v>2022</v>
      </c>
      <c r="L129" s="2">
        <f t="shared" si="8"/>
        <v>4</v>
      </c>
      <c r="M129" s="4">
        <v>0</v>
      </c>
      <c r="N129" s="4" t="s">
        <v>481</v>
      </c>
      <c r="O129" s="4" t="s">
        <v>27</v>
      </c>
      <c r="P129" s="5">
        <v>63777</v>
      </c>
      <c r="Q129" s="4"/>
      <c r="R129" s="4"/>
      <c r="S129" s="4" t="s">
        <v>5819</v>
      </c>
      <c r="T129" s="4">
        <v>55.5</v>
      </c>
      <c r="U129" s="4" t="s">
        <v>29</v>
      </c>
      <c r="V129" s="4" t="s">
        <v>163</v>
      </c>
      <c r="W129" s="67" t="str">
        <f t="shared" si="9"/>
        <v>-</v>
      </c>
    </row>
    <row r="130" spans="1:23" x14ac:dyDescent="0.3">
      <c r="A130" s="2" t="s">
        <v>520</v>
      </c>
      <c r="B130" s="2" t="s">
        <v>521</v>
      </c>
      <c r="C130" s="2">
        <v>9844567935</v>
      </c>
      <c r="D130" s="2" t="s">
        <v>59</v>
      </c>
      <c r="E130" s="2" t="s">
        <v>33</v>
      </c>
      <c r="F130" s="2" t="s">
        <v>34</v>
      </c>
      <c r="G130" s="2" t="s">
        <v>52</v>
      </c>
      <c r="H130" s="2" t="s">
        <v>522</v>
      </c>
      <c r="I130" s="2" t="str">
        <f t="shared" ref="I130:I193" si="10">TEXT(H130,"mmm")</f>
        <v>Nov</v>
      </c>
      <c r="J130" s="2">
        <f t="shared" ref="J130:J193" si="11">MONTH(H130)</f>
        <v>11</v>
      </c>
      <c r="K130" s="2">
        <f t="shared" ref="K130:K193" si="12">YEAR(H130)</f>
        <v>2022</v>
      </c>
      <c r="L130" s="2">
        <f t="shared" ref="L130:L193" si="13">ROUNDUP(MONTH(H130)/3,0)</f>
        <v>4</v>
      </c>
      <c r="M130" s="2">
        <v>3</v>
      </c>
      <c r="N130" s="2" t="s">
        <v>523</v>
      </c>
      <c r="O130" s="2" t="s">
        <v>27</v>
      </c>
      <c r="P130" s="3">
        <v>306127</v>
      </c>
      <c r="Q130" s="2"/>
      <c r="R130" s="2"/>
      <c r="S130" s="2" t="s">
        <v>28</v>
      </c>
      <c r="T130" s="2">
        <v>59.7</v>
      </c>
      <c r="U130" s="2" t="s">
        <v>29</v>
      </c>
      <c r="V130" s="2" t="s">
        <v>157</v>
      </c>
      <c r="W130" s="67" t="str">
        <f t="shared" ref="W130:W193" si="14">IF($O130&lt;&gt;"Converted","-",IF(ISNUMBER(SEARCH("Architect",$F130)),"Architect","Customer"))</f>
        <v>-</v>
      </c>
    </row>
    <row r="131" spans="1:23" x14ac:dyDescent="0.3">
      <c r="A131" s="4" t="s">
        <v>524</v>
      </c>
      <c r="B131" s="4" t="s">
        <v>525</v>
      </c>
      <c r="C131" s="4">
        <v>9762888128</v>
      </c>
      <c r="D131" s="4" t="s">
        <v>108</v>
      </c>
      <c r="E131" s="4" t="s">
        <v>33</v>
      </c>
      <c r="F131" s="4" t="s">
        <v>201</v>
      </c>
      <c r="G131" s="4" t="s">
        <v>60</v>
      </c>
      <c r="H131" s="4" t="s">
        <v>522</v>
      </c>
      <c r="I131" s="2" t="str">
        <f t="shared" si="10"/>
        <v>Nov</v>
      </c>
      <c r="J131" s="2">
        <f t="shared" si="11"/>
        <v>11</v>
      </c>
      <c r="K131" s="2">
        <f t="shared" si="12"/>
        <v>2022</v>
      </c>
      <c r="L131" s="2">
        <f t="shared" si="13"/>
        <v>4</v>
      </c>
      <c r="M131" s="4">
        <v>0</v>
      </c>
      <c r="N131" s="4" t="s">
        <v>478</v>
      </c>
      <c r="O131" s="4" t="s">
        <v>27</v>
      </c>
      <c r="P131" s="5">
        <v>144044</v>
      </c>
      <c r="Q131" s="4"/>
      <c r="R131" s="4"/>
      <c r="S131" s="4" t="s">
        <v>5819</v>
      </c>
      <c r="T131" s="4">
        <v>41</v>
      </c>
      <c r="U131" s="4" t="s">
        <v>29</v>
      </c>
      <c r="V131" s="4" t="s">
        <v>238</v>
      </c>
      <c r="W131" s="67" t="str">
        <f t="shared" si="14"/>
        <v>-</v>
      </c>
    </row>
    <row r="132" spans="1:23" x14ac:dyDescent="0.3">
      <c r="A132" s="2" t="s">
        <v>526</v>
      </c>
      <c r="B132" s="2" t="s">
        <v>527</v>
      </c>
      <c r="C132" s="2">
        <v>9496287154</v>
      </c>
      <c r="D132" s="2" t="s">
        <v>108</v>
      </c>
      <c r="E132" s="2" t="s">
        <v>67</v>
      </c>
      <c r="F132" s="2" t="s">
        <v>68</v>
      </c>
      <c r="G132" s="2" t="s">
        <v>35</v>
      </c>
      <c r="H132" s="2" t="s">
        <v>522</v>
      </c>
      <c r="I132" s="2" t="str">
        <f t="shared" si="10"/>
        <v>Nov</v>
      </c>
      <c r="J132" s="2">
        <f t="shared" si="11"/>
        <v>11</v>
      </c>
      <c r="K132" s="2">
        <f t="shared" si="12"/>
        <v>2022</v>
      </c>
      <c r="L132" s="2">
        <f t="shared" si="13"/>
        <v>4</v>
      </c>
      <c r="M132" s="2"/>
      <c r="N132" s="2" t="s">
        <v>528</v>
      </c>
      <c r="O132" s="2" t="s">
        <v>45</v>
      </c>
      <c r="P132" s="3">
        <v>119678</v>
      </c>
      <c r="Q132" s="2"/>
      <c r="R132" s="2"/>
      <c r="S132" s="2" t="s">
        <v>28</v>
      </c>
      <c r="T132" s="2">
        <v>46.7</v>
      </c>
      <c r="U132" s="2" t="s">
        <v>47</v>
      </c>
      <c r="V132" s="2" t="s">
        <v>381</v>
      </c>
      <c r="W132" s="67" t="str">
        <f t="shared" si="14"/>
        <v>-</v>
      </c>
    </row>
    <row r="133" spans="1:23" x14ac:dyDescent="0.3">
      <c r="A133" s="4" t="s">
        <v>529</v>
      </c>
      <c r="B133" s="4" t="s">
        <v>530</v>
      </c>
      <c r="C133" s="4">
        <v>9176248559</v>
      </c>
      <c r="D133" s="4" t="s">
        <v>20</v>
      </c>
      <c r="E133" s="4" t="s">
        <v>109</v>
      </c>
      <c r="F133" s="4" t="s">
        <v>110</v>
      </c>
      <c r="G133" s="4" t="s">
        <v>60</v>
      </c>
      <c r="H133" s="4" t="s">
        <v>531</v>
      </c>
      <c r="I133" s="2" t="str">
        <f t="shared" si="10"/>
        <v>Nov</v>
      </c>
      <c r="J133" s="2">
        <f t="shared" si="11"/>
        <v>11</v>
      </c>
      <c r="K133" s="2">
        <f t="shared" si="12"/>
        <v>2022</v>
      </c>
      <c r="L133" s="2">
        <f t="shared" si="13"/>
        <v>4</v>
      </c>
      <c r="M133" s="4">
        <v>0</v>
      </c>
      <c r="N133" s="4" t="s">
        <v>532</v>
      </c>
      <c r="O133" s="4" t="s">
        <v>62</v>
      </c>
      <c r="P133" s="5">
        <v>105435</v>
      </c>
      <c r="Q133" s="4"/>
      <c r="R133" s="4"/>
      <c r="S133" s="4" t="s">
        <v>28</v>
      </c>
      <c r="T133" s="4">
        <v>91.9</v>
      </c>
      <c r="U133" s="4" t="s">
        <v>29</v>
      </c>
      <c r="V133" s="4" t="s">
        <v>206</v>
      </c>
      <c r="W133" s="67" t="str">
        <f t="shared" si="14"/>
        <v>-</v>
      </c>
    </row>
    <row r="134" spans="1:23" x14ac:dyDescent="0.3">
      <c r="A134" s="2" t="s">
        <v>533</v>
      </c>
      <c r="B134" s="2" t="s">
        <v>534</v>
      </c>
      <c r="C134" s="2">
        <v>9637997228</v>
      </c>
      <c r="D134" s="2" t="s">
        <v>59</v>
      </c>
      <c r="E134" s="2" t="s">
        <v>73</v>
      </c>
      <c r="F134" s="2" t="s">
        <v>74</v>
      </c>
      <c r="G134" s="2" t="s">
        <v>52</v>
      </c>
      <c r="H134" s="2" t="s">
        <v>507</v>
      </c>
      <c r="I134" s="2" t="str">
        <f t="shared" si="10"/>
        <v>Nov</v>
      </c>
      <c r="J134" s="2">
        <f t="shared" si="11"/>
        <v>11</v>
      </c>
      <c r="K134" s="2">
        <f t="shared" si="12"/>
        <v>2022</v>
      </c>
      <c r="L134" s="2">
        <f t="shared" si="13"/>
        <v>4</v>
      </c>
      <c r="M134" s="2">
        <v>3</v>
      </c>
      <c r="N134" s="2" t="s">
        <v>528</v>
      </c>
      <c r="O134" s="2" t="s">
        <v>62</v>
      </c>
      <c r="P134" s="3">
        <v>424429</v>
      </c>
      <c r="Q134" s="2"/>
      <c r="R134" s="2"/>
      <c r="S134" s="2" t="s">
        <v>28</v>
      </c>
      <c r="T134" s="2">
        <v>29.6</v>
      </c>
      <c r="U134" s="2" t="s">
        <v>63</v>
      </c>
      <c r="V134" s="2" t="s">
        <v>535</v>
      </c>
      <c r="W134" s="67" t="str">
        <f t="shared" si="14"/>
        <v>-</v>
      </c>
    </row>
    <row r="135" spans="1:23" x14ac:dyDescent="0.3">
      <c r="A135" s="4" t="s">
        <v>536</v>
      </c>
      <c r="B135" s="4" t="s">
        <v>537</v>
      </c>
      <c r="C135" s="4">
        <v>9569747059</v>
      </c>
      <c r="D135" s="4" t="s">
        <v>59</v>
      </c>
      <c r="E135" s="4" t="s">
        <v>33</v>
      </c>
      <c r="F135" s="4" t="s">
        <v>201</v>
      </c>
      <c r="G135" s="4" t="s">
        <v>52</v>
      </c>
      <c r="H135" s="4" t="s">
        <v>478</v>
      </c>
      <c r="I135" s="2" t="str">
        <f t="shared" si="10"/>
        <v>Nov</v>
      </c>
      <c r="J135" s="2">
        <f t="shared" si="11"/>
        <v>11</v>
      </c>
      <c r="K135" s="2">
        <f t="shared" si="12"/>
        <v>2022</v>
      </c>
      <c r="L135" s="2">
        <f t="shared" si="13"/>
        <v>4</v>
      </c>
      <c r="M135" s="4">
        <v>5</v>
      </c>
      <c r="N135" s="4" t="s">
        <v>538</v>
      </c>
      <c r="O135" s="4" t="s">
        <v>27</v>
      </c>
      <c r="P135" s="5">
        <v>169034</v>
      </c>
      <c r="Q135" s="4"/>
      <c r="R135" s="4"/>
      <c r="S135" s="4" t="s">
        <v>5819</v>
      </c>
      <c r="T135" s="4">
        <v>35.4</v>
      </c>
      <c r="U135" s="4" t="s">
        <v>47</v>
      </c>
      <c r="V135" s="4" t="s">
        <v>38</v>
      </c>
      <c r="W135" s="67" t="str">
        <f t="shared" si="14"/>
        <v>-</v>
      </c>
    </row>
    <row r="136" spans="1:23" x14ac:dyDescent="0.3">
      <c r="A136" s="2" t="s">
        <v>539</v>
      </c>
      <c r="B136" s="2" t="s">
        <v>540</v>
      </c>
      <c r="C136" s="2">
        <v>9236290703</v>
      </c>
      <c r="D136" s="2" t="s">
        <v>59</v>
      </c>
      <c r="E136" s="2" t="s">
        <v>109</v>
      </c>
      <c r="F136" s="2" t="s">
        <v>217</v>
      </c>
      <c r="G136" s="2" t="s">
        <v>23</v>
      </c>
      <c r="H136" s="2" t="s">
        <v>478</v>
      </c>
      <c r="I136" s="2" t="str">
        <f t="shared" si="10"/>
        <v>Nov</v>
      </c>
      <c r="J136" s="2">
        <f t="shared" si="11"/>
        <v>11</v>
      </c>
      <c r="K136" s="2">
        <f t="shared" si="12"/>
        <v>2022</v>
      </c>
      <c r="L136" s="2">
        <f t="shared" si="13"/>
        <v>4</v>
      </c>
      <c r="M136" s="2">
        <v>4</v>
      </c>
      <c r="N136" s="2" t="s">
        <v>541</v>
      </c>
      <c r="O136" s="2" t="s">
        <v>45</v>
      </c>
      <c r="P136" s="3">
        <v>578481</v>
      </c>
      <c r="Q136" s="2"/>
      <c r="R136" s="2"/>
      <c r="S136" s="2" t="s">
        <v>28</v>
      </c>
      <c r="T136" s="2">
        <v>7</v>
      </c>
      <c r="U136" s="2" t="s">
        <v>63</v>
      </c>
      <c r="V136" s="2" t="s">
        <v>535</v>
      </c>
      <c r="W136" s="67" t="str">
        <f t="shared" si="14"/>
        <v>-</v>
      </c>
    </row>
    <row r="137" spans="1:23" x14ac:dyDescent="0.3">
      <c r="A137" s="4" t="s">
        <v>542</v>
      </c>
      <c r="B137" s="4" t="s">
        <v>229</v>
      </c>
      <c r="C137" s="4">
        <v>9707890457</v>
      </c>
      <c r="D137" s="4" t="s">
        <v>121</v>
      </c>
      <c r="E137" s="4" t="s">
        <v>73</v>
      </c>
      <c r="F137" s="4" t="s">
        <v>126</v>
      </c>
      <c r="G137" s="4" t="s">
        <v>87</v>
      </c>
      <c r="H137" s="4" t="s">
        <v>496</v>
      </c>
      <c r="I137" s="2" t="str">
        <f t="shared" si="10"/>
        <v>Nov</v>
      </c>
      <c r="J137" s="2">
        <f t="shared" si="11"/>
        <v>11</v>
      </c>
      <c r="K137" s="2">
        <f t="shared" si="12"/>
        <v>2022</v>
      </c>
      <c r="L137" s="2">
        <f t="shared" si="13"/>
        <v>4</v>
      </c>
      <c r="M137" s="4">
        <v>2</v>
      </c>
      <c r="N137" s="4" t="s">
        <v>513</v>
      </c>
      <c r="O137" s="4" t="s">
        <v>62</v>
      </c>
      <c r="P137" s="5">
        <v>184617</v>
      </c>
      <c r="Q137" s="4"/>
      <c r="R137" s="4"/>
      <c r="S137" s="4" t="s">
        <v>28</v>
      </c>
      <c r="T137" s="4">
        <v>25.1</v>
      </c>
      <c r="U137" s="4" t="s">
        <v>47</v>
      </c>
      <c r="V137" s="4" t="s">
        <v>137</v>
      </c>
      <c r="W137" s="67" t="str">
        <f t="shared" si="14"/>
        <v>-</v>
      </c>
    </row>
    <row r="138" spans="1:23" x14ac:dyDescent="0.3">
      <c r="A138" s="6" t="s">
        <v>543</v>
      </c>
      <c r="B138" s="6" t="s">
        <v>544</v>
      </c>
      <c r="C138" s="6">
        <v>9553456129</v>
      </c>
      <c r="D138" s="6" t="s">
        <v>59</v>
      </c>
      <c r="E138" s="6" t="s">
        <v>33</v>
      </c>
      <c r="F138" s="6" t="s">
        <v>102</v>
      </c>
      <c r="G138" s="6" t="s">
        <v>60</v>
      </c>
      <c r="H138" s="6" t="s">
        <v>532</v>
      </c>
      <c r="I138" s="2" t="str">
        <f t="shared" si="10"/>
        <v>Nov</v>
      </c>
      <c r="J138" s="2">
        <f t="shared" si="11"/>
        <v>11</v>
      </c>
      <c r="K138" s="2">
        <f t="shared" si="12"/>
        <v>2022</v>
      </c>
      <c r="L138" s="2">
        <f t="shared" si="13"/>
        <v>4</v>
      </c>
      <c r="M138" s="6">
        <v>3</v>
      </c>
      <c r="N138" s="6" t="s">
        <v>545</v>
      </c>
      <c r="O138" s="6" t="s">
        <v>97</v>
      </c>
      <c r="P138" s="7">
        <v>134969</v>
      </c>
      <c r="Q138" s="7">
        <v>122453</v>
      </c>
      <c r="R138" s="6" t="s">
        <v>546</v>
      </c>
      <c r="S138" s="6" t="s">
        <v>28</v>
      </c>
      <c r="T138" s="6">
        <v>59.4</v>
      </c>
      <c r="U138" s="6" t="s">
        <v>63</v>
      </c>
      <c r="V138" s="6" t="s">
        <v>341</v>
      </c>
      <c r="W138" s="67" t="str">
        <f t="shared" si="14"/>
        <v>Customer</v>
      </c>
    </row>
    <row r="139" spans="1:23" x14ac:dyDescent="0.3">
      <c r="A139" s="4" t="s">
        <v>547</v>
      </c>
      <c r="B139" s="4" t="s">
        <v>548</v>
      </c>
      <c r="C139" s="4">
        <v>9863166250</v>
      </c>
      <c r="D139" s="4" t="s">
        <v>121</v>
      </c>
      <c r="E139" s="4" t="s">
        <v>41</v>
      </c>
      <c r="F139" s="4" t="s">
        <v>151</v>
      </c>
      <c r="G139" s="4" t="s">
        <v>35</v>
      </c>
      <c r="H139" s="4" t="s">
        <v>549</v>
      </c>
      <c r="I139" s="2" t="str">
        <f t="shared" si="10"/>
        <v>Nov</v>
      </c>
      <c r="J139" s="2">
        <f t="shared" si="11"/>
        <v>11</v>
      </c>
      <c r="K139" s="2">
        <f t="shared" si="12"/>
        <v>2022</v>
      </c>
      <c r="L139" s="2">
        <f t="shared" si="13"/>
        <v>4</v>
      </c>
      <c r="M139" s="4">
        <v>1</v>
      </c>
      <c r="N139" s="4" t="s">
        <v>550</v>
      </c>
      <c r="O139" s="4" t="s">
        <v>27</v>
      </c>
      <c r="P139" s="5">
        <v>67594</v>
      </c>
      <c r="Q139" s="4"/>
      <c r="R139" s="4"/>
      <c r="S139" s="4" t="s">
        <v>28</v>
      </c>
      <c r="T139" s="4">
        <v>13.8</v>
      </c>
      <c r="U139" s="4" t="s">
        <v>29</v>
      </c>
      <c r="V139" s="4" t="s">
        <v>30</v>
      </c>
      <c r="W139" s="67" t="str">
        <f t="shared" si="14"/>
        <v>-</v>
      </c>
    </row>
    <row r="140" spans="1:23" x14ac:dyDescent="0.3">
      <c r="A140" s="2" t="s">
        <v>551</v>
      </c>
      <c r="B140" s="2" t="s">
        <v>552</v>
      </c>
      <c r="C140" s="2">
        <v>9862509565</v>
      </c>
      <c r="D140" s="2" t="s">
        <v>59</v>
      </c>
      <c r="E140" s="2" t="s">
        <v>73</v>
      </c>
      <c r="F140" s="2" t="s">
        <v>74</v>
      </c>
      <c r="G140" s="2" t="s">
        <v>87</v>
      </c>
      <c r="H140" s="2" t="s">
        <v>549</v>
      </c>
      <c r="I140" s="2" t="str">
        <f t="shared" si="10"/>
        <v>Nov</v>
      </c>
      <c r="J140" s="2">
        <f t="shared" si="11"/>
        <v>11</v>
      </c>
      <c r="K140" s="2">
        <f t="shared" si="12"/>
        <v>2022</v>
      </c>
      <c r="L140" s="2">
        <f t="shared" si="13"/>
        <v>4</v>
      </c>
      <c r="M140" s="2">
        <v>3</v>
      </c>
      <c r="N140" s="2" t="s">
        <v>553</v>
      </c>
      <c r="O140" s="2" t="s">
        <v>62</v>
      </c>
      <c r="P140" s="3">
        <v>78872</v>
      </c>
      <c r="Q140" s="2"/>
      <c r="R140" s="2"/>
      <c r="S140" s="2" t="s">
        <v>28</v>
      </c>
      <c r="T140" s="2">
        <v>92.7</v>
      </c>
      <c r="U140" s="2" t="s">
        <v>29</v>
      </c>
      <c r="V140" s="2" t="s">
        <v>83</v>
      </c>
      <c r="W140" s="67" t="str">
        <f t="shared" si="14"/>
        <v>-</v>
      </c>
    </row>
    <row r="141" spans="1:23" x14ac:dyDescent="0.3">
      <c r="A141" s="4" t="s">
        <v>554</v>
      </c>
      <c r="B141" s="4" t="s">
        <v>555</v>
      </c>
      <c r="C141" s="4">
        <v>9668883968</v>
      </c>
      <c r="D141" s="4" t="s">
        <v>20</v>
      </c>
      <c r="E141" s="4" t="s">
        <v>33</v>
      </c>
      <c r="F141" s="4" t="s">
        <v>201</v>
      </c>
      <c r="G141" s="4" t="s">
        <v>60</v>
      </c>
      <c r="H141" s="4" t="s">
        <v>545</v>
      </c>
      <c r="I141" s="2" t="str">
        <f t="shared" si="10"/>
        <v>Dec</v>
      </c>
      <c r="J141" s="2">
        <f t="shared" si="11"/>
        <v>12</v>
      </c>
      <c r="K141" s="2">
        <f t="shared" si="12"/>
        <v>2022</v>
      </c>
      <c r="L141" s="2">
        <f t="shared" si="13"/>
        <v>4</v>
      </c>
      <c r="M141" s="4">
        <v>5</v>
      </c>
      <c r="N141" s="4" t="s">
        <v>556</v>
      </c>
      <c r="O141" s="4" t="s">
        <v>27</v>
      </c>
      <c r="P141" s="5">
        <v>77527</v>
      </c>
      <c r="Q141" s="4"/>
      <c r="R141" s="4"/>
      <c r="S141" s="4" t="s">
        <v>5819</v>
      </c>
      <c r="T141" s="4">
        <v>91.6</v>
      </c>
      <c r="U141" s="4" t="s">
        <v>29</v>
      </c>
      <c r="V141" s="4"/>
      <c r="W141" s="67" t="str">
        <f t="shared" si="14"/>
        <v>-</v>
      </c>
    </row>
    <row r="142" spans="1:23" x14ac:dyDescent="0.3">
      <c r="A142" s="2" t="s">
        <v>557</v>
      </c>
      <c r="B142" s="2" t="s">
        <v>558</v>
      </c>
      <c r="C142" s="2">
        <v>9198761306</v>
      </c>
      <c r="D142" s="2" t="s">
        <v>108</v>
      </c>
      <c r="E142" s="2" t="s">
        <v>33</v>
      </c>
      <c r="F142" s="2" t="s">
        <v>34</v>
      </c>
      <c r="G142" s="2" t="s">
        <v>60</v>
      </c>
      <c r="H142" s="2" t="s">
        <v>545</v>
      </c>
      <c r="I142" s="2" t="str">
        <f t="shared" si="10"/>
        <v>Dec</v>
      </c>
      <c r="J142" s="2">
        <f t="shared" si="11"/>
        <v>12</v>
      </c>
      <c r="K142" s="2">
        <f t="shared" si="12"/>
        <v>2022</v>
      </c>
      <c r="L142" s="2">
        <f t="shared" si="13"/>
        <v>4</v>
      </c>
      <c r="M142" s="2">
        <v>1</v>
      </c>
      <c r="N142" s="2" t="s">
        <v>553</v>
      </c>
      <c r="O142" s="2" t="s">
        <v>45</v>
      </c>
      <c r="P142" s="3">
        <v>87541</v>
      </c>
      <c r="Q142" s="2"/>
      <c r="R142" s="2"/>
      <c r="S142" s="2" t="s">
        <v>5819</v>
      </c>
      <c r="T142" s="2">
        <v>79.099999999999994</v>
      </c>
      <c r="U142" s="2" t="s">
        <v>63</v>
      </c>
      <c r="V142" s="2" t="s">
        <v>559</v>
      </c>
      <c r="W142" s="67" t="str">
        <f t="shared" si="14"/>
        <v>-</v>
      </c>
    </row>
    <row r="143" spans="1:23" x14ac:dyDescent="0.3">
      <c r="A143" s="4" t="s">
        <v>560</v>
      </c>
      <c r="B143" s="4" t="s">
        <v>561</v>
      </c>
      <c r="C143" s="4">
        <v>9707363258</v>
      </c>
      <c r="D143" s="4" t="s">
        <v>59</v>
      </c>
      <c r="E143" s="4" t="s">
        <v>41</v>
      </c>
      <c r="F143" s="4" t="s">
        <v>151</v>
      </c>
      <c r="G143" s="4" t="s">
        <v>60</v>
      </c>
      <c r="H143" s="4" t="s">
        <v>546</v>
      </c>
      <c r="I143" s="2" t="str">
        <f t="shared" si="10"/>
        <v>Dec</v>
      </c>
      <c r="J143" s="2">
        <f t="shared" si="11"/>
        <v>12</v>
      </c>
      <c r="K143" s="2">
        <f t="shared" si="12"/>
        <v>2022</v>
      </c>
      <c r="L143" s="2">
        <f t="shared" si="13"/>
        <v>4</v>
      </c>
      <c r="M143" s="4">
        <v>4</v>
      </c>
      <c r="N143" s="4" t="s">
        <v>563</v>
      </c>
      <c r="O143" s="4" t="s">
        <v>45</v>
      </c>
      <c r="P143" s="5">
        <v>89250</v>
      </c>
      <c r="Q143" s="4"/>
      <c r="R143" s="4"/>
      <c r="S143" s="4" t="s">
        <v>5819</v>
      </c>
      <c r="T143" s="4">
        <v>76.400000000000006</v>
      </c>
      <c r="U143" s="4" t="s">
        <v>29</v>
      </c>
      <c r="V143" s="4" t="s">
        <v>206</v>
      </c>
      <c r="W143" s="67" t="str">
        <f t="shared" si="14"/>
        <v>-</v>
      </c>
    </row>
    <row r="144" spans="1:23" x14ac:dyDescent="0.3">
      <c r="A144" s="6" t="s">
        <v>564</v>
      </c>
      <c r="B144" s="6" t="s">
        <v>565</v>
      </c>
      <c r="C144" s="6">
        <v>9360472583</v>
      </c>
      <c r="D144" s="6" t="s">
        <v>20</v>
      </c>
      <c r="E144" s="6" t="s">
        <v>109</v>
      </c>
      <c r="F144" s="6" t="s">
        <v>217</v>
      </c>
      <c r="G144" s="6" t="s">
        <v>23</v>
      </c>
      <c r="H144" s="6" t="s">
        <v>497</v>
      </c>
      <c r="I144" s="2" t="str">
        <f t="shared" si="10"/>
        <v>Dec</v>
      </c>
      <c r="J144" s="2">
        <f t="shared" si="11"/>
        <v>12</v>
      </c>
      <c r="K144" s="2">
        <f t="shared" si="12"/>
        <v>2022</v>
      </c>
      <c r="L144" s="2">
        <f t="shared" si="13"/>
        <v>4</v>
      </c>
      <c r="M144" s="6">
        <v>2</v>
      </c>
      <c r="N144" s="6" t="s">
        <v>566</v>
      </c>
      <c r="O144" s="6" t="s">
        <v>97</v>
      </c>
      <c r="P144" s="7">
        <v>266587</v>
      </c>
      <c r="Q144" s="7">
        <v>263827</v>
      </c>
      <c r="R144" s="6" t="s">
        <v>567</v>
      </c>
      <c r="S144" s="6" t="s">
        <v>5819</v>
      </c>
      <c r="T144" s="6">
        <v>13.8</v>
      </c>
      <c r="U144" s="6" t="s">
        <v>63</v>
      </c>
      <c r="V144" s="6" t="s">
        <v>483</v>
      </c>
      <c r="W144" s="67" t="str">
        <f t="shared" si="14"/>
        <v>Customer</v>
      </c>
    </row>
    <row r="145" spans="1:23" x14ac:dyDescent="0.3">
      <c r="A145" s="4" t="s">
        <v>568</v>
      </c>
      <c r="B145" s="4" t="s">
        <v>569</v>
      </c>
      <c r="C145" s="4">
        <v>9384550090</v>
      </c>
      <c r="D145" s="4" t="s">
        <v>108</v>
      </c>
      <c r="E145" s="4" t="s">
        <v>33</v>
      </c>
      <c r="F145" s="4" t="s">
        <v>201</v>
      </c>
      <c r="G145" s="4" t="s">
        <v>23</v>
      </c>
      <c r="H145" s="4" t="s">
        <v>562</v>
      </c>
      <c r="I145" s="2" t="str">
        <f t="shared" si="10"/>
        <v>Dec</v>
      </c>
      <c r="J145" s="2">
        <f t="shared" si="11"/>
        <v>12</v>
      </c>
      <c r="K145" s="2">
        <f t="shared" si="12"/>
        <v>2022</v>
      </c>
      <c r="L145" s="2">
        <f t="shared" si="13"/>
        <v>4</v>
      </c>
      <c r="M145" s="4">
        <v>2</v>
      </c>
      <c r="N145" s="4" t="s">
        <v>541</v>
      </c>
      <c r="O145" s="4" t="s">
        <v>27</v>
      </c>
      <c r="P145" s="5">
        <v>484332</v>
      </c>
      <c r="Q145" s="4"/>
      <c r="R145" s="4"/>
      <c r="S145" s="4" t="s">
        <v>28</v>
      </c>
      <c r="T145" s="4">
        <v>34.299999999999997</v>
      </c>
      <c r="U145" s="4" t="s">
        <v>29</v>
      </c>
      <c r="V145" s="4" t="s">
        <v>157</v>
      </c>
      <c r="W145" s="67" t="str">
        <f t="shared" si="14"/>
        <v>-</v>
      </c>
    </row>
    <row r="146" spans="1:23" x14ac:dyDescent="0.3">
      <c r="A146" s="2" t="s">
        <v>570</v>
      </c>
      <c r="B146" s="2" t="s">
        <v>571</v>
      </c>
      <c r="C146" s="2">
        <v>9416866759</v>
      </c>
      <c r="D146" s="2" t="s">
        <v>20</v>
      </c>
      <c r="E146" s="2" t="s">
        <v>73</v>
      </c>
      <c r="F146" s="2" t="s">
        <v>126</v>
      </c>
      <c r="G146" s="2" t="s">
        <v>23</v>
      </c>
      <c r="H146" s="2" t="s">
        <v>572</v>
      </c>
      <c r="I146" s="2" t="str">
        <f t="shared" si="10"/>
        <v>Dec</v>
      </c>
      <c r="J146" s="2">
        <f t="shared" si="11"/>
        <v>12</v>
      </c>
      <c r="K146" s="2">
        <f t="shared" si="12"/>
        <v>2022</v>
      </c>
      <c r="L146" s="2">
        <f t="shared" si="13"/>
        <v>4</v>
      </c>
      <c r="M146" s="2">
        <v>4</v>
      </c>
      <c r="N146" s="2" t="s">
        <v>573</v>
      </c>
      <c r="O146" s="2" t="s">
        <v>45</v>
      </c>
      <c r="P146" s="3">
        <v>534751</v>
      </c>
      <c r="Q146" s="2"/>
      <c r="R146" s="2"/>
      <c r="S146" s="2" t="s">
        <v>28</v>
      </c>
      <c r="T146" s="2">
        <v>31.2</v>
      </c>
      <c r="U146" s="2" t="s">
        <v>63</v>
      </c>
      <c r="V146" s="2" t="s">
        <v>260</v>
      </c>
      <c r="W146" s="67" t="str">
        <f t="shared" si="14"/>
        <v>-</v>
      </c>
    </row>
    <row r="147" spans="1:23" x14ac:dyDescent="0.3">
      <c r="A147" s="4" t="s">
        <v>574</v>
      </c>
      <c r="B147" s="4" t="s">
        <v>575</v>
      </c>
      <c r="C147" s="4">
        <v>9716233644</v>
      </c>
      <c r="D147" s="4" t="s">
        <v>20</v>
      </c>
      <c r="E147" s="4" t="s">
        <v>33</v>
      </c>
      <c r="F147" s="4" t="s">
        <v>102</v>
      </c>
      <c r="G147" s="4" t="s">
        <v>52</v>
      </c>
      <c r="H147" s="4" t="s">
        <v>576</v>
      </c>
      <c r="I147" s="2" t="str">
        <f t="shared" si="10"/>
        <v>Dec</v>
      </c>
      <c r="J147" s="2">
        <f t="shared" si="11"/>
        <v>12</v>
      </c>
      <c r="K147" s="2">
        <f t="shared" si="12"/>
        <v>2022</v>
      </c>
      <c r="L147" s="2">
        <f t="shared" si="13"/>
        <v>4</v>
      </c>
      <c r="M147" s="4">
        <v>2</v>
      </c>
      <c r="N147" s="4" t="s">
        <v>577</v>
      </c>
      <c r="O147" s="4" t="s">
        <v>55</v>
      </c>
      <c r="P147" s="5">
        <v>363663</v>
      </c>
      <c r="Q147" s="4"/>
      <c r="R147" s="4"/>
      <c r="S147" s="4" t="s">
        <v>28</v>
      </c>
      <c r="T147" s="4">
        <v>11</v>
      </c>
      <c r="U147" s="4" t="s">
        <v>29</v>
      </c>
      <c r="V147" s="4" t="s">
        <v>247</v>
      </c>
      <c r="W147" s="67" t="str">
        <f t="shared" si="14"/>
        <v>-</v>
      </c>
    </row>
    <row r="148" spans="1:23" x14ac:dyDescent="0.3">
      <c r="A148" s="2" t="s">
        <v>578</v>
      </c>
      <c r="B148" s="2" t="s">
        <v>579</v>
      </c>
      <c r="C148" s="2">
        <v>9252098390</v>
      </c>
      <c r="D148" s="2" t="s">
        <v>121</v>
      </c>
      <c r="E148" s="2" t="s">
        <v>73</v>
      </c>
      <c r="F148" s="2" t="s">
        <v>126</v>
      </c>
      <c r="G148" s="2" t="s">
        <v>23</v>
      </c>
      <c r="H148" s="2" t="s">
        <v>576</v>
      </c>
      <c r="I148" s="2" t="str">
        <f t="shared" si="10"/>
        <v>Dec</v>
      </c>
      <c r="J148" s="2">
        <f t="shared" si="11"/>
        <v>12</v>
      </c>
      <c r="K148" s="2">
        <f t="shared" si="12"/>
        <v>2022</v>
      </c>
      <c r="L148" s="2">
        <f t="shared" si="13"/>
        <v>4</v>
      </c>
      <c r="M148" s="2">
        <v>0</v>
      </c>
      <c r="N148" s="2" t="s">
        <v>566</v>
      </c>
      <c r="O148" s="2" t="s">
        <v>62</v>
      </c>
      <c r="P148" s="3">
        <v>329487</v>
      </c>
      <c r="Q148" s="2"/>
      <c r="R148" s="2"/>
      <c r="S148" s="2" t="s">
        <v>28</v>
      </c>
      <c r="T148" s="2">
        <v>88.7</v>
      </c>
      <c r="U148" s="2" t="s">
        <v>47</v>
      </c>
      <c r="V148" s="2" t="s">
        <v>174</v>
      </c>
      <c r="W148" s="67" t="str">
        <f t="shared" si="14"/>
        <v>-</v>
      </c>
    </row>
    <row r="149" spans="1:23" x14ac:dyDescent="0.3">
      <c r="A149" s="4" t="s">
        <v>580</v>
      </c>
      <c r="B149" s="4" t="s">
        <v>581</v>
      </c>
      <c r="C149" s="4">
        <v>9976479512</v>
      </c>
      <c r="D149" s="4" t="s">
        <v>20</v>
      </c>
      <c r="E149" s="4" t="s">
        <v>21</v>
      </c>
      <c r="F149" s="4" t="s">
        <v>230</v>
      </c>
      <c r="G149" s="4" t="s">
        <v>52</v>
      </c>
      <c r="H149" s="4" t="s">
        <v>538</v>
      </c>
      <c r="I149" s="2" t="str">
        <f t="shared" si="10"/>
        <v>Dec</v>
      </c>
      <c r="J149" s="2">
        <f t="shared" si="11"/>
        <v>12</v>
      </c>
      <c r="K149" s="2">
        <f t="shared" si="12"/>
        <v>2022</v>
      </c>
      <c r="L149" s="2">
        <f t="shared" si="13"/>
        <v>4</v>
      </c>
      <c r="M149" s="4">
        <v>1</v>
      </c>
      <c r="N149" s="4" t="s">
        <v>582</v>
      </c>
      <c r="O149" s="4" t="s">
        <v>62</v>
      </c>
      <c r="P149" s="5">
        <v>139359</v>
      </c>
      <c r="Q149" s="4"/>
      <c r="R149" s="4"/>
      <c r="S149" s="4" t="s">
        <v>28</v>
      </c>
      <c r="T149" s="4">
        <v>26.9</v>
      </c>
      <c r="U149" s="4" t="s">
        <v>47</v>
      </c>
      <c r="V149" s="4" t="s">
        <v>310</v>
      </c>
      <c r="W149" s="67" t="str">
        <f t="shared" si="14"/>
        <v>-</v>
      </c>
    </row>
    <row r="150" spans="1:23" x14ac:dyDescent="0.3">
      <c r="A150" s="2" t="s">
        <v>583</v>
      </c>
      <c r="B150" s="2" t="s">
        <v>584</v>
      </c>
      <c r="C150" s="2">
        <v>9368277223</v>
      </c>
      <c r="D150" s="2" t="s">
        <v>108</v>
      </c>
      <c r="E150" s="2" t="s">
        <v>67</v>
      </c>
      <c r="F150" s="2" t="s">
        <v>80</v>
      </c>
      <c r="G150" s="2" t="s">
        <v>23</v>
      </c>
      <c r="H150" s="2" t="s">
        <v>556</v>
      </c>
      <c r="I150" s="2" t="str">
        <f t="shared" si="10"/>
        <v>Dec</v>
      </c>
      <c r="J150" s="2">
        <f t="shared" si="11"/>
        <v>12</v>
      </c>
      <c r="K150" s="2">
        <f t="shared" si="12"/>
        <v>2022</v>
      </c>
      <c r="L150" s="2">
        <f t="shared" si="13"/>
        <v>4</v>
      </c>
      <c r="M150" s="2"/>
      <c r="N150" s="2" t="s">
        <v>586</v>
      </c>
      <c r="O150" s="2" t="s">
        <v>45</v>
      </c>
      <c r="P150" s="3">
        <v>377596</v>
      </c>
      <c r="Q150" s="2"/>
      <c r="R150" s="2"/>
      <c r="S150" s="2" t="s">
        <v>5819</v>
      </c>
      <c r="T150" s="2">
        <v>29.4</v>
      </c>
      <c r="U150" s="2" t="s">
        <v>47</v>
      </c>
      <c r="V150" s="2" t="s">
        <v>137</v>
      </c>
      <c r="W150" s="67" t="str">
        <f t="shared" si="14"/>
        <v>-</v>
      </c>
    </row>
    <row r="151" spans="1:23" x14ac:dyDescent="0.3">
      <c r="A151" s="4" t="s">
        <v>587</v>
      </c>
      <c r="B151" s="4" t="s">
        <v>588</v>
      </c>
      <c r="C151" s="4">
        <v>9443527737</v>
      </c>
      <c r="D151" s="4" t="s">
        <v>108</v>
      </c>
      <c r="E151" s="4" t="s">
        <v>33</v>
      </c>
      <c r="F151" s="4" t="s">
        <v>201</v>
      </c>
      <c r="G151" s="4" t="s">
        <v>52</v>
      </c>
      <c r="H151" s="4" t="s">
        <v>585</v>
      </c>
      <c r="I151" s="2" t="str">
        <f t="shared" si="10"/>
        <v>Dec</v>
      </c>
      <c r="J151" s="2">
        <f t="shared" si="11"/>
        <v>12</v>
      </c>
      <c r="K151" s="2">
        <f t="shared" si="12"/>
        <v>2022</v>
      </c>
      <c r="L151" s="2">
        <f t="shared" si="13"/>
        <v>4</v>
      </c>
      <c r="M151" s="4">
        <v>2</v>
      </c>
      <c r="N151" s="4" t="s">
        <v>563</v>
      </c>
      <c r="O151" s="4" t="s">
        <v>45</v>
      </c>
      <c r="P151" s="5">
        <v>322926</v>
      </c>
      <c r="Q151" s="4"/>
      <c r="R151" s="4"/>
      <c r="S151" s="4" t="s">
        <v>28</v>
      </c>
      <c r="T151" s="4">
        <v>9.1999999999999993</v>
      </c>
      <c r="U151" s="4" t="s">
        <v>29</v>
      </c>
      <c r="V151" s="4" t="s">
        <v>589</v>
      </c>
      <c r="W151" s="67" t="str">
        <f t="shared" si="14"/>
        <v>-</v>
      </c>
    </row>
    <row r="152" spans="1:23" x14ac:dyDescent="0.3">
      <c r="A152" s="2" t="s">
        <v>590</v>
      </c>
      <c r="B152" s="2" t="s">
        <v>591</v>
      </c>
      <c r="C152" s="2">
        <v>9240346956</v>
      </c>
      <c r="D152" s="2" t="s">
        <v>59</v>
      </c>
      <c r="E152" s="2" t="s">
        <v>109</v>
      </c>
      <c r="F152" s="2" t="s">
        <v>331</v>
      </c>
      <c r="G152" s="2" t="s">
        <v>60</v>
      </c>
      <c r="H152" s="2" t="s">
        <v>592</v>
      </c>
      <c r="I152" s="2" t="str">
        <f t="shared" si="10"/>
        <v>Dec</v>
      </c>
      <c r="J152" s="2">
        <f t="shared" si="11"/>
        <v>12</v>
      </c>
      <c r="K152" s="2">
        <f t="shared" si="12"/>
        <v>2022</v>
      </c>
      <c r="L152" s="2">
        <f t="shared" si="13"/>
        <v>4</v>
      </c>
      <c r="M152" s="2">
        <v>4</v>
      </c>
      <c r="N152" s="2" t="s">
        <v>593</v>
      </c>
      <c r="O152" s="2" t="s">
        <v>62</v>
      </c>
      <c r="P152" s="3">
        <v>145101</v>
      </c>
      <c r="Q152" s="2"/>
      <c r="R152" s="2"/>
      <c r="S152" s="2" t="s">
        <v>28</v>
      </c>
      <c r="T152" s="2">
        <v>18</v>
      </c>
      <c r="U152" s="2" t="s">
        <v>63</v>
      </c>
      <c r="V152" s="2" t="s">
        <v>195</v>
      </c>
      <c r="W152" s="67" t="str">
        <f t="shared" si="14"/>
        <v>-</v>
      </c>
    </row>
    <row r="153" spans="1:23" x14ac:dyDescent="0.3">
      <c r="A153" s="4" t="s">
        <v>594</v>
      </c>
      <c r="B153" s="4" t="s">
        <v>595</v>
      </c>
      <c r="C153" s="4">
        <v>9628524423</v>
      </c>
      <c r="D153" s="4" t="s">
        <v>59</v>
      </c>
      <c r="E153" s="4" t="s">
        <v>33</v>
      </c>
      <c r="F153" s="4" t="s">
        <v>201</v>
      </c>
      <c r="G153" s="4" t="s">
        <v>23</v>
      </c>
      <c r="H153" s="4" t="s">
        <v>577</v>
      </c>
      <c r="I153" s="2" t="str">
        <f t="shared" si="10"/>
        <v>Dec</v>
      </c>
      <c r="J153" s="2">
        <f t="shared" si="11"/>
        <v>12</v>
      </c>
      <c r="K153" s="2">
        <f t="shared" si="12"/>
        <v>2022</v>
      </c>
      <c r="L153" s="2">
        <f t="shared" si="13"/>
        <v>4</v>
      </c>
      <c r="M153" s="4">
        <v>4</v>
      </c>
      <c r="N153" s="4" t="s">
        <v>586</v>
      </c>
      <c r="O153" s="4" t="s">
        <v>45</v>
      </c>
      <c r="P153" s="5">
        <v>589672</v>
      </c>
      <c r="Q153" s="4"/>
      <c r="R153" s="4"/>
      <c r="S153" s="4" t="s">
        <v>28</v>
      </c>
      <c r="T153" s="4">
        <v>91.3</v>
      </c>
      <c r="U153" s="4" t="s">
        <v>47</v>
      </c>
      <c r="V153" s="4" t="s">
        <v>597</v>
      </c>
      <c r="W153" s="67" t="str">
        <f t="shared" si="14"/>
        <v>-</v>
      </c>
    </row>
    <row r="154" spans="1:23" x14ac:dyDescent="0.3">
      <c r="A154" s="2" t="s">
        <v>598</v>
      </c>
      <c r="B154" s="2" t="s">
        <v>599</v>
      </c>
      <c r="C154" s="2">
        <v>9701457391</v>
      </c>
      <c r="D154" s="2" t="s">
        <v>121</v>
      </c>
      <c r="E154" s="2" t="s">
        <v>33</v>
      </c>
      <c r="F154" s="2" t="s">
        <v>102</v>
      </c>
      <c r="G154" s="2" t="s">
        <v>35</v>
      </c>
      <c r="H154" s="2" t="s">
        <v>567</v>
      </c>
      <c r="I154" s="2" t="str">
        <f t="shared" si="10"/>
        <v>Jan</v>
      </c>
      <c r="J154" s="2">
        <f t="shared" si="11"/>
        <v>1</v>
      </c>
      <c r="K154" s="2">
        <f t="shared" si="12"/>
        <v>2023</v>
      </c>
      <c r="L154" s="2">
        <f t="shared" si="13"/>
        <v>1</v>
      </c>
      <c r="M154" s="2">
        <v>0</v>
      </c>
      <c r="N154" s="2" t="s">
        <v>582</v>
      </c>
      <c r="O154" s="2" t="s">
        <v>45</v>
      </c>
      <c r="P154" s="3">
        <v>219038</v>
      </c>
      <c r="Q154" s="2"/>
      <c r="R154" s="2"/>
      <c r="S154" s="2" t="s">
        <v>28</v>
      </c>
      <c r="T154" s="2">
        <v>68.599999999999994</v>
      </c>
      <c r="U154" s="2" t="s">
        <v>47</v>
      </c>
      <c r="V154" s="2" t="s">
        <v>597</v>
      </c>
      <c r="W154" s="67" t="str">
        <f t="shared" si="14"/>
        <v>-</v>
      </c>
    </row>
    <row r="155" spans="1:23" x14ac:dyDescent="0.3">
      <c r="A155" s="4" t="s">
        <v>601</v>
      </c>
      <c r="B155" s="4" t="s">
        <v>602</v>
      </c>
      <c r="C155" s="4">
        <v>9767660223</v>
      </c>
      <c r="D155" s="4" t="s">
        <v>108</v>
      </c>
      <c r="E155" s="4" t="s">
        <v>73</v>
      </c>
      <c r="F155" s="4" t="s">
        <v>126</v>
      </c>
      <c r="G155" s="4" t="s">
        <v>60</v>
      </c>
      <c r="H155" s="4" t="s">
        <v>567</v>
      </c>
      <c r="I155" s="2" t="str">
        <f t="shared" si="10"/>
        <v>Jan</v>
      </c>
      <c r="J155" s="2">
        <f t="shared" si="11"/>
        <v>1</v>
      </c>
      <c r="K155" s="2">
        <f t="shared" si="12"/>
        <v>2023</v>
      </c>
      <c r="L155" s="2">
        <f t="shared" si="13"/>
        <v>1</v>
      </c>
      <c r="M155" s="4">
        <v>10</v>
      </c>
      <c r="N155" s="4" t="s">
        <v>603</v>
      </c>
      <c r="O155" s="4" t="s">
        <v>27</v>
      </c>
      <c r="P155" s="5">
        <v>162839</v>
      </c>
      <c r="Q155" s="4"/>
      <c r="R155" s="4"/>
      <c r="S155" s="4" t="s">
        <v>5819</v>
      </c>
      <c r="T155" s="4">
        <v>4.7</v>
      </c>
      <c r="U155" s="4" t="s">
        <v>29</v>
      </c>
      <c r="V155" s="4" t="s">
        <v>123</v>
      </c>
      <c r="W155" s="67" t="str">
        <f t="shared" si="14"/>
        <v>-</v>
      </c>
    </row>
    <row r="156" spans="1:23" x14ac:dyDescent="0.3">
      <c r="A156" s="2" t="s">
        <v>604</v>
      </c>
      <c r="B156" s="2" t="s">
        <v>605</v>
      </c>
      <c r="C156" s="2">
        <v>9560662565</v>
      </c>
      <c r="D156" s="2" t="s">
        <v>59</v>
      </c>
      <c r="E156" s="2" t="s">
        <v>109</v>
      </c>
      <c r="F156" s="2" t="s">
        <v>110</v>
      </c>
      <c r="G156" s="2" t="s">
        <v>52</v>
      </c>
      <c r="H156" s="2" t="s">
        <v>567</v>
      </c>
      <c r="I156" s="2" t="str">
        <f t="shared" si="10"/>
        <v>Jan</v>
      </c>
      <c r="J156" s="2">
        <f t="shared" si="11"/>
        <v>1</v>
      </c>
      <c r="K156" s="2">
        <f t="shared" si="12"/>
        <v>2023</v>
      </c>
      <c r="L156" s="2">
        <f t="shared" si="13"/>
        <v>1</v>
      </c>
      <c r="M156" s="2">
        <v>2</v>
      </c>
      <c r="N156" s="2" t="s">
        <v>606</v>
      </c>
      <c r="O156" s="2" t="s">
        <v>62</v>
      </c>
      <c r="P156" s="3">
        <v>416604</v>
      </c>
      <c r="Q156" s="2"/>
      <c r="R156" s="2"/>
      <c r="S156" s="2" t="s">
        <v>5819</v>
      </c>
      <c r="T156" s="2"/>
      <c r="U156" s="2" t="s">
        <v>47</v>
      </c>
      <c r="V156" s="2" t="s">
        <v>487</v>
      </c>
      <c r="W156" s="67" t="str">
        <f t="shared" si="14"/>
        <v>-</v>
      </c>
    </row>
    <row r="157" spans="1:23" x14ac:dyDescent="0.3">
      <c r="A157" s="4" t="s">
        <v>607</v>
      </c>
      <c r="B157" s="4" t="s">
        <v>608</v>
      </c>
      <c r="C157" s="4">
        <v>9283429671</v>
      </c>
      <c r="D157" s="4" t="s">
        <v>20</v>
      </c>
      <c r="E157" s="4" t="s">
        <v>109</v>
      </c>
      <c r="F157" s="4" t="s">
        <v>331</v>
      </c>
      <c r="G157" s="4" t="s">
        <v>69</v>
      </c>
      <c r="H157" s="4" t="s">
        <v>567</v>
      </c>
      <c r="I157" s="2" t="str">
        <f t="shared" si="10"/>
        <v>Jan</v>
      </c>
      <c r="J157" s="2">
        <f t="shared" si="11"/>
        <v>1</v>
      </c>
      <c r="K157" s="2">
        <f t="shared" si="12"/>
        <v>2023</v>
      </c>
      <c r="L157" s="2">
        <f t="shared" si="13"/>
        <v>1</v>
      </c>
      <c r="M157" s="4">
        <v>7</v>
      </c>
      <c r="N157" s="4" t="s">
        <v>610</v>
      </c>
      <c r="O157" s="4" t="s">
        <v>62</v>
      </c>
      <c r="P157" s="5">
        <v>272035</v>
      </c>
      <c r="Q157" s="4"/>
      <c r="R157" s="4"/>
      <c r="S157" s="4" t="s">
        <v>28</v>
      </c>
      <c r="T157" s="4">
        <v>24</v>
      </c>
      <c r="U157" s="4" t="s">
        <v>47</v>
      </c>
      <c r="V157" s="4"/>
      <c r="W157" s="67" t="str">
        <f t="shared" si="14"/>
        <v>-</v>
      </c>
    </row>
    <row r="158" spans="1:23" x14ac:dyDescent="0.3">
      <c r="A158" s="2" t="s">
        <v>611</v>
      </c>
      <c r="B158" s="2" t="s">
        <v>612</v>
      </c>
      <c r="C158" s="2">
        <v>9694973692</v>
      </c>
      <c r="D158" s="2" t="s">
        <v>108</v>
      </c>
      <c r="E158" s="2" t="s">
        <v>73</v>
      </c>
      <c r="F158" s="2" t="s">
        <v>126</v>
      </c>
      <c r="G158" s="2" t="s">
        <v>35</v>
      </c>
      <c r="H158" s="2" t="s">
        <v>596</v>
      </c>
      <c r="I158" s="2" t="str">
        <f t="shared" si="10"/>
        <v>Jan</v>
      </c>
      <c r="J158" s="2">
        <f t="shared" si="11"/>
        <v>1</v>
      </c>
      <c r="K158" s="2">
        <f t="shared" si="12"/>
        <v>2023</v>
      </c>
      <c r="L158" s="2">
        <f t="shared" si="13"/>
        <v>1</v>
      </c>
      <c r="M158" s="2">
        <v>5</v>
      </c>
      <c r="N158" s="2" t="s">
        <v>606</v>
      </c>
      <c r="O158" s="2" t="s">
        <v>45</v>
      </c>
      <c r="P158" s="3">
        <v>179028</v>
      </c>
      <c r="Q158" s="2"/>
      <c r="R158" s="2"/>
      <c r="S158" s="2" t="s">
        <v>28</v>
      </c>
      <c r="T158" s="2">
        <v>14.7</v>
      </c>
      <c r="U158" s="2" t="s">
        <v>29</v>
      </c>
      <c r="V158" s="2" t="s">
        <v>613</v>
      </c>
      <c r="W158" s="67" t="str">
        <f t="shared" si="14"/>
        <v>-</v>
      </c>
    </row>
    <row r="159" spans="1:23" x14ac:dyDescent="0.3">
      <c r="A159" s="4" t="s">
        <v>614</v>
      </c>
      <c r="B159" s="4" t="s">
        <v>615</v>
      </c>
      <c r="C159" s="4">
        <v>9276260482</v>
      </c>
      <c r="D159" s="4" t="s">
        <v>20</v>
      </c>
      <c r="E159" s="4" t="s">
        <v>33</v>
      </c>
      <c r="F159" s="4" t="s">
        <v>102</v>
      </c>
      <c r="G159" s="4" t="s">
        <v>616</v>
      </c>
      <c r="H159" s="4" t="s">
        <v>600</v>
      </c>
      <c r="I159" s="2" t="str">
        <f t="shared" si="10"/>
        <v>Jan</v>
      </c>
      <c r="J159" s="2">
        <f t="shared" si="11"/>
        <v>1</v>
      </c>
      <c r="K159" s="2">
        <f t="shared" si="12"/>
        <v>2023</v>
      </c>
      <c r="L159" s="2">
        <f t="shared" si="13"/>
        <v>1</v>
      </c>
      <c r="M159" s="4">
        <v>5</v>
      </c>
      <c r="N159" s="4" t="s">
        <v>617</v>
      </c>
      <c r="O159" s="4" t="s">
        <v>27</v>
      </c>
      <c r="P159" s="5">
        <v>166324</v>
      </c>
      <c r="Q159" s="4"/>
      <c r="R159" s="4"/>
      <c r="S159" s="4" t="s">
        <v>5819</v>
      </c>
      <c r="T159" s="4">
        <v>23.9</v>
      </c>
      <c r="U159" s="4" t="s">
        <v>29</v>
      </c>
      <c r="V159" s="4"/>
      <c r="W159" s="67" t="str">
        <f t="shared" si="14"/>
        <v>-</v>
      </c>
    </row>
    <row r="160" spans="1:23" x14ac:dyDescent="0.3">
      <c r="A160" s="2" t="s">
        <v>618</v>
      </c>
      <c r="B160" s="2" t="s">
        <v>619</v>
      </c>
      <c r="C160" s="2">
        <v>9151697938</v>
      </c>
      <c r="D160" s="2" t="s">
        <v>121</v>
      </c>
      <c r="E160" s="2" t="s">
        <v>21</v>
      </c>
      <c r="F160" s="2" t="s">
        <v>22</v>
      </c>
      <c r="G160" s="2" t="s">
        <v>23</v>
      </c>
      <c r="H160" s="2" t="s">
        <v>609</v>
      </c>
      <c r="I160" s="2" t="str">
        <f t="shared" si="10"/>
        <v>Jan</v>
      </c>
      <c r="J160" s="2">
        <f t="shared" si="11"/>
        <v>1</v>
      </c>
      <c r="K160" s="2">
        <f t="shared" si="12"/>
        <v>2023</v>
      </c>
      <c r="L160" s="2">
        <f t="shared" si="13"/>
        <v>1</v>
      </c>
      <c r="M160" s="2">
        <v>5</v>
      </c>
      <c r="N160" s="2" t="s">
        <v>620</v>
      </c>
      <c r="O160" s="2" t="s">
        <v>45</v>
      </c>
      <c r="P160" s="3">
        <v>553625</v>
      </c>
      <c r="Q160" s="2"/>
      <c r="R160" s="2"/>
      <c r="S160" s="2" t="s">
        <v>28</v>
      </c>
      <c r="T160" s="2">
        <v>21</v>
      </c>
      <c r="U160" s="2" t="s">
        <v>63</v>
      </c>
      <c r="V160" s="2" t="s">
        <v>621</v>
      </c>
      <c r="W160" s="67" t="str">
        <f t="shared" si="14"/>
        <v>-</v>
      </c>
    </row>
    <row r="161" spans="1:23" x14ac:dyDescent="0.3">
      <c r="A161" s="4" t="s">
        <v>622</v>
      </c>
      <c r="B161" s="4" t="s">
        <v>623</v>
      </c>
      <c r="C161" s="4">
        <v>9227460504</v>
      </c>
      <c r="D161" s="4" t="s">
        <v>20</v>
      </c>
      <c r="E161" s="4" t="s">
        <v>33</v>
      </c>
      <c r="F161" s="4" t="s">
        <v>201</v>
      </c>
      <c r="G161" s="4" t="s">
        <v>87</v>
      </c>
      <c r="H161" s="4" t="s">
        <v>582</v>
      </c>
      <c r="I161" s="2" t="str">
        <f t="shared" si="10"/>
        <v>Jan</v>
      </c>
      <c r="J161" s="2">
        <f t="shared" si="11"/>
        <v>1</v>
      </c>
      <c r="K161" s="2">
        <f t="shared" si="12"/>
        <v>2023</v>
      </c>
      <c r="L161" s="2">
        <f t="shared" si="13"/>
        <v>1</v>
      </c>
      <c r="M161" s="4">
        <v>7</v>
      </c>
      <c r="N161" s="4" t="s">
        <v>610</v>
      </c>
      <c r="O161" s="4" t="s">
        <v>45</v>
      </c>
      <c r="P161" s="5">
        <v>195645</v>
      </c>
      <c r="Q161" s="4"/>
      <c r="R161" s="4"/>
      <c r="S161" s="4" t="s">
        <v>5819</v>
      </c>
      <c r="T161" s="4">
        <v>34.200000000000003</v>
      </c>
      <c r="U161" s="4" t="s">
        <v>63</v>
      </c>
      <c r="V161" s="4" t="s">
        <v>559</v>
      </c>
      <c r="W161" s="67" t="str">
        <f t="shared" si="14"/>
        <v>-</v>
      </c>
    </row>
    <row r="162" spans="1:23" x14ac:dyDescent="0.3">
      <c r="A162" s="2" t="s">
        <v>625</v>
      </c>
      <c r="B162" s="2" t="s">
        <v>626</v>
      </c>
      <c r="C162" s="2">
        <v>9207593219</v>
      </c>
      <c r="D162" s="2" t="s">
        <v>121</v>
      </c>
      <c r="E162" s="2" t="s">
        <v>41</v>
      </c>
      <c r="F162" s="2" t="s">
        <v>92</v>
      </c>
      <c r="G162" s="2" t="s">
        <v>87</v>
      </c>
      <c r="H162" s="2" t="s">
        <v>582</v>
      </c>
      <c r="I162" s="2" t="str">
        <f t="shared" si="10"/>
        <v>Jan</v>
      </c>
      <c r="J162" s="2">
        <f t="shared" si="11"/>
        <v>1</v>
      </c>
      <c r="K162" s="2">
        <f t="shared" si="12"/>
        <v>2023</v>
      </c>
      <c r="L162" s="2">
        <f t="shared" si="13"/>
        <v>1</v>
      </c>
      <c r="M162" s="2">
        <v>9</v>
      </c>
      <c r="N162" s="2" t="s">
        <v>603</v>
      </c>
      <c r="O162" s="2" t="s">
        <v>62</v>
      </c>
      <c r="P162" s="3">
        <v>194600</v>
      </c>
      <c r="Q162" s="2"/>
      <c r="R162" s="2"/>
      <c r="S162" s="2" t="s">
        <v>5819</v>
      </c>
      <c r="T162" s="2">
        <v>32.200000000000003</v>
      </c>
      <c r="U162" s="2" t="s">
        <v>47</v>
      </c>
      <c r="V162" s="2" t="s">
        <v>174</v>
      </c>
      <c r="W162" s="67" t="str">
        <f t="shared" si="14"/>
        <v>-</v>
      </c>
    </row>
    <row r="163" spans="1:23" x14ac:dyDescent="0.3">
      <c r="A163" s="6" t="s">
        <v>627</v>
      </c>
      <c r="B163" s="6" t="s">
        <v>628</v>
      </c>
      <c r="C163" s="6">
        <v>9316544937</v>
      </c>
      <c r="D163" s="6" t="s">
        <v>121</v>
      </c>
      <c r="E163" s="6" t="s">
        <v>21</v>
      </c>
      <c r="F163" s="6" t="s">
        <v>22</v>
      </c>
      <c r="G163" s="6" t="s">
        <v>35</v>
      </c>
      <c r="H163" s="6" t="s">
        <v>582</v>
      </c>
      <c r="I163" s="2" t="str">
        <f t="shared" si="10"/>
        <v>Jan</v>
      </c>
      <c r="J163" s="2">
        <f t="shared" si="11"/>
        <v>1</v>
      </c>
      <c r="K163" s="2">
        <f t="shared" si="12"/>
        <v>2023</v>
      </c>
      <c r="L163" s="2">
        <f t="shared" si="13"/>
        <v>1</v>
      </c>
      <c r="M163" s="6">
        <v>7</v>
      </c>
      <c r="N163" s="6" t="s">
        <v>629</v>
      </c>
      <c r="O163" s="6" t="s">
        <v>97</v>
      </c>
      <c r="P163" s="7">
        <v>118227</v>
      </c>
      <c r="Q163" s="7">
        <v>104348</v>
      </c>
      <c r="R163" s="6" t="s">
        <v>630</v>
      </c>
      <c r="S163" s="6" t="s">
        <v>5819</v>
      </c>
      <c r="T163" s="6">
        <v>11.8</v>
      </c>
      <c r="U163" s="6" t="s">
        <v>63</v>
      </c>
      <c r="V163" s="6" t="s">
        <v>483</v>
      </c>
      <c r="W163" s="67" t="str">
        <f t="shared" si="14"/>
        <v>Customer</v>
      </c>
    </row>
    <row r="164" spans="1:23" x14ac:dyDescent="0.3">
      <c r="A164" s="2" t="s">
        <v>631</v>
      </c>
      <c r="B164" s="2" t="s">
        <v>632</v>
      </c>
      <c r="C164" s="2">
        <v>9803731001</v>
      </c>
      <c r="D164" s="2" t="s">
        <v>20</v>
      </c>
      <c r="E164" s="2" t="s">
        <v>21</v>
      </c>
      <c r="F164" s="2" t="s">
        <v>160</v>
      </c>
      <c r="G164" s="2" t="s">
        <v>60</v>
      </c>
      <c r="H164" s="2" t="s">
        <v>582</v>
      </c>
      <c r="I164" s="2" t="str">
        <f t="shared" si="10"/>
        <v>Jan</v>
      </c>
      <c r="J164" s="2">
        <f t="shared" si="11"/>
        <v>1</v>
      </c>
      <c r="K164" s="2">
        <f t="shared" si="12"/>
        <v>2023</v>
      </c>
      <c r="L164" s="2">
        <f t="shared" si="13"/>
        <v>1</v>
      </c>
      <c r="M164" s="2">
        <v>6</v>
      </c>
      <c r="N164" s="2" t="s">
        <v>633</v>
      </c>
      <c r="O164" s="2" t="s">
        <v>27</v>
      </c>
      <c r="P164" s="3">
        <v>125449</v>
      </c>
      <c r="Q164" s="2"/>
      <c r="R164" s="2"/>
      <c r="S164" s="2" t="s">
        <v>28</v>
      </c>
      <c r="T164" s="2">
        <v>65.2</v>
      </c>
      <c r="U164" s="2" t="s">
        <v>29</v>
      </c>
      <c r="V164" s="2" t="s">
        <v>123</v>
      </c>
      <c r="W164" s="67" t="str">
        <f t="shared" si="14"/>
        <v>-</v>
      </c>
    </row>
    <row r="165" spans="1:23" x14ac:dyDescent="0.3">
      <c r="A165" s="4" t="s">
        <v>634</v>
      </c>
      <c r="B165" s="4" t="s">
        <v>635</v>
      </c>
      <c r="C165" s="4">
        <v>9152925780</v>
      </c>
      <c r="D165" s="4" t="s">
        <v>20</v>
      </c>
      <c r="E165" s="4" t="s">
        <v>109</v>
      </c>
      <c r="F165" s="4" t="s">
        <v>217</v>
      </c>
      <c r="G165" s="4" t="s">
        <v>35</v>
      </c>
      <c r="H165" s="4" t="s">
        <v>582</v>
      </c>
      <c r="I165" s="2" t="str">
        <f t="shared" si="10"/>
        <v>Jan</v>
      </c>
      <c r="J165" s="2">
        <f t="shared" si="11"/>
        <v>1</v>
      </c>
      <c r="K165" s="2">
        <f t="shared" si="12"/>
        <v>2023</v>
      </c>
      <c r="L165" s="2">
        <f t="shared" si="13"/>
        <v>1</v>
      </c>
      <c r="M165" s="4">
        <v>0</v>
      </c>
      <c r="N165" s="4" t="s">
        <v>606</v>
      </c>
      <c r="O165" s="4" t="s">
        <v>45</v>
      </c>
      <c r="P165" s="5">
        <v>144867</v>
      </c>
      <c r="Q165" s="4"/>
      <c r="R165" s="4"/>
      <c r="S165" s="4" t="s">
        <v>28</v>
      </c>
      <c r="T165" s="4">
        <v>46</v>
      </c>
      <c r="U165" s="4" t="s">
        <v>47</v>
      </c>
      <c r="V165" s="4" t="s">
        <v>212</v>
      </c>
      <c r="W165" s="67" t="str">
        <f t="shared" si="14"/>
        <v>-</v>
      </c>
    </row>
    <row r="166" spans="1:23" x14ac:dyDescent="0.3">
      <c r="A166" s="2" t="s">
        <v>636</v>
      </c>
      <c r="B166" s="2" t="s">
        <v>637</v>
      </c>
      <c r="C166" s="2">
        <v>9195871030</v>
      </c>
      <c r="D166" s="2" t="s">
        <v>59</v>
      </c>
      <c r="E166" s="2" t="s">
        <v>73</v>
      </c>
      <c r="F166" s="2" t="s">
        <v>126</v>
      </c>
      <c r="G166" s="2" t="s">
        <v>52</v>
      </c>
      <c r="H166" s="2" t="s">
        <v>573</v>
      </c>
      <c r="I166" s="2" t="str">
        <f t="shared" si="10"/>
        <v>Jan</v>
      </c>
      <c r="J166" s="2">
        <f t="shared" si="11"/>
        <v>1</v>
      </c>
      <c r="K166" s="2">
        <f t="shared" si="12"/>
        <v>2023</v>
      </c>
      <c r="L166" s="2">
        <f t="shared" si="13"/>
        <v>1</v>
      </c>
      <c r="M166" s="2">
        <v>4</v>
      </c>
      <c r="N166" s="2" t="s">
        <v>638</v>
      </c>
      <c r="O166" s="2" t="s">
        <v>62</v>
      </c>
      <c r="P166" s="3">
        <v>430503</v>
      </c>
      <c r="Q166" s="2"/>
      <c r="R166" s="2"/>
      <c r="S166" s="2" t="s">
        <v>28</v>
      </c>
      <c r="T166" s="2">
        <v>34.1</v>
      </c>
      <c r="U166" s="2" t="s">
        <v>29</v>
      </c>
      <c r="V166" s="2" t="s">
        <v>589</v>
      </c>
      <c r="W166" s="67" t="str">
        <f t="shared" si="14"/>
        <v>-</v>
      </c>
    </row>
    <row r="167" spans="1:23" x14ac:dyDescent="0.3">
      <c r="A167" s="6" t="s">
        <v>639</v>
      </c>
      <c r="B167" s="6" t="s">
        <v>640</v>
      </c>
      <c r="C167" s="6">
        <v>9707254955</v>
      </c>
      <c r="D167" s="6" t="s">
        <v>20</v>
      </c>
      <c r="E167" s="6" t="s">
        <v>641</v>
      </c>
      <c r="F167" s="6" t="s">
        <v>642</v>
      </c>
      <c r="G167" s="6" t="s">
        <v>643</v>
      </c>
      <c r="H167" s="6" t="s">
        <v>573</v>
      </c>
      <c r="I167" s="2" t="str">
        <f t="shared" si="10"/>
        <v>Jan</v>
      </c>
      <c r="J167" s="2">
        <f t="shared" si="11"/>
        <v>1</v>
      </c>
      <c r="K167" s="2">
        <f t="shared" si="12"/>
        <v>2023</v>
      </c>
      <c r="L167" s="2">
        <f t="shared" si="13"/>
        <v>1</v>
      </c>
      <c r="M167" s="6">
        <v>0</v>
      </c>
      <c r="N167" s="6" t="s">
        <v>586</v>
      </c>
      <c r="O167" s="6" t="s">
        <v>97</v>
      </c>
      <c r="P167" s="7">
        <v>647255</v>
      </c>
      <c r="Q167" s="7">
        <v>584283</v>
      </c>
      <c r="R167" s="6" t="s">
        <v>645</v>
      </c>
      <c r="S167" s="6" t="s">
        <v>5819</v>
      </c>
      <c r="T167" s="6">
        <v>71.599999999999994</v>
      </c>
      <c r="U167" s="6" t="s">
        <v>63</v>
      </c>
      <c r="V167" s="6" t="s">
        <v>295</v>
      </c>
      <c r="W167" s="67" t="str">
        <f t="shared" si="14"/>
        <v>Customer</v>
      </c>
    </row>
    <row r="168" spans="1:23" x14ac:dyDescent="0.3">
      <c r="A168" s="6" t="s">
        <v>646</v>
      </c>
      <c r="B168" s="6" t="s">
        <v>647</v>
      </c>
      <c r="C168" s="6">
        <v>9984595578</v>
      </c>
      <c r="D168" s="6" t="s">
        <v>108</v>
      </c>
      <c r="E168" s="6" t="s">
        <v>648</v>
      </c>
      <c r="F168" s="6" t="s">
        <v>649</v>
      </c>
      <c r="G168" s="6" t="s">
        <v>69</v>
      </c>
      <c r="H168" s="6" t="s">
        <v>563</v>
      </c>
      <c r="I168" s="2" t="str">
        <f t="shared" si="10"/>
        <v>Jan</v>
      </c>
      <c r="J168" s="2">
        <f t="shared" si="11"/>
        <v>1</v>
      </c>
      <c r="K168" s="2">
        <f t="shared" si="12"/>
        <v>2023</v>
      </c>
      <c r="L168" s="2">
        <f t="shared" si="13"/>
        <v>1</v>
      </c>
      <c r="M168" s="6">
        <v>2</v>
      </c>
      <c r="N168" s="6" t="s">
        <v>650</v>
      </c>
      <c r="O168" s="6" t="s">
        <v>97</v>
      </c>
      <c r="P168" s="7">
        <v>112565</v>
      </c>
      <c r="Q168" s="7">
        <v>111847</v>
      </c>
      <c r="R168" s="6" t="s">
        <v>651</v>
      </c>
      <c r="S168" s="6" t="s">
        <v>5819</v>
      </c>
      <c r="T168" s="6">
        <v>63.6</v>
      </c>
      <c r="U168" s="6" t="s">
        <v>63</v>
      </c>
      <c r="V168" s="6" t="s">
        <v>483</v>
      </c>
      <c r="W168" s="67" t="str">
        <f t="shared" si="14"/>
        <v>Customer</v>
      </c>
    </row>
    <row r="169" spans="1:23" x14ac:dyDescent="0.3">
      <c r="A169" s="4" t="s">
        <v>652</v>
      </c>
      <c r="B169" s="4" t="s">
        <v>323</v>
      </c>
      <c r="C169" s="4">
        <v>9703418543</v>
      </c>
      <c r="D169" s="4" t="s">
        <v>108</v>
      </c>
      <c r="E169" s="4" t="s">
        <v>41</v>
      </c>
      <c r="F169" s="4" t="s">
        <v>86</v>
      </c>
      <c r="G169" s="4" t="s">
        <v>23</v>
      </c>
      <c r="H169" s="4" t="s">
        <v>624</v>
      </c>
      <c r="I169" s="2" t="str">
        <f t="shared" si="10"/>
        <v>Jan</v>
      </c>
      <c r="J169" s="2">
        <f t="shared" si="11"/>
        <v>1</v>
      </c>
      <c r="K169" s="2">
        <f t="shared" si="12"/>
        <v>2023</v>
      </c>
      <c r="L169" s="2">
        <f t="shared" si="13"/>
        <v>1</v>
      </c>
      <c r="M169" s="4">
        <v>10</v>
      </c>
      <c r="N169" s="4" t="s">
        <v>630</v>
      </c>
      <c r="O169" s="4" t="s">
        <v>27</v>
      </c>
      <c r="P169" s="5">
        <v>567437</v>
      </c>
      <c r="Q169" s="4"/>
      <c r="R169" s="4"/>
      <c r="S169" s="4" t="s">
        <v>5819</v>
      </c>
      <c r="T169" s="4">
        <v>47.5</v>
      </c>
      <c r="U169" s="4" t="s">
        <v>29</v>
      </c>
      <c r="V169" s="4" t="s">
        <v>123</v>
      </c>
      <c r="W169" s="67" t="str">
        <f t="shared" si="14"/>
        <v>-</v>
      </c>
    </row>
    <row r="170" spans="1:23" x14ac:dyDescent="0.3">
      <c r="A170" s="2" t="s">
        <v>654</v>
      </c>
      <c r="B170" s="2" t="s">
        <v>655</v>
      </c>
      <c r="C170" s="2">
        <v>9827920634</v>
      </c>
      <c r="D170" s="2" t="s">
        <v>59</v>
      </c>
      <c r="E170" s="2" t="s">
        <v>648</v>
      </c>
      <c r="F170" s="2" t="s">
        <v>656</v>
      </c>
      <c r="G170" s="2" t="s">
        <v>60</v>
      </c>
      <c r="H170" s="2" t="s">
        <v>624</v>
      </c>
      <c r="I170" s="2" t="str">
        <f t="shared" si="10"/>
        <v>Jan</v>
      </c>
      <c r="J170" s="2">
        <f t="shared" si="11"/>
        <v>1</v>
      </c>
      <c r="K170" s="2">
        <f t="shared" si="12"/>
        <v>2023</v>
      </c>
      <c r="L170" s="2">
        <f t="shared" si="13"/>
        <v>1</v>
      </c>
      <c r="M170" s="2">
        <v>1</v>
      </c>
      <c r="N170" s="2" t="s">
        <v>606</v>
      </c>
      <c r="O170" s="2" t="s">
        <v>62</v>
      </c>
      <c r="P170" s="3">
        <v>121365</v>
      </c>
      <c r="Q170" s="2"/>
      <c r="R170" s="2"/>
      <c r="S170" s="2" t="s">
        <v>5819</v>
      </c>
      <c r="T170" s="2">
        <v>32</v>
      </c>
      <c r="U170" s="2" t="s">
        <v>63</v>
      </c>
      <c r="V170" s="2"/>
      <c r="W170" s="67" t="str">
        <f t="shared" si="14"/>
        <v>-</v>
      </c>
    </row>
    <row r="171" spans="1:23" x14ac:dyDescent="0.3">
      <c r="A171" s="4" t="s">
        <v>657</v>
      </c>
      <c r="B171" s="4" t="s">
        <v>91</v>
      </c>
      <c r="C171" s="4">
        <v>9753901994</v>
      </c>
      <c r="D171" s="4" t="s">
        <v>20</v>
      </c>
      <c r="E171" s="4" t="s">
        <v>41</v>
      </c>
      <c r="F171" s="4" t="s">
        <v>151</v>
      </c>
      <c r="G171" s="4" t="s">
        <v>87</v>
      </c>
      <c r="H171" s="4" t="s">
        <v>644</v>
      </c>
      <c r="I171" s="2" t="str">
        <f t="shared" si="10"/>
        <v>Jan</v>
      </c>
      <c r="J171" s="2">
        <f t="shared" si="11"/>
        <v>1</v>
      </c>
      <c r="K171" s="2">
        <f t="shared" si="12"/>
        <v>2023</v>
      </c>
      <c r="L171" s="2">
        <f t="shared" si="13"/>
        <v>1</v>
      </c>
      <c r="M171" s="4">
        <v>5</v>
      </c>
      <c r="N171" s="4" t="s">
        <v>638</v>
      </c>
      <c r="O171" s="4" t="s">
        <v>45</v>
      </c>
      <c r="P171" s="5">
        <v>102001</v>
      </c>
      <c r="Q171" s="4"/>
      <c r="R171" s="4"/>
      <c r="S171" s="4" t="s">
        <v>5819</v>
      </c>
      <c r="T171" s="4">
        <v>48.7</v>
      </c>
      <c r="U171" s="4" t="s">
        <v>63</v>
      </c>
      <c r="V171" s="4" t="s">
        <v>64</v>
      </c>
      <c r="W171" s="67" t="str">
        <f t="shared" si="14"/>
        <v>-</v>
      </c>
    </row>
    <row r="172" spans="1:23" x14ac:dyDescent="0.3">
      <c r="A172" s="6" t="s">
        <v>659</v>
      </c>
      <c r="B172" s="6" t="s">
        <v>660</v>
      </c>
      <c r="C172" s="6">
        <v>9705855162</v>
      </c>
      <c r="D172" s="6" t="s">
        <v>59</v>
      </c>
      <c r="E172" s="6" t="s">
        <v>41</v>
      </c>
      <c r="F172" s="6" t="s">
        <v>86</v>
      </c>
      <c r="G172" s="6" t="s">
        <v>643</v>
      </c>
      <c r="H172" s="6" t="s">
        <v>653</v>
      </c>
      <c r="I172" s="2" t="str">
        <f t="shared" si="10"/>
        <v>Jan</v>
      </c>
      <c r="J172" s="2">
        <f t="shared" si="11"/>
        <v>1</v>
      </c>
      <c r="K172" s="2">
        <f t="shared" si="12"/>
        <v>2023</v>
      </c>
      <c r="L172" s="2">
        <f t="shared" si="13"/>
        <v>1</v>
      </c>
      <c r="M172" s="6">
        <v>0</v>
      </c>
      <c r="N172" s="6" t="s">
        <v>620</v>
      </c>
      <c r="O172" s="6" t="s">
        <v>97</v>
      </c>
      <c r="P172" s="7">
        <v>695294</v>
      </c>
      <c r="Q172" s="7">
        <v>669984</v>
      </c>
      <c r="R172" s="6" t="s">
        <v>661</v>
      </c>
      <c r="S172" s="6" t="s">
        <v>28</v>
      </c>
      <c r="T172" s="6">
        <v>29.1</v>
      </c>
      <c r="U172" s="6" t="s">
        <v>47</v>
      </c>
      <c r="V172" s="6" t="s">
        <v>99</v>
      </c>
      <c r="W172" s="67" t="str">
        <f t="shared" si="14"/>
        <v>Customer</v>
      </c>
    </row>
    <row r="173" spans="1:23" x14ac:dyDescent="0.3">
      <c r="A173" s="4" t="s">
        <v>662</v>
      </c>
      <c r="B173" s="4" t="s">
        <v>663</v>
      </c>
      <c r="C173" s="4">
        <v>9867064555</v>
      </c>
      <c r="D173" s="4" t="s">
        <v>20</v>
      </c>
      <c r="E173" s="4" t="s">
        <v>33</v>
      </c>
      <c r="F173" s="4" t="s">
        <v>34</v>
      </c>
      <c r="G173" s="4" t="s">
        <v>23</v>
      </c>
      <c r="H173" s="4" t="s">
        <v>653</v>
      </c>
      <c r="I173" s="2" t="str">
        <f t="shared" si="10"/>
        <v>Jan</v>
      </c>
      <c r="J173" s="2">
        <f t="shared" si="11"/>
        <v>1</v>
      </c>
      <c r="K173" s="2">
        <f t="shared" si="12"/>
        <v>2023</v>
      </c>
      <c r="L173" s="2">
        <f t="shared" si="13"/>
        <v>1</v>
      </c>
      <c r="M173" s="4">
        <v>10</v>
      </c>
      <c r="N173" s="4" t="s">
        <v>664</v>
      </c>
      <c r="O173" s="4" t="s">
        <v>45</v>
      </c>
      <c r="P173" s="5">
        <v>425943</v>
      </c>
      <c r="Q173" s="4"/>
      <c r="R173" s="4"/>
      <c r="S173" s="4" t="s">
        <v>28</v>
      </c>
      <c r="T173" s="4">
        <v>62.5</v>
      </c>
      <c r="U173" s="4" t="s">
        <v>47</v>
      </c>
      <c r="V173" s="4" t="s">
        <v>310</v>
      </c>
      <c r="W173" s="67" t="str">
        <f t="shared" si="14"/>
        <v>-</v>
      </c>
    </row>
    <row r="174" spans="1:23" x14ac:dyDescent="0.3">
      <c r="A174" s="2" t="s">
        <v>665</v>
      </c>
      <c r="B174" s="2" t="s">
        <v>666</v>
      </c>
      <c r="C174" s="2">
        <v>9868443155</v>
      </c>
      <c r="D174" s="2" t="s">
        <v>59</v>
      </c>
      <c r="E174" s="2" t="s">
        <v>33</v>
      </c>
      <c r="F174" s="2" t="s">
        <v>34</v>
      </c>
      <c r="G174" s="2" t="s">
        <v>643</v>
      </c>
      <c r="H174" s="2" t="s">
        <v>586</v>
      </c>
      <c r="I174" s="2" t="str">
        <f t="shared" si="10"/>
        <v>Jan</v>
      </c>
      <c r="J174" s="2">
        <f t="shared" si="11"/>
        <v>1</v>
      </c>
      <c r="K174" s="2">
        <f t="shared" si="12"/>
        <v>2023</v>
      </c>
      <c r="L174" s="2">
        <f t="shared" si="13"/>
        <v>1</v>
      </c>
      <c r="M174" s="2">
        <v>6</v>
      </c>
      <c r="N174" s="2" t="s">
        <v>667</v>
      </c>
      <c r="O174" s="2" t="s">
        <v>45</v>
      </c>
      <c r="P174" s="3">
        <v>1134577</v>
      </c>
      <c r="Q174" s="2"/>
      <c r="R174" s="2"/>
      <c r="S174" s="2" t="s">
        <v>5819</v>
      </c>
      <c r="T174" s="2">
        <v>71.5</v>
      </c>
      <c r="U174" s="2" t="s">
        <v>63</v>
      </c>
      <c r="V174" s="2" t="s">
        <v>668</v>
      </c>
      <c r="W174" s="67" t="str">
        <f t="shared" si="14"/>
        <v>-</v>
      </c>
    </row>
    <row r="175" spans="1:23" x14ac:dyDescent="0.3">
      <c r="A175" s="4" t="s">
        <v>669</v>
      </c>
      <c r="B175" s="4" t="s">
        <v>670</v>
      </c>
      <c r="C175" s="4">
        <v>9553533911</v>
      </c>
      <c r="D175" s="4" t="s">
        <v>20</v>
      </c>
      <c r="E175" s="4" t="s">
        <v>41</v>
      </c>
      <c r="F175" s="4" t="s">
        <v>86</v>
      </c>
      <c r="G175" s="4" t="s">
        <v>643</v>
      </c>
      <c r="H175" s="4" t="s">
        <v>586</v>
      </c>
      <c r="I175" s="2" t="str">
        <f t="shared" si="10"/>
        <v>Jan</v>
      </c>
      <c r="J175" s="2">
        <f t="shared" si="11"/>
        <v>1</v>
      </c>
      <c r="K175" s="2">
        <f t="shared" si="12"/>
        <v>2023</v>
      </c>
      <c r="L175" s="2">
        <f t="shared" si="13"/>
        <v>1</v>
      </c>
      <c r="M175" s="4">
        <v>10</v>
      </c>
      <c r="N175" s="4" t="s">
        <v>671</v>
      </c>
      <c r="O175" s="4" t="s">
        <v>45</v>
      </c>
      <c r="P175" s="5">
        <v>931405</v>
      </c>
      <c r="Q175" s="4"/>
      <c r="R175" s="4"/>
      <c r="S175" s="4" t="s">
        <v>28</v>
      </c>
      <c r="T175" s="4">
        <v>49.4</v>
      </c>
      <c r="U175" s="4" t="s">
        <v>47</v>
      </c>
      <c r="V175" s="4" t="s">
        <v>597</v>
      </c>
      <c r="W175" s="67" t="str">
        <f t="shared" si="14"/>
        <v>-</v>
      </c>
    </row>
    <row r="176" spans="1:23" x14ac:dyDescent="0.3">
      <c r="A176" s="2" t="s">
        <v>672</v>
      </c>
      <c r="B176" s="2" t="s">
        <v>673</v>
      </c>
      <c r="C176" s="2">
        <v>9135509761</v>
      </c>
      <c r="D176" s="2" t="s">
        <v>121</v>
      </c>
      <c r="E176" s="2" t="s">
        <v>33</v>
      </c>
      <c r="F176" s="2" t="s">
        <v>34</v>
      </c>
      <c r="G176" s="2" t="s">
        <v>23</v>
      </c>
      <c r="H176" s="2" t="s">
        <v>586</v>
      </c>
      <c r="I176" s="2" t="str">
        <f t="shared" si="10"/>
        <v>Jan</v>
      </c>
      <c r="J176" s="2">
        <f t="shared" si="11"/>
        <v>1</v>
      </c>
      <c r="K176" s="2">
        <f t="shared" si="12"/>
        <v>2023</v>
      </c>
      <c r="L176" s="2">
        <f t="shared" si="13"/>
        <v>1</v>
      </c>
      <c r="M176" s="2">
        <v>3</v>
      </c>
      <c r="N176" s="2" t="s">
        <v>674</v>
      </c>
      <c r="O176" s="2" t="s">
        <v>45</v>
      </c>
      <c r="P176" s="3">
        <v>546563</v>
      </c>
      <c r="Q176" s="2"/>
      <c r="R176" s="2"/>
      <c r="S176" s="2" t="s">
        <v>5819</v>
      </c>
      <c r="T176" s="2">
        <v>42.7</v>
      </c>
      <c r="U176" s="2" t="s">
        <v>47</v>
      </c>
      <c r="V176" s="2"/>
      <c r="W176" s="67" t="str">
        <f t="shared" si="14"/>
        <v>-</v>
      </c>
    </row>
    <row r="177" spans="1:23" x14ac:dyDescent="0.3">
      <c r="A177" s="4" t="s">
        <v>675</v>
      </c>
      <c r="B177" s="4" t="s">
        <v>676</v>
      </c>
      <c r="C177" s="4">
        <v>9212447665</v>
      </c>
      <c r="D177" s="4" t="s">
        <v>20</v>
      </c>
      <c r="E177" s="4" t="s">
        <v>109</v>
      </c>
      <c r="F177" s="4" t="s">
        <v>217</v>
      </c>
      <c r="G177" s="4" t="s">
        <v>23</v>
      </c>
      <c r="H177" s="4" t="s">
        <v>658</v>
      </c>
      <c r="I177" s="2" t="str">
        <f t="shared" si="10"/>
        <v>Jan</v>
      </c>
      <c r="J177" s="2">
        <f t="shared" si="11"/>
        <v>1</v>
      </c>
      <c r="K177" s="2">
        <f t="shared" si="12"/>
        <v>2023</v>
      </c>
      <c r="L177" s="2">
        <f t="shared" si="13"/>
        <v>1</v>
      </c>
      <c r="M177" s="4">
        <v>4</v>
      </c>
      <c r="N177" s="4" t="s">
        <v>677</v>
      </c>
      <c r="O177" s="4" t="s">
        <v>62</v>
      </c>
      <c r="P177" s="5">
        <v>628439</v>
      </c>
      <c r="Q177" s="4"/>
      <c r="R177" s="4"/>
      <c r="S177" s="4" t="s">
        <v>5819</v>
      </c>
      <c r="T177" s="4">
        <v>34.700000000000003</v>
      </c>
      <c r="U177" s="4" t="s">
        <v>63</v>
      </c>
      <c r="V177" s="4" t="s">
        <v>678</v>
      </c>
      <c r="W177" s="67" t="str">
        <f t="shared" si="14"/>
        <v>-</v>
      </c>
    </row>
    <row r="178" spans="1:23" x14ac:dyDescent="0.3">
      <c r="A178" s="2" t="s">
        <v>679</v>
      </c>
      <c r="B178" s="2" t="s">
        <v>680</v>
      </c>
      <c r="C178" s="2">
        <v>9294493146</v>
      </c>
      <c r="D178" s="2" t="s">
        <v>108</v>
      </c>
      <c r="E178" s="2" t="s">
        <v>641</v>
      </c>
      <c r="F178" s="2" t="s">
        <v>681</v>
      </c>
      <c r="G178" s="2" t="s">
        <v>69</v>
      </c>
      <c r="H178" s="2" t="s">
        <v>606</v>
      </c>
      <c r="I178" s="2" t="str">
        <f t="shared" si="10"/>
        <v>Jan</v>
      </c>
      <c r="J178" s="2">
        <f t="shared" si="11"/>
        <v>1</v>
      </c>
      <c r="K178" s="2">
        <f t="shared" si="12"/>
        <v>2023</v>
      </c>
      <c r="L178" s="2">
        <f t="shared" si="13"/>
        <v>1</v>
      </c>
      <c r="M178" s="2">
        <v>8</v>
      </c>
      <c r="N178" s="2" t="s">
        <v>630</v>
      </c>
      <c r="O178" s="2" t="s">
        <v>27</v>
      </c>
      <c r="P178" s="3">
        <v>119095</v>
      </c>
      <c r="Q178" s="2"/>
      <c r="R178" s="2"/>
      <c r="S178" s="2" t="s">
        <v>5819</v>
      </c>
      <c r="T178" s="2">
        <v>36.299999999999997</v>
      </c>
      <c r="U178" s="2" t="s">
        <v>29</v>
      </c>
      <c r="V178" s="2" t="s">
        <v>123</v>
      </c>
      <c r="W178" s="67" t="str">
        <f t="shared" si="14"/>
        <v>-</v>
      </c>
    </row>
    <row r="179" spans="1:23" x14ac:dyDescent="0.3">
      <c r="A179" s="4" t="s">
        <v>683</v>
      </c>
      <c r="B179" s="4" t="s">
        <v>240</v>
      </c>
      <c r="C179" s="4">
        <v>9959922040</v>
      </c>
      <c r="D179" s="4" t="s">
        <v>108</v>
      </c>
      <c r="E179" s="4" t="s">
        <v>648</v>
      </c>
      <c r="F179" s="4" t="s">
        <v>649</v>
      </c>
      <c r="G179" s="4" t="s">
        <v>52</v>
      </c>
      <c r="H179" s="4" t="s">
        <v>606</v>
      </c>
      <c r="I179" s="2" t="str">
        <f t="shared" si="10"/>
        <v>Jan</v>
      </c>
      <c r="J179" s="2">
        <f t="shared" si="11"/>
        <v>1</v>
      </c>
      <c r="K179" s="2">
        <f t="shared" si="12"/>
        <v>2023</v>
      </c>
      <c r="L179" s="2">
        <f t="shared" si="13"/>
        <v>1</v>
      </c>
      <c r="M179" s="4">
        <v>7</v>
      </c>
      <c r="N179" s="4" t="s">
        <v>617</v>
      </c>
      <c r="O179" s="4" t="s">
        <v>45</v>
      </c>
      <c r="P179" s="5">
        <v>389187</v>
      </c>
      <c r="Q179" s="4"/>
      <c r="R179" s="4"/>
      <c r="S179" s="4" t="s">
        <v>5819</v>
      </c>
      <c r="T179" s="4">
        <v>62.8</v>
      </c>
      <c r="U179" s="4" t="s">
        <v>47</v>
      </c>
      <c r="V179" s="4" t="s">
        <v>487</v>
      </c>
      <c r="W179" s="67" t="str">
        <f t="shared" si="14"/>
        <v>-</v>
      </c>
    </row>
    <row r="180" spans="1:23" x14ac:dyDescent="0.3">
      <c r="A180" s="2" t="s">
        <v>684</v>
      </c>
      <c r="B180" s="2" t="s">
        <v>685</v>
      </c>
      <c r="C180" s="2">
        <v>9377733976</v>
      </c>
      <c r="D180" s="2" t="s">
        <v>20</v>
      </c>
      <c r="E180" s="2" t="s">
        <v>33</v>
      </c>
      <c r="F180" s="2" t="s">
        <v>201</v>
      </c>
      <c r="G180" s="2" t="s">
        <v>643</v>
      </c>
      <c r="H180" s="2" t="s">
        <v>682</v>
      </c>
      <c r="I180" s="2" t="str">
        <f t="shared" si="10"/>
        <v>Jan</v>
      </c>
      <c r="J180" s="2">
        <f t="shared" si="11"/>
        <v>1</v>
      </c>
      <c r="K180" s="2">
        <f t="shared" si="12"/>
        <v>2023</v>
      </c>
      <c r="L180" s="2">
        <f t="shared" si="13"/>
        <v>1</v>
      </c>
      <c r="M180" s="2">
        <v>5</v>
      </c>
      <c r="N180" s="2" t="s">
        <v>687</v>
      </c>
      <c r="O180" s="2" t="s">
        <v>27</v>
      </c>
      <c r="P180" s="3">
        <v>868590</v>
      </c>
      <c r="Q180" s="2"/>
      <c r="R180" s="2"/>
      <c r="S180" s="2" t="s">
        <v>28</v>
      </c>
      <c r="T180" s="2">
        <v>36.299999999999997</v>
      </c>
      <c r="U180" s="2" t="s">
        <v>29</v>
      </c>
      <c r="V180" s="2" t="s">
        <v>123</v>
      </c>
      <c r="W180" s="67" t="str">
        <f t="shared" si="14"/>
        <v>-</v>
      </c>
    </row>
    <row r="181" spans="1:23" x14ac:dyDescent="0.3">
      <c r="A181" s="4" t="s">
        <v>688</v>
      </c>
      <c r="B181" s="4" t="s">
        <v>689</v>
      </c>
      <c r="C181" s="4">
        <v>9894024006</v>
      </c>
      <c r="D181" s="4" t="s">
        <v>59</v>
      </c>
      <c r="E181" s="4" t="s">
        <v>33</v>
      </c>
      <c r="F181" s="4" t="s">
        <v>102</v>
      </c>
      <c r="G181" s="4" t="s">
        <v>52</v>
      </c>
      <c r="H181" s="4" t="s">
        <v>686</v>
      </c>
      <c r="I181" s="2" t="str">
        <f t="shared" si="10"/>
        <v>Jan</v>
      </c>
      <c r="J181" s="2">
        <f t="shared" si="11"/>
        <v>1</v>
      </c>
      <c r="K181" s="2">
        <f t="shared" si="12"/>
        <v>2023</v>
      </c>
      <c r="L181" s="2">
        <f t="shared" si="13"/>
        <v>1</v>
      </c>
      <c r="M181" s="4">
        <v>7</v>
      </c>
      <c r="N181" s="4" t="s">
        <v>690</v>
      </c>
      <c r="O181" s="4" t="s">
        <v>27</v>
      </c>
      <c r="P181" s="5">
        <v>434780</v>
      </c>
      <c r="Q181" s="4"/>
      <c r="R181" s="4"/>
      <c r="S181" s="4" t="s">
        <v>5819</v>
      </c>
      <c r="T181" s="4">
        <v>40.799999999999997</v>
      </c>
      <c r="U181" s="4" t="s">
        <v>29</v>
      </c>
      <c r="V181" s="4" t="s">
        <v>30</v>
      </c>
      <c r="W181" s="67" t="str">
        <f t="shared" si="14"/>
        <v>-</v>
      </c>
    </row>
    <row r="182" spans="1:23" x14ac:dyDescent="0.3">
      <c r="A182" s="2" t="s">
        <v>691</v>
      </c>
      <c r="B182" s="2" t="s">
        <v>692</v>
      </c>
      <c r="C182" s="2">
        <v>9443328397</v>
      </c>
      <c r="D182" s="2" t="s">
        <v>121</v>
      </c>
      <c r="E182" s="2" t="s">
        <v>109</v>
      </c>
      <c r="F182" s="2" t="s">
        <v>110</v>
      </c>
      <c r="G182" s="2" t="s">
        <v>52</v>
      </c>
      <c r="H182" s="2" t="s">
        <v>686</v>
      </c>
      <c r="I182" s="2" t="str">
        <f t="shared" si="10"/>
        <v>Jan</v>
      </c>
      <c r="J182" s="2">
        <f t="shared" si="11"/>
        <v>1</v>
      </c>
      <c r="K182" s="2">
        <f t="shared" si="12"/>
        <v>2023</v>
      </c>
      <c r="L182" s="2">
        <f t="shared" si="13"/>
        <v>1</v>
      </c>
      <c r="M182" s="2">
        <v>10</v>
      </c>
      <c r="N182" s="2" t="s">
        <v>693</v>
      </c>
      <c r="O182" s="2" t="s">
        <v>55</v>
      </c>
      <c r="P182" s="3">
        <v>374915</v>
      </c>
      <c r="Q182" s="2"/>
      <c r="R182" s="2"/>
      <c r="S182" s="2" t="s">
        <v>28</v>
      </c>
      <c r="T182" s="2">
        <v>50.5</v>
      </c>
      <c r="U182" s="2" t="s">
        <v>47</v>
      </c>
      <c r="V182" s="2" t="s">
        <v>597</v>
      </c>
      <c r="W182" s="67" t="str">
        <f t="shared" si="14"/>
        <v>-</v>
      </c>
    </row>
    <row r="183" spans="1:23" x14ac:dyDescent="0.3">
      <c r="A183" s="4" t="s">
        <v>694</v>
      </c>
      <c r="B183" s="4" t="s">
        <v>695</v>
      </c>
      <c r="C183" s="4">
        <v>9866979905</v>
      </c>
      <c r="D183" s="4" t="s">
        <v>59</v>
      </c>
      <c r="E183" s="4" t="s">
        <v>41</v>
      </c>
      <c r="F183" s="4" t="s">
        <v>92</v>
      </c>
      <c r="G183" s="4" t="s">
        <v>52</v>
      </c>
      <c r="H183" s="4" t="s">
        <v>686</v>
      </c>
      <c r="I183" s="2" t="str">
        <f t="shared" si="10"/>
        <v>Jan</v>
      </c>
      <c r="J183" s="2">
        <f t="shared" si="11"/>
        <v>1</v>
      </c>
      <c r="K183" s="2">
        <f t="shared" si="12"/>
        <v>2023</v>
      </c>
      <c r="L183" s="2">
        <f t="shared" si="13"/>
        <v>1</v>
      </c>
      <c r="M183" s="4">
        <v>7</v>
      </c>
      <c r="N183" s="4" t="s">
        <v>696</v>
      </c>
      <c r="O183" s="4" t="s">
        <v>62</v>
      </c>
      <c r="P183" s="5">
        <v>237698</v>
      </c>
      <c r="Q183" s="4"/>
      <c r="R183" s="4"/>
      <c r="S183" s="4" t="s">
        <v>5819</v>
      </c>
      <c r="T183" s="4">
        <v>42.9</v>
      </c>
      <c r="U183" s="4" t="s">
        <v>29</v>
      </c>
      <c r="V183" s="4" t="s">
        <v>697</v>
      </c>
      <c r="W183" s="67" t="str">
        <f t="shared" si="14"/>
        <v>-</v>
      </c>
    </row>
    <row r="184" spans="1:23" x14ac:dyDescent="0.3">
      <c r="A184" s="2" t="s">
        <v>698</v>
      </c>
      <c r="B184" s="2" t="s">
        <v>699</v>
      </c>
      <c r="C184" s="2">
        <v>9642849045</v>
      </c>
      <c r="D184" s="2" t="s">
        <v>121</v>
      </c>
      <c r="E184" s="2" t="s">
        <v>73</v>
      </c>
      <c r="F184" s="2" t="s">
        <v>74</v>
      </c>
      <c r="G184" s="2" t="s">
        <v>69</v>
      </c>
      <c r="H184" s="2" t="s">
        <v>593</v>
      </c>
      <c r="I184" s="2" t="str">
        <f t="shared" si="10"/>
        <v>Jan</v>
      </c>
      <c r="J184" s="2">
        <f t="shared" si="11"/>
        <v>1</v>
      </c>
      <c r="K184" s="2">
        <f t="shared" si="12"/>
        <v>2023</v>
      </c>
      <c r="L184" s="2">
        <f t="shared" si="13"/>
        <v>1</v>
      </c>
      <c r="M184" s="2">
        <v>8</v>
      </c>
      <c r="N184" s="2" t="s">
        <v>700</v>
      </c>
      <c r="O184" s="2" t="s">
        <v>27</v>
      </c>
      <c r="P184" s="3">
        <v>224319</v>
      </c>
      <c r="Q184" s="2"/>
      <c r="R184" s="2"/>
      <c r="S184" s="2" t="s">
        <v>28</v>
      </c>
      <c r="T184" s="2">
        <v>47.6</v>
      </c>
      <c r="U184" s="2" t="s">
        <v>29</v>
      </c>
      <c r="V184" s="2"/>
      <c r="W184" s="67" t="str">
        <f t="shared" si="14"/>
        <v>-</v>
      </c>
    </row>
    <row r="185" spans="1:23" x14ac:dyDescent="0.3">
      <c r="A185" s="4" t="s">
        <v>701</v>
      </c>
      <c r="B185" s="4" t="s">
        <v>702</v>
      </c>
      <c r="C185" s="4">
        <v>9732773408</v>
      </c>
      <c r="D185" s="4" t="s">
        <v>51</v>
      </c>
      <c r="E185" s="4" t="s">
        <v>109</v>
      </c>
      <c r="F185" s="4" t="s">
        <v>217</v>
      </c>
      <c r="G185" s="4" t="s">
        <v>52</v>
      </c>
      <c r="H185" s="4" t="s">
        <v>674</v>
      </c>
      <c r="I185" s="2" t="str">
        <f t="shared" si="10"/>
        <v>Jan</v>
      </c>
      <c r="J185" s="2">
        <f t="shared" si="11"/>
        <v>1</v>
      </c>
      <c r="K185" s="2">
        <f t="shared" si="12"/>
        <v>2023</v>
      </c>
      <c r="L185" s="2">
        <f t="shared" si="13"/>
        <v>1</v>
      </c>
      <c r="M185" s="4"/>
      <c r="N185" s="4" t="s">
        <v>703</v>
      </c>
      <c r="O185" s="4" t="s">
        <v>62</v>
      </c>
      <c r="P185" s="5">
        <v>261631</v>
      </c>
      <c r="Q185" s="4"/>
      <c r="R185" s="4"/>
      <c r="S185" s="4" t="s">
        <v>28</v>
      </c>
      <c r="T185" s="4">
        <v>7.2</v>
      </c>
      <c r="U185" s="4" t="s">
        <v>47</v>
      </c>
      <c r="V185" s="4" t="s">
        <v>89</v>
      </c>
      <c r="W185" s="67" t="str">
        <f t="shared" si="14"/>
        <v>-</v>
      </c>
    </row>
    <row r="186" spans="1:23" x14ac:dyDescent="0.3">
      <c r="A186" s="2" t="s">
        <v>704</v>
      </c>
      <c r="B186" s="2" t="s">
        <v>705</v>
      </c>
      <c r="C186" s="2">
        <v>9371375678</v>
      </c>
      <c r="D186" s="2" t="s">
        <v>20</v>
      </c>
      <c r="E186" s="2" t="s">
        <v>21</v>
      </c>
      <c r="F186" s="2" t="s">
        <v>22</v>
      </c>
      <c r="G186" s="2" t="s">
        <v>52</v>
      </c>
      <c r="H186" s="2" t="s">
        <v>674</v>
      </c>
      <c r="I186" s="2" t="str">
        <f t="shared" si="10"/>
        <v>Jan</v>
      </c>
      <c r="J186" s="2">
        <f t="shared" si="11"/>
        <v>1</v>
      </c>
      <c r="K186" s="2">
        <f t="shared" si="12"/>
        <v>2023</v>
      </c>
      <c r="L186" s="2">
        <f t="shared" si="13"/>
        <v>1</v>
      </c>
      <c r="M186" s="2">
        <v>6</v>
      </c>
      <c r="N186" s="2" t="s">
        <v>706</v>
      </c>
      <c r="O186" s="2" t="s">
        <v>45</v>
      </c>
      <c r="P186" s="3">
        <v>208347</v>
      </c>
      <c r="Q186" s="2"/>
      <c r="R186" s="2"/>
      <c r="S186" s="2" t="s">
        <v>28</v>
      </c>
      <c r="T186" s="2">
        <v>7.3</v>
      </c>
      <c r="U186" s="2" t="s">
        <v>29</v>
      </c>
      <c r="V186" s="2" t="s">
        <v>589</v>
      </c>
      <c r="W186" s="67" t="str">
        <f t="shared" si="14"/>
        <v>-</v>
      </c>
    </row>
    <row r="187" spans="1:23" x14ac:dyDescent="0.3">
      <c r="A187" s="4" t="s">
        <v>707</v>
      </c>
      <c r="B187" s="4" t="s">
        <v>708</v>
      </c>
      <c r="C187" s="4">
        <v>9737558411</v>
      </c>
      <c r="D187" s="4" t="s">
        <v>59</v>
      </c>
      <c r="E187" s="4" t="s">
        <v>109</v>
      </c>
      <c r="F187" s="4" t="s">
        <v>217</v>
      </c>
      <c r="G187" s="4" t="s">
        <v>60</v>
      </c>
      <c r="H187" s="4" t="s">
        <v>674</v>
      </c>
      <c r="I187" s="2" t="str">
        <f t="shared" si="10"/>
        <v>Jan</v>
      </c>
      <c r="J187" s="2">
        <f t="shared" si="11"/>
        <v>1</v>
      </c>
      <c r="K187" s="2">
        <f t="shared" si="12"/>
        <v>2023</v>
      </c>
      <c r="L187" s="2">
        <f t="shared" si="13"/>
        <v>1</v>
      </c>
      <c r="M187" s="4">
        <v>0</v>
      </c>
      <c r="N187" s="4" t="s">
        <v>709</v>
      </c>
      <c r="O187" s="4" t="s">
        <v>27</v>
      </c>
      <c r="P187" s="5">
        <v>164982</v>
      </c>
      <c r="Q187" s="4"/>
      <c r="R187" s="4"/>
      <c r="S187" s="4" t="s">
        <v>5819</v>
      </c>
      <c r="T187" s="4">
        <v>31</v>
      </c>
      <c r="U187" s="4" t="s">
        <v>29</v>
      </c>
      <c r="V187" s="4" t="s">
        <v>238</v>
      </c>
      <c r="W187" s="67" t="str">
        <f t="shared" si="14"/>
        <v>-</v>
      </c>
    </row>
    <row r="188" spans="1:23" x14ac:dyDescent="0.3">
      <c r="A188" s="2" t="s">
        <v>710</v>
      </c>
      <c r="B188" s="2" t="s">
        <v>711</v>
      </c>
      <c r="C188" s="2">
        <v>9888208775</v>
      </c>
      <c r="D188" s="2" t="s">
        <v>20</v>
      </c>
      <c r="E188" s="2" t="s">
        <v>641</v>
      </c>
      <c r="F188" s="2" t="s">
        <v>642</v>
      </c>
      <c r="G188" s="2" t="s">
        <v>23</v>
      </c>
      <c r="H188" s="2" t="s">
        <v>674</v>
      </c>
      <c r="I188" s="2" t="str">
        <f t="shared" si="10"/>
        <v>Jan</v>
      </c>
      <c r="J188" s="2">
        <f t="shared" si="11"/>
        <v>1</v>
      </c>
      <c r="K188" s="2">
        <f t="shared" si="12"/>
        <v>2023</v>
      </c>
      <c r="L188" s="2">
        <f t="shared" si="13"/>
        <v>1</v>
      </c>
      <c r="M188" s="2">
        <v>0</v>
      </c>
      <c r="N188" s="2" t="s">
        <v>712</v>
      </c>
      <c r="O188" s="2" t="s">
        <v>55</v>
      </c>
      <c r="P188" s="3">
        <v>286245</v>
      </c>
      <c r="Q188" s="2"/>
      <c r="R188" s="2"/>
      <c r="S188" s="2" t="s">
        <v>5819</v>
      </c>
      <c r="T188" s="2">
        <v>65.7</v>
      </c>
      <c r="U188" s="2" t="s">
        <v>47</v>
      </c>
      <c r="V188" s="2" t="s">
        <v>310</v>
      </c>
      <c r="W188" s="67" t="str">
        <f t="shared" si="14"/>
        <v>-</v>
      </c>
    </row>
    <row r="189" spans="1:23" x14ac:dyDescent="0.3">
      <c r="A189" s="6" t="s">
        <v>713</v>
      </c>
      <c r="B189" s="6" t="s">
        <v>632</v>
      </c>
      <c r="C189" s="6">
        <v>9791851361</v>
      </c>
      <c r="D189" s="6" t="s">
        <v>59</v>
      </c>
      <c r="E189" s="6" t="s">
        <v>41</v>
      </c>
      <c r="F189" s="6" t="s">
        <v>151</v>
      </c>
      <c r="G189" s="6" t="s">
        <v>60</v>
      </c>
      <c r="H189" s="6" t="s">
        <v>674</v>
      </c>
      <c r="I189" s="2" t="str">
        <f t="shared" si="10"/>
        <v>Jan</v>
      </c>
      <c r="J189" s="2">
        <f t="shared" si="11"/>
        <v>1</v>
      </c>
      <c r="K189" s="2">
        <f t="shared" si="12"/>
        <v>2023</v>
      </c>
      <c r="L189" s="2">
        <f t="shared" si="13"/>
        <v>1</v>
      </c>
      <c r="M189" s="6">
        <v>12</v>
      </c>
      <c r="N189" s="6" t="s">
        <v>700</v>
      </c>
      <c r="O189" s="6" t="s">
        <v>97</v>
      </c>
      <c r="P189" s="7">
        <v>65656</v>
      </c>
      <c r="Q189" s="7">
        <v>57827</v>
      </c>
      <c r="R189" s="6" t="s">
        <v>714</v>
      </c>
      <c r="S189" s="6" t="s">
        <v>5819</v>
      </c>
      <c r="T189" s="6">
        <v>14.1</v>
      </c>
      <c r="U189" s="6" t="s">
        <v>63</v>
      </c>
      <c r="V189" s="6" t="s">
        <v>341</v>
      </c>
      <c r="W189" s="67" t="str">
        <f t="shared" si="14"/>
        <v>Architect</v>
      </c>
    </row>
    <row r="190" spans="1:23" x14ac:dyDescent="0.3">
      <c r="A190" s="2" t="s">
        <v>715</v>
      </c>
      <c r="B190" s="2" t="s">
        <v>716</v>
      </c>
      <c r="C190" s="2">
        <v>9157635190</v>
      </c>
      <c r="D190" s="2" t="s">
        <v>59</v>
      </c>
      <c r="E190" s="2" t="s">
        <v>641</v>
      </c>
      <c r="F190" s="2" t="s">
        <v>717</v>
      </c>
      <c r="G190" s="2" t="s">
        <v>60</v>
      </c>
      <c r="H190" s="2" t="s">
        <v>718</v>
      </c>
      <c r="I190" s="2" t="str">
        <f t="shared" si="10"/>
        <v>Jan</v>
      </c>
      <c r="J190" s="2">
        <f t="shared" si="11"/>
        <v>1</v>
      </c>
      <c r="K190" s="2">
        <f t="shared" si="12"/>
        <v>2023</v>
      </c>
      <c r="L190" s="2">
        <f t="shared" si="13"/>
        <v>1</v>
      </c>
      <c r="M190" s="2">
        <v>4</v>
      </c>
      <c r="N190" s="2" t="s">
        <v>696</v>
      </c>
      <c r="O190" s="2" t="s">
        <v>27</v>
      </c>
      <c r="P190" s="3">
        <v>229737</v>
      </c>
      <c r="Q190" s="2"/>
      <c r="R190" s="2"/>
      <c r="S190" s="2" t="s">
        <v>5819</v>
      </c>
      <c r="T190" s="2">
        <v>64.3</v>
      </c>
      <c r="U190" s="2" t="s">
        <v>29</v>
      </c>
      <c r="V190" s="2" t="s">
        <v>153</v>
      </c>
      <c r="W190" s="67" t="str">
        <f t="shared" si="14"/>
        <v>-</v>
      </c>
    </row>
    <row r="191" spans="1:23" x14ac:dyDescent="0.3">
      <c r="A191" s="4" t="s">
        <v>719</v>
      </c>
      <c r="B191" s="4" t="s">
        <v>720</v>
      </c>
      <c r="C191" s="4">
        <v>9271149511</v>
      </c>
      <c r="D191" s="4" t="s">
        <v>20</v>
      </c>
      <c r="E191" s="4" t="s">
        <v>109</v>
      </c>
      <c r="F191" s="4" t="s">
        <v>217</v>
      </c>
      <c r="G191" s="4" t="s">
        <v>52</v>
      </c>
      <c r="H191" s="4" t="s">
        <v>718</v>
      </c>
      <c r="I191" s="2" t="str">
        <f t="shared" si="10"/>
        <v>Jan</v>
      </c>
      <c r="J191" s="2">
        <f t="shared" si="11"/>
        <v>1</v>
      </c>
      <c r="K191" s="2">
        <f t="shared" si="12"/>
        <v>2023</v>
      </c>
      <c r="L191" s="2">
        <f t="shared" si="13"/>
        <v>1</v>
      </c>
      <c r="M191" s="4">
        <v>11</v>
      </c>
      <c r="N191" s="4" t="s">
        <v>721</v>
      </c>
      <c r="O191" s="4" t="s">
        <v>45</v>
      </c>
      <c r="P191" s="5">
        <v>229926</v>
      </c>
      <c r="Q191" s="4"/>
      <c r="R191" s="4"/>
      <c r="S191" s="4" t="s">
        <v>28</v>
      </c>
      <c r="T191" s="4">
        <v>15.3</v>
      </c>
      <c r="U191" s="4" t="s">
        <v>29</v>
      </c>
      <c r="V191" s="4" t="s">
        <v>389</v>
      </c>
      <c r="W191" s="67" t="str">
        <f t="shared" si="14"/>
        <v>-</v>
      </c>
    </row>
    <row r="192" spans="1:23" x14ac:dyDescent="0.3">
      <c r="A192" s="2" t="s">
        <v>722</v>
      </c>
      <c r="B192" s="2" t="s">
        <v>723</v>
      </c>
      <c r="C192" s="2">
        <v>9700343937</v>
      </c>
      <c r="D192" s="2" t="s">
        <v>20</v>
      </c>
      <c r="E192" s="2" t="s">
        <v>33</v>
      </c>
      <c r="F192" s="2" t="s">
        <v>34</v>
      </c>
      <c r="G192" s="2" t="s">
        <v>23</v>
      </c>
      <c r="H192" s="2" t="s">
        <v>610</v>
      </c>
      <c r="I192" s="2" t="str">
        <f t="shared" si="10"/>
        <v>Feb</v>
      </c>
      <c r="J192" s="2">
        <f t="shared" si="11"/>
        <v>2</v>
      </c>
      <c r="K192" s="2">
        <f t="shared" si="12"/>
        <v>2023</v>
      </c>
      <c r="L192" s="2">
        <f t="shared" si="13"/>
        <v>1</v>
      </c>
      <c r="M192" s="2">
        <v>1</v>
      </c>
      <c r="N192" s="2" t="s">
        <v>724</v>
      </c>
      <c r="O192" s="2" t="s">
        <v>62</v>
      </c>
      <c r="P192" s="3">
        <v>299997</v>
      </c>
      <c r="Q192" s="2"/>
      <c r="R192" s="2"/>
      <c r="S192" s="2" t="s">
        <v>28</v>
      </c>
      <c r="T192" s="2">
        <v>39.200000000000003</v>
      </c>
      <c r="U192" s="2" t="s">
        <v>47</v>
      </c>
      <c r="V192" s="2" t="s">
        <v>381</v>
      </c>
      <c r="W192" s="67" t="str">
        <f t="shared" si="14"/>
        <v>-</v>
      </c>
    </row>
    <row r="193" spans="1:23" x14ac:dyDescent="0.3">
      <c r="A193" s="4" t="s">
        <v>725</v>
      </c>
      <c r="B193" s="4" t="s">
        <v>726</v>
      </c>
      <c r="C193" s="4">
        <v>9648825565</v>
      </c>
      <c r="D193" s="4" t="s">
        <v>59</v>
      </c>
      <c r="E193" s="4" t="s">
        <v>641</v>
      </c>
      <c r="F193" s="4" t="s">
        <v>727</v>
      </c>
      <c r="G193" s="4" t="s">
        <v>643</v>
      </c>
      <c r="H193" s="4" t="s">
        <v>651</v>
      </c>
      <c r="I193" s="2" t="str">
        <f t="shared" si="10"/>
        <v>Feb</v>
      </c>
      <c r="J193" s="2">
        <f t="shared" si="11"/>
        <v>2</v>
      </c>
      <c r="K193" s="2">
        <f t="shared" si="12"/>
        <v>2023</v>
      </c>
      <c r="L193" s="2">
        <f t="shared" si="13"/>
        <v>1</v>
      </c>
      <c r="M193" s="4">
        <v>4</v>
      </c>
      <c r="N193" s="4" t="s">
        <v>728</v>
      </c>
      <c r="O193" s="4" t="s">
        <v>45</v>
      </c>
      <c r="P193" s="5">
        <v>634358</v>
      </c>
      <c r="Q193" s="4"/>
      <c r="R193" s="4"/>
      <c r="S193" s="4" t="s">
        <v>5819</v>
      </c>
      <c r="T193" s="4">
        <v>25.4</v>
      </c>
      <c r="U193" s="4" t="s">
        <v>47</v>
      </c>
      <c r="V193" s="4" t="s">
        <v>183</v>
      </c>
      <c r="W193" s="67" t="str">
        <f t="shared" si="14"/>
        <v>-</v>
      </c>
    </row>
    <row r="194" spans="1:23" x14ac:dyDescent="0.3">
      <c r="A194" s="2" t="s">
        <v>729</v>
      </c>
      <c r="B194" s="2" t="s">
        <v>730</v>
      </c>
      <c r="C194" s="2">
        <v>9872608028</v>
      </c>
      <c r="D194" s="2" t="s">
        <v>59</v>
      </c>
      <c r="E194" s="2" t="s">
        <v>21</v>
      </c>
      <c r="F194" s="2" t="s">
        <v>230</v>
      </c>
      <c r="G194" s="2" t="s">
        <v>87</v>
      </c>
      <c r="H194" s="2" t="s">
        <v>712</v>
      </c>
      <c r="I194" s="2" t="str">
        <f t="shared" ref="I194:I257" si="15">TEXT(H194,"mmm")</f>
        <v>Feb</v>
      </c>
      <c r="J194" s="2">
        <f t="shared" ref="J194:J257" si="16">MONTH(H194)</f>
        <v>2</v>
      </c>
      <c r="K194" s="2">
        <f t="shared" ref="K194:K257" si="17">YEAR(H194)</f>
        <v>2023</v>
      </c>
      <c r="L194" s="2">
        <f t="shared" ref="L194:L257" si="18">ROUNDUP(MONTH(H194)/3,0)</f>
        <v>1</v>
      </c>
      <c r="M194" s="2">
        <v>9</v>
      </c>
      <c r="N194" s="2" t="s">
        <v>731</v>
      </c>
      <c r="O194" s="2" t="s">
        <v>62</v>
      </c>
      <c r="P194" s="3">
        <v>156902</v>
      </c>
      <c r="Q194" s="2"/>
      <c r="R194" s="2"/>
      <c r="S194" s="2" t="s">
        <v>28</v>
      </c>
      <c r="T194" s="2">
        <v>39.1</v>
      </c>
      <c r="U194" s="2" t="s">
        <v>29</v>
      </c>
      <c r="V194" s="2"/>
      <c r="W194" s="67" t="str">
        <f t="shared" ref="W194:W257" si="19">IF($O194&lt;&gt;"Converted","-",IF(ISNUMBER(SEARCH("Architect",$F194)),"Architect","Customer"))</f>
        <v>-</v>
      </c>
    </row>
    <row r="195" spans="1:23" x14ac:dyDescent="0.3">
      <c r="A195" s="4" t="s">
        <v>732</v>
      </c>
      <c r="B195" s="4" t="s">
        <v>733</v>
      </c>
      <c r="C195" s="4">
        <v>9178538388</v>
      </c>
      <c r="D195" s="4" t="s">
        <v>59</v>
      </c>
      <c r="E195" s="4" t="s">
        <v>33</v>
      </c>
      <c r="F195" s="4" t="s">
        <v>201</v>
      </c>
      <c r="G195" s="4" t="s">
        <v>52</v>
      </c>
      <c r="H195" s="4" t="s">
        <v>712</v>
      </c>
      <c r="I195" s="2" t="str">
        <f t="shared" si="15"/>
        <v>Feb</v>
      </c>
      <c r="J195" s="2">
        <f t="shared" si="16"/>
        <v>2</v>
      </c>
      <c r="K195" s="2">
        <f t="shared" si="17"/>
        <v>2023</v>
      </c>
      <c r="L195" s="2">
        <f t="shared" si="18"/>
        <v>1</v>
      </c>
      <c r="M195" s="4">
        <v>12</v>
      </c>
      <c r="N195" s="4" t="s">
        <v>734</v>
      </c>
      <c r="O195" s="4" t="s">
        <v>45</v>
      </c>
      <c r="P195" s="5">
        <v>168997</v>
      </c>
      <c r="Q195" s="4"/>
      <c r="R195" s="4"/>
      <c r="S195" s="4" t="s">
        <v>28</v>
      </c>
      <c r="T195" s="4">
        <v>42.6</v>
      </c>
      <c r="U195" s="4" t="s">
        <v>47</v>
      </c>
      <c r="V195" s="4" t="s">
        <v>89</v>
      </c>
      <c r="W195" s="67" t="str">
        <f t="shared" si="19"/>
        <v>-</v>
      </c>
    </row>
    <row r="196" spans="1:23" x14ac:dyDescent="0.3">
      <c r="A196" s="2" t="s">
        <v>735</v>
      </c>
      <c r="B196" s="2" t="s">
        <v>736</v>
      </c>
      <c r="C196" s="2">
        <v>9617661767</v>
      </c>
      <c r="D196" s="2" t="s">
        <v>121</v>
      </c>
      <c r="E196" s="2" t="s">
        <v>109</v>
      </c>
      <c r="F196" s="2" t="s">
        <v>217</v>
      </c>
      <c r="G196" s="2" t="s">
        <v>35</v>
      </c>
      <c r="H196" s="2" t="s">
        <v>712</v>
      </c>
      <c r="I196" s="2" t="str">
        <f t="shared" si="15"/>
        <v>Feb</v>
      </c>
      <c r="J196" s="2">
        <f t="shared" si="16"/>
        <v>2</v>
      </c>
      <c r="K196" s="2">
        <f t="shared" si="17"/>
        <v>2023</v>
      </c>
      <c r="L196" s="2">
        <f t="shared" si="18"/>
        <v>1</v>
      </c>
      <c r="M196" s="2">
        <v>6</v>
      </c>
      <c r="N196" s="2" t="s">
        <v>737</v>
      </c>
      <c r="O196" s="2" t="s">
        <v>27</v>
      </c>
      <c r="P196" s="3">
        <v>283364</v>
      </c>
      <c r="Q196" s="2"/>
      <c r="R196" s="2"/>
      <c r="S196" s="2" t="s">
        <v>5819</v>
      </c>
      <c r="T196" s="2">
        <v>65.7</v>
      </c>
      <c r="U196" s="2" t="s">
        <v>29</v>
      </c>
      <c r="V196" s="2" t="s">
        <v>238</v>
      </c>
      <c r="W196" s="67" t="str">
        <f t="shared" si="19"/>
        <v>-</v>
      </c>
    </row>
    <row r="197" spans="1:23" x14ac:dyDescent="0.3">
      <c r="A197" s="6" t="s">
        <v>738</v>
      </c>
      <c r="B197" s="6" t="s">
        <v>739</v>
      </c>
      <c r="C197" s="6">
        <v>9365639987</v>
      </c>
      <c r="D197" s="6" t="s">
        <v>59</v>
      </c>
      <c r="E197" s="6" t="s">
        <v>109</v>
      </c>
      <c r="F197" s="6" t="s">
        <v>110</v>
      </c>
      <c r="G197" s="6" t="s">
        <v>23</v>
      </c>
      <c r="H197" s="6" t="s">
        <v>712</v>
      </c>
      <c r="I197" s="2" t="str">
        <f t="shared" si="15"/>
        <v>Feb</v>
      </c>
      <c r="J197" s="2">
        <f t="shared" si="16"/>
        <v>2</v>
      </c>
      <c r="K197" s="2">
        <f t="shared" si="17"/>
        <v>2023</v>
      </c>
      <c r="L197" s="2">
        <f t="shared" si="18"/>
        <v>1</v>
      </c>
      <c r="M197" s="6">
        <v>1</v>
      </c>
      <c r="N197" s="6" t="s">
        <v>638</v>
      </c>
      <c r="O197" s="6" t="s">
        <v>97</v>
      </c>
      <c r="P197" s="7">
        <v>697470</v>
      </c>
      <c r="Q197" s="7">
        <v>635371</v>
      </c>
      <c r="R197" s="6" t="s">
        <v>603</v>
      </c>
      <c r="S197" s="6" t="s">
        <v>28</v>
      </c>
      <c r="T197" s="6">
        <v>39.6</v>
      </c>
      <c r="U197" s="6" t="s">
        <v>63</v>
      </c>
      <c r="V197" s="6" t="s">
        <v>243</v>
      </c>
      <c r="W197" s="67" t="str">
        <f t="shared" si="19"/>
        <v>Customer</v>
      </c>
    </row>
    <row r="198" spans="1:23" x14ac:dyDescent="0.3">
      <c r="A198" s="6" t="s">
        <v>740</v>
      </c>
      <c r="B198" s="6" t="s">
        <v>741</v>
      </c>
      <c r="C198" s="6">
        <v>9717287602</v>
      </c>
      <c r="D198" s="6" t="s">
        <v>59</v>
      </c>
      <c r="E198" s="6" t="s">
        <v>109</v>
      </c>
      <c r="F198" s="6" t="s">
        <v>331</v>
      </c>
      <c r="G198" s="6" t="s">
        <v>60</v>
      </c>
      <c r="H198" s="6" t="s">
        <v>645</v>
      </c>
      <c r="I198" s="2" t="str">
        <f t="shared" si="15"/>
        <v>Feb</v>
      </c>
      <c r="J198" s="2">
        <f t="shared" si="16"/>
        <v>2</v>
      </c>
      <c r="K198" s="2">
        <f t="shared" si="17"/>
        <v>2023</v>
      </c>
      <c r="L198" s="2">
        <f t="shared" si="18"/>
        <v>1</v>
      </c>
      <c r="M198" s="6">
        <v>1</v>
      </c>
      <c r="N198" s="6" t="s">
        <v>742</v>
      </c>
      <c r="O198" s="6" t="s">
        <v>97</v>
      </c>
      <c r="P198" s="7">
        <v>219695</v>
      </c>
      <c r="Q198" s="7">
        <v>206110</v>
      </c>
      <c r="R198" s="6" t="s">
        <v>743</v>
      </c>
      <c r="S198" s="6" t="s">
        <v>5819</v>
      </c>
      <c r="T198" s="6">
        <v>38.200000000000003</v>
      </c>
      <c r="U198" s="6" t="s">
        <v>63</v>
      </c>
      <c r="V198" s="6" t="s">
        <v>170</v>
      </c>
      <c r="W198" s="67" t="str">
        <f t="shared" si="19"/>
        <v>Customer</v>
      </c>
    </row>
    <row r="199" spans="1:23" x14ac:dyDescent="0.3">
      <c r="A199" s="4" t="s">
        <v>744</v>
      </c>
      <c r="B199" s="4" t="s">
        <v>745</v>
      </c>
      <c r="C199" s="4">
        <v>9799624335</v>
      </c>
      <c r="D199" s="4" t="s">
        <v>20</v>
      </c>
      <c r="E199" s="4" t="s">
        <v>33</v>
      </c>
      <c r="F199" s="4" t="s">
        <v>102</v>
      </c>
      <c r="G199" s="4" t="s">
        <v>643</v>
      </c>
      <c r="H199" s="4" t="s">
        <v>645</v>
      </c>
      <c r="I199" s="2" t="str">
        <f t="shared" si="15"/>
        <v>Feb</v>
      </c>
      <c r="J199" s="2">
        <f t="shared" si="16"/>
        <v>2</v>
      </c>
      <c r="K199" s="2">
        <f t="shared" si="17"/>
        <v>2023</v>
      </c>
      <c r="L199" s="2">
        <f t="shared" si="18"/>
        <v>1</v>
      </c>
      <c r="M199" s="4">
        <v>6</v>
      </c>
      <c r="N199" s="4" t="s">
        <v>737</v>
      </c>
      <c r="O199" s="4" t="s">
        <v>62</v>
      </c>
      <c r="P199" s="5">
        <v>1188858</v>
      </c>
      <c r="Q199" s="4"/>
      <c r="R199" s="4"/>
      <c r="S199" s="4" t="s">
        <v>28</v>
      </c>
      <c r="T199" s="4">
        <v>48.5</v>
      </c>
      <c r="U199" s="4" t="s">
        <v>63</v>
      </c>
      <c r="V199" s="4" t="s">
        <v>621</v>
      </c>
      <c r="W199" s="67" t="str">
        <f t="shared" si="19"/>
        <v>-</v>
      </c>
    </row>
    <row r="200" spans="1:23" x14ac:dyDescent="0.3">
      <c r="A200" s="2" t="s">
        <v>746</v>
      </c>
      <c r="B200" s="2" t="s">
        <v>747</v>
      </c>
      <c r="C200" s="2">
        <v>9239939527</v>
      </c>
      <c r="D200" s="2" t="s">
        <v>20</v>
      </c>
      <c r="E200" s="2" t="s">
        <v>41</v>
      </c>
      <c r="F200" s="2" t="s">
        <v>42</v>
      </c>
      <c r="G200" s="2" t="s">
        <v>87</v>
      </c>
      <c r="H200" s="2" t="s">
        <v>645</v>
      </c>
      <c r="I200" s="2" t="str">
        <f t="shared" si="15"/>
        <v>Feb</v>
      </c>
      <c r="J200" s="2">
        <f t="shared" si="16"/>
        <v>2</v>
      </c>
      <c r="K200" s="2">
        <f t="shared" si="17"/>
        <v>2023</v>
      </c>
      <c r="L200" s="2">
        <f t="shared" si="18"/>
        <v>1</v>
      </c>
      <c r="M200" s="2">
        <v>8</v>
      </c>
      <c r="N200" s="2" t="s">
        <v>603</v>
      </c>
      <c r="O200" s="2" t="s">
        <v>62</v>
      </c>
      <c r="P200" s="3">
        <v>197891</v>
      </c>
      <c r="Q200" s="2"/>
      <c r="R200" s="2"/>
      <c r="S200" s="2" t="s">
        <v>28</v>
      </c>
      <c r="T200" s="2">
        <v>44.8</v>
      </c>
      <c r="U200" s="2" t="s">
        <v>29</v>
      </c>
      <c r="V200" s="2" t="s">
        <v>697</v>
      </c>
      <c r="W200" s="67" t="str">
        <f t="shared" si="19"/>
        <v>-</v>
      </c>
    </row>
    <row r="201" spans="1:23" x14ac:dyDescent="0.3">
      <c r="A201" s="4" t="s">
        <v>748</v>
      </c>
      <c r="B201" s="4" t="s">
        <v>749</v>
      </c>
      <c r="C201" s="4">
        <v>9703591560</v>
      </c>
      <c r="D201" s="4" t="s">
        <v>51</v>
      </c>
      <c r="E201" s="4" t="s">
        <v>33</v>
      </c>
      <c r="F201" s="4" t="s">
        <v>201</v>
      </c>
      <c r="G201" s="4" t="s">
        <v>616</v>
      </c>
      <c r="H201" s="4" t="s">
        <v>645</v>
      </c>
      <c r="I201" s="2" t="str">
        <f t="shared" si="15"/>
        <v>Feb</v>
      </c>
      <c r="J201" s="2">
        <f t="shared" si="16"/>
        <v>2</v>
      </c>
      <c r="K201" s="2">
        <f t="shared" si="17"/>
        <v>2023</v>
      </c>
      <c r="L201" s="2">
        <f t="shared" si="18"/>
        <v>1</v>
      </c>
      <c r="M201" s="4">
        <v>8</v>
      </c>
      <c r="N201" s="4" t="s">
        <v>750</v>
      </c>
      <c r="O201" s="4" t="s">
        <v>27</v>
      </c>
      <c r="P201" s="5">
        <v>270328</v>
      </c>
      <c r="Q201" s="4"/>
      <c r="R201" s="4"/>
      <c r="S201" s="4" t="s">
        <v>28</v>
      </c>
      <c r="T201" s="4">
        <v>64.7</v>
      </c>
      <c r="U201" s="4" t="s">
        <v>47</v>
      </c>
      <c r="V201" s="4" t="s">
        <v>157</v>
      </c>
      <c r="W201" s="67" t="str">
        <f t="shared" si="19"/>
        <v>-</v>
      </c>
    </row>
    <row r="202" spans="1:23" x14ac:dyDescent="0.3">
      <c r="A202" s="2" t="s">
        <v>751</v>
      </c>
      <c r="B202" s="2" t="s">
        <v>752</v>
      </c>
      <c r="C202" s="2">
        <v>9124804609</v>
      </c>
      <c r="D202" s="2" t="s">
        <v>20</v>
      </c>
      <c r="E202" s="2" t="s">
        <v>73</v>
      </c>
      <c r="F202" s="2" t="s">
        <v>126</v>
      </c>
      <c r="G202" s="2" t="s">
        <v>60</v>
      </c>
      <c r="H202" s="2" t="s">
        <v>709</v>
      </c>
      <c r="I202" s="2" t="str">
        <f t="shared" si="15"/>
        <v>Feb</v>
      </c>
      <c r="J202" s="2">
        <f t="shared" si="16"/>
        <v>2</v>
      </c>
      <c r="K202" s="2">
        <f t="shared" si="17"/>
        <v>2023</v>
      </c>
      <c r="L202" s="2">
        <f t="shared" si="18"/>
        <v>1</v>
      </c>
      <c r="M202" s="2">
        <v>8</v>
      </c>
      <c r="N202" s="2" t="s">
        <v>753</v>
      </c>
      <c r="O202" s="2" t="s">
        <v>45</v>
      </c>
      <c r="P202" s="3">
        <v>97222</v>
      </c>
      <c r="Q202" s="2"/>
      <c r="R202" s="2"/>
      <c r="S202" s="2" t="s">
        <v>5819</v>
      </c>
      <c r="T202" s="2">
        <v>67.8</v>
      </c>
      <c r="U202" s="2" t="s">
        <v>47</v>
      </c>
      <c r="V202" s="2" t="s">
        <v>276</v>
      </c>
      <c r="W202" s="67" t="str">
        <f t="shared" si="19"/>
        <v>-</v>
      </c>
    </row>
    <row r="203" spans="1:23" x14ac:dyDescent="0.3">
      <c r="A203" s="4" t="s">
        <v>754</v>
      </c>
      <c r="B203" s="4" t="s">
        <v>755</v>
      </c>
      <c r="C203" s="4">
        <v>9836599683</v>
      </c>
      <c r="D203" s="4" t="s">
        <v>59</v>
      </c>
      <c r="E203" s="4" t="s">
        <v>67</v>
      </c>
      <c r="F203" s="4" t="s">
        <v>68</v>
      </c>
      <c r="G203" s="4" t="s">
        <v>87</v>
      </c>
      <c r="H203" s="4" t="s">
        <v>709</v>
      </c>
      <c r="I203" s="2" t="str">
        <f t="shared" si="15"/>
        <v>Feb</v>
      </c>
      <c r="J203" s="2">
        <f t="shared" si="16"/>
        <v>2</v>
      </c>
      <c r="K203" s="2">
        <f t="shared" si="17"/>
        <v>2023</v>
      </c>
      <c r="L203" s="2">
        <f t="shared" si="18"/>
        <v>1</v>
      </c>
      <c r="M203" s="4">
        <v>4</v>
      </c>
      <c r="N203" s="4" t="s">
        <v>603</v>
      </c>
      <c r="O203" s="4" t="s">
        <v>27</v>
      </c>
      <c r="P203" s="5">
        <v>133305</v>
      </c>
      <c r="Q203" s="4"/>
      <c r="R203" s="4"/>
      <c r="S203" s="4" t="s">
        <v>28</v>
      </c>
      <c r="T203" s="4">
        <v>29.3</v>
      </c>
      <c r="U203" s="4" t="s">
        <v>29</v>
      </c>
      <c r="V203" s="4" t="s">
        <v>123</v>
      </c>
      <c r="W203" s="67" t="str">
        <f t="shared" si="19"/>
        <v>-</v>
      </c>
    </row>
    <row r="204" spans="1:23" x14ac:dyDescent="0.3">
      <c r="A204" s="6" t="s">
        <v>756</v>
      </c>
      <c r="B204" s="6" t="s">
        <v>757</v>
      </c>
      <c r="C204" s="6">
        <v>9447968711</v>
      </c>
      <c r="D204" s="6" t="s">
        <v>20</v>
      </c>
      <c r="E204" s="6" t="s">
        <v>648</v>
      </c>
      <c r="F204" s="6" t="s">
        <v>649</v>
      </c>
      <c r="G204" s="6" t="s">
        <v>87</v>
      </c>
      <c r="H204" s="6" t="s">
        <v>709</v>
      </c>
      <c r="I204" s="2" t="str">
        <f t="shared" si="15"/>
        <v>Feb</v>
      </c>
      <c r="J204" s="2">
        <f t="shared" si="16"/>
        <v>2</v>
      </c>
      <c r="K204" s="2">
        <f t="shared" si="17"/>
        <v>2023</v>
      </c>
      <c r="L204" s="2">
        <f t="shared" si="18"/>
        <v>1</v>
      </c>
      <c r="M204" s="6">
        <v>6</v>
      </c>
      <c r="N204" s="6" t="s">
        <v>758</v>
      </c>
      <c r="O204" s="6" t="s">
        <v>97</v>
      </c>
      <c r="P204" s="7">
        <v>231997</v>
      </c>
      <c r="Q204" s="7">
        <v>234322</v>
      </c>
      <c r="R204" s="6" t="s">
        <v>759</v>
      </c>
      <c r="S204" s="6" t="s">
        <v>28</v>
      </c>
      <c r="T204" s="6">
        <v>65.7</v>
      </c>
      <c r="U204" s="6" t="s">
        <v>63</v>
      </c>
      <c r="V204" s="6" t="s">
        <v>465</v>
      </c>
      <c r="W204" s="67" t="str">
        <f t="shared" si="19"/>
        <v>Customer</v>
      </c>
    </row>
    <row r="205" spans="1:23" x14ac:dyDescent="0.3">
      <c r="A205" s="4" t="s">
        <v>760</v>
      </c>
      <c r="B205" s="4" t="s">
        <v>761</v>
      </c>
      <c r="C205" s="4">
        <v>9679473892</v>
      </c>
      <c r="D205" s="4" t="s">
        <v>20</v>
      </c>
      <c r="E205" s="4" t="s">
        <v>641</v>
      </c>
      <c r="F205" s="4" t="s">
        <v>717</v>
      </c>
      <c r="G205" s="4" t="s">
        <v>35</v>
      </c>
      <c r="H205" s="4" t="s">
        <v>661</v>
      </c>
      <c r="I205" s="2" t="str">
        <f t="shared" si="15"/>
        <v>Feb</v>
      </c>
      <c r="J205" s="2">
        <f t="shared" si="16"/>
        <v>2</v>
      </c>
      <c r="K205" s="2">
        <f t="shared" si="17"/>
        <v>2023</v>
      </c>
      <c r="L205" s="2">
        <f t="shared" si="18"/>
        <v>1</v>
      </c>
      <c r="M205" s="4">
        <v>3</v>
      </c>
      <c r="N205" s="4" t="s">
        <v>762</v>
      </c>
      <c r="O205" s="4" t="s">
        <v>45</v>
      </c>
      <c r="P205" s="5">
        <v>192601</v>
      </c>
      <c r="Q205" s="4"/>
      <c r="R205" s="4"/>
      <c r="S205" s="4" t="s">
        <v>5819</v>
      </c>
      <c r="T205" s="4">
        <v>43.4</v>
      </c>
      <c r="U205" s="4" t="s">
        <v>29</v>
      </c>
      <c r="V205" s="4" t="s">
        <v>454</v>
      </c>
      <c r="W205" s="67" t="str">
        <f t="shared" si="19"/>
        <v>-</v>
      </c>
    </row>
    <row r="206" spans="1:23" x14ac:dyDescent="0.3">
      <c r="A206" s="2" t="s">
        <v>763</v>
      </c>
      <c r="B206" s="2" t="s">
        <v>431</v>
      </c>
      <c r="C206" s="2">
        <v>9829699746</v>
      </c>
      <c r="D206" s="2" t="s">
        <v>20</v>
      </c>
      <c r="E206" s="2" t="s">
        <v>109</v>
      </c>
      <c r="F206" s="2" t="s">
        <v>110</v>
      </c>
      <c r="G206" s="2" t="s">
        <v>35</v>
      </c>
      <c r="H206" s="2" t="s">
        <v>661</v>
      </c>
      <c r="I206" s="2" t="str">
        <f t="shared" si="15"/>
        <v>Feb</v>
      </c>
      <c r="J206" s="2">
        <f t="shared" si="16"/>
        <v>2</v>
      </c>
      <c r="K206" s="2">
        <f t="shared" si="17"/>
        <v>2023</v>
      </c>
      <c r="L206" s="2">
        <f t="shared" si="18"/>
        <v>1</v>
      </c>
      <c r="M206" s="2">
        <v>5</v>
      </c>
      <c r="N206" s="2" t="s">
        <v>764</v>
      </c>
      <c r="O206" s="2" t="s">
        <v>27</v>
      </c>
      <c r="P206" s="3">
        <v>183114</v>
      </c>
      <c r="Q206" s="2"/>
      <c r="R206" s="2"/>
      <c r="S206" s="2" t="s">
        <v>28</v>
      </c>
      <c r="T206" s="2">
        <v>67.400000000000006</v>
      </c>
      <c r="U206" s="2" t="s">
        <v>29</v>
      </c>
      <c r="V206" s="2" t="s">
        <v>202</v>
      </c>
      <c r="W206" s="67" t="str">
        <f t="shared" si="19"/>
        <v>-</v>
      </c>
    </row>
    <row r="207" spans="1:23" x14ac:dyDescent="0.3">
      <c r="A207" s="4" t="s">
        <v>765</v>
      </c>
      <c r="B207" s="4" t="s">
        <v>766</v>
      </c>
      <c r="C207" s="4">
        <v>9807899575</v>
      </c>
      <c r="D207" s="4" t="s">
        <v>51</v>
      </c>
      <c r="E207" s="4" t="s">
        <v>641</v>
      </c>
      <c r="F207" s="4" t="s">
        <v>681</v>
      </c>
      <c r="G207" s="4" t="s">
        <v>60</v>
      </c>
      <c r="H207" s="4" t="s">
        <v>661</v>
      </c>
      <c r="I207" s="2" t="str">
        <f t="shared" si="15"/>
        <v>Feb</v>
      </c>
      <c r="J207" s="2">
        <f t="shared" si="16"/>
        <v>2</v>
      </c>
      <c r="K207" s="2">
        <f t="shared" si="17"/>
        <v>2023</v>
      </c>
      <c r="L207" s="2">
        <f t="shared" si="18"/>
        <v>1</v>
      </c>
      <c r="M207" s="4">
        <v>9</v>
      </c>
      <c r="N207" s="4" t="s">
        <v>767</v>
      </c>
      <c r="O207" s="4" t="s">
        <v>27</v>
      </c>
      <c r="P207" s="5">
        <v>170204</v>
      </c>
      <c r="Q207" s="4"/>
      <c r="R207" s="4"/>
      <c r="S207" s="4" t="s">
        <v>28</v>
      </c>
      <c r="T207" s="4">
        <v>21.3</v>
      </c>
      <c r="U207" s="4" t="s">
        <v>29</v>
      </c>
      <c r="V207" s="4" t="s">
        <v>202</v>
      </c>
      <c r="W207" s="67" t="str">
        <f t="shared" si="19"/>
        <v>-</v>
      </c>
    </row>
    <row r="208" spans="1:23" x14ac:dyDescent="0.3">
      <c r="A208" s="2" t="s">
        <v>768</v>
      </c>
      <c r="B208" s="2" t="s">
        <v>769</v>
      </c>
      <c r="C208" s="2">
        <v>9766323040</v>
      </c>
      <c r="D208" s="2" t="s">
        <v>121</v>
      </c>
      <c r="E208" s="2" t="s">
        <v>641</v>
      </c>
      <c r="F208" s="2" t="s">
        <v>717</v>
      </c>
      <c r="G208" s="2" t="s">
        <v>643</v>
      </c>
      <c r="H208" s="2" t="s">
        <v>617</v>
      </c>
      <c r="I208" s="2" t="str">
        <f t="shared" si="15"/>
        <v>Feb</v>
      </c>
      <c r="J208" s="2">
        <f t="shared" si="16"/>
        <v>2</v>
      </c>
      <c r="K208" s="2">
        <f t="shared" si="17"/>
        <v>2023</v>
      </c>
      <c r="L208" s="2">
        <f t="shared" si="18"/>
        <v>1</v>
      </c>
      <c r="M208" s="2">
        <v>0</v>
      </c>
      <c r="N208" s="2" t="s">
        <v>687</v>
      </c>
      <c r="O208" s="2" t="s">
        <v>62</v>
      </c>
      <c r="P208" s="3">
        <v>1126279</v>
      </c>
      <c r="Q208" s="2"/>
      <c r="R208" s="2"/>
      <c r="S208" s="2" t="s">
        <v>5819</v>
      </c>
      <c r="T208" s="2">
        <v>25.3</v>
      </c>
      <c r="U208" s="2" t="s">
        <v>29</v>
      </c>
      <c r="V208" s="2" t="s">
        <v>442</v>
      </c>
      <c r="W208" s="67" t="str">
        <f t="shared" si="19"/>
        <v>-</v>
      </c>
    </row>
    <row r="209" spans="1:23" x14ac:dyDescent="0.3">
      <c r="A209" s="6" t="s">
        <v>770</v>
      </c>
      <c r="B209" s="6" t="s">
        <v>771</v>
      </c>
      <c r="C209" s="6">
        <v>9227029844</v>
      </c>
      <c r="D209" s="6" t="s">
        <v>51</v>
      </c>
      <c r="E209" s="6" t="s">
        <v>33</v>
      </c>
      <c r="F209" s="6" t="s">
        <v>201</v>
      </c>
      <c r="G209" s="6" t="s">
        <v>23</v>
      </c>
      <c r="H209" s="6" t="s">
        <v>724</v>
      </c>
      <c r="I209" s="2" t="str">
        <f t="shared" si="15"/>
        <v>Feb</v>
      </c>
      <c r="J209" s="2">
        <f t="shared" si="16"/>
        <v>2</v>
      </c>
      <c r="K209" s="2">
        <f t="shared" si="17"/>
        <v>2023</v>
      </c>
      <c r="L209" s="2">
        <f t="shared" si="18"/>
        <v>1</v>
      </c>
      <c r="M209" s="6">
        <v>6</v>
      </c>
      <c r="N209" s="6" t="s">
        <v>700</v>
      </c>
      <c r="O209" s="6" t="s">
        <v>97</v>
      </c>
      <c r="P209" s="7">
        <v>575287</v>
      </c>
      <c r="Q209" s="7">
        <v>550390</v>
      </c>
      <c r="R209" s="6" t="s">
        <v>721</v>
      </c>
      <c r="S209" s="6" t="s">
        <v>28</v>
      </c>
      <c r="T209" s="6">
        <v>65.900000000000006</v>
      </c>
      <c r="U209" s="6" t="s">
        <v>47</v>
      </c>
      <c r="V209" s="6" t="s">
        <v>465</v>
      </c>
      <c r="W209" s="67" t="str">
        <f t="shared" si="19"/>
        <v>Customer</v>
      </c>
    </row>
    <row r="210" spans="1:23" x14ac:dyDescent="0.3">
      <c r="A210" s="2" t="s">
        <v>772</v>
      </c>
      <c r="B210" s="2" t="s">
        <v>773</v>
      </c>
      <c r="C210" s="2">
        <v>9793155758</v>
      </c>
      <c r="D210" s="2" t="s">
        <v>20</v>
      </c>
      <c r="E210" s="2" t="s">
        <v>67</v>
      </c>
      <c r="F210" s="2" t="s">
        <v>68</v>
      </c>
      <c r="G210" s="2" t="s">
        <v>52</v>
      </c>
      <c r="H210" s="2" t="s">
        <v>724</v>
      </c>
      <c r="I210" s="2" t="str">
        <f t="shared" si="15"/>
        <v>Feb</v>
      </c>
      <c r="J210" s="2">
        <f t="shared" si="16"/>
        <v>2</v>
      </c>
      <c r="K210" s="2">
        <f t="shared" si="17"/>
        <v>2023</v>
      </c>
      <c r="L210" s="2">
        <f t="shared" si="18"/>
        <v>1</v>
      </c>
      <c r="M210" s="2">
        <v>5</v>
      </c>
      <c r="N210" s="2" t="s">
        <v>750</v>
      </c>
      <c r="O210" s="2" t="s">
        <v>27</v>
      </c>
      <c r="P210" s="3">
        <v>404515</v>
      </c>
      <c r="Q210" s="2"/>
      <c r="R210" s="2"/>
      <c r="S210" s="2" t="s">
        <v>5819</v>
      </c>
      <c r="T210" s="2">
        <v>36.6</v>
      </c>
      <c r="U210" s="2" t="s">
        <v>29</v>
      </c>
      <c r="V210" s="2" t="s">
        <v>153</v>
      </c>
      <c r="W210" s="67" t="str">
        <f t="shared" si="19"/>
        <v>-</v>
      </c>
    </row>
    <row r="211" spans="1:23" x14ac:dyDescent="0.3">
      <c r="A211" s="4" t="s">
        <v>774</v>
      </c>
      <c r="B211" s="4" t="s">
        <v>588</v>
      </c>
      <c r="C211" s="4">
        <v>9263632841</v>
      </c>
      <c r="D211" s="4" t="s">
        <v>108</v>
      </c>
      <c r="E211" s="4" t="s">
        <v>33</v>
      </c>
      <c r="F211" s="4" t="s">
        <v>102</v>
      </c>
      <c r="G211" s="4" t="s">
        <v>643</v>
      </c>
      <c r="H211" s="4" t="s">
        <v>638</v>
      </c>
      <c r="I211" s="2" t="str">
        <f t="shared" si="15"/>
        <v>Feb</v>
      </c>
      <c r="J211" s="2">
        <f t="shared" si="16"/>
        <v>2</v>
      </c>
      <c r="K211" s="2">
        <f t="shared" si="17"/>
        <v>2023</v>
      </c>
      <c r="L211" s="2">
        <f t="shared" si="18"/>
        <v>1</v>
      </c>
      <c r="M211" s="4">
        <v>9</v>
      </c>
      <c r="N211" s="4" t="s">
        <v>775</v>
      </c>
      <c r="O211" s="4" t="s">
        <v>27</v>
      </c>
      <c r="P211" s="5">
        <v>841597</v>
      </c>
      <c r="Q211" s="4"/>
      <c r="R211" s="4"/>
      <c r="S211" s="4" t="s">
        <v>28</v>
      </c>
      <c r="T211" s="4">
        <v>37</v>
      </c>
      <c r="U211" s="4" t="s">
        <v>29</v>
      </c>
      <c r="V211" s="4" t="s">
        <v>153</v>
      </c>
      <c r="W211" s="67" t="str">
        <f t="shared" si="19"/>
        <v>-</v>
      </c>
    </row>
    <row r="212" spans="1:23" x14ac:dyDescent="0.3">
      <c r="A212" s="2" t="s">
        <v>776</v>
      </c>
      <c r="B212" s="2" t="s">
        <v>777</v>
      </c>
      <c r="C212" s="2">
        <v>9586909856</v>
      </c>
      <c r="D212" s="2" t="s">
        <v>108</v>
      </c>
      <c r="E212" s="2" t="s">
        <v>41</v>
      </c>
      <c r="F212" s="2" t="s">
        <v>151</v>
      </c>
      <c r="G212" s="2" t="s">
        <v>52</v>
      </c>
      <c r="H212" s="2" t="s">
        <v>690</v>
      </c>
      <c r="I212" s="2" t="str">
        <f t="shared" si="15"/>
        <v>Feb</v>
      </c>
      <c r="J212" s="2">
        <f t="shared" si="16"/>
        <v>2</v>
      </c>
      <c r="K212" s="2">
        <f t="shared" si="17"/>
        <v>2023</v>
      </c>
      <c r="L212" s="2">
        <f t="shared" si="18"/>
        <v>1</v>
      </c>
      <c r="M212" s="2">
        <v>4</v>
      </c>
      <c r="N212" s="2" t="s">
        <v>603</v>
      </c>
      <c r="O212" s="2" t="s">
        <v>62</v>
      </c>
      <c r="P212" s="3">
        <v>327718</v>
      </c>
      <c r="Q212" s="2"/>
      <c r="R212" s="2"/>
      <c r="S212" s="2" t="s">
        <v>5819</v>
      </c>
      <c r="T212" s="2">
        <v>46.4</v>
      </c>
      <c r="U212" s="2" t="s">
        <v>47</v>
      </c>
      <c r="V212" s="2" t="s">
        <v>256</v>
      </c>
      <c r="W212" s="67" t="str">
        <f t="shared" si="19"/>
        <v>-</v>
      </c>
    </row>
    <row r="213" spans="1:23" x14ac:dyDescent="0.3">
      <c r="A213" s="4" t="s">
        <v>778</v>
      </c>
      <c r="B213" s="4" t="s">
        <v>779</v>
      </c>
      <c r="C213" s="4">
        <v>9243755891</v>
      </c>
      <c r="D213" s="4" t="s">
        <v>20</v>
      </c>
      <c r="E213" s="4" t="s">
        <v>109</v>
      </c>
      <c r="F213" s="4" t="s">
        <v>110</v>
      </c>
      <c r="G213" s="4" t="s">
        <v>60</v>
      </c>
      <c r="H213" s="4" t="s">
        <v>703</v>
      </c>
      <c r="I213" s="2" t="str">
        <f t="shared" si="15"/>
        <v>Feb</v>
      </c>
      <c r="J213" s="2">
        <f t="shared" si="16"/>
        <v>2</v>
      </c>
      <c r="K213" s="2">
        <f t="shared" si="17"/>
        <v>2023</v>
      </c>
      <c r="L213" s="2">
        <f t="shared" si="18"/>
        <v>1</v>
      </c>
      <c r="M213" s="4">
        <v>9</v>
      </c>
      <c r="N213" s="4" t="s">
        <v>780</v>
      </c>
      <c r="O213" s="4" t="s">
        <v>45</v>
      </c>
      <c r="P213" s="5">
        <v>76895</v>
      </c>
      <c r="Q213" s="4"/>
      <c r="R213" s="4"/>
      <c r="S213" s="4" t="s">
        <v>5819</v>
      </c>
      <c r="T213" s="4">
        <v>56.3</v>
      </c>
      <c r="U213" s="4" t="s">
        <v>47</v>
      </c>
      <c r="V213" s="4"/>
      <c r="W213" s="67" t="str">
        <f t="shared" si="19"/>
        <v>-</v>
      </c>
    </row>
    <row r="214" spans="1:23" x14ac:dyDescent="0.3">
      <c r="A214" s="2" t="s">
        <v>781</v>
      </c>
      <c r="B214" s="2" t="s">
        <v>782</v>
      </c>
      <c r="C214" s="2">
        <v>9702728525</v>
      </c>
      <c r="D214" s="2" t="s">
        <v>51</v>
      </c>
      <c r="E214" s="2" t="s">
        <v>33</v>
      </c>
      <c r="F214" s="2" t="s">
        <v>102</v>
      </c>
      <c r="G214" s="2" t="s">
        <v>60</v>
      </c>
      <c r="H214" s="2" t="s">
        <v>703</v>
      </c>
      <c r="I214" s="2" t="str">
        <f t="shared" si="15"/>
        <v>Feb</v>
      </c>
      <c r="J214" s="2">
        <f t="shared" si="16"/>
        <v>2</v>
      </c>
      <c r="K214" s="2">
        <f t="shared" si="17"/>
        <v>2023</v>
      </c>
      <c r="L214" s="2">
        <f t="shared" si="18"/>
        <v>1</v>
      </c>
      <c r="M214" s="2">
        <v>4</v>
      </c>
      <c r="N214" s="2" t="s">
        <v>603</v>
      </c>
      <c r="O214" s="2" t="s">
        <v>45</v>
      </c>
      <c r="P214" s="3">
        <v>81858</v>
      </c>
      <c r="Q214" s="2"/>
      <c r="R214" s="2"/>
      <c r="S214" s="2" t="s">
        <v>28</v>
      </c>
      <c r="T214" s="2">
        <v>26.6</v>
      </c>
      <c r="U214" s="2" t="s">
        <v>63</v>
      </c>
      <c r="V214" s="2" t="s">
        <v>260</v>
      </c>
      <c r="W214" s="67" t="str">
        <f t="shared" si="19"/>
        <v>-</v>
      </c>
    </row>
    <row r="215" spans="1:23" x14ac:dyDescent="0.3">
      <c r="A215" s="6" t="s">
        <v>783</v>
      </c>
      <c r="B215" s="6" t="s">
        <v>784</v>
      </c>
      <c r="C215" s="6">
        <v>9734356903</v>
      </c>
      <c r="D215" s="6" t="s">
        <v>108</v>
      </c>
      <c r="E215" s="6" t="s">
        <v>21</v>
      </c>
      <c r="F215" s="6" t="s">
        <v>230</v>
      </c>
      <c r="G215" s="6" t="s">
        <v>52</v>
      </c>
      <c r="H215" s="6" t="s">
        <v>703</v>
      </c>
      <c r="I215" s="2" t="str">
        <f t="shared" si="15"/>
        <v>Feb</v>
      </c>
      <c r="J215" s="2">
        <f t="shared" si="16"/>
        <v>2</v>
      </c>
      <c r="K215" s="2">
        <f t="shared" si="17"/>
        <v>2023</v>
      </c>
      <c r="L215" s="2">
        <f t="shared" si="18"/>
        <v>1</v>
      </c>
      <c r="M215" s="6">
        <v>12</v>
      </c>
      <c r="N215" s="6" t="s">
        <v>734</v>
      </c>
      <c r="O215" s="6" t="s">
        <v>97</v>
      </c>
      <c r="P215" s="7">
        <v>371734</v>
      </c>
      <c r="Q215" s="7">
        <v>339358</v>
      </c>
      <c r="R215" s="6" t="s">
        <v>785</v>
      </c>
      <c r="S215" s="6" t="s">
        <v>5819</v>
      </c>
      <c r="T215" s="6">
        <v>49</v>
      </c>
      <c r="U215" s="6" t="s">
        <v>47</v>
      </c>
      <c r="V215" s="6" t="s">
        <v>286</v>
      </c>
      <c r="W215" s="67" t="str">
        <f t="shared" si="19"/>
        <v>Customer</v>
      </c>
    </row>
    <row r="216" spans="1:23" x14ac:dyDescent="0.3">
      <c r="A216" s="2" t="s">
        <v>786</v>
      </c>
      <c r="B216" s="2" t="s">
        <v>787</v>
      </c>
      <c r="C216" s="2">
        <v>9326293650</v>
      </c>
      <c r="D216" s="2" t="s">
        <v>59</v>
      </c>
      <c r="E216" s="2" t="s">
        <v>33</v>
      </c>
      <c r="F216" s="2" t="s">
        <v>34</v>
      </c>
      <c r="G216" s="2" t="s">
        <v>87</v>
      </c>
      <c r="H216" s="2" t="s">
        <v>788</v>
      </c>
      <c r="I216" s="2" t="str">
        <f t="shared" si="15"/>
        <v>Feb</v>
      </c>
      <c r="J216" s="2">
        <f t="shared" si="16"/>
        <v>2</v>
      </c>
      <c r="K216" s="2">
        <f t="shared" si="17"/>
        <v>2023</v>
      </c>
      <c r="L216" s="2">
        <f t="shared" si="18"/>
        <v>1</v>
      </c>
      <c r="M216" s="2">
        <v>5</v>
      </c>
      <c r="N216" s="2" t="s">
        <v>789</v>
      </c>
      <c r="O216" s="2" t="s">
        <v>27</v>
      </c>
      <c r="P216" s="3">
        <v>83012</v>
      </c>
      <c r="Q216" s="2"/>
      <c r="R216" s="2"/>
      <c r="S216" s="2" t="s">
        <v>28</v>
      </c>
      <c r="T216" s="2">
        <v>51.5</v>
      </c>
      <c r="U216" s="2" t="s">
        <v>29</v>
      </c>
      <c r="V216" s="2"/>
      <c r="W216" s="67" t="str">
        <f t="shared" si="19"/>
        <v>-</v>
      </c>
    </row>
    <row r="217" spans="1:23" x14ac:dyDescent="0.3">
      <c r="A217" s="4" t="s">
        <v>790</v>
      </c>
      <c r="B217" s="4" t="s">
        <v>791</v>
      </c>
      <c r="C217" s="4">
        <v>9653850668</v>
      </c>
      <c r="D217" s="4" t="s">
        <v>20</v>
      </c>
      <c r="E217" s="4" t="s">
        <v>33</v>
      </c>
      <c r="F217" s="4" t="s">
        <v>201</v>
      </c>
      <c r="G217" s="4" t="s">
        <v>616</v>
      </c>
      <c r="H217" s="4" t="s">
        <v>762</v>
      </c>
      <c r="I217" s="2" t="str">
        <f t="shared" si="15"/>
        <v>Feb</v>
      </c>
      <c r="J217" s="2">
        <f t="shared" si="16"/>
        <v>2</v>
      </c>
      <c r="K217" s="2">
        <f t="shared" si="17"/>
        <v>2023</v>
      </c>
      <c r="L217" s="2">
        <f t="shared" si="18"/>
        <v>1</v>
      </c>
      <c r="M217" s="4">
        <v>3</v>
      </c>
      <c r="N217" s="4" t="s">
        <v>667</v>
      </c>
      <c r="O217" s="4" t="s">
        <v>45</v>
      </c>
      <c r="P217" s="5">
        <v>216295</v>
      </c>
      <c r="Q217" s="4"/>
      <c r="R217" s="4"/>
      <c r="S217" s="4" t="s">
        <v>28</v>
      </c>
      <c r="T217" s="4">
        <v>58.7</v>
      </c>
      <c r="U217" s="4" t="s">
        <v>47</v>
      </c>
      <c r="V217" s="4" t="s">
        <v>77</v>
      </c>
      <c r="W217" s="67" t="str">
        <f t="shared" si="19"/>
        <v>-</v>
      </c>
    </row>
    <row r="218" spans="1:23" x14ac:dyDescent="0.3">
      <c r="A218" s="2" t="s">
        <v>792</v>
      </c>
      <c r="B218" s="2" t="s">
        <v>793</v>
      </c>
      <c r="C218" s="2">
        <v>9982732880</v>
      </c>
      <c r="D218" s="2" t="s">
        <v>108</v>
      </c>
      <c r="E218" s="2" t="s">
        <v>41</v>
      </c>
      <c r="F218" s="2" t="s">
        <v>151</v>
      </c>
      <c r="G218" s="2" t="s">
        <v>35</v>
      </c>
      <c r="H218" s="2" t="s">
        <v>764</v>
      </c>
      <c r="I218" s="2" t="str">
        <f t="shared" si="15"/>
        <v>Feb</v>
      </c>
      <c r="J218" s="2">
        <f t="shared" si="16"/>
        <v>2</v>
      </c>
      <c r="K218" s="2">
        <f t="shared" si="17"/>
        <v>2023</v>
      </c>
      <c r="L218" s="2">
        <f t="shared" si="18"/>
        <v>1</v>
      </c>
      <c r="M218" s="2">
        <v>8</v>
      </c>
      <c r="N218" s="2" t="s">
        <v>753</v>
      </c>
      <c r="O218" s="2" t="s">
        <v>55</v>
      </c>
      <c r="P218" s="3">
        <v>83409</v>
      </c>
      <c r="Q218" s="2"/>
      <c r="R218" s="2"/>
      <c r="S218" s="2" t="s">
        <v>28</v>
      </c>
      <c r="T218" s="2">
        <v>11.7</v>
      </c>
      <c r="U218" s="2" t="s">
        <v>29</v>
      </c>
      <c r="V218" s="2" t="s">
        <v>389</v>
      </c>
      <c r="W218" s="67" t="str">
        <f t="shared" si="19"/>
        <v>-</v>
      </c>
    </row>
    <row r="219" spans="1:23" x14ac:dyDescent="0.3">
      <c r="A219" s="4" t="s">
        <v>794</v>
      </c>
      <c r="B219" s="4" t="s">
        <v>795</v>
      </c>
      <c r="C219" s="4">
        <v>9854564401</v>
      </c>
      <c r="D219" s="4" t="s">
        <v>108</v>
      </c>
      <c r="E219" s="4" t="s">
        <v>67</v>
      </c>
      <c r="F219" s="4" t="s">
        <v>80</v>
      </c>
      <c r="G219" s="4" t="s">
        <v>60</v>
      </c>
      <c r="H219" s="4" t="s">
        <v>764</v>
      </c>
      <c r="I219" s="2" t="str">
        <f t="shared" si="15"/>
        <v>Feb</v>
      </c>
      <c r="J219" s="2">
        <f t="shared" si="16"/>
        <v>2</v>
      </c>
      <c r="K219" s="2">
        <f t="shared" si="17"/>
        <v>2023</v>
      </c>
      <c r="L219" s="2">
        <f t="shared" si="18"/>
        <v>1</v>
      </c>
      <c r="M219" s="4">
        <v>10</v>
      </c>
      <c r="N219" s="4" t="s">
        <v>721</v>
      </c>
      <c r="O219" s="4" t="s">
        <v>55</v>
      </c>
      <c r="P219" s="5">
        <v>187648</v>
      </c>
      <c r="Q219" s="4"/>
      <c r="R219" s="4"/>
      <c r="S219" s="4" t="s">
        <v>5819</v>
      </c>
      <c r="T219" s="4">
        <v>8.5</v>
      </c>
      <c r="U219" s="4" t="s">
        <v>47</v>
      </c>
      <c r="V219" s="4"/>
      <c r="W219" s="67" t="str">
        <f t="shared" si="19"/>
        <v>-</v>
      </c>
    </row>
    <row r="220" spans="1:23" x14ac:dyDescent="0.3">
      <c r="A220" s="2" t="s">
        <v>796</v>
      </c>
      <c r="B220" s="2" t="s">
        <v>797</v>
      </c>
      <c r="C220" s="2">
        <v>9941847352</v>
      </c>
      <c r="D220" s="2" t="s">
        <v>121</v>
      </c>
      <c r="E220" s="2" t="s">
        <v>33</v>
      </c>
      <c r="F220" s="2" t="s">
        <v>201</v>
      </c>
      <c r="G220" s="2" t="s">
        <v>23</v>
      </c>
      <c r="H220" s="2" t="s">
        <v>742</v>
      </c>
      <c r="I220" s="2" t="str">
        <f t="shared" si="15"/>
        <v>Feb</v>
      </c>
      <c r="J220" s="2">
        <f t="shared" si="16"/>
        <v>2</v>
      </c>
      <c r="K220" s="2">
        <f t="shared" si="17"/>
        <v>2023</v>
      </c>
      <c r="L220" s="2">
        <f t="shared" si="18"/>
        <v>1</v>
      </c>
      <c r="M220" s="2">
        <v>7</v>
      </c>
      <c r="N220" s="2" t="s">
        <v>775</v>
      </c>
      <c r="O220" s="2" t="s">
        <v>62</v>
      </c>
      <c r="P220" s="3">
        <v>559372</v>
      </c>
      <c r="Q220" s="2"/>
      <c r="R220" s="2"/>
      <c r="S220" s="2" t="s">
        <v>5819</v>
      </c>
      <c r="T220" s="2">
        <v>61.3</v>
      </c>
      <c r="U220" s="2" t="s">
        <v>47</v>
      </c>
      <c r="V220" s="2" t="s">
        <v>137</v>
      </c>
      <c r="W220" s="67" t="str">
        <f t="shared" si="19"/>
        <v>-</v>
      </c>
    </row>
    <row r="221" spans="1:23" x14ac:dyDescent="0.3">
      <c r="A221" s="4" t="s">
        <v>798</v>
      </c>
      <c r="B221" s="4" t="s">
        <v>799</v>
      </c>
      <c r="C221" s="4">
        <v>9560106760</v>
      </c>
      <c r="D221" s="4" t="s">
        <v>20</v>
      </c>
      <c r="E221" s="4" t="s">
        <v>41</v>
      </c>
      <c r="F221" s="4" t="s">
        <v>151</v>
      </c>
      <c r="G221" s="4" t="s">
        <v>69</v>
      </c>
      <c r="H221" s="4" t="s">
        <v>630</v>
      </c>
      <c r="I221" s="2" t="str">
        <f t="shared" si="15"/>
        <v>Feb</v>
      </c>
      <c r="J221" s="2">
        <f t="shared" si="16"/>
        <v>2</v>
      </c>
      <c r="K221" s="2">
        <f t="shared" si="17"/>
        <v>2023</v>
      </c>
      <c r="L221" s="2">
        <f t="shared" si="18"/>
        <v>1</v>
      </c>
      <c r="M221" s="4">
        <v>11</v>
      </c>
      <c r="N221" s="4" t="s">
        <v>801</v>
      </c>
      <c r="O221" s="4" t="s">
        <v>62</v>
      </c>
      <c r="P221" s="5">
        <v>161592</v>
      </c>
      <c r="Q221" s="4"/>
      <c r="R221" s="4"/>
      <c r="S221" s="4" t="s">
        <v>28</v>
      </c>
      <c r="T221" s="4">
        <v>9.1</v>
      </c>
      <c r="U221" s="4" t="s">
        <v>29</v>
      </c>
      <c r="V221" s="4" t="s">
        <v>697</v>
      </c>
      <c r="W221" s="67" t="str">
        <f t="shared" si="19"/>
        <v>-</v>
      </c>
    </row>
    <row r="222" spans="1:23" x14ac:dyDescent="0.3">
      <c r="A222" s="2" t="s">
        <v>802</v>
      </c>
      <c r="B222" s="2" t="s">
        <v>803</v>
      </c>
      <c r="C222" s="2">
        <v>9462267940</v>
      </c>
      <c r="D222" s="2" t="s">
        <v>59</v>
      </c>
      <c r="E222" s="2" t="s">
        <v>67</v>
      </c>
      <c r="F222" s="2" t="s">
        <v>68</v>
      </c>
      <c r="G222" s="2" t="s">
        <v>60</v>
      </c>
      <c r="H222" s="2" t="s">
        <v>630</v>
      </c>
      <c r="I222" s="2" t="str">
        <f t="shared" si="15"/>
        <v>Feb</v>
      </c>
      <c r="J222" s="2">
        <f t="shared" si="16"/>
        <v>2</v>
      </c>
      <c r="K222" s="2">
        <f t="shared" si="17"/>
        <v>2023</v>
      </c>
      <c r="L222" s="2">
        <f t="shared" si="18"/>
        <v>1</v>
      </c>
      <c r="M222" s="2">
        <v>7</v>
      </c>
      <c r="N222" s="2" t="s">
        <v>804</v>
      </c>
      <c r="O222" s="2" t="s">
        <v>45</v>
      </c>
      <c r="P222" s="3">
        <v>141513</v>
      </c>
      <c r="Q222" s="2"/>
      <c r="R222" s="2"/>
      <c r="S222" s="2" t="s">
        <v>5819</v>
      </c>
      <c r="T222" s="2">
        <v>29.9</v>
      </c>
      <c r="U222" s="2" t="s">
        <v>29</v>
      </c>
      <c r="V222" s="2" t="s">
        <v>805</v>
      </c>
      <c r="W222" s="67" t="str">
        <f t="shared" si="19"/>
        <v>-</v>
      </c>
    </row>
    <row r="223" spans="1:23" x14ac:dyDescent="0.3">
      <c r="A223" s="4" t="s">
        <v>806</v>
      </c>
      <c r="B223" s="4" t="s">
        <v>807</v>
      </c>
      <c r="C223" s="4">
        <v>9542839009</v>
      </c>
      <c r="D223" s="4" t="s">
        <v>121</v>
      </c>
      <c r="E223" s="4" t="s">
        <v>109</v>
      </c>
      <c r="F223" s="4" t="s">
        <v>217</v>
      </c>
      <c r="G223" s="4" t="s">
        <v>643</v>
      </c>
      <c r="H223" s="4" t="s">
        <v>630</v>
      </c>
      <c r="I223" s="2" t="str">
        <f t="shared" si="15"/>
        <v>Feb</v>
      </c>
      <c r="J223" s="2">
        <f t="shared" si="16"/>
        <v>2</v>
      </c>
      <c r="K223" s="2">
        <f t="shared" si="17"/>
        <v>2023</v>
      </c>
      <c r="L223" s="2">
        <f t="shared" si="18"/>
        <v>1</v>
      </c>
      <c r="M223" s="4">
        <v>10</v>
      </c>
      <c r="N223" s="4" t="s">
        <v>808</v>
      </c>
      <c r="O223" s="4" t="s">
        <v>62</v>
      </c>
      <c r="P223" s="5">
        <v>1118264</v>
      </c>
      <c r="Q223" s="4"/>
      <c r="R223" s="4"/>
      <c r="S223" s="4" t="s">
        <v>28</v>
      </c>
      <c r="T223" s="4">
        <v>47.1</v>
      </c>
      <c r="U223" s="4" t="s">
        <v>63</v>
      </c>
      <c r="V223" s="4" t="s">
        <v>335</v>
      </c>
      <c r="W223" s="67" t="str">
        <f t="shared" si="19"/>
        <v>-</v>
      </c>
    </row>
    <row r="224" spans="1:23" x14ac:dyDescent="0.3">
      <c r="A224" s="2" t="s">
        <v>809</v>
      </c>
      <c r="B224" s="2" t="s">
        <v>810</v>
      </c>
      <c r="C224" s="2">
        <v>9322026871</v>
      </c>
      <c r="D224" s="2" t="s">
        <v>51</v>
      </c>
      <c r="E224" s="2" t="s">
        <v>73</v>
      </c>
      <c r="F224" s="2" t="s">
        <v>74</v>
      </c>
      <c r="G224" s="2" t="s">
        <v>23</v>
      </c>
      <c r="H224" s="2" t="s">
        <v>800</v>
      </c>
      <c r="I224" s="2" t="str">
        <f t="shared" si="15"/>
        <v>Feb</v>
      </c>
      <c r="J224" s="2">
        <f t="shared" si="16"/>
        <v>2</v>
      </c>
      <c r="K224" s="2">
        <f t="shared" si="17"/>
        <v>2023</v>
      </c>
      <c r="L224" s="2">
        <f t="shared" si="18"/>
        <v>1</v>
      </c>
      <c r="M224" s="2">
        <v>7</v>
      </c>
      <c r="N224" s="2" t="s">
        <v>700</v>
      </c>
      <c r="O224" s="2" t="s">
        <v>27</v>
      </c>
      <c r="P224" s="3">
        <v>629030</v>
      </c>
      <c r="Q224" s="2"/>
      <c r="R224" s="2"/>
      <c r="S224" s="2" t="s">
        <v>5819</v>
      </c>
      <c r="T224" s="2">
        <v>68.400000000000006</v>
      </c>
      <c r="U224" s="2" t="s">
        <v>29</v>
      </c>
      <c r="V224" s="2" t="s">
        <v>105</v>
      </c>
      <c r="W224" s="67" t="str">
        <f t="shared" si="19"/>
        <v>-</v>
      </c>
    </row>
    <row r="225" spans="1:23" x14ac:dyDescent="0.3">
      <c r="A225" s="6" t="s">
        <v>811</v>
      </c>
      <c r="B225" s="6" t="s">
        <v>812</v>
      </c>
      <c r="C225" s="6">
        <v>9140539484</v>
      </c>
      <c r="D225" s="6" t="s">
        <v>20</v>
      </c>
      <c r="E225" s="6" t="s">
        <v>41</v>
      </c>
      <c r="F225" s="6" t="s">
        <v>92</v>
      </c>
      <c r="G225" s="6" t="s">
        <v>35</v>
      </c>
      <c r="H225" s="6" t="s">
        <v>800</v>
      </c>
      <c r="I225" s="2" t="str">
        <f t="shared" si="15"/>
        <v>Feb</v>
      </c>
      <c r="J225" s="2">
        <f t="shared" si="16"/>
        <v>2</v>
      </c>
      <c r="K225" s="2">
        <f t="shared" si="17"/>
        <v>2023</v>
      </c>
      <c r="L225" s="2">
        <f t="shared" si="18"/>
        <v>1</v>
      </c>
      <c r="M225" s="6">
        <v>6</v>
      </c>
      <c r="N225" s="6" t="s">
        <v>750</v>
      </c>
      <c r="O225" s="6" t="s">
        <v>97</v>
      </c>
      <c r="P225" s="7">
        <v>142425</v>
      </c>
      <c r="Q225" s="7">
        <v>140012</v>
      </c>
      <c r="R225" s="6" t="s">
        <v>758</v>
      </c>
      <c r="S225" s="6" t="s">
        <v>5819</v>
      </c>
      <c r="T225" s="6">
        <v>36.1</v>
      </c>
      <c r="U225" s="6" t="s">
        <v>47</v>
      </c>
      <c r="V225" s="6"/>
      <c r="W225" s="67" t="str">
        <f t="shared" si="19"/>
        <v>Customer</v>
      </c>
    </row>
    <row r="226" spans="1:23" x14ac:dyDescent="0.3">
      <c r="A226" s="6" t="s">
        <v>814</v>
      </c>
      <c r="B226" s="6" t="s">
        <v>462</v>
      </c>
      <c r="C226" s="6">
        <v>9519825069</v>
      </c>
      <c r="D226" s="6" t="s">
        <v>51</v>
      </c>
      <c r="E226" s="6" t="s">
        <v>33</v>
      </c>
      <c r="F226" s="6" t="s">
        <v>102</v>
      </c>
      <c r="G226" s="6" t="s">
        <v>60</v>
      </c>
      <c r="H226" s="6" t="s">
        <v>696</v>
      </c>
      <c r="I226" s="2" t="str">
        <f t="shared" si="15"/>
        <v>Feb</v>
      </c>
      <c r="J226" s="2">
        <f t="shared" si="16"/>
        <v>2</v>
      </c>
      <c r="K226" s="2">
        <f t="shared" si="17"/>
        <v>2023</v>
      </c>
      <c r="L226" s="2">
        <f t="shared" si="18"/>
        <v>1</v>
      </c>
      <c r="M226" s="6">
        <v>10</v>
      </c>
      <c r="N226" s="6" t="s">
        <v>758</v>
      </c>
      <c r="O226" s="6" t="s">
        <v>97</v>
      </c>
      <c r="P226" s="7">
        <v>100169</v>
      </c>
      <c r="Q226" s="7">
        <v>101960</v>
      </c>
      <c r="R226" s="6" t="s">
        <v>721</v>
      </c>
      <c r="S226" s="6" t="s">
        <v>28</v>
      </c>
      <c r="T226" s="6">
        <v>33.799999999999997</v>
      </c>
      <c r="U226" s="6" t="s">
        <v>63</v>
      </c>
      <c r="V226" s="6" t="s">
        <v>99</v>
      </c>
      <c r="W226" s="67" t="str">
        <f t="shared" si="19"/>
        <v>Customer</v>
      </c>
    </row>
    <row r="227" spans="1:23" x14ac:dyDescent="0.3">
      <c r="A227" s="4" t="s">
        <v>815</v>
      </c>
      <c r="B227" s="4" t="s">
        <v>348</v>
      </c>
      <c r="C227" s="4">
        <v>9449939063</v>
      </c>
      <c r="D227" s="4" t="s">
        <v>20</v>
      </c>
      <c r="E227" s="4" t="s">
        <v>641</v>
      </c>
      <c r="F227" s="4" t="s">
        <v>642</v>
      </c>
      <c r="G227" s="4" t="s">
        <v>35</v>
      </c>
      <c r="H227" s="4" t="s">
        <v>696</v>
      </c>
      <c r="I227" s="2" t="str">
        <f t="shared" si="15"/>
        <v>Feb</v>
      </c>
      <c r="J227" s="2">
        <f t="shared" si="16"/>
        <v>2</v>
      </c>
      <c r="K227" s="2">
        <f t="shared" si="17"/>
        <v>2023</v>
      </c>
      <c r="L227" s="2">
        <f t="shared" si="18"/>
        <v>1</v>
      </c>
      <c r="M227" s="4">
        <v>9</v>
      </c>
      <c r="N227" s="4" t="s">
        <v>775</v>
      </c>
      <c r="O227" s="4" t="s">
        <v>55</v>
      </c>
      <c r="P227" s="5">
        <v>100550</v>
      </c>
      <c r="Q227" s="4"/>
      <c r="R227" s="4"/>
      <c r="S227" s="4" t="s">
        <v>5819</v>
      </c>
      <c r="T227" s="4">
        <v>6.8</v>
      </c>
      <c r="U227" s="4" t="s">
        <v>47</v>
      </c>
      <c r="V227" s="4" t="s">
        <v>137</v>
      </c>
      <c r="W227" s="67" t="str">
        <f t="shared" si="19"/>
        <v>-</v>
      </c>
    </row>
    <row r="228" spans="1:23" x14ac:dyDescent="0.3">
      <c r="A228" s="2" t="s">
        <v>817</v>
      </c>
      <c r="B228" s="2" t="s">
        <v>818</v>
      </c>
      <c r="C228" s="2"/>
      <c r="D228" s="2" t="s">
        <v>121</v>
      </c>
      <c r="E228" s="2" t="s">
        <v>73</v>
      </c>
      <c r="F228" s="2" t="s">
        <v>126</v>
      </c>
      <c r="G228" s="2" t="s">
        <v>23</v>
      </c>
      <c r="H228" s="2" t="s">
        <v>696</v>
      </c>
      <c r="I228" s="2" t="str">
        <f t="shared" si="15"/>
        <v>Feb</v>
      </c>
      <c r="J228" s="2">
        <f t="shared" si="16"/>
        <v>2</v>
      </c>
      <c r="K228" s="2">
        <f t="shared" si="17"/>
        <v>2023</v>
      </c>
      <c r="L228" s="2">
        <f t="shared" si="18"/>
        <v>1</v>
      </c>
      <c r="M228" s="2">
        <v>10</v>
      </c>
      <c r="N228" s="2" t="s">
        <v>819</v>
      </c>
      <c r="O228" s="2" t="s">
        <v>27</v>
      </c>
      <c r="P228" s="3">
        <v>739515</v>
      </c>
      <c r="Q228" s="2"/>
      <c r="R228" s="2"/>
      <c r="S228" s="2" t="s">
        <v>28</v>
      </c>
      <c r="T228" s="2">
        <v>20.2</v>
      </c>
      <c r="U228" s="2" t="s">
        <v>47</v>
      </c>
      <c r="V228" s="2" t="s">
        <v>140</v>
      </c>
      <c r="W228" s="67" t="str">
        <f t="shared" si="19"/>
        <v>-</v>
      </c>
    </row>
    <row r="229" spans="1:23" x14ac:dyDescent="0.3">
      <c r="A229" s="4" t="s">
        <v>820</v>
      </c>
      <c r="B229" s="4" t="s">
        <v>821</v>
      </c>
      <c r="C229" s="4">
        <v>9749304307</v>
      </c>
      <c r="D229" s="4" t="s">
        <v>59</v>
      </c>
      <c r="E229" s="4" t="s">
        <v>648</v>
      </c>
      <c r="F229" s="4" t="s">
        <v>822</v>
      </c>
      <c r="G229" s="4" t="s">
        <v>35</v>
      </c>
      <c r="H229" s="4" t="s">
        <v>667</v>
      </c>
      <c r="I229" s="2" t="str">
        <f t="shared" si="15"/>
        <v>Mar</v>
      </c>
      <c r="J229" s="2">
        <f t="shared" si="16"/>
        <v>3</v>
      </c>
      <c r="K229" s="2">
        <f t="shared" si="17"/>
        <v>2023</v>
      </c>
      <c r="L229" s="2">
        <f t="shared" si="18"/>
        <v>1</v>
      </c>
      <c r="M229" s="4">
        <v>11</v>
      </c>
      <c r="N229" s="4" t="s">
        <v>823</v>
      </c>
      <c r="O229" s="4" t="s">
        <v>45</v>
      </c>
      <c r="P229" s="5">
        <v>231890</v>
      </c>
      <c r="Q229" s="4"/>
      <c r="R229" s="4"/>
      <c r="S229" s="4" t="s">
        <v>5819</v>
      </c>
      <c r="T229" s="4">
        <v>5.8</v>
      </c>
      <c r="U229" s="4" t="s">
        <v>63</v>
      </c>
      <c r="V229" s="4" t="s">
        <v>559</v>
      </c>
      <c r="W229" s="67" t="str">
        <f t="shared" si="19"/>
        <v>-</v>
      </c>
    </row>
    <row r="230" spans="1:23" x14ac:dyDescent="0.3">
      <c r="A230" s="2" t="s">
        <v>824</v>
      </c>
      <c r="B230" s="2" t="s">
        <v>825</v>
      </c>
      <c r="C230" s="2">
        <v>9904137710</v>
      </c>
      <c r="D230" s="2" t="s">
        <v>20</v>
      </c>
      <c r="E230" s="2" t="s">
        <v>21</v>
      </c>
      <c r="F230" s="2" t="s">
        <v>160</v>
      </c>
      <c r="G230" s="2" t="s">
        <v>60</v>
      </c>
      <c r="H230" s="2" t="s">
        <v>728</v>
      </c>
      <c r="I230" s="2" t="str">
        <f t="shared" si="15"/>
        <v>Mar</v>
      </c>
      <c r="J230" s="2">
        <f t="shared" si="16"/>
        <v>3</v>
      </c>
      <c r="K230" s="2">
        <f t="shared" si="17"/>
        <v>2023</v>
      </c>
      <c r="L230" s="2">
        <f t="shared" si="18"/>
        <v>1</v>
      </c>
      <c r="M230" s="2">
        <v>2</v>
      </c>
      <c r="N230" s="2" t="s">
        <v>671</v>
      </c>
      <c r="O230" s="2" t="s">
        <v>62</v>
      </c>
      <c r="P230" s="3">
        <v>154686</v>
      </c>
      <c r="Q230" s="2"/>
      <c r="R230" s="2"/>
      <c r="S230" s="2" t="s">
        <v>5819</v>
      </c>
      <c r="T230" s="2">
        <v>13.2</v>
      </c>
      <c r="U230" s="2" t="s">
        <v>47</v>
      </c>
      <c r="V230" s="2" t="s">
        <v>174</v>
      </c>
      <c r="W230" s="67" t="str">
        <f t="shared" si="19"/>
        <v>-</v>
      </c>
    </row>
    <row r="231" spans="1:23" x14ac:dyDescent="0.3">
      <c r="A231" s="6" t="s">
        <v>826</v>
      </c>
      <c r="B231" s="6" t="s">
        <v>480</v>
      </c>
      <c r="C231" s="6">
        <v>9421365006</v>
      </c>
      <c r="D231" s="6" t="s">
        <v>20</v>
      </c>
      <c r="E231" s="6" t="s">
        <v>33</v>
      </c>
      <c r="F231" s="6" t="s">
        <v>201</v>
      </c>
      <c r="G231" s="6" t="s">
        <v>60</v>
      </c>
      <c r="H231" s="6" t="s">
        <v>728</v>
      </c>
      <c r="I231" s="2" t="str">
        <f t="shared" si="15"/>
        <v>Mar</v>
      </c>
      <c r="J231" s="2">
        <f t="shared" si="16"/>
        <v>3</v>
      </c>
      <c r="K231" s="2">
        <f t="shared" si="17"/>
        <v>2023</v>
      </c>
      <c r="L231" s="2">
        <f t="shared" si="18"/>
        <v>1</v>
      </c>
      <c r="M231" s="6">
        <v>2</v>
      </c>
      <c r="N231" s="6" t="s">
        <v>758</v>
      </c>
      <c r="O231" s="6" t="s">
        <v>97</v>
      </c>
      <c r="P231" s="7">
        <v>147720</v>
      </c>
      <c r="Q231" s="7">
        <v>142870</v>
      </c>
      <c r="R231" s="6" t="s">
        <v>827</v>
      </c>
      <c r="S231" s="6" t="s">
        <v>5819</v>
      </c>
      <c r="T231" s="6">
        <v>42.9</v>
      </c>
      <c r="U231" s="6" t="s">
        <v>63</v>
      </c>
      <c r="V231" s="6"/>
      <c r="W231" s="67" t="str">
        <f t="shared" si="19"/>
        <v>Customer</v>
      </c>
    </row>
    <row r="232" spans="1:23" x14ac:dyDescent="0.3">
      <c r="A232" s="6" t="s">
        <v>828</v>
      </c>
      <c r="B232" s="6" t="s">
        <v>829</v>
      </c>
      <c r="C232" s="6">
        <v>9889917232</v>
      </c>
      <c r="D232" s="6" t="s">
        <v>59</v>
      </c>
      <c r="E232" s="6" t="s">
        <v>41</v>
      </c>
      <c r="F232" s="6" t="s">
        <v>86</v>
      </c>
      <c r="G232" s="6" t="s">
        <v>60</v>
      </c>
      <c r="H232" s="6" t="s">
        <v>728</v>
      </c>
      <c r="I232" s="2" t="str">
        <f t="shared" si="15"/>
        <v>Mar</v>
      </c>
      <c r="J232" s="2">
        <f t="shared" si="16"/>
        <v>3</v>
      </c>
      <c r="K232" s="2">
        <f t="shared" si="17"/>
        <v>2023</v>
      </c>
      <c r="L232" s="2">
        <f t="shared" si="18"/>
        <v>1</v>
      </c>
      <c r="M232" s="6">
        <v>3</v>
      </c>
      <c r="N232" s="6" t="s">
        <v>700</v>
      </c>
      <c r="O232" s="6" t="s">
        <v>97</v>
      </c>
      <c r="P232" s="7">
        <v>132006</v>
      </c>
      <c r="Q232" s="7">
        <v>117996</v>
      </c>
      <c r="R232" s="6" t="s">
        <v>721</v>
      </c>
      <c r="S232" s="6" t="s">
        <v>5819</v>
      </c>
      <c r="T232" s="6">
        <v>13.2</v>
      </c>
      <c r="U232" s="6" t="s">
        <v>63</v>
      </c>
      <c r="V232" s="6" t="s">
        <v>99</v>
      </c>
      <c r="W232" s="67" t="str">
        <f t="shared" si="19"/>
        <v>Customer</v>
      </c>
    </row>
    <row r="233" spans="1:23" x14ac:dyDescent="0.3">
      <c r="A233" s="4" t="s">
        <v>830</v>
      </c>
      <c r="B233" s="4" t="s">
        <v>747</v>
      </c>
      <c r="C233" s="4">
        <v>9634323575</v>
      </c>
      <c r="D233" s="4" t="s">
        <v>59</v>
      </c>
      <c r="E233" s="4" t="s">
        <v>109</v>
      </c>
      <c r="F233" s="4" t="s">
        <v>217</v>
      </c>
      <c r="G233" s="4" t="s">
        <v>52</v>
      </c>
      <c r="H233" s="4" t="s">
        <v>728</v>
      </c>
      <c r="I233" s="2" t="str">
        <f t="shared" si="15"/>
        <v>Mar</v>
      </c>
      <c r="J233" s="2">
        <f t="shared" si="16"/>
        <v>3</v>
      </c>
      <c r="K233" s="2">
        <f t="shared" si="17"/>
        <v>2023</v>
      </c>
      <c r="L233" s="2">
        <f t="shared" si="18"/>
        <v>1</v>
      </c>
      <c r="M233" s="4">
        <v>0</v>
      </c>
      <c r="N233" s="4" t="s">
        <v>743</v>
      </c>
      <c r="O233" s="4" t="s">
        <v>45</v>
      </c>
      <c r="P233" s="5">
        <v>184730</v>
      </c>
      <c r="Q233" s="4"/>
      <c r="R233" s="4"/>
      <c r="S233" s="4" t="s">
        <v>5819</v>
      </c>
      <c r="T233" s="4">
        <v>12.9</v>
      </c>
      <c r="U233" s="4" t="s">
        <v>63</v>
      </c>
      <c r="V233" s="4"/>
      <c r="W233" s="67" t="str">
        <f t="shared" si="19"/>
        <v>-</v>
      </c>
    </row>
    <row r="234" spans="1:23" x14ac:dyDescent="0.3">
      <c r="A234" s="2" t="s">
        <v>831</v>
      </c>
      <c r="B234" s="2" t="s">
        <v>832</v>
      </c>
      <c r="C234" s="2">
        <v>9317228954</v>
      </c>
      <c r="D234" s="2" t="s">
        <v>108</v>
      </c>
      <c r="E234" s="2" t="s">
        <v>641</v>
      </c>
      <c r="F234" s="2" t="s">
        <v>681</v>
      </c>
      <c r="G234" s="2" t="s">
        <v>60</v>
      </c>
      <c r="H234" s="2" t="s">
        <v>813</v>
      </c>
      <c r="I234" s="2" t="str">
        <f t="shared" si="15"/>
        <v>Mar</v>
      </c>
      <c r="J234" s="2">
        <f t="shared" si="16"/>
        <v>3</v>
      </c>
      <c r="K234" s="2">
        <f t="shared" si="17"/>
        <v>2023</v>
      </c>
      <c r="L234" s="2">
        <f t="shared" si="18"/>
        <v>1</v>
      </c>
      <c r="M234" s="2">
        <v>2</v>
      </c>
      <c r="N234" s="2" t="s">
        <v>834</v>
      </c>
      <c r="O234" s="2" t="s">
        <v>27</v>
      </c>
      <c r="P234" s="3">
        <v>167870</v>
      </c>
      <c r="Q234" s="2"/>
      <c r="R234" s="2"/>
      <c r="S234" s="2" t="s">
        <v>5819</v>
      </c>
      <c r="T234" s="2">
        <v>26.4</v>
      </c>
      <c r="U234" s="2" t="s">
        <v>29</v>
      </c>
      <c r="V234" s="2" t="s">
        <v>123</v>
      </c>
      <c r="W234" s="67" t="str">
        <f t="shared" si="19"/>
        <v>-</v>
      </c>
    </row>
    <row r="235" spans="1:23" x14ac:dyDescent="0.3">
      <c r="A235" s="4" t="s">
        <v>835</v>
      </c>
      <c r="B235" s="4" t="s">
        <v>836</v>
      </c>
      <c r="C235" s="4">
        <v>9542750235</v>
      </c>
      <c r="D235" s="4" t="s">
        <v>20</v>
      </c>
      <c r="E235" s="4" t="s">
        <v>33</v>
      </c>
      <c r="F235" s="4" t="s">
        <v>102</v>
      </c>
      <c r="G235" s="4" t="s">
        <v>52</v>
      </c>
      <c r="H235" s="4" t="s">
        <v>816</v>
      </c>
      <c r="I235" s="2" t="str">
        <f t="shared" si="15"/>
        <v>Mar</v>
      </c>
      <c r="J235" s="2">
        <f t="shared" si="16"/>
        <v>3</v>
      </c>
      <c r="K235" s="2">
        <f t="shared" si="17"/>
        <v>2023</v>
      </c>
      <c r="L235" s="2">
        <f t="shared" si="18"/>
        <v>1</v>
      </c>
      <c r="M235" s="4">
        <v>5</v>
      </c>
      <c r="N235" s="4" t="s">
        <v>819</v>
      </c>
      <c r="O235" s="4" t="s">
        <v>27</v>
      </c>
      <c r="P235" s="5">
        <v>372492</v>
      </c>
      <c r="Q235" s="4"/>
      <c r="R235" s="4"/>
      <c r="S235" s="4" t="s">
        <v>28</v>
      </c>
      <c r="T235" s="4">
        <v>34.1</v>
      </c>
      <c r="U235" s="4" t="s">
        <v>29</v>
      </c>
      <c r="V235" s="4" t="s">
        <v>238</v>
      </c>
      <c r="W235" s="67" t="str">
        <f t="shared" si="19"/>
        <v>-</v>
      </c>
    </row>
    <row r="236" spans="1:23" x14ac:dyDescent="0.3">
      <c r="A236" s="6" t="s">
        <v>837</v>
      </c>
      <c r="B236" s="6" t="s">
        <v>838</v>
      </c>
      <c r="C236" s="6">
        <v>9324422284</v>
      </c>
      <c r="D236" s="6" t="s">
        <v>59</v>
      </c>
      <c r="E236" s="6" t="s">
        <v>648</v>
      </c>
      <c r="F236" s="6" t="s">
        <v>656</v>
      </c>
      <c r="G236" s="6" t="s">
        <v>643</v>
      </c>
      <c r="H236" s="6" t="s">
        <v>603</v>
      </c>
      <c r="I236" s="2" t="str">
        <f t="shared" si="15"/>
        <v>Mar</v>
      </c>
      <c r="J236" s="2">
        <f t="shared" si="16"/>
        <v>3</v>
      </c>
      <c r="K236" s="2">
        <f t="shared" si="17"/>
        <v>2023</v>
      </c>
      <c r="L236" s="2">
        <f t="shared" si="18"/>
        <v>1</v>
      </c>
      <c r="M236" s="6">
        <v>0</v>
      </c>
      <c r="N236" s="6" t="s">
        <v>840</v>
      </c>
      <c r="O236" s="6" t="s">
        <v>97</v>
      </c>
      <c r="P236" s="7">
        <v>1161813</v>
      </c>
      <c r="Q236" s="7">
        <v>1073164</v>
      </c>
      <c r="R236" s="6" t="s">
        <v>841</v>
      </c>
      <c r="S236" s="6" t="s">
        <v>5819</v>
      </c>
      <c r="T236" s="6">
        <v>63.1</v>
      </c>
      <c r="U236" s="6" t="s">
        <v>47</v>
      </c>
      <c r="V236" s="6"/>
      <c r="W236" s="67" t="str">
        <f t="shared" si="19"/>
        <v>Customer</v>
      </c>
    </row>
    <row r="237" spans="1:23" x14ac:dyDescent="0.3">
      <c r="A237" s="4" t="s">
        <v>842</v>
      </c>
      <c r="B237" s="4" t="s">
        <v>843</v>
      </c>
      <c r="C237" s="4">
        <v>9571678892</v>
      </c>
      <c r="D237" s="4" t="s">
        <v>121</v>
      </c>
      <c r="E237" s="4" t="s">
        <v>67</v>
      </c>
      <c r="F237" s="4" t="s">
        <v>68</v>
      </c>
      <c r="G237" s="4" t="s">
        <v>23</v>
      </c>
      <c r="H237" s="4" t="s">
        <v>833</v>
      </c>
      <c r="I237" s="2" t="str">
        <f t="shared" si="15"/>
        <v>Mar</v>
      </c>
      <c r="J237" s="2">
        <f t="shared" si="16"/>
        <v>3</v>
      </c>
      <c r="K237" s="2">
        <f t="shared" si="17"/>
        <v>2023</v>
      </c>
      <c r="L237" s="2">
        <f t="shared" si="18"/>
        <v>1</v>
      </c>
      <c r="M237" s="4">
        <v>12</v>
      </c>
      <c r="N237" s="4" t="s">
        <v>844</v>
      </c>
      <c r="O237" s="4" t="s">
        <v>62</v>
      </c>
      <c r="P237" s="5">
        <v>502103</v>
      </c>
      <c r="Q237" s="4"/>
      <c r="R237" s="4"/>
      <c r="S237" s="4" t="s">
        <v>5819</v>
      </c>
      <c r="T237" s="4">
        <v>49.7</v>
      </c>
      <c r="U237" s="4" t="s">
        <v>63</v>
      </c>
      <c r="V237" s="4" t="s">
        <v>621</v>
      </c>
      <c r="W237" s="67" t="str">
        <f t="shared" si="19"/>
        <v>-</v>
      </c>
    </row>
    <row r="238" spans="1:23" x14ac:dyDescent="0.3">
      <c r="A238" s="6" t="s">
        <v>845</v>
      </c>
      <c r="B238" s="6" t="s">
        <v>846</v>
      </c>
      <c r="C238" s="6">
        <v>9385417366</v>
      </c>
      <c r="D238" s="6" t="s">
        <v>108</v>
      </c>
      <c r="E238" s="6" t="s">
        <v>41</v>
      </c>
      <c r="F238" s="6" t="s">
        <v>92</v>
      </c>
      <c r="G238" s="6" t="s">
        <v>643</v>
      </c>
      <c r="H238" s="6" t="s">
        <v>839</v>
      </c>
      <c r="I238" s="2" t="str">
        <f t="shared" si="15"/>
        <v>Mar</v>
      </c>
      <c r="J238" s="2">
        <f t="shared" si="16"/>
        <v>3</v>
      </c>
      <c r="K238" s="2">
        <f t="shared" si="17"/>
        <v>2023</v>
      </c>
      <c r="L238" s="2">
        <f t="shared" si="18"/>
        <v>1</v>
      </c>
      <c r="M238" s="6">
        <v>5</v>
      </c>
      <c r="N238" s="6" t="s">
        <v>731</v>
      </c>
      <c r="O238" s="6" t="s">
        <v>97</v>
      </c>
      <c r="P238" s="7">
        <v>935505</v>
      </c>
      <c r="Q238" s="7">
        <v>951886</v>
      </c>
      <c r="R238" s="6" t="s">
        <v>847</v>
      </c>
      <c r="S238" s="6" t="s">
        <v>28</v>
      </c>
      <c r="T238" s="6">
        <v>9.4</v>
      </c>
      <c r="U238" s="6" t="s">
        <v>47</v>
      </c>
      <c r="V238" s="6" t="s">
        <v>465</v>
      </c>
      <c r="W238" s="67" t="str">
        <f t="shared" si="19"/>
        <v>Customer</v>
      </c>
    </row>
    <row r="239" spans="1:23" x14ac:dyDescent="0.3">
      <c r="A239" s="4" t="s">
        <v>848</v>
      </c>
      <c r="B239" s="4" t="s">
        <v>849</v>
      </c>
      <c r="C239" s="4">
        <v>9440096507</v>
      </c>
      <c r="D239" s="4" t="s">
        <v>20</v>
      </c>
      <c r="E239" s="4" t="s">
        <v>33</v>
      </c>
      <c r="F239" s="4" t="s">
        <v>201</v>
      </c>
      <c r="G239" s="4" t="s">
        <v>87</v>
      </c>
      <c r="H239" s="4" t="s">
        <v>839</v>
      </c>
      <c r="I239" s="2" t="str">
        <f t="shared" si="15"/>
        <v>Mar</v>
      </c>
      <c r="J239" s="2">
        <f t="shared" si="16"/>
        <v>3</v>
      </c>
      <c r="K239" s="2">
        <f t="shared" si="17"/>
        <v>2023</v>
      </c>
      <c r="L239" s="2">
        <f t="shared" si="18"/>
        <v>1</v>
      </c>
      <c r="M239" s="4">
        <v>12</v>
      </c>
      <c r="N239" s="4" t="s">
        <v>850</v>
      </c>
      <c r="O239" s="4" t="s">
        <v>45</v>
      </c>
      <c r="P239" s="5">
        <v>259298</v>
      </c>
      <c r="Q239" s="4"/>
      <c r="R239" s="4"/>
      <c r="S239" s="4" t="s">
        <v>5819</v>
      </c>
      <c r="T239" s="4">
        <v>47.8</v>
      </c>
      <c r="U239" s="4" t="s">
        <v>63</v>
      </c>
      <c r="V239" s="4" t="s">
        <v>668</v>
      </c>
      <c r="W239" s="67" t="str">
        <f t="shared" si="19"/>
        <v>-</v>
      </c>
    </row>
    <row r="240" spans="1:23" x14ac:dyDescent="0.3">
      <c r="A240" s="6" t="s">
        <v>851</v>
      </c>
      <c r="B240" s="6" t="s">
        <v>852</v>
      </c>
      <c r="C240" s="6">
        <v>9333471497</v>
      </c>
      <c r="D240" s="6" t="s">
        <v>20</v>
      </c>
      <c r="E240" s="6" t="s">
        <v>41</v>
      </c>
      <c r="F240" s="6" t="s">
        <v>151</v>
      </c>
      <c r="G240" s="6" t="s">
        <v>87</v>
      </c>
      <c r="H240" s="6" t="s">
        <v>853</v>
      </c>
      <c r="I240" s="2" t="str">
        <f t="shared" si="15"/>
        <v>Mar</v>
      </c>
      <c r="J240" s="2">
        <f t="shared" si="16"/>
        <v>3</v>
      </c>
      <c r="K240" s="2">
        <f t="shared" si="17"/>
        <v>2023</v>
      </c>
      <c r="L240" s="2">
        <f t="shared" si="18"/>
        <v>1</v>
      </c>
      <c r="M240" s="6">
        <v>3</v>
      </c>
      <c r="N240" s="6" t="s">
        <v>758</v>
      </c>
      <c r="O240" s="6" t="s">
        <v>97</v>
      </c>
      <c r="P240" s="7">
        <v>269012</v>
      </c>
      <c r="Q240" s="7">
        <v>257975</v>
      </c>
      <c r="R240" s="6" t="s">
        <v>731</v>
      </c>
      <c r="S240" s="6" t="s">
        <v>28</v>
      </c>
      <c r="T240" s="6">
        <v>64.5</v>
      </c>
      <c r="U240" s="6" t="s">
        <v>63</v>
      </c>
      <c r="V240" s="6" t="s">
        <v>243</v>
      </c>
      <c r="W240" s="67" t="str">
        <f t="shared" si="19"/>
        <v>Architect</v>
      </c>
    </row>
    <row r="241" spans="1:23" x14ac:dyDescent="0.3">
      <c r="A241" s="6" t="s">
        <v>854</v>
      </c>
      <c r="B241" s="6" t="s">
        <v>855</v>
      </c>
      <c r="C241" s="6">
        <v>9678700154</v>
      </c>
      <c r="D241" s="6" t="s">
        <v>20</v>
      </c>
      <c r="E241" s="6" t="s">
        <v>41</v>
      </c>
      <c r="F241" s="6" t="s">
        <v>42</v>
      </c>
      <c r="G241" s="6" t="s">
        <v>60</v>
      </c>
      <c r="H241" s="6" t="s">
        <v>853</v>
      </c>
      <c r="I241" s="2" t="str">
        <f t="shared" si="15"/>
        <v>Mar</v>
      </c>
      <c r="J241" s="2">
        <f t="shared" si="16"/>
        <v>3</v>
      </c>
      <c r="K241" s="2">
        <f t="shared" si="17"/>
        <v>2023</v>
      </c>
      <c r="L241" s="2">
        <f t="shared" si="18"/>
        <v>1</v>
      </c>
      <c r="M241" s="6">
        <v>12</v>
      </c>
      <c r="N241" s="6" t="s">
        <v>856</v>
      </c>
      <c r="O241" s="6" t="s">
        <v>97</v>
      </c>
      <c r="P241" s="7">
        <v>108455</v>
      </c>
      <c r="Q241" s="7">
        <v>105039</v>
      </c>
      <c r="R241" s="6" t="s">
        <v>857</v>
      </c>
      <c r="S241" s="6" t="s">
        <v>5819</v>
      </c>
      <c r="T241" s="6">
        <v>46.1</v>
      </c>
      <c r="U241" s="6" t="s">
        <v>47</v>
      </c>
      <c r="V241" s="6" t="s">
        <v>341</v>
      </c>
      <c r="W241" s="67" t="str">
        <f t="shared" si="19"/>
        <v>Customer</v>
      </c>
    </row>
    <row r="242" spans="1:23" x14ac:dyDescent="0.3">
      <c r="A242" s="2" t="s">
        <v>858</v>
      </c>
      <c r="B242" s="2" t="s">
        <v>859</v>
      </c>
      <c r="C242" s="2">
        <v>9674558056</v>
      </c>
      <c r="D242" s="2" t="s">
        <v>20</v>
      </c>
      <c r="E242" s="2" t="s">
        <v>41</v>
      </c>
      <c r="F242" s="2" t="s">
        <v>151</v>
      </c>
      <c r="G242" s="2" t="s">
        <v>69</v>
      </c>
      <c r="H242" s="2" t="s">
        <v>743</v>
      </c>
      <c r="I242" s="2" t="str">
        <f t="shared" si="15"/>
        <v>Mar</v>
      </c>
      <c r="J242" s="2">
        <f t="shared" si="16"/>
        <v>3</v>
      </c>
      <c r="K242" s="2">
        <f t="shared" si="17"/>
        <v>2023</v>
      </c>
      <c r="L242" s="2">
        <f t="shared" si="18"/>
        <v>1</v>
      </c>
      <c r="M242" s="2">
        <v>8</v>
      </c>
      <c r="N242" s="2" t="s">
        <v>734</v>
      </c>
      <c r="O242" s="2" t="s">
        <v>62</v>
      </c>
      <c r="P242" s="3">
        <v>229370</v>
      </c>
      <c r="Q242" s="2"/>
      <c r="R242" s="2"/>
      <c r="S242" s="2" t="s">
        <v>28</v>
      </c>
      <c r="T242" s="2">
        <v>24.6</v>
      </c>
      <c r="U242" s="2" t="s">
        <v>63</v>
      </c>
      <c r="V242" s="2" t="s">
        <v>678</v>
      </c>
      <c r="W242" s="67" t="str">
        <f t="shared" si="19"/>
        <v>-</v>
      </c>
    </row>
    <row r="243" spans="1:23" x14ac:dyDescent="0.3">
      <c r="A243" s="6" t="s">
        <v>860</v>
      </c>
      <c r="B243" s="6" t="s">
        <v>861</v>
      </c>
      <c r="C243" s="6">
        <v>9517254802</v>
      </c>
      <c r="D243" s="6" t="s">
        <v>121</v>
      </c>
      <c r="E243" s="6" t="s">
        <v>21</v>
      </c>
      <c r="F243" s="6" t="s">
        <v>230</v>
      </c>
      <c r="G243" s="6" t="s">
        <v>60</v>
      </c>
      <c r="H243" s="6" t="s">
        <v>840</v>
      </c>
      <c r="I243" s="2" t="str">
        <f t="shared" si="15"/>
        <v>Mar</v>
      </c>
      <c r="J243" s="2">
        <f t="shared" si="16"/>
        <v>3</v>
      </c>
      <c r="K243" s="2">
        <f t="shared" si="17"/>
        <v>2023</v>
      </c>
      <c r="L243" s="2">
        <f t="shared" si="18"/>
        <v>1</v>
      </c>
      <c r="M243" s="6">
        <v>1</v>
      </c>
      <c r="N243" s="6" t="s">
        <v>758</v>
      </c>
      <c r="O243" s="6" t="s">
        <v>97</v>
      </c>
      <c r="P243" s="7">
        <v>73920</v>
      </c>
      <c r="Q243" s="7">
        <v>73028</v>
      </c>
      <c r="R243" s="6" t="s">
        <v>863</v>
      </c>
      <c r="S243" s="6" t="s">
        <v>5819</v>
      </c>
      <c r="T243" s="6">
        <v>63.4</v>
      </c>
      <c r="U243" s="6" t="s">
        <v>63</v>
      </c>
      <c r="V243" s="6" t="s">
        <v>295</v>
      </c>
      <c r="W243" s="67" t="str">
        <f t="shared" si="19"/>
        <v>Customer</v>
      </c>
    </row>
    <row r="244" spans="1:23" x14ac:dyDescent="0.3">
      <c r="A244" s="6" t="s">
        <v>864</v>
      </c>
      <c r="B244" s="6" t="s">
        <v>865</v>
      </c>
      <c r="C244" s="6">
        <v>9209815321</v>
      </c>
      <c r="D244" s="6" t="s">
        <v>51</v>
      </c>
      <c r="E244" s="6" t="s">
        <v>67</v>
      </c>
      <c r="F244" s="6" t="s">
        <v>80</v>
      </c>
      <c r="G244" s="6" t="s">
        <v>23</v>
      </c>
      <c r="H244" s="6" t="s">
        <v>840</v>
      </c>
      <c r="I244" s="2" t="str">
        <f t="shared" si="15"/>
        <v>Mar</v>
      </c>
      <c r="J244" s="2">
        <f t="shared" si="16"/>
        <v>3</v>
      </c>
      <c r="K244" s="2">
        <f t="shared" si="17"/>
        <v>2023</v>
      </c>
      <c r="L244" s="2">
        <f t="shared" si="18"/>
        <v>1</v>
      </c>
      <c r="M244" s="6">
        <v>3</v>
      </c>
      <c r="N244" s="6" t="s">
        <v>819</v>
      </c>
      <c r="O244" s="6" t="s">
        <v>97</v>
      </c>
      <c r="P244" s="7">
        <v>606729</v>
      </c>
      <c r="Q244" s="7">
        <v>618002</v>
      </c>
      <c r="R244" s="6" t="s">
        <v>866</v>
      </c>
      <c r="S244" s="6" t="s">
        <v>28</v>
      </c>
      <c r="T244" s="6">
        <v>51.6</v>
      </c>
      <c r="U244" s="6" t="s">
        <v>63</v>
      </c>
      <c r="V244" s="6"/>
      <c r="W244" s="67" t="str">
        <f t="shared" si="19"/>
        <v>Customer</v>
      </c>
    </row>
    <row r="245" spans="1:23" x14ac:dyDescent="0.3">
      <c r="A245" s="4" t="s">
        <v>867</v>
      </c>
      <c r="B245" s="4" t="s">
        <v>818</v>
      </c>
      <c r="C245" s="4">
        <v>9459910894</v>
      </c>
      <c r="D245" s="4" t="s">
        <v>121</v>
      </c>
      <c r="E245" s="4" t="s">
        <v>21</v>
      </c>
      <c r="F245" s="4" t="s">
        <v>230</v>
      </c>
      <c r="G245" s="4" t="s">
        <v>60</v>
      </c>
      <c r="H245" s="4" t="s">
        <v>862</v>
      </c>
      <c r="I245" s="2" t="str">
        <f t="shared" si="15"/>
        <v>Mar</v>
      </c>
      <c r="J245" s="2">
        <f t="shared" si="16"/>
        <v>3</v>
      </c>
      <c r="K245" s="2">
        <f t="shared" si="17"/>
        <v>2023</v>
      </c>
      <c r="L245" s="2">
        <f t="shared" si="18"/>
        <v>1</v>
      </c>
      <c r="M245" s="4">
        <v>8</v>
      </c>
      <c r="N245" s="4" t="s">
        <v>869</v>
      </c>
      <c r="O245" s="4" t="s">
        <v>45</v>
      </c>
      <c r="P245" s="5">
        <v>227471</v>
      </c>
      <c r="Q245" s="4"/>
      <c r="R245" s="4"/>
      <c r="S245" s="4" t="s">
        <v>5819</v>
      </c>
      <c r="T245" s="4">
        <v>68.599999999999994</v>
      </c>
      <c r="U245" s="4" t="s">
        <v>47</v>
      </c>
      <c r="V245" s="4" t="s">
        <v>302</v>
      </c>
      <c r="W245" s="67" t="str">
        <f t="shared" si="19"/>
        <v>-</v>
      </c>
    </row>
    <row r="246" spans="1:23" x14ac:dyDescent="0.3">
      <c r="A246" s="2" t="s">
        <v>870</v>
      </c>
      <c r="B246" s="2" t="s">
        <v>871</v>
      </c>
      <c r="C246" s="2">
        <v>9899641923</v>
      </c>
      <c r="D246" s="2" t="s">
        <v>108</v>
      </c>
      <c r="E246" s="2" t="s">
        <v>67</v>
      </c>
      <c r="F246" s="2" t="s">
        <v>80</v>
      </c>
      <c r="G246" s="2" t="s">
        <v>616</v>
      </c>
      <c r="H246" s="2" t="s">
        <v>862</v>
      </c>
      <c r="I246" s="2" t="str">
        <f t="shared" si="15"/>
        <v>Mar</v>
      </c>
      <c r="J246" s="2">
        <f t="shared" si="16"/>
        <v>3</v>
      </c>
      <c r="K246" s="2">
        <f t="shared" si="17"/>
        <v>2023</v>
      </c>
      <c r="L246" s="2">
        <f t="shared" si="18"/>
        <v>1</v>
      </c>
      <c r="M246" s="2">
        <v>10</v>
      </c>
      <c r="N246" s="2" t="s">
        <v>872</v>
      </c>
      <c r="O246" s="2" t="s">
        <v>27</v>
      </c>
      <c r="P246" s="3">
        <v>158489</v>
      </c>
      <c r="Q246" s="2"/>
      <c r="R246" s="2"/>
      <c r="S246" s="2" t="s">
        <v>28</v>
      </c>
      <c r="T246" s="2">
        <v>18.2</v>
      </c>
      <c r="U246" s="2" t="s">
        <v>29</v>
      </c>
      <c r="V246" s="2" t="s">
        <v>238</v>
      </c>
      <c r="W246" s="67" t="str">
        <f t="shared" si="19"/>
        <v>-</v>
      </c>
    </row>
    <row r="247" spans="1:23" x14ac:dyDescent="0.3">
      <c r="A247" s="6" t="s">
        <v>873</v>
      </c>
      <c r="B247" s="6" t="s">
        <v>874</v>
      </c>
      <c r="C247" s="6">
        <v>9974947794</v>
      </c>
      <c r="D247" s="6" t="s">
        <v>59</v>
      </c>
      <c r="E247" s="6" t="s">
        <v>109</v>
      </c>
      <c r="F247" s="6" t="s">
        <v>110</v>
      </c>
      <c r="G247" s="6" t="s">
        <v>616</v>
      </c>
      <c r="H247" s="6" t="s">
        <v>737</v>
      </c>
      <c r="I247" s="2" t="str">
        <f t="shared" si="15"/>
        <v>Mar</v>
      </c>
      <c r="J247" s="2">
        <f t="shared" si="16"/>
        <v>3</v>
      </c>
      <c r="K247" s="2">
        <f t="shared" si="17"/>
        <v>2023</v>
      </c>
      <c r="L247" s="2">
        <f t="shared" si="18"/>
        <v>1</v>
      </c>
      <c r="M247" s="6">
        <v>4</v>
      </c>
      <c r="N247" s="6" t="s">
        <v>801</v>
      </c>
      <c r="O247" s="6" t="s">
        <v>97</v>
      </c>
      <c r="P247" s="7">
        <v>137161</v>
      </c>
      <c r="Q247" s="7">
        <v>137667</v>
      </c>
      <c r="R247" s="6" t="s">
        <v>875</v>
      </c>
      <c r="S247" s="6" t="s">
        <v>28</v>
      </c>
      <c r="T247" s="6">
        <v>71.7</v>
      </c>
      <c r="U247" s="6" t="s">
        <v>63</v>
      </c>
      <c r="V247" s="6" t="s">
        <v>243</v>
      </c>
      <c r="W247" s="67" t="str">
        <f t="shared" si="19"/>
        <v>Customer</v>
      </c>
    </row>
    <row r="248" spans="1:23" x14ac:dyDescent="0.3">
      <c r="A248" s="2" t="s">
        <v>876</v>
      </c>
      <c r="B248" s="2" t="s">
        <v>782</v>
      </c>
      <c r="C248" s="2">
        <v>9763534625</v>
      </c>
      <c r="D248" s="2" t="s">
        <v>121</v>
      </c>
      <c r="E248" s="2" t="s">
        <v>21</v>
      </c>
      <c r="F248" s="2" t="s">
        <v>230</v>
      </c>
      <c r="G248" s="2" t="s">
        <v>643</v>
      </c>
      <c r="H248" s="2" t="s">
        <v>737</v>
      </c>
      <c r="I248" s="2" t="str">
        <f t="shared" si="15"/>
        <v>Mar</v>
      </c>
      <c r="J248" s="2">
        <f t="shared" si="16"/>
        <v>3</v>
      </c>
      <c r="K248" s="2">
        <f t="shared" si="17"/>
        <v>2023</v>
      </c>
      <c r="L248" s="2">
        <f t="shared" si="18"/>
        <v>1</v>
      </c>
      <c r="M248" s="2">
        <v>0</v>
      </c>
      <c r="N248" s="2" t="s">
        <v>804</v>
      </c>
      <c r="O248" s="2" t="s">
        <v>45</v>
      </c>
      <c r="P248" s="3">
        <v>1076383</v>
      </c>
      <c r="Q248" s="2"/>
      <c r="R248" s="2"/>
      <c r="S248" s="2" t="s">
        <v>5819</v>
      </c>
      <c r="T248" s="2">
        <v>7</v>
      </c>
      <c r="U248" s="2" t="s">
        <v>47</v>
      </c>
      <c r="V248" s="2" t="s">
        <v>310</v>
      </c>
      <c r="W248" s="67" t="str">
        <f t="shared" si="19"/>
        <v>-</v>
      </c>
    </row>
    <row r="249" spans="1:23" x14ac:dyDescent="0.3">
      <c r="A249" s="4" t="s">
        <v>877</v>
      </c>
      <c r="B249" s="4" t="s">
        <v>878</v>
      </c>
      <c r="C249" s="4">
        <v>9306364903</v>
      </c>
      <c r="D249" s="4" t="s">
        <v>121</v>
      </c>
      <c r="E249" s="4" t="s">
        <v>67</v>
      </c>
      <c r="F249" s="4" t="s">
        <v>68</v>
      </c>
      <c r="G249" s="4" t="s">
        <v>60</v>
      </c>
      <c r="H249" s="4" t="s">
        <v>737</v>
      </c>
      <c r="I249" s="2" t="str">
        <f t="shared" si="15"/>
        <v>Mar</v>
      </c>
      <c r="J249" s="2">
        <f t="shared" si="16"/>
        <v>3</v>
      </c>
      <c r="K249" s="2">
        <f t="shared" si="17"/>
        <v>2023</v>
      </c>
      <c r="L249" s="2">
        <f t="shared" si="18"/>
        <v>1</v>
      </c>
      <c r="M249" s="4">
        <v>0</v>
      </c>
      <c r="N249" s="4" t="s">
        <v>804</v>
      </c>
      <c r="O249" s="4" t="s">
        <v>27</v>
      </c>
      <c r="P249" s="5">
        <v>110172</v>
      </c>
      <c r="Q249" s="4"/>
      <c r="R249" s="4"/>
      <c r="S249" s="4" t="s">
        <v>28</v>
      </c>
      <c r="T249" s="4">
        <v>26.5</v>
      </c>
      <c r="U249" s="4" t="s">
        <v>29</v>
      </c>
      <c r="V249" s="4"/>
      <c r="W249" s="67" t="str">
        <f t="shared" si="19"/>
        <v>-</v>
      </c>
    </row>
    <row r="250" spans="1:23" x14ac:dyDescent="0.3">
      <c r="A250" s="2" t="s">
        <v>879</v>
      </c>
      <c r="B250" s="2" t="s">
        <v>880</v>
      </c>
      <c r="C250" s="2">
        <v>9619329173</v>
      </c>
      <c r="D250" s="2" t="s">
        <v>108</v>
      </c>
      <c r="E250" s="2" t="s">
        <v>33</v>
      </c>
      <c r="F250" s="2" t="s">
        <v>102</v>
      </c>
      <c r="G250" s="2" t="s">
        <v>23</v>
      </c>
      <c r="H250" s="2" t="s">
        <v>737</v>
      </c>
      <c r="I250" s="2" t="str">
        <f t="shared" si="15"/>
        <v>Mar</v>
      </c>
      <c r="J250" s="2">
        <f t="shared" si="16"/>
        <v>3</v>
      </c>
      <c r="K250" s="2">
        <f t="shared" si="17"/>
        <v>2023</v>
      </c>
      <c r="L250" s="2">
        <f t="shared" si="18"/>
        <v>1</v>
      </c>
      <c r="M250" s="2">
        <v>1</v>
      </c>
      <c r="N250" s="2" t="s">
        <v>700</v>
      </c>
      <c r="O250" s="2" t="s">
        <v>62</v>
      </c>
      <c r="P250" s="3">
        <v>313923</v>
      </c>
      <c r="Q250" s="2"/>
      <c r="R250" s="2"/>
      <c r="S250" s="2" t="s">
        <v>28</v>
      </c>
      <c r="T250" s="2">
        <v>18.2</v>
      </c>
      <c r="U250" s="2" t="s">
        <v>63</v>
      </c>
      <c r="V250" s="2" t="s">
        <v>221</v>
      </c>
      <c r="W250" s="67" t="str">
        <f t="shared" si="19"/>
        <v>-</v>
      </c>
    </row>
    <row r="251" spans="1:23" x14ac:dyDescent="0.3">
      <c r="A251" s="4" t="s">
        <v>881</v>
      </c>
      <c r="B251" s="4" t="s">
        <v>882</v>
      </c>
      <c r="C251" s="4">
        <v>9922790554</v>
      </c>
      <c r="D251" s="4" t="s">
        <v>121</v>
      </c>
      <c r="E251" s="4" t="s">
        <v>33</v>
      </c>
      <c r="F251" s="4" t="s">
        <v>102</v>
      </c>
      <c r="G251" s="4" t="s">
        <v>23</v>
      </c>
      <c r="H251" s="4" t="s">
        <v>834</v>
      </c>
      <c r="I251" s="2" t="str">
        <f t="shared" si="15"/>
        <v>Mar</v>
      </c>
      <c r="J251" s="2">
        <f t="shared" si="16"/>
        <v>3</v>
      </c>
      <c r="K251" s="2">
        <f t="shared" si="17"/>
        <v>2023</v>
      </c>
      <c r="L251" s="2">
        <f t="shared" si="18"/>
        <v>1</v>
      </c>
      <c r="M251" s="4">
        <v>8</v>
      </c>
      <c r="N251" s="4" t="s">
        <v>883</v>
      </c>
      <c r="O251" s="4" t="s">
        <v>27</v>
      </c>
      <c r="P251" s="5">
        <v>497083</v>
      </c>
      <c r="Q251" s="4"/>
      <c r="R251" s="4"/>
      <c r="S251" s="4" t="s">
        <v>28</v>
      </c>
      <c r="T251" s="4">
        <v>42.8</v>
      </c>
      <c r="U251" s="4" t="s">
        <v>29</v>
      </c>
      <c r="V251" s="4" t="s">
        <v>202</v>
      </c>
      <c r="W251" s="67" t="str">
        <f t="shared" si="19"/>
        <v>-</v>
      </c>
    </row>
    <row r="252" spans="1:23" x14ac:dyDescent="0.3">
      <c r="A252" s="2" t="s">
        <v>884</v>
      </c>
      <c r="B252" s="2" t="s">
        <v>509</v>
      </c>
      <c r="C252" s="2">
        <v>9447972640</v>
      </c>
      <c r="D252" s="2" t="s">
        <v>108</v>
      </c>
      <c r="E252" s="2" t="s">
        <v>33</v>
      </c>
      <c r="F252" s="2" t="s">
        <v>102</v>
      </c>
      <c r="G252" s="2" t="s">
        <v>52</v>
      </c>
      <c r="H252" s="2" t="s">
        <v>834</v>
      </c>
      <c r="I252" s="2" t="str">
        <f t="shared" si="15"/>
        <v>Mar</v>
      </c>
      <c r="J252" s="2">
        <f t="shared" si="16"/>
        <v>3</v>
      </c>
      <c r="K252" s="2">
        <f t="shared" si="17"/>
        <v>2023</v>
      </c>
      <c r="L252" s="2">
        <f t="shared" si="18"/>
        <v>1</v>
      </c>
      <c r="M252" s="2">
        <v>11</v>
      </c>
      <c r="N252" s="2" t="s">
        <v>780</v>
      </c>
      <c r="O252" s="2" t="s">
        <v>55</v>
      </c>
      <c r="P252" s="3">
        <v>490069</v>
      </c>
      <c r="Q252" s="2"/>
      <c r="R252" s="2"/>
      <c r="S252" s="2" t="s">
        <v>28</v>
      </c>
      <c r="T252" s="2">
        <v>16.2</v>
      </c>
      <c r="U252" s="2" t="s">
        <v>29</v>
      </c>
      <c r="V252" s="2"/>
      <c r="W252" s="67" t="str">
        <f t="shared" si="19"/>
        <v>-</v>
      </c>
    </row>
    <row r="253" spans="1:23" x14ac:dyDescent="0.3">
      <c r="A253" s="4" t="s">
        <v>886</v>
      </c>
      <c r="B253" s="4" t="s">
        <v>887</v>
      </c>
      <c r="C253" s="4">
        <v>9107053228</v>
      </c>
      <c r="D253" s="4" t="s">
        <v>20</v>
      </c>
      <c r="E253" s="4" t="s">
        <v>67</v>
      </c>
      <c r="F253" s="4" t="s">
        <v>68</v>
      </c>
      <c r="G253" s="4" t="s">
        <v>60</v>
      </c>
      <c r="H253" s="4" t="s">
        <v>868</v>
      </c>
      <c r="I253" s="2" t="str">
        <f t="shared" si="15"/>
        <v>Mar</v>
      </c>
      <c r="J253" s="2">
        <f t="shared" si="16"/>
        <v>3</v>
      </c>
      <c r="K253" s="2">
        <f t="shared" si="17"/>
        <v>2023</v>
      </c>
      <c r="L253" s="2">
        <f t="shared" si="18"/>
        <v>1</v>
      </c>
      <c r="M253" s="4">
        <v>9</v>
      </c>
      <c r="N253" s="4" t="s">
        <v>888</v>
      </c>
      <c r="O253" s="4" t="s">
        <v>27</v>
      </c>
      <c r="P253" s="5">
        <v>118746</v>
      </c>
      <c r="Q253" s="4"/>
      <c r="R253" s="4"/>
      <c r="S253" s="4" t="s">
        <v>5819</v>
      </c>
      <c r="T253" s="4">
        <v>6.4</v>
      </c>
      <c r="U253" s="4" t="s">
        <v>47</v>
      </c>
      <c r="V253" s="4" t="s">
        <v>163</v>
      </c>
      <c r="W253" s="67" t="str">
        <f t="shared" si="19"/>
        <v>-</v>
      </c>
    </row>
    <row r="254" spans="1:23" x14ac:dyDescent="0.3">
      <c r="A254" s="2" t="s">
        <v>889</v>
      </c>
      <c r="B254" s="2" t="s">
        <v>890</v>
      </c>
      <c r="C254" s="2">
        <v>9158569033</v>
      </c>
      <c r="D254" s="2" t="s">
        <v>121</v>
      </c>
      <c r="E254" s="2" t="s">
        <v>109</v>
      </c>
      <c r="F254" s="2" t="s">
        <v>331</v>
      </c>
      <c r="G254" s="2" t="s">
        <v>69</v>
      </c>
      <c r="H254" s="2" t="s">
        <v>868</v>
      </c>
      <c r="I254" s="2" t="str">
        <f t="shared" si="15"/>
        <v>Mar</v>
      </c>
      <c r="J254" s="2">
        <f t="shared" si="16"/>
        <v>3</v>
      </c>
      <c r="K254" s="2">
        <f t="shared" si="17"/>
        <v>2023</v>
      </c>
      <c r="L254" s="2">
        <f t="shared" si="18"/>
        <v>1</v>
      </c>
      <c r="M254" s="2">
        <v>7</v>
      </c>
      <c r="N254" s="2" t="s">
        <v>827</v>
      </c>
      <c r="O254" s="2" t="s">
        <v>55</v>
      </c>
      <c r="P254" s="3">
        <v>247292</v>
      </c>
      <c r="Q254" s="2"/>
      <c r="R254" s="2"/>
      <c r="S254" s="2" t="s">
        <v>28</v>
      </c>
      <c r="T254" s="2">
        <v>56.6</v>
      </c>
      <c r="U254" s="2" t="s">
        <v>29</v>
      </c>
      <c r="V254" s="2" t="s">
        <v>589</v>
      </c>
      <c r="W254" s="67" t="str">
        <f t="shared" si="19"/>
        <v>-</v>
      </c>
    </row>
    <row r="255" spans="1:23" x14ac:dyDescent="0.3">
      <c r="A255" s="4" t="s">
        <v>891</v>
      </c>
      <c r="B255" s="4" t="s">
        <v>892</v>
      </c>
      <c r="C255" s="4">
        <v>9101697496</v>
      </c>
      <c r="D255" s="4" t="s">
        <v>108</v>
      </c>
      <c r="E255" s="4" t="s">
        <v>73</v>
      </c>
      <c r="F255" s="4" t="s">
        <v>126</v>
      </c>
      <c r="G255" s="4" t="s">
        <v>52</v>
      </c>
      <c r="H255" s="4" t="s">
        <v>750</v>
      </c>
      <c r="I255" s="2" t="str">
        <f t="shared" si="15"/>
        <v>Mar</v>
      </c>
      <c r="J255" s="2">
        <f t="shared" si="16"/>
        <v>3</v>
      </c>
      <c r="K255" s="2">
        <f t="shared" si="17"/>
        <v>2023</v>
      </c>
      <c r="L255" s="2">
        <f t="shared" si="18"/>
        <v>1</v>
      </c>
      <c r="M255" s="4">
        <v>3</v>
      </c>
      <c r="N255" s="4" t="s">
        <v>893</v>
      </c>
      <c r="O255" s="4" t="s">
        <v>62</v>
      </c>
      <c r="P255" s="5">
        <v>403586</v>
      </c>
      <c r="Q255" s="4"/>
      <c r="R255" s="4"/>
      <c r="S255" s="4" t="s">
        <v>5819</v>
      </c>
      <c r="T255" s="4">
        <v>58.9</v>
      </c>
      <c r="U255" s="4" t="s">
        <v>47</v>
      </c>
      <c r="V255" s="4" t="s">
        <v>381</v>
      </c>
      <c r="W255" s="67" t="str">
        <f t="shared" si="19"/>
        <v>-</v>
      </c>
    </row>
    <row r="256" spans="1:23" x14ac:dyDescent="0.3">
      <c r="A256" s="2" t="s">
        <v>894</v>
      </c>
      <c r="B256" s="2" t="s">
        <v>895</v>
      </c>
      <c r="C256" s="2">
        <v>9654705830</v>
      </c>
      <c r="D256" s="2" t="s">
        <v>20</v>
      </c>
      <c r="E256" s="2" t="s">
        <v>67</v>
      </c>
      <c r="F256" s="2" t="s">
        <v>68</v>
      </c>
      <c r="G256" s="2" t="s">
        <v>23</v>
      </c>
      <c r="H256" s="2" t="s">
        <v>750</v>
      </c>
      <c r="I256" s="2" t="str">
        <f t="shared" si="15"/>
        <v>Mar</v>
      </c>
      <c r="J256" s="2">
        <f t="shared" si="16"/>
        <v>3</v>
      </c>
      <c r="K256" s="2">
        <f t="shared" si="17"/>
        <v>2023</v>
      </c>
      <c r="L256" s="2">
        <f t="shared" si="18"/>
        <v>1</v>
      </c>
      <c r="M256" s="2">
        <v>6</v>
      </c>
      <c r="N256" s="2" t="s">
        <v>896</v>
      </c>
      <c r="O256" s="2" t="s">
        <v>27</v>
      </c>
      <c r="P256" s="3">
        <v>543225</v>
      </c>
      <c r="Q256" s="2"/>
      <c r="R256" s="2"/>
      <c r="S256" s="2" t="s">
        <v>28</v>
      </c>
      <c r="T256" s="2">
        <v>54.1</v>
      </c>
      <c r="U256" s="2" t="s">
        <v>47</v>
      </c>
      <c r="V256" s="2"/>
      <c r="W256" s="67" t="str">
        <f t="shared" si="19"/>
        <v>-</v>
      </c>
    </row>
    <row r="257" spans="1:23" x14ac:dyDescent="0.3">
      <c r="A257" s="6" t="s">
        <v>897</v>
      </c>
      <c r="B257" s="6" t="s">
        <v>898</v>
      </c>
      <c r="C257" s="6">
        <v>9196725836</v>
      </c>
      <c r="D257" s="6" t="s">
        <v>59</v>
      </c>
      <c r="E257" s="6" t="s">
        <v>648</v>
      </c>
      <c r="F257" s="6" t="s">
        <v>899</v>
      </c>
      <c r="G257" s="6" t="s">
        <v>35</v>
      </c>
      <c r="H257" s="6" t="s">
        <v>885</v>
      </c>
      <c r="I257" s="2" t="str">
        <f t="shared" si="15"/>
        <v>Mar</v>
      </c>
      <c r="J257" s="2">
        <f t="shared" si="16"/>
        <v>3</v>
      </c>
      <c r="K257" s="2">
        <f t="shared" si="17"/>
        <v>2023</v>
      </c>
      <c r="L257" s="2">
        <f t="shared" si="18"/>
        <v>1</v>
      </c>
      <c r="M257" s="6">
        <v>2</v>
      </c>
      <c r="N257" s="6" t="s">
        <v>700</v>
      </c>
      <c r="O257" s="6" t="s">
        <v>97</v>
      </c>
      <c r="P257" s="7">
        <v>98792</v>
      </c>
      <c r="Q257" s="7">
        <v>93977</v>
      </c>
      <c r="R257" s="6" t="s">
        <v>721</v>
      </c>
      <c r="S257" s="6" t="s">
        <v>28</v>
      </c>
      <c r="T257" s="6">
        <v>26.2</v>
      </c>
      <c r="U257" s="6" t="s">
        <v>63</v>
      </c>
      <c r="V257" s="6" t="s">
        <v>295</v>
      </c>
      <c r="W257" s="67" t="str">
        <f t="shared" si="19"/>
        <v>Customer</v>
      </c>
    </row>
    <row r="258" spans="1:23" x14ac:dyDescent="0.3">
      <c r="A258" s="2" t="s">
        <v>900</v>
      </c>
      <c r="B258" s="2" t="s">
        <v>901</v>
      </c>
      <c r="C258" s="2">
        <v>9801450705</v>
      </c>
      <c r="D258" s="2" t="s">
        <v>59</v>
      </c>
      <c r="E258" s="2" t="s">
        <v>109</v>
      </c>
      <c r="F258" s="2" t="s">
        <v>217</v>
      </c>
      <c r="G258" s="2" t="s">
        <v>87</v>
      </c>
      <c r="H258" s="2" t="s">
        <v>804</v>
      </c>
      <c r="I258" s="2" t="str">
        <f t="shared" ref="I258:I321" si="20">TEXT(H258,"mmm")</f>
        <v>Mar</v>
      </c>
      <c r="J258" s="2">
        <f t="shared" ref="J258:J321" si="21">MONTH(H258)</f>
        <v>3</v>
      </c>
      <c r="K258" s="2">
        <f t="shared" ref="K258:K321" si="22">YEAR(H258)</f>
        <v>2023</v>
      </c>
      <c r="L258" s="2">
        <f t="shared" ref="L258:L321" si="23">ROUNDUP(MONTH(H258)/3,0)</f>
        <v>1</v>
      </c>
      <c r="M258" s="2">
        <v>3</v>
      </c>
      <c r="N258" s="2" t="s">
        <v>819</v>
      </c>
      <c r="O258" s="2" t="s">
        <v>27</v>
      </c>
      <c r="P258" s="3">
        <v>100982</v>
      </c>
      <c r="Q258" s="2"/>
      <c r="R258" s="2"/>
      <c r="S258" s="2" t="s">
        <v>28</v>
      </c>
      <c r="T258" s="2">
        <v>22.9</v>
      </c>
      <c r="U258" s="2" t="s">
        <v>29</v>
      </c>
      <c r="V258" s="2" t="s">
        <v>123</v>
      </c>
      <c r="W258" s="67" t="str">
        <f t="shared" ref="W258:W321" si="24">IF($O258&lt;&gt;"Converted","-",IF(ISNUMBER(SEARCH("Architect",$F258)),"Architect","Customer"))</f>
        <v>-</v>
      </c>
    </row>
    <row r="259" spans="1:23" x14ac:dyDescent="0.3">
      <c r="A259" s="4" t="s">
        <v>902</v>
      </c>
      <c r="B259" s="4" t="s">
        <v>903</v>
      </c>
      <c r="C259" s="4">
        <v>9566330798</v>
      </c>
      <c r="D259" s="4" t="s">
        <v>121</v>
      </c>
      <c r="E259" s="4" t="s">
        <v>641</v>
      </c>
      <c r="F259" s="4" t="s">
        <v>717</v>
      </c>
      <c r="G259" s="4" t="s">
        <v>69</v>
      </c>
      <c r="H259" s="4" t="s">
        <v>767</v>
      </c>
      <c r="I259" s="2" t="str">
        <f t="shared" si="20"/>
        <v>Mar</v>
      </c>
      <c r="J259" s="2">
        <f t="shared" si="21"/>
        <v>3</v>
      </c>
      <c r="K259" s="2">
        <f t="shared" si="22"/>
        <v>2023</v>
      </c>
      <c r="L259" s="2">
        <f t="shared" si="23"/>
        <v>1</v>
      </c>
      <c r="M259" s="4">
        <v>12</v>
      </c>
      <c r="N259" s="4" t="s">
        <v>883</v>
      </c>
      <c r="O259" s="4" t="s">
        <v>45</v>
      </c>
      <c r="P259" s="5">
        <v>172364</v>
      </c>
      <c r="Q259" s="4"/>
      <c r="R259" s="4"/>
      <c r="S259" s="4" t="s">
        <v>5819</v>
      </c>
      <c r="T259" s="4">
        <v>9.3000000000000007</v>
      </c>
      <c r="U259" s="4" t="s">
        <v>47</v>
      </c>
      <c r="V259" s="4" t="s">
        <v>212</v>
      </c>
      <c r="W259" s="67" t="str">
        <f t="shared" si="24"/>
        <v>-</v>
      </c>
    </row>
    <row r="260" spans="1:23" x14ac:dyDescent="0.3">
      <c r="A260" s="6" t="s">
        <v>904</v>
      </c>
      <c r="B260" s="6" t="s">
        <v>905</v>
      </c>
      <c r="C260" s="6">
        <v>9395627385</v>
      </c>
      <c r="D260" s="6" t="s">
        <v>20</v>
      </c>
      <c r="E260" s="6" t="s">
        <v>109</v>
      </c>
      <c r="F260" s="6" t="s">
        <v>331</v>
      </c>
      <c r="G260" s="6" t="s">
        <v>60</v>
      </c>
      <c r="H260" s="6" t="s">
        <v>767</v>
      </c>
      <c r="I260" s="2" t="str">
        <f t="shared" si="20"/>
        <v>Mar</v>
      </c>
      <c r="J260" s="2">
        <f t="shared" si="21"/>
        <v>3</v>
      </c>
      <c r="K260" s="2">
        <f t="shared" si="22"/>
        <v>2023</v>
      </c>
      <c r="L260" s="2">
        <f t="shared" si="23"/>
        <v>1</v>
      </c>
      <c r="M260" s="6">
        <v>3</v>
      </c>
      <c r="N260" s="6" t="s">
        <v>906</v>
      </c>
      <c r="O260" s="6" t="s">
        <v>97</v>
      </c>
      <c r="P260" s="7">
        <v>168699</v>
      </c>
      <c r="Q260" s="7">
        <v>157347</v>
      </c>
      <c r="R260" s="6" t="s">
        <v>869</v>
      </c>
      <c r="S260" s="6" t="s">
        <v>5819</v>
      </c>
      <c r="T260" s="6">
        <v>40.9</v>
      </c>
      <c r="U260" s="6" t="s">
        <v>63</v>
      </c>
      <c r="V260" s="6" t="s">
        <v>907</v>
      </c>
      <c r="W260" s="67" t="str">
        <f t="shared" si="24"/>
        <v>Customer</v>
      </c>
    </row>
    <row r="261" spans="1:23" x14ac:dyDescent="0.3">
      <c r="A261" s="4" t="s">
        <v>908</v>
      </c>
      <c r="B261" s="4" t="s">
        <v>909</v>
      </c>
      <c r="C261" s="4">
        <v>9544572227</v>
      </c>
      <c r="D261" s="4" t="s">
        <v>59</v>
      </c>
      <c r="E261" s="4" t="s">
        <v>33</v>
      </c>
      <c r="F261" s="4" t="s">
        <v>102</v>
      </c>
      <c r="G261" s="4" t="s">
        <v>35</v>
      </c>
      <c r="H261" s="4" t="s">
        <v>789</v>
      </c>
      <c r="I261" s="2" t="str">
        <f t="shared" si="20"/>
        <v>Mar</v>
      </c>
      <c r="J261" s="2">
        <f t="shared" si="21"/>
        <v>3</v>
      </c>
      <c r="K261" s="2">
        <f t="shared" si="22"/>
        <v>2023</v>
      </c>
      <c r="L261" s="2">
        <f t="shared" si="23"/>
        <v>1</v>
      </c>
      <c r="M261" s="4">
        <v>2</v>
      </c>
      <c r="N261" s="4" t="s">
        <v>714</v>
      </c>
      <c r="O261" s="4" t="s">
        <v>62</v>
      </c>
      <c r="P261" s="5">
        <v>137184</v>
      </c>
      <c r="Q261" s="4"/>
      <c r="R261" s="4"/>
      <c r="S261" s="4" t="s">
        <v>5819</v>
      </c>
      <c r="T261" s="4">
        <v>12.1</v>
      </c>
      <c r="U261" s="4" t="s">
        <v>29</v>
      </c>
      <c r="V261" s="4" t="s">
        <v>187</v>
      </c>
      <c r="W261" s="67" t="str">
        <f t="shared" si="24"/>
        <v>-</v>
      </c>
    </row>
    <row r="262" spans="1:23" x14ac:dyDescent="0.3">
      <c r="A262" s="2" t="s">
        <v>910</v>
      </c>
      <c r="B262" s="2" t="s">
        <v>911</v>
      </c>
      <c r="C262" s="2">
        <v>9659042709</v>
      </c>
      <c r="D262" s="2" t="s">
        <v>20</v>
      </c>
      <c r="E262" s="2" t="s">
        <v>33</v>
      </c>
      <c r="F262" s="2" t="s">
        <v>102</v>
      </c>
      <c r="G262" s="2" t="s">
        <v>35</v>
      </c>
      <c r="H262" s="2" t="s">
        <v>789</v>
      </c>
      <c r="I262" s="2" t="str">
        <f t="shared" si="20"/>
        <v>Mar</v>
      </c>
      <c r="J262" s="2">
        <f t="shared" si="21"/>
        <v>3</v>
      </c>
      <c r="K262" s="2">
        <f t="shared" si="22"/>
        <v>2023</v>
      </c>
      <c r="L262" s="2">
        <f t="shared" si="23"/>
        <v>1</v>
      </c>
      <c r="M262" s="2">
        <v>8</v>
      </c>
      <c r="N262" s="2" t="s">
        <v>912</v>
      </c>
      <c r="O262" s="2" t="s">
        <v>62</v>
      </c>
      <c r="P262" s="3">
        <v>232296</v>
      </c>
      <c r="Q262" s="2"/>
      <c r="R262" s="2"/>
      <c r="S262" s="2" t="s">
        <v>28</v>
      </c>
      <c r="T262" s="2">
        <v>42.9</v>
      </c>
      <c r="U262" s="2" t="s">
        <v>29</v>
      </c>
      <c r="V262" s="2" t="s">
        <v>442</v>
      </c>
      <c r="W262" s="67" t="str">
        <f t="shared" si="24"/>
        <v>-</v>
      </c>
    </row>
    <row r="263" spans="1:23" x14ac:dyDescent="0.3">
      <c r="A263" s="4" t="s">
        <v>913</v>
      </c>
      <c r="B263" s="4" t="s">
        <v>914</v>
      </c>
      <c r="C263" s="4">
        <v>9145090037</v>
      </c>
      <c r="D263" s="4" t="s">
        <v>121</v>
      </c>
      <c r="E263" s="4" t="s">
        <v>33</v>
      </c>
      <c r="F263" s="4" t="s">
        <v>201</v>
      </c>
      <c r="G263" s="4" t="s">
        <v>643</v>
      </c>
      <c r="H263" s="4" t="s">
        <v>753</v>
      </c>
      <c r="I263" s="2" t="str">
        <f t="shared" si="20"/>
        <v>Mar</v>
      </c>
      <c r="J263" s="2">
        <f t="shared" si="21"/>
        <v>3</v>
      </c>
      <c r="K263" s="2">
        <f t="shared" si="22"/>
        <v>2023</v>
      </c>
      <c r="L263" s="2">
        <f t="shared" si="23"/>
        <v>1</v>
      </c>
      <c r="M263" s="4">
        <v>1</v>
      </c>
      <c r="N263" s="4" t="s">
        <v>785</v>
      </c>
      <c r="O263" s="4" t="s">
        <v>55</v>
      </c>
      <c r="P263" s="5">
        <v>585223</v>
      </c>
      <c r="Q263" s="4"/>
      <c r="R263" s="4"/>
      <c r="S263" s="4" t="s">
        <v>28</v>
      </c>
      <c r="T263" s="4">
        <v>58</v>
      </c>
      <c r="U263" s="4" t="s">
        <v>47</v>
      </c>
      <c r="V263" s="4" t="s">
        <v>77</v>
      </c>
      <c r="W263" s="67" t="str">
        <f t="shared" si="24"/>
        <v>-</v>
      </c>
    </row>
    <row r="264" spans="1:23" x14ac:dyDescent="0.3">
      <c r="A264" s="6" t="s">
        <v>915</v>
      </c>
      <c r="B264" s="6" t="s">
        <v>916</v>
      </c>
      <c r="C264" s="6">
        <v>9591759000</v>
      </c>
      <c r="D264" s="6" t="s">
        <v>121</v>
      </c>
      <c r="E264" s="6" t="s">
        <v>21</v>
      </c>
      <c r="F264" s="6" t="s">
        <v>230</v>
      </c>
      <c r="G264" s="6" t="s">
        <v>60</v>
      </c>
      <c r="H264" s="6" t="s">
        <v>917</v>
      </c>
      <c r="I264" s="2" t="str">
        <f t="shared" si="20"/>
        <v>Mar</v>
      </c>
      <c r="J264" s="2">
        <f t="shared" si="21"/>
        <v>3</v>
      </c>
      <c r="K264" s="2">
        <f t="shared" si="22"/>
        <v>2023</v>
      </c>
      <c r="L264" s="2">
        <f t="shared" si="23"/>
        <v>1</v>
      </c>
      <c r="M264" s="6">
        <v>7</v>
      </c>
      <c r="N264" s="6" t="s">
        <v>918</v>
      </c>
      <c r="O264" s="6" t="s">
        <v>97</v>
      </c>
      <c r="P264" s="7">
        <v>176689</v>
      </c>
      <c r="Q264" s="7">
        <v>166117</v>
      </c>
      <c r="R264" s="6" t="s">
        <v>919</v>
      </c>
      <c r="S264" s="6" t="s">
        <v>5819</v>
      </c>
      <c r="T264" s="6">
        <v>52.3</v>
      </c>
      <c r="U264" s="6" t="s">
        <v>63</v>
      </c>
      <c r="V264" s="6" t="s">
        <v>99</v>
      </c>
      <c r="W264" s="67" t="str">
        <f t="shared" si="24"/>
        <v>Customer</v>
      </c>
    </row>
    <row r="265" spans="1:23" x14ac:dyDescent="0.3">
      <c r="A265" s="4" t="s">
        <v>920</v>
      </c>
      <c r="B265" s="4" t="s">
        <v>921</v>
      </c>
      <c r="C265" s="4">
        <v>9761662253</v>
      </c>
      <c r="D265" s="4" t="s">
        <v>20</v>
      </c>
      <c r="E265" s="4" t="s">
        <v>41</v>
      </c>
      <c r="F265" s="4" t="s">
        <v>92</v>
      </c>
      <c r="G265" s="4" t="s">
        <v>23</v>
      </c>
      <c r="H265" s="4" t="s">
        <v>917</v>
      </c>
      <c r="I265" s="2" t="str">
        <f t="shared" si="20"/>
        <v>Mar</v>
      </c>
      <c r="J265" s="2">
        <f t="shared" si="21"/>
        <v>3</v>
      </c>
      <c r="K265" s="2">
        <f t="shared" si="22"/>
        <v>2023</v>
      </c>
      <c r="L265" s="2">
        <f t="shared" si="23"/>
        <v>1</v>
      </c>
      <c r="M265" s="4">
        <v>12</v>
      </c>
      <c r="N265" s="4" t="s">
        <v>922</v>
      </c>
      <c r="O265" s="4" t="s">
        <v>45</v>
      </c>
      <c r="P265" s="5">
        <v>731574</v>
      </c>
      <c r="Q265" s="4"/>
      <c r="R265" s="4"/>
      <c r="S265" s="4" t="s">
        <v>28</v>
      </c>
      <c r="T265" s="4">
        <v>44.4</v>
      </c>
      <c r="U265" s="4" t="s">
        <v>63</v>
      </c>
      <c r="V265" s="4" t="s">
        <v>668</v>
      </c>
      <c r="W265" s="67" t="str">
        <f t="shared" si="24"/>
        <v>-</v>
      </c>
    </row>
    <row r="266" spans="1:23" x14ac:dyDescent="0.3">
      <c r="A266" s="6" t="s">
        <v>923</v>
      </c>
      <c r="B266" s="6" t="s">
        <v>924</v>
      </c>
      <c r="C266" s="6">
        <v>9807762976</v>
      </c>
      <c r="D266" s="6" t="s">
        <v>108</v>
      </c>
      <c r="E266" s="6" t="s">
        <v>67</v>
      </c>
      <c r="F266" s="6" t="s">
        <v>80</v>
      </c>
      <c r="G266" s="6" t="s">
        <v>87</v>
      </c>
      <c r="H266" s="6" t="s">
        <v>863</v>
      </c>
      <c r="I266" s="2" t="str">
        <f t="shared" si="20"/>
        <v>Apr</v>
      </c>
      <c r="J266" s="2">
        <f t="shared" si="21"/>
        <v>4</v>
      </c>
      <c r="K266" s="2">
        <f t="shared" si="22"/>
        <v>2023</v>
      </c>
      <c r="L266" s="2">
        <f t="shared" si="23"/>
        <v>2</v>
      </c>
      <c r="M266" s="6">
        <v>0</v>
      </c>
      <c r="N266" s="6" t="s">
        <v>866</v>
      </c>
      <c r="O266" s="6" t="s">
        <v>97</v>
      </c>
      <c r="P266" s="7">
        <v>133018</v>
      </c>
      <c r="Q266" s="7">
        <v>119176</v>
      </c>
      <c r="R266" s="6" t="s">
        <v>872</v>
      </c>
      <c r="S266" s="6" t="s">
        <v>28</v>
      </c>
      <c r="T266" s="6">
        <v>23.1</v>
      </c>
      <c r="U266" s="6" t="s">
        <v>63</v>
      </c>
      <c r="V266" s="6" t="s">
        <v>295</v>
      </c>
      <c r="W266" s="67" t="str">
        <f t="shared" si="24"/>
        <v>Customer</v>
      </c>
    </row>
    <row r="267" spans="1:23" x14ac:dyDescent="0.3">
      <c r="A267" s="6" t="s">
        <v>925</v>
      </c>
      <c r="B267" s="6" t="s">
        <v>926</v>
      </c>
      <c r="C267" s="6">
        <v>9785136281</v>
      </c>
      <c r="D267" s="6" t="s">
        <v>121</v>
      </c>
      <c r="E267" s="6" t="s">
        <v>109</v>
      </c>
      <c r="F267" s="6" t="s">
        <v>331</v>
      </c>
      <c r="G267" s="6" t="s">
        <v>23</v>
      </c>
      <c r="H267" s="6" t="s">
        <v>863</v>
      </c>
      <c r="I267" s="2" t="str">
        <f t="shared" si="20"/>
        <v>Apr</v>
      </c>
      <c r="J267" s="2">
        <f t="shared" si="21"/>
        <v>4</v>
      </c>
      <c r="K267" s="2">
        <f t="shared" si="22"/>
        <v>2023</v>
      </c>
      <c r="L267" s="2">
        <f t="shared" si="23"/>
        <v>2</v>
      </c>
      <c r="M267" s="6">
        <v>9</v>
      </c>
      <c r="N267" s="6" t="s">
        <v>780</v>
      </c>
      <c r="O267" s="6" t="s">
        <v>97</v>
      </c>
      <c r="P267" s="7">
        <v>393049</v>
      </c>
      <c r="Q267" s="7">
        <v>371271</v>
      </c>
      <c r="R267" s="6" t="s">
        <v>869</v>
      </c>
      <c r="S267" s="6" t="s">
        <v>28</v>
      </c>
      <c r="T267" s="6">
        <v>17.100000000000001</v>
      </c>
      <c r="U267" s="6" t="s">
        <v>63</v>
      </c>
      <c r="V267" s="6" t="s">
        <v>99</v>
      </c>
      <c r="W267" s="67" t="str">
        <f t="shared" si="24"/>
        <v>Customer</v>
      </c>
    </row>
    <row r="268" spans="1:23" x14ac:dyDescent="0.3">
      <c r="A268" s="2" t="s">
        <v>927</v>
      </c>
      <c r="B268" s="2" t="s">
        <v>928</v>
      </c>
      <c r="C268" s="2">
        <v>9587902225</v>
      </c>
      <c r="D268" s="2" t="s">
        <v>20</v>
      </c>
      <c r="E268" s="2" t="s">
        <v>21</v>
      </c>
      <c r="F268" s="2" t="s">
        <v>230</v>
      </c>
      <c r="G268" s="2" t="s">
        <v>23</v>
      </c>
      <c r="H268" s="2" t="s">
        <v>819</v>
      </c>
      <c r="I268" s="2" t="str">
        <f t="shared" si="20"/>
        <v>Apr</v>
      </c>
      <c r="J268" s="2">
        <f t="shared" si="21"/>
        <v>4</v>
      </c>
      <c r="K268" s="2">
        <f t="shared" si="22"/>
        <v>2023</v>
      </c>
      <c r="L268" s="2">
        <f t="shared" si="23"/>
        <v>2</v>
      </c>
      <c r="M268" s="2">
        <v>7</v>
      </c>
      <c r="N268" s="2" t="s">
        <v>929</v>
      </c>
      <c r="O268" s="2" t="s">
        <v>45</v>
      </c>
      <c r="P268" s="3">
        <v>681761</v>
      </c>
      <c r="Q268" s="2"/>
      <c r="R268" s="2"/>
      <c r="S268" s="2" t="s">
        <v>28</v>
      </c>
      <c r="T268" s="2">
        <v>9.8000000000000007</v>
      </c>
      <c r="U268" s="2" t="s">
        <v>29</v>
      </c>
      <c r="V268" s="2" t="s">
        <v>589</v>
      </c>
      <c r="W268" s="67" t="str">
        <f t="shared" si="24"/>
        <v>-</v>
      </c>
    </row>
    <row r="269" spans="1:23" x14ac:dyDescent="0.3">
      <c r="A269" s="4" t="s">
        <v>930</v>
      </c>
      <c r="B269" s="4" t="s">
        <v>931</v>
      </c>
      <c r="C269" s="4">
        <v>9512955792</v>
      </c>
      <c r="D269" s="4" t="s">
        <v>108</v>
      </c>
      <c r="E269" s="4" t="s">
        <v>67</v>
      </c>
      <c r="F269" s="4" t="s">
        <v>80</v>
      </c>
      <c r="G269" s="4" t="s">
        <v>23</v>
      </c>
      <c r="H269" s="4" t="s">
        <v>731</v>
      </c>
      <c r="I269" s="2" t="str">
        <f t="shared" si="20"/>
        <v>Apr</v>
      </c>
      <c r="J269" s="2">
        <f t="shared" si="21"/>
        <v>4</v>
      </c>
      <c r="K269" s="2">
        <f t="shared" si="22"/>
        <v>2023</v>
      </c>
      <c r="L269" s="2">
        <f t="shared" si="23"/>
        <v>2</v>
      </c>
      <c r="M269" s="4">
        <v>8</v>
      </c>
      <c r="N269" s="4" t="s">
        <v>933</v>
      </c>
      <c r="O269" s="4" t="s">
        <v>27</v>
      </c>
      <c r="P269" s="5">
        <v>384356</v>
      </c>
      <c r="Q269" s="4"/>
      <c r="R269" s="4"/>
      <c r="S269" s="4" t="s">
        <v>5819</v>
      </c>
      <c r="T269" s="4">
        <v>31.6</v>
      </c>
      <c r="U269" s="4" t="s">
        <v>29</v>
      </c>
      <c r="V269" s="4" t="s">
        <v>123</v>
      </c>
      <c r="W269" s="67" t="str">
        <f t="shared" si="24"/>
        <v>-</v>
      </c>
    </row>
    <row r="270" spans="1:23" x14ac:dyDescent="0.3">
      <c r="A270" s="2" t="s">
        <v>934</v>
      </c>
      <c r="B270" s="2" t="s">
        <v>935</v>
      </c>
      <c r="C270" s="2">
        <v>9222753236</v>
      </c>
      <c r="D270" s="2" t="s">
        <v>108</v>
      </c>
      <c r="E270" s="2" t="s">
        <v>641</v>
      </c>
      <c r="F270" s="2" t="s">
        <v>727</v>
      </c>
      <c r="G270" s="2" t="s">
        <v>69</v>
      </c>
      <c r="H270" s="2" t="s">
        <v>932</v>
      </c>
      <c r="I270" s="2" t="str">
        <f t="shared" si="20"/>
        <v>Apr</v>
      </c>
      <c r="J270" s="2">
        <f t="shared" si="21"/>
        <v>4</v>
      </c>
      <c r="K270" s="2">
        <f t="shared" si="22"/>
        <v>2023</v>
      </c>
      <c r="L270" s="2">
        <f t="shared" si="23"/>
        <v>2</v>
      </c>
      <c r="M270" s="2">
        <v>11</v>
      </c>
      <c r="N270" s="2" t="s">
        <v>936</v>
      </c>
      <c r="O270" s="2" t="s">
        <v>62</v>
      </c>
      <c r="P270" s="3">
        <v>182099</v>
      </c>
      <c r="Q270" s="2"/>
      <c r="R270" s="2"/>
      <c r="S270" s="2" t="s">
        <v>5819</v>
      </c>
      <c r="T270" s="2">
        <v>20.100000000000001</v>
      </c>
      <c r="U270" s="2" t="s">
        <v>47</v>
      </c>
      <c r="V270" s="2" t="s">
        <v>174</v>
      </c>
      <c r="W270" s="67" t="str">
        <f t="shared" si="24"/>
        <v>-</v>
      </c>
    </row>
    <row r="271" spans="1:23" x14ac:dyDescent="0.3">
      <c r="A271" s="4" t="s">
        <v>937</v>
      </c>
      <c r="B271" s="4" t="s">
        <v>938</v>
      </c>
      <c r="C271" s="4">
        <v>9592171427</v>
      </c>
      <c r="D271" s="4" t="s">
        <v>59</v>
      </c>
      <c r="E271" s="4" t="s">
        <v>41</v>
      </c>
      <c r="F271" s="4" t="s">
        <v>42</v>
      </c>
      <c r="G271" s="4" t="s">
        <v>69</v>
      </c>
      <c r="H271" s="4" t="s">
        <v>721</v>
      </c>
      <c r="I271" s="2" t="str">
        <f t="shared" si="20"/>
        <v>Apr</v>
      </c>
      <c r="J271" s="2">
        <f t="shared" si="21"/>
        <v>4</v>
      </c>
      <c r="K271" s="2">
        <f t="shared" si="22"/>
        <v>2023</v>
      </c>
      <c r="L271" s="2">
        <f t="shared" si="23"/>
        <v>2</v>
      </c>
      <c r="M271" s="4">
        <v>1</v>
      </c>
      <c r="N271" s="4" t="s">
        <v>896</v>
      </c>
      <c r="O271" s="4" t="s">
        <v>55</v>
      </c>
      <c r="P271" s="5">
        <v>324236</v>
      </c>
      <c r="Q271" s="4"/>
      <c r="R271" s="4"/>
      <c r="S271" s="4" t="s">
        <v>28</v>
      </c>
      <c r="T271" s="4">
        <v>53</v>
      </c>
      <c r="U271" s="4" t="s">
        <v>29</v>
      </c>
      <c r="V271" s="4" t="s">
        <v>83</v>
      </c>
      <c r="W271" s="67" t="str">
        <f t="shared" si="24"/>
        <v>-</v>
      </c>
    </row>
    <row r="272" spans="1:23" x14ac:dyDescent="0.3">
      <c r="A272" s="2" t="s">
        <v>939</v>
      </c>
      <c r="B272" s="2" t="s">
        <v>940</v>
      </c>
      <c r="C272" s="2">
        <v>9147276808</v>
      </c>
      <c r="D272" s="2" t="s">
        <v>20</v>
      </c>
      <c r="E272" s="2" t="s">
        <v>648</v>
      </c>
      <c r="F272" s="2" t="s">
        <v>649</v>
      </c>
      <c r="G272" s="2" t="s">
        <v>60</v>
      </c>
      <c r="H272" s="2" t="s">
        <v>721</v>
      </c>
      <c r="I272" s="2" t="str">
        <f t="shared" si="20"/>
        <v>Apr</v>
      </c>
      <c r="J272" s="2">
        <f t="shared" si="21"/>
        <v>4</v>
      </c>
      <c r="K272" s="2">
        <f t="shared" si="22"/>
        <v>2023</v>
      </c>
      <c r="L272" s="2">
        <f t="shared" si="23"/>
        <v>2</v>
      </c>
      <c r="M272" s="2">
        <v>6</v>
      </c>
      <c r="N272" s="2" t="s">
        <v>929</v>
      </c>
      <c r="O272" s="2" t="s">
        <v>62</v>
      </c>
      <c r="P272" s="3">
        <v>197654</v>
      </c>
      <c r="Q272" s="2"/>
      <c r="R272" s="2"/>
      <c r="S272" s="2" t="s">
        <v>5819</v>
      </c>
      <c r="T272" s="2">
        <v>53.3</v>
      </c>
      <c r="U272" s="2" t="s">
        <v>63</v>
      </c>
      <c r="V272" s="2"/>
      <c r="W272" s="67" t="str">
        <f t="shared" si="24"/>
        <v>-</v>
      </c>
    </row>
    <row r="273" spans="1:23" x14ac:dyDescent="0.3">
      <c r="A273" s="6" t="s">
        <v>941</v>
      </c>
      <c r="B273" s="6" t="s">
        <v>499</v>
      </c>
      <c r="C273" s="6">
        <v>9809615999</v>
      </c>
      <c r="D273" s="6" t="s">
        <v>20</v>
      </c>
      <c r="E273" s="6" t="s">
        <v>109</v>
      </c>
      <c r="F273" s="6" t="s">
        <v>331</v>
      </c>
      <c r="G273" s="6" t="s">
        <v>23</v>
      </c>
      <c r="H273" s="6" t="s">
        <v>721</v>
      </c>
      <c r="I273" s="2" t="str">
        <f t="shared" si="20"/>
        <v>Apr</v>
      </c>
      <c r="J273" s="2">
        <f t="shared" si="21"/>
        <v>4</v>
      </c>
      <c r="K273" s="2">
        <f t="shared" si="22"/>
        <v>2023</v>
      </c>
      <c r="L273" s="2">
        <f t="shared" si="23"/>
        <v>2</v>
      </c>
      <c r="M273" s="6">
        <v>1</v>
      </c>
      <c r="N273" s="6" t="s">
        <v>942</v>
      </c>
      <c r="O273" s="6" t="s">
        <v>97</v>
      </c>
      <c r="P273" s="7">
        <v>276625</v>
      </c>
      <c r="Q273" s="7">
        <v>269206</v>
      </c>
      <c r="R273" s="6" t="s">
        <v>893</v>
      </c>
      <c r="S273" s="6" t="s">
        <v>5819</v>
      </c>
      <c r="T273" s="6">
        <v>47.9</v>
      </c>
      <c r="U273" s="6" t="s">
        <v>63</v>
      </c>
      <c r="V273" s="6" t="s">
        <v>465</v>
      </c>
      <c r="W273" s="67" t="str">
        <f t="shared" si="24"/>
        <v>Customer</v>
      </c>
    </row>
    <row r="274" spans="1:23" x14ac:dyDescent="0.3">
      <c r="A274" s="6" t="s">
        <v>943</v>
      </c>
      <c r="B274" s="6" t="s">
        <v>859</v>
      </c>
      <c r="C274" s="6">
        <v>9717015275</v>
      </c>
      <c r="D274" s="6" t="s">
        <v>20</v>
      </c>
      <c r="E274" s="6" t="s">
        <v>33</v>
      </c>
      <c r="F274" s="6" t="s">
        <v>201</v>
      </c>
      <c r="G274" s="6" t="s">
        <v>23</v>
      </c>
      <c r="H274" s="6" t="s">
        <v>721</v>
      </c>
      <c r="I274" s="2" t="str">
        <f t="shared" si="20"/>
        <v>Apr</v>
      </c>
      <c r="J274" s="2">
        <f t="shared" si="21"/>
        <v>4</v>
      </c>
      <c r="K274" s="2">
        <f t="shared" si="22"/>
        <v>2023</v>
      </c>
      <c r="L274" s="2">
        <f t="shared" si="23"/>
        <v>2</v>
      </c>
      <c r="M274" s="6">
        <v>0</v>
      </c>
      <c r="N274" s="6" t="s">
        <v>775</v>
      </c>
      <c r="O274" s="6" t="s">
        <v>97</v>
      </c>
      <c r="P274" s="7">
        <v>536813</v>
      </c>
      <c r="Q274" s="7">
        <v>482659</v>
      </c>
      <c r="R274" s="6" t="s">
        <v>869</v>
      </c>
      <c r="S274" s="6" t="s">
        <v>5819</v>
      </c>
      <c r="T274" s="6">
        <v>37.799999999999997</v>
      </c>
      <c r="U274" s="6" t="s">
        <v>63</v>
      </c>
      <c r="V274" s="6" t="s">
        <v>907</v>
      </c>
      <c r="W274" s="67" t="str">
        <f t="shared" si="24"/>
        <v>Customer</v>
      </c>
    </row>
    <row r="275" spans="1:23" x14ac:dyDescent="0.3">
      <c r="A275" s="4" t="s">
        <v>944</v>
      </c>
      <c r="B275" s="4" t="s">
        <v>945</v>
      </c>
      <c r="C275" s="4">
        <v>9154176732</v>
      </c>
      <c r="D275" s="4" t="s">
        <v>108</v>
      </c>
      <c r="E275" s="4" t="s">
        <v>67</v>
      </c>
      <c r="F275" s="4" t="s">
        <v>68</v>
      </c>
      <c r="G275" s="4" t="s">
        <v>23</v>
      </c>
      <c r="H275" s="4" t="s">
        <v>785</v>
      </c>
      <c r="I275" s="2" t="str">
        <f t="shared" si="20"/>
        <v>Apr</v>
      </c>
      <c r="J275" s="2">
        <f t="shared" si="21"/>
        <v>4</v>
      </c>
      <c r="K275" s="2">
        <f t="shared" si="22"/>
        <v>2023</v>
      </c>
      <c r="L275" s="2">
        <f t="shared" si="23"/>
        <v>2</v>
      </c>
      <c r="M275" s="4">
        <v>2</v>
      </c>
      <c r="N275" s="4" t="s">
        <v>942</v>
      </c>
      <c r="O275" s="4" t="s">
        <v>45</v>
      </c>
      <c r="P275" s="5">
        <v>658920</v>
      </c>
      <c r="Q275" s="4"/>
      <c r="R275" s="4"/>
      <c r="S275" s="4" t="s">
        <v>28</v>
      </c>
      <c r="T275" s="4">
        <v>40.799999999999997</v>
      </c>
      <c r="U275" s="4" t="s">
        <v>29</v>
      </c>
      <c r="V275" s="4" t="s">
        <v>206</v>
      </c>
      <c r="W275" s="67" t="str">
        <f t="shared" si="24"/>
        <v>-</v>
      </c>
    </row>
    <row r="276" spans="1:23" x14ac:dyDescent="0.3">
      <c r="A276" s="2" t="s">
        <v>946</v>
      </c>
      <c r="B276" s="2" t="s">
        <v>947</v>
      </c>
      <c r="C276" s="2">
        <v>9680499353</v>
      </c>
      <c r="D276" s="2" t="s">
        <v>20</v>
      </c>
      <c r="E276" s="2" t="s">
        <v>109</v>
      </c>
      <c r="F276" s="2" t="s">
        <v>110</v>
      </c>
      <c r="G276" s="2" t="s">
        <v>60</v>
      </c>
      <c r="H276" s="2" t="s">
        <v>827</v>
      </c>
      <c r="I276" s="2" t="str">
        <f t="shared" si="20"/>
        <v>Apr</v>
      </c>
      <c r="J276" s="2">
        <f t="shared" si="21"/>
        <v>4</v>
      </c>
      <c r="K276" s="2">
        <f t="shared" si="22"/>
        <v>2023</v>
      </c>
      <c r="L276" s="2">
        <f t="shared" si="23"/>
        <v>2</v>
      </c>
      <c r="M276" s="2">
        <v>6</v>
      </c>
      <c r="N276" s="2" t="s">
        <v>948</v>
      </c>
      <c r="O276" s="2" t="s">
        <v>27</v>
      </c>
      <c r="P276" s="3">
        <v>198706</v>
      </c>
      <c r="Q276" s="2"/>
      <c r="R276" s="2"/>
      <c r="S276" s="2" t="s">
        <v>28</v>
      </c>
      <c r="T276" s="2">
        <v>67.099999999999994</v>
      </c>
      <c r="U276" s="2" t="s">
        <v>29</v>
      </c>
      <c r="V276" s="2"/>
      <c r="W276" s="67" t="str">
        <f t="shared" si="24"/>
        <v>-</v>
      </c>
    </row>
    <row r="277" spans="1:23" x14ac:dyDescent="0.3">
      <c r="A277" s="4" t="s">
        <v>949</v>
      </c>
      <c r="B277" s="4" t="s">
        <v>950</v>
      </c>
      <c r="C277" s="4">
        <v>9127235036</v>
      </c>
      <c r="D277" s="4" t="s">
        <v>59</v>
      </c>
      <c r="E277" s="4" t="s">
        <v>21</v>
      </c>
      <c r="F277" s="4" t="s">
        <v>160</v>
      </c>
      <c r="G277" s="4" t="s">
        <v>52</v>
      </c>
      <c r="H277" s="4" t="s">
        <v>827</v>
      </c>
      <c r="I277" s="2" t="str">
        <f t="shared" si="20"/>
        <v>Apr</v>
      </c>
      <c r="J277" s="2">
        <f t="shared" si="21"/>
        <v>4</v>
      </c>
      <c r="K277" s="2">
        <f t="shared" si="22"/>
        <v>2023</v>
      </c>
      <c r="L277" s="2">
        <f t="shared" si="23"/>
        <v>2</v>
      </c>
      <c r="M277" s="4">
        <v>11</v>
      </c>
      <c r="N277" s="4" t="s">
        <v>857</v>
      </c>
      <c r="O277" s="4" t="s">
        <v>45</v>
      </c>
      <c r="P277" s="5">
        <v>449356</v>
      </c>
      <c r="Q277" s="4"/>
      <c r="R277" s="4"/>
      <c r="S277" s="4" t="s">
        <v>5819</v>
      </c>
      <c r="T277" s="4">
        <v>64.2</v>
      </c>
      <c r="U277" s="4" t="s">
        <v>47</v>
      </c>
      <c r="V277" s="4"/>
      <c r="W277" s="67" t="str">
        <f t="shared" si="24"/>
        <v>-</v>
      </c>
    </row>
    <row r="278" spans="1:23" x14ac:dyDescent="0.3">
      <c r="A278" s="2" t="s">
        <v>951</v>
      </c>
      <c r="B278" s="2" t="s">
        <v>952</v>
      </c>
      <c r="C278" s="2">
        <v>9126773507</v>
      </c>
      <c r="D278" s="2" t="s">
        <v>108</v>
      </c>
      <c r="E278" s="2" t="s">
        <v>33</v>
      </c>
      <c r="F278" s="2" t="s">
        <v>201</v>
      </c>
      <c r="G278" s="2" t="s">
        <v>87</v>
      </c>
      <c r="H278" s="2" t="s">
        <v>844</v>
      </c>
      <c r="I278" s="2" t="str">
        <f t="shared" si="20"/>
        <v>Apr</v>
      </c>
      <c r="J278" s="2">
        <f t="shared" si="21"/>
        <v>4</v>
      </c>
      <c r="K278" s="2">
        <f t="shared" si="22"/>
        <v>2023</v>
      </c>
      <c r="L278" s="2">
        <f t="shared" si="23"/>
        <v>2</v>
      </c>
      <c r="M278" s="2">
        <v>12</v>
      </c>
      <c r="N278" s="2" t="s">
        <v>953</v>
      </c>
      <c r="O278" s="2" t="s">
        <v>27</v>
      </c>
      <c r="P278" s="3">
        <v>134940</v>
      </c>
      <c r="Q278" s="2"/>
      <c r="R278" s="2"/>
      <c r="S278" s="2" t="s">
        <v>5819</v>
      </c>
      <c r="T278" s="2">
        <v>29.4</v>
      </c>
      <c r="U278" s="2" t="s">
        <v>47</v>
      </c>
      <c r="V278" s="2" t="s">
        <v>38</v>
      </c>
      <c r="W278" s="67" t="str">
        <f t="shared" si="24"/>
        <v>-</v>
      </c>
    </row>
    <row r="279" spans="1:23" x14ac:dyDescent="0.3">
      <c r="A279" s="4" t="s">
        <v>954</v>
      </c>
      <c r="B279" s="4" t="s">
        <v>685</v>
      </c>
      <c r="C279" s="4">
        <v>9495758262</v>
      </c>
      <c r="D279" s="4" t="s">
        <v>51</v>
      </c>
      <c r="E279" s="4" t="s">
        <v>41</v>
      </c>
      <c r="F279" s="4" t="s">
        <v>42</v>
      </c>
      <c r="G279" s="4" t="s">
        <v>23</v>
      </c>
      <c r="H279" s="4" t="s">
        <v>844</v>
      </c>
      <c r="I279" s="2" t="str">
        <f t="shared" si="20"/>
        <v>Apr</v>
      </c>
      <c r="J279" s="2">
        <f t="shared" si="21"/>
        <v>4</v>
      </c>
      <c r="K279" s="2">
        <f t="shared" si="22"/>
        <v>2023</v>
      </c>
      <c r="L279" s="2">
        <f t="shared" si="23"/>
        <v>2</v>
      </c>
      <c r="M279" s="4">
        <v>0</v>
      </c>
      <c r="N279" s="4" t="s">
        <v>896</v>
      </c>
      <c r="O279" s="4" t="s">
        <v>62</v>
      </c>
      <c r="P279" s="5">
        <v>695702</v>
      </c>
      <c r="Q279" s="4"/>
      <c r="R279" s="4"/>
      <c r="S279" s="4" t="s">
        <v>5819</v>
      </c>
      <c r="T279" s="4">
        <v>41.1</v>
      </c>
      <c r="U279" s="4" t="s">
        <v>47</v>
      </c>
      <c r="V279" s="4" t="s">
        <v>174</v>
      </c>
      <c r="W279" s="67" t="str">
        <f t="shared" si="24"/>
        <v>-</v>
      </c>
    </row>
    <row r="280" spans="1:23" x14ac:dyDescent="0.3">
      <c r="A280" s="2" t="s">
        <v>955</v>
      </c>
      <c r="B280" s="2" t="s">
        <v>956</v>
      </c>
      <c r="C280" s="2">
        <v>9658294552</v>
      </c>
      <c r="D280" s="2" t="s">
        <v>59</v>
      </c>
      <c r="E280" s="2" t="s">
        <v>41</v>
      </c>
      <c r="F280" s="2" t="s">
        <v>86</v>
      </c>
      <c r="G280" s="2" t="s">
        <v>35</v>
      </c>
      <c r="H280" s="2" t="s">
        <v>844</v>
      </c>
      <c r="I280" s="2" t="str">
        <f t="shared" si="20"/>
        <v>Apr</v>
      </c>
      <c r="J280" s="2">
        <f t="shared" si="21"/>
        <v>4</v>
      </c>
      <c r="K280" s="2">
        <f t="shared" si="22"/>
        <v>2023</v>
      </c>
      <c r="L280" s="2">
        <f t="shared" si="23"/>
        <v>2</v>
      </c>
      <c r="M280" s="2">
        <v>11</v>
      </c>
      <c r="N280" s="2" t="s">
        <v>957</v>
      </c>
      <c r="O280" s="2" t="s">
        <v>27</v>
      </c>
      <c r="P280" s="3">
        <v>188040</v>
      </c>
      <c r="Q280" s="2"/>
      <c r="R280" s="2"/>
      <c r="S280" s="2" t="s">
        <v>28</v>
      </c>
      <c r="T280" s="2">
        <v>30.6</v>
      </c>
      <c r="U280" s="2" t="s">
        <v>29</v>
      </c>
      <c r="V280" s="2" t="s">
        <v>30</v>
      </c>
      <c r="W280" s="67" t="str">
        <f t="shared" si="24"/>
        <v>-</v>
      </c>
    </row>
    <row r="281" spans="1:23" x14ac:dyDescent="0.3">
      <c r="A281" s="4" t="s">
        <v>958</v>
      </c>
      <c r="B281" s="4" t="s">
        <v>959</v>
      </c>
      <c r="C281" s="4">
        <v>9923594990</v>
      </c>
      <c r="D281" s="4" t="s">
        <v>20</v>
      </c>
      <c r="E281" s="4" t="s">
        <v>33</v>
      </c>
      <c r="F281" s="4" t="s">
        <v>34</v>
      </c>
      <c r="G281" s="4" t="s">
        <v>60</v>
      </c>
      <c r="H281" s="4" t="s">
        <v>844</v>
      </c>
      <c r="I281" s="2" t="str">
        <f t="shared" si="20"/>
        <v>Apr</v>
      </c>
      <c r="J281" s="2">
        <f t="shared" si="21"/>
        <v>4</v>
      </c>
      <c r="K281" s="2">
        <f t="shared" si="22"/>
        <v>2023</v>
      </c>
      <c r="L281" s="2">
        <f t="shared" si="23"/>
        <v>2</v>
      </c>
      <c r="M281" s="4">
        <v>4</v>
      </c>
      <c r="N281" s="4" t="s">
        <v>960</v>
      </c>
      <c r="O281" s="4" t="s">
        <v>45</v>
      </c>
      <c r="P281" s="5">
        <v>198520</v>
      </c>
      <c r="Q281" s="4"/>
      <c r="R281" s="4"/>
      <c r="S281" s="4" t="s">
        <v>5819</v>
      </c>
      <c r="T281" s="4">
        <v>21.3</v>
      </c>
      <c r="U281" s="4" t="s">
        <v>47</v>
      </c>
      <c r="V281" s="4" t="s">
        <v>137</v>
      </c>
      <c r="W281" s="67" t="str">
        <f t="shared" si="24"/>
        <v>-</v>
      </c>
    </row>
    <row r="282" spans="1:23" x14ac:dyDescent="0.3">
      <c r="A282" s="2" t="s">
        <v>961</v>
      </c>
      <c r="B282" s="2" t="s">
        <v>962</v>
      </c>
      <c r="C282" s="2">
        <v>9888514234</v>
      </c>
      <c r="D282" s="2" t="s">
        <v>20</v>
      </c>
      <c r="E282" s="2" t="s">
        <v>33</v>
      </c>
      <c r="F282" s="2" t="s">
        <v>201</v>
      </c>
      <c r="G282" s="2" t="s">
        <v>60</v>
      </c>
      <c r="H282" s="2" t="s">
        <v>775</v>
      </c>
      <c r="I282" s="2" t="str">
        <f t="shared" si="20"/>
        <v>Apr</v>
      </c>
      <c r="J282" s="2">
        <f t="shared" si="21"/>
        <v>4</v>
      </c>
      <c r="K282" s="2">
        <f t="shared" si="22"/>
        <v>2023</v>
      </c>
      <c r="L282" s="2">
        <f t="shared" si="23"/>
        <v>2</v>
      </c>
      <c r="M282" s="2">
        <v>11</v>
      </c>
      <c r="N282" s="2" t="s">
        <v>963</v>
      </c>
      <c r="O282" s="2" t="s">
        <v>55</v>
      </c>
      <c r="P282" s="3">
        <v>157419</v>
      </c>
      <c r="Q282" s="2"/>
      <c r="R282" s="2"/>
      <c r="S282" s="2" t="s">
        <v>5819</v>
      </c>
      <c r="T282" s="2">
        <v>30.1</v>
      </c>
      <c r="U282" s="2" t="s">
        <v>29</v>
      </c>
      <c r="V282" s="2" t="s">
        <v>805</v>
      </c>
      <c r="W282" s="67" t="str">
        <f t="shared" si="24"/>
        <v>-</v>
      </c>
    </row>
    <row r="283" spans="1:23" x14ac:dyDescent="0.3">
      <c r="A283" s="4" t="s">
        <v>964</v>
      </c>
      <c r="B283" s="4" t="s">
        <v>965</v>
      </c>
      <c r="C283" s="4">
        <v>9669355272</v>
      </c>
      <c r="D283" s="4" t="s">
        <v>20</v>
      </c>
      <c r="E283" s="4" t="s">
        <v>648</v>
      </c>
      <c r="F283" s="4" t="s">
        <v>649</v>
      </c>
      <c r="G283" s="4" t="s">
        <v>616</v>
      </c>
      <c r="H283" s="4" t="s">
        <v>775</v>
      </c>
      <c r="I283" s="2" t="str">
        <f t="shared" si="20"/>
        <v>Apr</v>
      </c>
      <c r="J283" s="2">
        <f t="shared" si="21"/>
        <v>4</v>
      </c>
      <c r="K283" s="2">
        <f t="shared" si="22"/>
        <v>2023</v>
      </c>
      <c r="L283" s="2">
        <f t="shared" si="23"/>
        <v>2</v>
      </c>
      <c r="M283" s="4">
        <v>4</v>
      </c>
      <c r="N283" s="4" t="s">
        <v>953</v>
      </c>
      <c r="O283" s="4" t="s">
        <v>27</v>
      </c>
      <c r="P283" s="5">
        <v>273377</v>
      </c>
      <c r="Q283" s="4"/>
      <c r="R283" s="4"/>
      <c r="S283" s="4" t="s">
        <v>28</v>
      </c>
      <c r="T283" s="4">
        <v>63.2</v>
      </c>
      <c r="U283" s="4" t="s">
        <v>47</v>
      </c>
      <c r="V283" s="4" t="s">
        <v>157</v>
      </c>
      <c r="W283" s="67" t="str">
        <f t="shared" si="24"/>
        <v>-</v>
      </c>
    </row>
    <row r="284" spans="1:23" x14ac:dyDescent="0.3">
      <c r="A284" s="2" t="s">
        <v>966</v>
      </c>
      <c r="B284" s="2" t="s">
        <v>967</v>
      </c>
      <c r="C284" s="2">
        <v>9518293601</v>
      </c>
      <c r="D284" s="2" t="s">
        <v>108</v>
      </c>
      <c r="E284" s="2" t="s">
        <v>33</v>
      </c>
      <c r="F284" s="2" t="s">
        <v>102</v>
      </c>
      <c r="G284" s="2" t="s">
        <v>52</v>
      </c>
      <c r="H284" s="2" t="s">
        <v>896</v>
      </c>
      <c r="I284" s="2" t="str">
        <f t="shared" si="20"/>
        <v>Apr</v>
      </c>
      <c r="J284" s="2">
        <f t="shared" si="21"/>
        <v>4</v>
      </c>
      <c r="K284" s="2">
        <f t="shared" si="22"/>
        <v>2023</v>
      </c>
      <c r="L284" s="2">
        <f t="shared" si="23"/>
        <v>2</v>
      </c>
      <c r="M284" s="2">
        <v>10</v>
      </c>
      <c r="N284" s="2" t="s">
        <v>968</v>
      </c>
      <c r="O284" s="2" t="s">
        <v>45</v>
      </c>
      <c r="P284" s="3">
        <v>401541</v>
      </c>
      <c r="Q284" s="2"/>
      <c r="R284" s="2"/>
      <c r="S284" s="2" t="s">
        <v>5819</v>
      </c>
      <c r="T284" s="2">
        <v>6.1</v>
      </c>
      <c r="U284" s="2" t="s">
        <v>63</v>
      </c>
      <c r="V284" s="2" t="s">
        <v>668</v>
      </c>
      <c r="W284" s="67" t="str">
        <f t="shared" si="24"/>
        <v>-</v>
      </c>
    </row>
    <row r="285" spans="1:23" x14ac:dyDescent="0.3">
      <c r="A285" s="4" t="s">
        <v>969</v>
      </c>
      <c r="B285" s="4" t="s">
        <v>970</v>
      </c>
      <c r="C285" s="4">
        <v>9356168265</v>
      </c>
      <c r="D285" s="4" t="s">
        <v>59</v>
      </c>
      <c r="E285" s="4" t="s">
        <v>41</v>
      </c>
      <c r="F285" s="4" t="s">
        <v>92</v>
      </c>
      <c r="G285" s="4" t="s">
        <v>23</v>
      </c>
      <c r="H285" s="4" t="s">
        <v>906</v>
      </c>
      <c r="I285" s="2" t="str">
        <f t="shared" si="20"/>
        <v>Apr</v>
      </c>
      <c r="J285" s="2">
        <f t="shared" si="21"/>
        <v>4</v>
      </c>
      <c r="K285" s="2">
        <f t="shared" si="22"/>
        <v>2023</v>
      </c>
      <c r="L285" s="2">
        <f t="shared" si="23"/>
        <v>2</v>
      </c>
      <c r="M285" s="4">
        <v>8</v>
      </c>
      <c r="N285" s="4" t="s">
        <v>971</v>
      </c>
      <c r="O285" s="4" t="s">
        <v>27</v>
      </c>
      <c r="P285" s="5">
        <v>302205</v>
      </c>
      <c r="Q285" s="4"/>
      <c r="R285" s="4"/>
      <c r="S285" s="4" t="s">
        <v>28</v>
      </c>
      <c r="T285" s="4">
        <v>8.8000000000000007</v>
      </c>
      <c r="U285" s="4" t="s">
        <v>29</v>
      </c>
      <c r="V285" s="4" t="s">
        <v>202</v>
      </c>
      <c r="W285" s="67" t="str">
        <f t="shared" si="24"/>
        <v>-</v>
      </c>
    </row>
    <row r="286" spans="1:23" x14ac:dyDescent="0.3">
      <c r="A286" s="2" t="s">
        <v>972</v>
      </c>
      <c r="B286" s="2" t="s">
        <v>226</v>
      </c>
      <c r="C286" s="2">
        <v>9709659120</v>
      </c>
      <c r="D286" s="2" t="s">
        <v>20</v>
      </c>
      <c r="E286" s="2" t="s">
        <v>641</v>
      </c>
      <c r="F286" s="2" t="s">
        <v>727</v>
      </c>
      <c r="G286" s="2" t="s">
        <v>643</v>
      </c>
      <c r="H286" s="2" t="s">
        <v>893</v>
      </c>
      <c r="I286" s="2" t="str">
        <f t="shared" si="20"/>
        <v>Apr</v>
      </c>
      <c r="J286" s="2">
        <f t="shared" si="21"/>
        <v>4</v>
      </c>
      <c r="K286" s="2">
        <f t="shared" si="22"/>
        <v>2023</v>
      </c>
      <c r="L286" s="2">
        <f t="shared" si="23"/>
        <v>2</v>
      </c>
      <c r="M286" s="2">
        <v>1</v>
      </c>
      <c r="N286" s="2" t="s">
        <v>823</v>
      </c>
      <c r="O286" s="2" t="s">
        <v>45</v>
      </c>
      <c r="P286" s="3">
        <v>737070</v>
      </c>
      <c r="Q286" s="2"/>
      <c r="R286" s="2"/>
      <c r="S286" s="2" t="s">
        <v>5819</v>
      </c>
      <c r="T286" s="2">
        <v>49.6</v>
      </c>
      <c r="U286" s="2" t="s">
        <v>47</v>
      </c>
      <c r="V286" s="2" t="s">
        <v>77</v>
      </c>
      <c r="W286" s="67" t="str">
        <f t="shared" si="24"/>
        <v>-</v>
      </c>
    </row>
    <row r="287" spans="1:23" x14ac:dyDescent="0.3">
      <c r="A287" s="6" t="s">
        <v>973</v>
      </c>
      <c r="B287" s="6" t="s">
        <v>974</v>
      </c>
      <c r="C287" s="6">
        <v>9168673962</v>
      </c>
      <c r="D287" s="6" t="s">
        <v>121</v>
      </c>
      <c r="E287" s="6" t="s">
        <v>33</v>
      </c>
      <c r="F287" s="6" t="s">
        <v>102</v>
      </c>
      <c r="G287" s="6" t="s">
        <v>87</v>
      </c>
      <c r="H287" s="6" t="s">
        <v>780</v>
      </c>
      <c r="I287" s="2" t="str">
        <f t="shared" si="20"/>
        <v>Apr</v>
      </c>
      <c r="J287" s="2">
        <f t="shared" si="21"/>
        <v>4</v>
      </c>
      <c r="K287" s="2">
        <f t="shared" si="22"/>
        <v>2023</v>
      </c>
      <c r="L287" s="2">
        <f t="shared" si="23"/>
        <v>2</v>
      </c>
      <c r="M287" s="6">
        <v>4</v>
      </c>
      <c r="N287" s="6" t="s">
        <v>929</v>
      </c>
      <c r="O287" s="6" t="s">
        <v>97</v>
      </c>
      <c r="P287" s="7">
        <v>143351</v>
      </c>
      <c r="Q287" s="7">
        <v>142398</v>
      </c>
      <c r="R287" s="6" t="s">
        <v>975</v>
      </c>
      <c r="S287" s="6" t="s">
        <v>28</v>
      </c>
      <c r="T287" s="6">
        <v>5</v>
      </c>
      <c r="U287" s="6" t="s">
        <v>63</v>
      </c>
      <c r="V287" s="6" t="s">
        <v>113</v>
      </c>
      <c r="W287" s="67" t="str">
        <f t="shared" si="24"/>
        <v>Customer</v>
      </c>
    </row>
    <row r="288" spans="1:23" x14ac:dyDescent="0.3">
      <c r="A288" s="2" t="s">
        <v>976</v>
      </c>
      <c r="B288" s="2" t="s">
        <v>977</v>
      </c>
      <c r="C288" s="2">
        <v>9435544022</v>
      </c>
      <c r="D288" s="2" t="s">
        <v>20</v>
      </c>
      <c r="E288" s="2" t="s">
        <v>648</v>
      </c>
      <c r="F288" s="2" t="s">
        <v>899</v>
      </c>
      <c r="G288" s="2" t="s">
        <v>52</v>
      </c>
      <c r="H288" s="2" t="s">
        <v>875</v>
      </c>
      <c r="I288" s="2" t="str">
        <f t="shared" si="20"/>
        <v>Apr</v>
      </c>
      <c r="J288" s="2">
        <f t="shared" si="21"/>
        <v>4</v>
      </c>
      <c r="K288" s="2">
        <f t="shared" si="22"/>
        <v>2023</v>
      </c>
      <c r="L288" s="2">
        <f t="shared" si="23"/>
        <v>2</v>
      </c>
      <c r="M288" s="2">
        <v>10</v>
      </c>
      <c r="N288" s="2" t="s">
        <v>978</v>
      </c>
      <c r="O288" s="2" t="s">
        <v>45</v>
      </c>
      <c r="P288" s="2"/>
      <c r="Q288" s="2"/>
      <c r="R288" s="2"/>
      <c r="S288" s="2" t="s">
        <v>28</v>
      </c>
      <c r="T288" s="2">
        <v>69.3</v>
      </c>
      <c r="U288" s="2" t="s">
        <v>47</v>
      </c>
      <c r="V288" s="2" t="s">
        <v>137</v>
      </c>
      <c r="W288" s="67" t="str">
        <f t="shared" si="24"/>
        <v>-</v>
      </c>
    </row>
    <row r="289" spans="1:23" x14ac:dyDescent="0.3">
      <c r="A289" s="4" t="s">
        <v>979</v>
      </c>
      <c r="B289" s="4" t="s">
        <v>980</v>
      </c>
      <c r="C289" s="4">
        <v>9132495867</v>
      </c>
      <c r="D289" s="4" t="s">
        <v>59</v>
      </c>
      <c r="E289" s="4" t="s">
        <v>109</v>
      </c>
      <c r="F289" s="4" t="s">
        <v>110</v>
      </c>
      <c r="G289" s="4" t="s">
        <v>87</v>
      </c>
      <c r="H289" s="4" t="s">
        <v>875</v>
      </c>
      <c r="I289" s="2" t="str">
        <f t="shared" si="20"/>
        <v>Apr</v>
      </c>
      <c r="J289" s="2">
        <f t="shared" si="21"/>
        <v>4</v>
      </c>
      <c r="K289" s="2">
        <f t="shared" si="22"/>
        <v>2023</v>
      </c>
      <c r="L289" s="2">
        <f t="shared" si="23"/>
        <v>2</v>
      </c>
      <c r="M289" s="4">
        <v>12</v>
      </c>
      <c r="N289" s="4" t="s">
        <v>981</v>
      </c>
      <c r="O289" s="4" t="s">
        <v>55</v>
      </c>
      <c r="P289" s="5">
        <v>200589</v>
      </c>
      <c r="Q289" s="4"/>
      <c r="R289" s="4"/>
      <c r="S289" s="4" t="s">
        <v>28</v>
      </c>
      <c r="T289" s="4">
        <v>16.5</v>
      </c>
      <c r="U289" s="4" t="s">
        <v>29</v>
      </c>
      <c r="V289" s="4" t="s">
        <v>187</v>
      </c>
      <c r="W289" s="67" t="str">
        <f t="shared" si="24"/>
        <v>-</v>
      </c>
    </row>
    <row r="290" spans="1:23" x14ac:dyDescent="0.3">
      <c r="A290" s="6" t="s">
        <v>982</v>
      </c>
      <c r="B290" s="6" t="s">
        <v>983</v>
      </c>
      <c r="C290" s="6">
        <v>9269110063</v>
      </c>
      <c r="D290" s="6" t="s">
        <v>59</v>
      </c>
      <c r="E290" s="6" t="s">
        <v>21</v>
      </c>
      <c r="F290" s="6" t="s">
        <v>160</v>
      </c>
      <c r="G290" s="6" t="s">
        <v>616</v>
      </c>
      <c r="H290" s="6" t="s">
        <v>875</v>
      </c>
      <c r="I290" s="2" t="str">
        <f t="shared" si="20"/>
        <v>Apr</v>
      </c>
      <c r="J290" s="2">
        <f t="shared" si="21"/>
        <v>4</v>
      </c>
      <c r="K290" s="2">
        <f t="shared" si="22"/>
        <v>2023</v>
      </c>
      <c r="L290" s="2">
        <f t="shared" si="23"/>
        <v>2</v>
      </c>
      <c r="M290" s="6">
        <v>4</v>
      </c>
      <c r="N290" s="6" t="s">
        <v>857</v>
      </c>
      <c r="O290" s="6" t="s">
        <v>97</v>
      </c>
      <c r="P290" s="7">
        <v>264423</v>
      </c>
      <c r="Q290" s="7">
        <v>267326</v>
      </c>
      <c r="R290" s="6" t="s">
        <v>975</v>
      </c>
      <c r="S290" s="6" t="s">
        <v>5819</v>
      </c>
      <c r="T290" s="6">
        <v>17.600000000000001</v>
      </c>
      <c r="U290" s="6" t="s">
        <v>63</v>
      </c>
      <c r="V290" s="6" t="s">
        <v>341</v>
      </c>
      <c r="W290" s="67" t="str">
        <f t="shared" si="24"/>
        <v>Customer</v>
      </c>
    </row>
    <row r="291" spans="1:23" x14ac:dyDescent="0.3">
      <c r="A291" s="6" t="s">
        <v>984</v>
      </c>
      <c r="B291" s="6" t="s">
        <v>985</v>
      </c>
      <c r="C291" s="6">
        <v>9465139645</v>
      </c>
      <c r="D291" s="6" t="s">
        <v>20</v>
      </c>
      <c r="E291" s="6" t="s">
        <v>33</v>
      </c>
      <c r="F291" s="6" t="s">
        <v>201</v>
      </c>
      <c r="G291" s="6" t="s">
        <v>69</v>
      </c>
      <c r="H291" s="6" t="s">
        <v>872</v>
      </c>
      <c r="I291" s="2" t="str">
        <f t="shared" si="20"/>
        <v>Apr</v>
      </c>
      <c r="J291" s="2">
        <f t="shared" si="21"/>
        <v>4</v>
      </c>
      <c r="K291" s="2">
        <f t="shared" si="22"/>
        <v>2023</v>
      </c>
      <c r="L291" s="2">
        <f t="shared" si="23"/>
        <v>2</v>
      </c>
      <c r="M291" s="6">
        <v>5</v>
      </c>
      <c r="N291" s="6" t="s">
        <v>929</v>
      </c>
      <c r="O291" s="6" t="s">
        <v>97</v>
      </c>
      <c r="P291" s="7">
        <v>158995</v>
      </c>
      <c r="Q291" s="7">
        <v>161678</v>
      </c>
      <c r="R291" s="6" t="s">
        <v>986</v>
      </c>
      <c r="S291" s="6" t="s">
        <v>5819</v>
      </c>
      <c r="T291" s="6">
        <v>42.6</v>
      </c>
      <c r="U291" s="6" t="s">
        <v>63</v>
      </c>
      <c r="V291" s="6" t="s">
        <v>341</v>
      </c>
      <c r="W291" s="67" t="str">
        <f t="shared" si="24"/>
        <v>Customer</v>
      </c>
    </row>
    <row r="292" spans="1:23" x14ac:dyDescent="0.3">
      <c r="A292" s="2" t="s">
        <v>987</v>
      </c>
      <c r="B292" s="2" t="s">
        <v>456</v>
      </c>
      <c r="C292" s="2">
        <v>9544478713</v>
      </c>
      <c r="D292" s="2" t="s">
        <v>59</v>
      </c>
      <c r="E292" s="2" t="s">
        <v>67</v>
      </c>
      <c r="F292" s="2" t="s">
        <v>68</v>
      </c>
      <c r="G292" s="2" t="s">
        <v>52</v>
      </c>
      <c r="H292" s="2" t="s">
        <v>869</v>
      </c>
      <c r="I292" s="2" t="str">
        <f t="shared" si="20"/>
        <v>Apr</v>
      </c>
      <c r="J292" s="2">
        <f t="shared" si="21"/>
        <v>4</v>
      </c>
      <c r="K292" s="2">
        <f t="shared" si="22"/>
        <v>2023</v>
      </c>
      <c r="L292" s="2">
        <f t="shared" si="23"/>
        <v>2</v>
      </c>
      <c r="M292" s="2">
        <v>8</v>
      </c>
      <c r="N292" s="2" t="s">
        <v>988</v>
      </c>
      <c r="O292" s="2" t="s">
        <v>62</v>
      </c>
      <c r="P292" s="3">
        <v>375054</v>
      </c>
      <c r="Q292" s="2"/>
      <c r="R292" s="2"/>
      <c r="S292" s="2" t="s">
        <v>5819</v>
      </c>
      <c r="T292" s="2">
        <v>36.700000000000003</v>
      </c>
      <c r="U292" s="2" t="s">
        <v>47</v>
      </c>
      <c r="V292" s="2" t="s">
        <v>89</v>
      </c>
      <c r="W292" s="67" t="str">
        <f t="shared" si="24"/>
        <v>-</v>
      </c>
    </row>
    <row r="293" spans="1:23" x14ac:dyDescent="0.3">
      <c r="A293" s="4" t="s">
        <v>989</v>
      </c>
      <c r="B293" s="4" t="s">
        <v>990</v>
      </c>
      <c r="C293" s="4">
        <v>9816807711</v>
      </c>
      <c r="D293" s="4" t="s">
        <v>59</v>
      </c>
      <c r="E293" s="4" t="s">
        <v>21</v>
      </c>
      <c r="F293" s="4" t="s">
        <v>230</v>
      </c>
      <c r="G293" s="4" t="s">
        <v>69</v>
      </c>
      <c r="H293" s="4" t="s">
        <v>991</v>
      </c>
      <c r="I293" s="2" t="str">
        <f t="shared" si="20"/>
        <v>Apr</v>
      </c>
      <c r="J293" s="2">
        <f t="shared" si="21"/>
        <v>4</v>
      </c>
      <c r="K293" s="2">
        <f t="shared" si="22"/>
        <v>2023</v>
      </c>
      <c r="L293" s="2">
        <f t="shared" si="23"/>
        <v>2</v>
      </c>
      <c r="M293" s="4">
        <v>4</v>
      </c>
      <c r="N293" s="4" t="s">
        <v>975</v>
      </c>
      <c r="O293" s="4" t="s">
        <v>62</v>
      </c>
      <c r="P293" s="5">
        <v>186582</v>
      </c>
      <c r="Q293" s="4"/>
      <c r="R293" s="4"/>
      <c r="S293" s="4" t="s">
        <v>28</v>
      </c>
      <c r="T293" s="4">
        <v>67.7</v>
      </c>
      <c r="U293" s="4" t="s">
        <v>47</v>
      </c>
      <c r="V293" s="4" t="s">
        <v>276</v>
      </c>
      <c r="W293" s="67" t="str">
        <f t="shared" si="24"/>
        <v>-</v>
      </c>
    </row>
    <row r="294" spans="1:23" x14ac:dyDescent="0.3">
      <c r="A294" s="2" t="s">
        <v>992</v>
      </c>
      <c r="B294" s="2" t="s">
        <v>993</v>
      </c>
      <c r="C294" s="2">
        <v>9415878379</v>
      </c>
      <c r="D294" s="2" t="s">
        <v>51</v>
      </c>
      <c r="E294" s="2" t="s">
        <v>73</v>
      </c>
      <c r="F294" s="2" t="s">
        <v>126</v>
      </c>
      <c r="G294" s="2" t="s">
        <v>52</v>
      </c>
      <c r="H294" s="2" t="s">
        <v>991</v>
      </c>
      <c r="I294" s="2" t="str">
        <f t="shared" si="20"/>
        <v>Apr</v>
      </c>
      <c r="J294" s="2">
        <f t="shared" si="21"/>
        <v>4</v>
      </c>
      <c r="K294" s="2">
        <f t="shared" si="22"/>
        <v>2023</v>
      </c>
      <c r="L294" s="2">
        <f t="shared" si="23"/>
        <v>2</v>
      </c>
      <c r="M294" s="2"/>
      <c r="N294" s="2" t="s">
        <v>957</v>
      </c>
      <c r="O294" s="2" t="s">
        <v>62</v>
      </c>
      <c r="P294" s="3">
        <v>351028</v>
      </c>
      <c r="Q294" s="2"/>
      <c r="R294" s="2"/>
      <c r="S294" s="2" t="s">
        <v>5819</v>
      </c>
      <c r="T294" s="2">
        <v>10.1</v>
      </c>
      <c r="U294" s="2" t="s">
        <v>63</v>
      </c>
      <c r="V294" s="2" t="s">
        <v>64</v>
      </c>
      <c r="W294" s="67" t="str">
        <f t="shared" si="24"/>
        <v>-</v>
      </c>
    </row>
    <row r="295" spans="1:23" x14ac:dyDescent="0.3">
      <c r="A295" s="4" t="s">
        <v>994</v>
      </c>
      <c r="B295" s="4" t="s">
        <v>995</v>
      </c>
      <c r="C295" s="4">
        <v>9775705787</v>
      </c>
      <c r="D295" s="4" t="s">
        <v>20</v>
      </c>
      <c r="E295" s="4" t="s">
        <v>109</v>
      </c>
      <c r="F295" s="4" t="s">
        <v>331</v>
      </c>
      <c r="G295" s="4" t="s">
        <v>69</v>
      </c>
      <c r="H295" s="4" t="s">
        <v>991</v>
      </c>
      <c r="I295" s="2" t="str">
        <f t="shared" si="20"/>
        <v>Apr</v>
      </c>
      <c r="J295" s="2">
        <f t="shared" si="21"/>
        <v>4</v>
      </c>
      <c r="K295" s="2">
        <f t="shared" si="22"/>
        <v>2023</v>
      </c>
      <c r="L295" s="2">
        <f t="shared" si="23"/>
        <v>2</v>
      </c>
      <c r="M295" s="4">
        <v>11</v>
      </c>
      <c r="N295" s="4" t="s">
        <v>936</v>
      </c>
      <c r="O295" s="4" t="s">
        <v>27</v>
      </c>
      <c r="P295" s="5">
        <v>158674</v>
      </c>
      <c r="Q295" s="4"/>
      <c r="R295" s="4"/>
      <c r="S295" s="4" t="s">
        <v>28</v>
      </c>
      <c r="T295" s="4">
        <v>51.3</v>
      </c>
      <c r="U295" s="4" t="s">
        <v>47</v>
      </c>
      <c r="V295" s="4" t="s">
        <v>30</v>
      </c>
      <c r="W295" s="67" t="str">
        <f t="shared" si="24"/>
        <v>-</v>
      </c>
    </row>
    <row r="296" spans="1:23" x14ac:dyDescent="0.3">
      <c r="A296" s="2" t="s">
        <v>996</v>
      </c>
      <c r="B296" s="2" t="s">
        <v>997</v>
      </c>
      <c r="C296" s="2">
        <v>9468070623</v>
      </c>
      <c r="D296" s="2" t="s">
        <v>20</v>
      </c>
      <c r="E296" s="2" t="s">
        <v>73</v>
      </c>
      <c r="F296" s="2" t="s">
        <v>74</v>
      </c>
      <c r="G296" s="2" t="s">
        <v>60</v>
      </c>
      <c r="H296" s="2" t="s">
        <v>960</v>
      </c>
      <c r="I296" s="2" t="str">
        <f t="shared" si="20"/>
        <v>May</v>
      </c>
      <c r="J296" s="2">
        <f t="shared" si="21"/>
        <v>5</v>
      </c>
      <c r="K296" s="2">
        <f t="shared" si="22"/>
        <v>2023</v>
      </c>
      <c r="L296" s="2">
        <f t="shared" si="23"/>
        <v>2</v>
      </c>
      <c r="M296" s="2">
        <v>12</v>
      </c>
      <c r="N296" s="2" t="s">
        <v>998</v>
      </c>
      <c r="O296" s="2" t="s">
        <v>27</v>
      </c>
      <c r="P296" s="3">
        <v>95667</v>
      </c>
      <c r="Q296" s="2"/>
      <c r="R296" s="2"/>
      <c r="S296" s="2" t="s">
        <v>5819</v>
      </c>
      <c r="T296" s="2">
        <v>16.899999999999999</v>
      </c>
      <c r="U296" s="2" t="s">
        <v>47</v>
      </c>
      <c r="V296" s="2" t="s">
        <v>163</v>
      </c>
      <c r="W296" s="67" t="str">
        <f t="shared" si="24"/>
        <v>-</v>
      </c>
    </row>
    <row r="297" spans="1:23" x14ac:dyDescent="0.3">
      <c r="A297" s="4" t="s">
        <v>999</v>
      </c>
      <c r="B297" s="4" t="s">
        <v>1000</v>
      </c>
      <c r="C297" s="4">
        <v>9500305748</v>
      </c>
      <c r="D297" s="4" t="s">
        <v>20</v>
      </c>
      <c r="E297" s="4" t="s">
        <v>73</v>
      </c>
      <c r="F297" s="4" t="s">
        <v>74</v>
      </c>
      <c r="G297" s="4" t="s">
        <v>52</v>
      </c>
      <c r="H297" s="4" t="s">
        <v>1001</v>
      </c>
      <c r="I297" s="2" t="str">
        <f t="shared" si="20"/>
        <v>May</v>
      </c>
      <c r="J297" s="2">
        <f t="shared" si="21"/>
        <v>5</v>
      </c>
      <c r="K297" s="2">
        <f t="shared" si="22"/>
        <v>2023</v>
      </c>
      <c r="L297" s="2">
        <f t="shared" si="23"/>
        <v>2</v>
      </c>
      <c r="M297" s="4">
        <v>8</v>
      </c>
      <c r="N297" s="4" t="s">
        <v>1002</v>
      </c>
      <c r="O297" s="4" t="s">
        <v>45</v>
      </c>
      <c r="P297" s="5">
        <v>158633</v>
      </c>
      <c r="Q297" s="4"/>
      <c r="R297" s="4"/>
      <c r="S297" s="4" t="s">
        <v>5819</v>
      </c>
      <c r="T297" s="4">
        <v>28</v>
      </c>
      <c r="U297" s="4" t="s">
        <v>63</v>
      </c>
      <c r="V297" s="4"/>
      <c r="W297" s="67" t="str">
        <f t="shared" si="24"/>
        <v>-</v>
      </c>
    </row>
    <row r="298" spans="1:23" x14ac:dyDescent="0.3">
      <c r="A298" s="2" t="s">
        <v>1003</v>
      </c>
      <c r="B298" s="2" t="s">
        <v>1004</v>
      </c>
      <c r="C298" s="2">
        <v>9546915228</v>
      </c>
      <c r="D298" s="2" t="s">
        <v>20</v>
      </c>
      <c r="E298" s="2" t="s">
        <v>33</v>
      </c>
      <c r="F298" s="2" t="s">
        <v>102</v>
      </c>
      <c r="G298" s="2" t="s">
        <v>35</v>
      </c>
      <c r="H298" s="2" t="s">
        <v>1001</v>
      </c>
      <c r="I298" s="2" t="str">
        <f t="shared" si="20"/>
        <v>May</v>
      </c>
      <c r="J298" s="2">
        <f t="shared" si="21"/>
        <v>5</v>
      </c>
      <c r="K298" s="2">
        <f t="shared" si="22"/>
        <v>2023</v>
      </c>
      <c r="L298" s="2">
        <f t="shared" si="23"/>
        <v>2</v>
      </c>
      <c r="M298" s="2">
        <v>11</v>
      </c>
      <c r="N298" s="2" t="s">
        <v>1005</v>
      </c>
      <c r="O298" s="2" t="s">
        <v>27</v>
      </c>
      <c r="P298" s="3">
        <v>294959</v>
      </c>
      <c r="Q298" s="2"/>
      <c r="R298" s="2"/>
      <c r="S298" s="2" t="s">
        <v>5819</v>
      </c>
      <c r="T298" s="2">
        <v>4.5</v>
      </c>
      <c r="U298" s="2" t="s">
        <v>47</v>
      </c>
      <c r="V298" s="2" t="s">
        <v>30</v>
      </c>
      <c r="W298" s="67" t="str">
        <f t="shared" si="24"/>
        <v>-</v>
      </c>
    </row>
    <row r="299" spans="1:23" x14ac:dyDescent="0.3">
      <c r="A299" s="4" t="s">
        <v>1006</v>
      </c>
      <c r="B299" s="4" t="s">
        <v>1007</v>
      </c>
      <c r="C299" s="4">
        <v>9160180666</v>
      </c>
      <c r="D299" s="4" t="s">
        <v>121</v>
      </c>
      <c r="E299" s="4" t="s">
        <v>33</v>
      </c>
      <c r="F299" s="4" t="s">
        <v>102</v>
      </c>
      <c r="G299" s="4" t="s">
        <v>23</v>
      </c>
      <c r="H299" s="4" t="s">
        <v>883</v>
      </c>
      <c r="I299" s="2" t="str">
        <f t="shared" si="20"/>
        <v>May</v>
      </c>
      <c r="J299" s="2">
        <f t="shared" si="21"/>
        <v>5</v>
      </c>
      <c r="K299" s="2">
        <f t="shared" si="22"/>
        <v>2023</v>
      </c>
      <c r="L299" s="2">
        <f t="shared" si="23"/>
        <v>2</v>
      </c>
      <c r="M299" s="4">
        <v>5</v>
      </c>
      <c r="N299" s="4" t="s">
        <v>986</v>
      </c>
      <c r="O299" s="4" t="s">
        <v>62</v>
      </c>
      <c r="P299" s="5">
        <v>690814</v>
      </c>
      <c r="Q299" s="4"/>
      <c r="R299" s="4"/>
      <c r="S299" s="4" t="s">
        <v>5819</v>
      </c>
      <c r="T299" s="4">
        <v>30.8</v>
      </c>
      <c r="U299" s="4" t="s">
        <v>29</v>
      </c>
      <c r="V299" s="4" t="s">
        <v>56</v>
      </c>
      <c r="W299" s="67" t="str">
        <f t="shared" si="24"/>
        <v>-</v>
      </c>
    </row>
    <row r="300" spans="1:23" x14ac:dyDescent="0.3">
      <c r="A300" s="2" t="s">
        <v>1008</v>
      </c>
      <c r="B300" s="2" t="s">
        <v>413</v>
      </c>
      <c r="C300" s="2">
        <v>9146295027</v>
      </c>
      <c r="D300" s="2" t="s">
        <v>121</v>
      </c>
      <c r="E300" s="2" t="s">
        <v>109</v>
      </c>
      <c r="F300" s="2" t="s">
        <v>331</v>
      </c>
      <c r="G300" s="2" t="s">
        <v>616</v>
      </c>
      <c r="H300" s="2" t="s">
        <v>883</v>
      </c>
      <c r="I300" s="2" t="str">
        <f t="shared" si="20"/>
        <v>May</v>
      </c>
      <c r="J300" s="2">
        <f t="shared" si="21"/>
        <v>5</v>
      </c>
      <c r="K300" s="2">
        <f t="shared" si="22"/>
        <v>2023</v>
      </c>
      <c r="L300" s="2">
        <f t="shared" si="23"/>
        <v>2</v>
      </c>
      <c r="M300" s="2">
        <v>7</v>
      </c>
      <c r="N300" s="2" t="s">
        <v>1009</v>
      </c>
      <c r="O300" s="2" t="s">
        <v>45</v>
      </c>
      <c r="P300" s="3">
        <v>154153</v>
      </c>
      <c r="Q300" s="2"/>
      <c r="R300" s="2"/>
      <c r="S300" s="2" t="s">
        <v>28</v>
      </c>
      <c r="T300" s="2">
        <v>50.6</v>
      </c>
      <c r="U300" s="2" t="s">
        <v>47</v>
      </c>
      <c r="V300" s="2" t="s">
        <v>183</v>
      </c>
      <c r="W300" s="67" t="str">
        <f t="shared" si="24"/>
        <v>-</v>
      </c>
    </row>
    <row r="301" spans="1:23" x14ac:dyDescent="0.3">
      <c r="A301" s="4" t="s">
        <v>1010</v>
      </c>
      <c r="B301" s="4" t="s">
        <v>1011</v>
      </c>
      <c r="C301" s="4">
        <v>9752997384</v>
      </c>
      <c r="D301" s="4" t="s">
        <v>121</v>
      </c>
      <c r="E301" s="4" t="s">
        <v>641</v>
      </c>
      <c r="F301" s="4" t="s">
        <v>727</v>
      </c>
      <c r="G301" s="4" t="s">
        <v>23</v>
      </c>
      <c r="H301" s="4" t="s">
        <v>823</v>
      </c>
      <c r="I301" s="2" t="str">
        <f t="shared" si="20"/>
        <v>May</v>
      </c>
      <c r="J301" s="2">
        <f t="shared" si="21"/>
        <v>5</v>
      </c>
      <c r="K301" s="2">
        <f t="shared" si="22"/>
        <v>2023</v>
      </c>
      <c r="L301" s="2">
        <f t="shared" si="23"/>
        <v>2</v>
      </c>
      <c r="M301" s="4">
        <v>7</v>
      </c>
      <c r="N301" s="4" t="s">
        <v>1012</v>
      </c>
      <c r="O301" s="4" t="s">
        <v>62</v>
      </c>
      <c r="P301" s="5">
        <v>317180</v>
      </c>
      <c r="Q301" s="4"/>
      <c r="R301" s="4"/>
      <c r="S301" s="4" t="s">
        <v>5819</v>
      </c>
      <c r="T301" s="4">
        <v>31.3</v>
      </c>
      <c r="U301" s="4" t="s">
        <v>63</v>
      </c>
      <c r="V301" s="4" t="s">
        <v>621</v>
      </c>
      <c r="W301" s="67" t="str">
        <f t="shared" si="24"/>
        <v>-</v>
      </c>
    </row>
    <row r="302" spans="1:23" x14ac:dyDescent="0.3">
      <c r="A302" s="2" t="s">
        <v>1013</v>
      </c>
      <c r="B302" s="2" t="s">
        <v>1014</v>
      </c>
      <c r="C302" s="2">
        <v>9147485372</v>
      </c>
      <c r="D302" s="2" t="s">
        <v>121</v>
      </c>
      <c r="E302" s="2" t="s">
        <v>67</v>
      </c>
      <c r="F302" s="2" t="s">
        <v>68</v>
      </c>
      <c r="G302" s="2" t="s">
        <v>23</v>
      </c>
      <c r="H302" s="2" t="s">
        <v>1015</v>
      </c>
      <c r="I302" s="2" t="str">
        <f t="shared" si="20"/>
        <v>May</v>
      </c>
      <c r="J302" s="2">
        <f t="shared" si="21"/>
        <v>5</v>
      </c>
      <c r="K302" s="2">
        <f t="shared" si="22"/>
        <v>2023</v>
      </c>
      <c r="L302" s="2">
        <f t="shared" si="23"/>
        <v>2</v>
      </c>
      <c r="M302" s="2">
        <v>2</v>
      </c>
      <c r="N302" s="2" t="s">
        <v>1016</v>
      </c>
      <c r="O302" s="2" t="s">
        <v>45</v>
      </c>
      <c r="P302" s="3">
        <v>350062</v>
      </c>
      <c r="Q302" s="2"/>
      <c r="R302" s="2"/>
      <c r="S302" s="2" t="s">
        <v>28</v>
      </c>
      <c r="T302" s="2">
        <v>64.599999999999994</v>
      </c>
      <c r="U302" s="2" t="s">
        <v>47</v>
      </c>
      <c r="V302" s="2" t="s">
        <v>302</v>
      </c>
      <c r="W302" s="67" t="str">
        <f t="shared" si="24"/>
        <v>-</v>
      </c>
    </row>
    <row r="303" spans="1:23" x14ac:dyDescent="0.3">
      <c r="A303" s="4" t="s">
        <v>1017</v>
      </c>
      <c r="B303" s="4" t="s">
        <v>1018</v>
      </c>
      <c r="C303" s="4">
        <v>9226173057</v>
      </c>
      <c r="D303" s="4" t="s">
        <v>20</v>
      </c>
      <c r="E303" s="4" t="s">
        <v>67</v>
      </c>
      <c r="F303" s="4" t="s">
        <v>80</v>
      </c>
      <c r="G303" s="4" t="s">
        <v>52</v>
      </c>
      <c r="H303" s="4" t="s">
        <v>1015</v>
      </c>
      <c r="I303" s="2" t="str">
        <f t="shared" si="20"/>
        <v>May</v>
      </c>
      <c r="J303" s="2">
        <f t="shared" si="21"/>
        <v>5</v>
      </c>
      <c r="K303" s="2">
        <f t="shared" si="22"/>
        <v>2023</v>
      </c>
      <c r="L303" s="2">
        <f t="shared" si="23"/>
        <v>2</v>
      </c>
      <c r="M303" s="4">
        <v>6</v>
      </c>
      <c r="N303" s="4" t="s">
        <v>929</v>
      </c>
      <c r="O303" s="4" t="s">
        <v>45</v>
      </c>
      <c r="P303" s="5">
        <v>308768</v>
      </c>
      <c r="Q303" s="4"/>
      <c r="R303" s="4"/>
      <c r="S303" s="4" t="s">
        <v>5819</v>
      </c>
      <c r="T303" s="4">
        <v>57.2</v>
      </c>
      <c r="U303" s="4" t="s">
        <v>47</v>
      </c>
      <c r="V303" s="4" t="s">
        <v>137</v>
      </c>
      <c r="W303" s="67" t="str">
        <f t="shared" si="24"/>
        <v>-</v>
      </c>
    </row>
    <row r="304" spans="1:23" x14ac:dyDescent="0.3">
      <c r="A304" s="2" t="s">
        <v>1019</v>
      </c>
      <c r="B304" s="2" t="s">
        <v>1020</v>
      </c>
      <c r="C304" s="2">
        <v>9457455242</v>
      </c>
      <c r="D304" s="2" t="s">
        <v>59</v>
      </c>
      <c r="E304" s="2" t="s">
        <v>109</v>
      </c>
      <c r="F304" s="2" t="s">
        <v>110</v>
      </c>
      <c r="G304" s="2" t="s">
        <v>616</v>
      </c>
      <c r="H304" s="2" t="s">
        <v>1015</v>
      </c>
      <c r="I304" s="2" t="str">
        <f t="shared" si="20"/>
        <v>May</v>
      </c>
      <c r="J304" s="2">
        <f t="shared" si="21"/>
        <v>5</v>
      </c>
      <c r="K304" s="2">
        <f t="shared" si="22"/>
        <v>2023</v>
      </c>
      <c r="L304" s="2">
        <f t="shared" si="23"/>
        <v>2</v>
      </c>
      <c r="M304" s="2">
        <v>10</v>
      </c>
      <c r="N304" s="2" t="s">
        <v>998</v>
      </c>
      <c r="O304" s="2" t="s">
        <v>62</v>
      </c>
      <c r="P304" s="3">
        <v>135722</v>
      </c>
      <c r="Q304" s="2"/>
      <c r="R304" s="2"/>
      <c r="S304" s="2" t="s">
        <v>5819</v>
      </c>
      <c r="T304" s="2">
        <v>35.6</v>
      </c>
      <c r="U304" s="2" t="s">
        <v>47</v>
      </c>
      <c r="V304" s="2" t="s">
        <v>276</v>
      </c>
      <c r="W304" s="67" t="str">
        <f t="shared" si="24"/>
        <v>-</v>
      </c>
    </row>
    <row r="305" spans="1:23" x14ac:dyDescent="0.3">
      <c r="A305" s="4" t="s">
        <v>1021</v>
      </c>
      <c r="B305" s="4" t="s">
        <v>521</v>
      </c>
      <c r="C305" s="4">
        <v>9764789481</v>
      </c>
      <c r="D305" s="4" t="s">
        <v>59</v>
      </c>
      <c r="E305" s="4" t="s">
        <v>41</v>
      </c>
      <c r="F305" s="4" t="s">
        <v>92</v>
      </c>
      <c r="G305" s="4" t="s">
        <v>52</v>
      </c>
      <c r="H305" s="4" t="s">
        <v>1022</v>
      </c>
      <c r="I305" s="2" t="str">
        <f t="shared" si="20"/>
        <v>May</v>
      </c>
      <c r="J305" s="2">
        <f t="shared" si="21"/>
        <v>5</v>
      </c>
      <c r="K305" s="2">
        <f t="shared" si="22"/>
        <v>2023</v>
      </c>
      <c r="L305" s="2">
        <f t="shared" si="23"/>
        <v>2</v>
      </c>
      <c r="M305" s="4">
        <v>0</v>
      </c>
      <c r="N305" s="4" t="s">
        <v>857</v>
      </c>
      <c r="O305" s="4" t="s">
        <v>45</v>
      </c>
      <c r="P305" s="5">
        <v>377958</v>
      </c>
      <c r="Q305" s="4"/>
      <c r="R305" s="4"/>
      <c r="S305" s="4" t="s">
        <v>5819</v>
      </c>
      <c r="T305" s="4">
        <v>65.900000000000006</v>
      </c>
      <c r="U305" s="4" t="s">
        <v>47</v>
      </c>
      <c r="V305" s="4" t="s">
        <v>276</v>
      </c>
      <c r="W305" s="67" t="str">
        <f t="shared" si="24"/>
        <v>-</v>
      </c>
    </row>
    <row r="306" spans="1:23" x14ac:dyDescent="0.3">
      <c r="A306" s="2" t="s">
        <v>1023</v>
      </c>
      <c r="B306" s="2" t="s">
        <v>1024</v>
      </c>
      <c r="C306" s="2">
        <v>9405352880</v>
      </c>
      <c r="D306" s="2" t="s">
        <v>51</v>
      </c>
      <c r="E306" s="2" t="s">
        <v>109</v>
      </c>
      <c r="F306" s="2" t="s">
        <v>217</v>
      </c>
      <c r="G306" s="2" t="s">
        <v>87</v>
      </c>
      <c r="H306" s="2" t="s">
        <v>1022</v>
      </c>
      <c r="I306" s="2" t="str">
        <f t="shared" si="20"/>
        <v>May</v>
      </c>
      <c r="J306" s="2">
        <f t="shared" si="21"/>
        <v>5</v>
      </c>
      <c r="K306" s="2">
        <f t="shared" si="22"/>
        <v>2023</v>
      </c>
      <c r="L306" s="2">
        <f t="shared" si="23"/>
        <v>2</v>
      </c>
      <c r="M306" s="2">
        <v>12</v>
      </c>
      <c r="N306" s="2" t="s">
        <v>1025</v>
      </c>
      <c r="O306" s="2" t="s">
        <v>45</v>
      </c>
      <c r="P306" s="3">
        <v>57058</v>
      </c>
      <c r="Q306" s="2"/>
      <c r="R306" s="2"/>
      <c r="S306" s="2" t="s">
        <v>5819</v>
      </c>
      <c r="T306" s="2">
        <v>29.3</v>
      </c>
      <c r="U306" s="2" t="s">
        <v>63</v>
      </c>
      <c r="V306" s="2" t="s">
        <v>195</v>
      </c>
      <c r="W306" s="67" t="str">
        <f t="shared" si="24"/>
        <v>-</v>
      </c>
    </row>
    <row r="307" spans="1:23" x14ac:dyDescent="0.3">
      <c r="A307" s="6" t="s">
        <v>1026</v>
      </c>
      <c r="B307" s="6" t="s">
        <v>1027</v>
      </c>
      <c r="C307" s="6">
        <v>9346640965</v>
      </c>
      <c r="D307" s="6" t="s">
        <v>59</v>
      </c>
      <c r="E307" s="6" t="s">
        <v>41</v>
      </c>
      <c r="F307" s="6" t="s">
        <v>86</v>
      </c>
      <c r="G307" s="6" t="s">
        <v>23</v>
      </c>
      <c r="H307" s="6" t="s">
        <v>918</v>
      </c>
      <c r="I307" s="2" t="str">
        <f t="shared" si="20"/>
        <v>May</v>
      </c>
      <c r="J307" s="2">
        <f t="shared" si="21"/>
        <v>5</v>
      </c>
      <c r="K307" s="2">
        <f t="shared" si="22"/>
        <v>2023</v>
      </c>
      <c r="L307" s="2">
        <f t="shared" si="23"/>
        <v>2</v>
      </c>
      <c r="M307" s="6">
        <v>9</v>
      </c>
      <c r="N307" s="6" t="s">
        <v>1028</v>
      </c>
      <c r="O307" s="6" t="s">
        <v>97</v>
      </c>
      <c r="P307" s="7">
        <v>431841</v>
      </c>
      <c r="Q307" s="7">
        <v>432328</v>
      </c>
      <c r="R307" s="6" t="s">
        <v>1029</v>
      </c>
      <c r="S307" s="6" t="s">
        <v>28</v>
      </c>
      <c r="T307" s="6">
        <v>19</v>
      </c>
      <c r="U307" s="6" t="s">
        <v>63</v>
      </c>
      <c r="V307" s="6" t="s">
        <v>295</v>
      </c>
      <c r="W307" s="67" t="str">
        <f t="shared" si="24"/>
        <v>Customer</v>
      </c>
    </row>
    <row r="308" spans="1:23" x14ac:dyDescent="0.3">
      <c r="A308" s="2" t="s">
        <v>1030</v>
      </c>
      <c r="B308" s="2" t="s">
        <v>1031</v>
      </c>
      <c r="C308" s="2">
        <v>9246463340</v>
      </c>
      <c r="D308" s="2" t="s">
        <v>20</v>
      </c>
      <c r="E308" s="2" t="s">
        <v>109</v>
      </c>
      <c r="F308" s="2" t="s">
        <v>217</v>
      </c>
      <c r="G308" s="2" t="s">
        <v>52</v>
      </c>
      <c r="H308" s="2" t="s">
        <v>1032</v>
      </c>
      <c r="I308" s="2" t="str">
        <f t="shared" si="20"/>
        <v>May</v>
      </c>
      <c r="J308" s="2">
        <f t="shared" si="21"/>
        <v>5</v>
      </c>
      <c r="K308" s="2">
        <f t="shared" si="22"/>
        <v>2023</v>
      </c>
      <c r="L308" s="2">
        <f t="shared" si="23"/>
        <v>2</v>
      </c>
      <c r="M308" s="2">
        <v>9</v>
      </c>
      <c r="N308" s="2" t="s">
        <v>1033</v>
      </c>
      <c r="O308" s="2" t="s">
        <v>62</v>
      </c>
      <c r="P308" s="3">
        <v>130726</v>
      </c>
      <c r="Q308" s="2"/>
      <c r="R308" s="2"/>
      <c r="S308" s="2" t="s">
        <v>5819</v>
      </c>
      <c r="T308" s="2">
        <v>33.6</v>
      </c>
      <c r="U308" s="2" t="s">
        <v>63</v>
      </c>
      <c r="V308" s="2" t="s">
        <v>668</v>
      </c>
      <c r="W308" s="67" t="str">
        <f t="shared" si="24"/>
        <v>-</v>
      </c>
    </row>
    <row r="309" spans="1:23" x14ac:dyDescent="0.3">
      <c r="A309" s="4" t="s">
        <v>1034</v>
      </c>
      <c r="B309" s="4" t="s">
        <v>1035</v>
      </c>
      <c r="C309" s="4">
        <v>9549968984</v>
      </c>
      <c r="D309" s="4" t="s">
        <v>51</v>
      </c>
      <c r="E309" s="4" t="s">
        <v>109</v>
      </c>
      <c r="F309" s="4" t="s">
        <v>110</v>
      </c>
      <c r="G309" s="4" t="s">
        <v>23</v>
      </c>
      <c r="H309" s="4" t="s">
        <v>912</v>
      </c>
      <c r="I309" s="2" t="str">
        <f t="shared" si="20"/>
        <v>May</v>
      </c>
      <c r="J309" s="2">
        <f t="shared" si="21"/>
        <v>5</v>
      </c>
      <c r="K309" s="2">
        <f t="shared" si="22"/>
        <v>2023</v>
      </c>
      <c r="L309" s="2">
        <f t="shared" si="23"/>
        <v>2</v>
      </c>
      <c r="M309" s="4">
        <v>3</v>
      </c>
      <c r="N309" s="4" t="s">
        <v>968</v>
      </c>
      <c r="O309" s="4" t="s">
        <v>45</v>
      </c>
      <c r="P309" s="5">
        <v>550621</v>
      </c>
      <c r="Q309" s="4"/>
      <c r="R309" s="4"/>
      <c r="S309" s="4" t="s">
        <v>28</v>
      </c>
      <c r="T309" s="4">
        <v>39</v>
      </c>
      <c r="U309" s="4" t="s">
        <v>63</v>
      </c>
      <c r="V309" s="4" t="s">
        <v>260</v>
      </c>
      <c r="W309" s="67" t="str">
        <f t="shared" si="24"/>
        <v>-</v>
      </c>
    </row>
    <row r="310" spans="1:23" x14ac:dyDescent="0.3">
      <c r="A310" s="2" t="s">
        <v>1036</v>
      </c>
      <c r="B310" s="2" t="s">
        <v>1037</v>
      </c>
      <c r="C310" s="2">
        <v>9117104881</v>
      </c>
      <c r="D310" s="2" t="s">
        <v>108</v>
      </c>
      <c r="E310" s="2" t="s">
        <v>641</v>
      </c>
      <c r="F310" s="2" t="s">
        <v>727</v>
      </c>
      <c r="G310" s="2" t="s">
        <v>23</v>
      </c>
      <c r="H310" s="2" t="s">
        <v>1038</v>
      </c>
      <c r="I310" s="2" t="str">
        <f t="shared" si="20"/>
        <v>May</v>
      </c>
      <c r="J310" s="2">
        <f t="shared" si="21"/>
        <v>5</v>
      </c>
      <c r="K310" s="2">
        <f t="shared" si="22"/>
        <v>2023</v>
      </c>
      <c r="L310" s="2">
        <f t="shared" si="23"/>
        <v>2</v>
      </c>
      <c r="M310" s="2">
        <v>2</v>
      </c>
      <c r="N310" s="2" t="s">
        <v>1040</v>
      </c>
      <c r="O310" s="2" t="s">
        <v>27</v>
      </c>
      <c r="P310" s="3">
        <v>377347</v>
      </c>
      <c r="Q310" s="2"/>
      <c r="R310" s="2"/>
      <c r="S310" s="2" t="s">
        <v>5819</v>
      </c>
      <c r="T310" s="2">
        <v>31.7</v>
      </c>
      <c r="U310" s="2" t="s">
        <v>29</v>
      </c>
      <c r="V310" s="2" t="s">
        <v>153</v>
      </c>
      <c r="W310" s="67" t="str">
        <f t="shared" si="24"/>
        <v>-</v>
      </c>
    </row>
    <row r="311" spans="1:23" x14ac:dyDescent="0.3">
      <c r="A311" s="4" t="s">
        <v>1041</v>
      </c>
      <c r="B311" s="4" t="s">
        <v>1042</v>
      </c>
      <c r="C311" s="4">
        <v>9220285474</v>
      </c>
      <c r="D311" s="4" t="s">
        <v>59</v>
      </c>
      <c r="E311" s="4" t="s">
        <v>41</v>
      </c>
      <c r="F311" s="4" t="s">
        <v>42</v>
      </c>
      <c r="G311" s="4" t="s">
        <v>52</v>
      </c>
      <c r="H311" s="4" t="s">
        <v>1039</v>
      </c>
      <c r="I311" s="2" t="str">
        <f t="shared" si="20"/>
        <v>May</v>
      </c>
      <c r="J311" s="2">
        <f t="shared" si="21"/>
        <v>5</v>
      </c>
      <c r="K311" s="2">
        <f t="shared" si="22"/>
        <v>2023</v>
      </c>
      <c r="L311" s="2">
        <f t="shared" si="23"/>
        <v>2</v>
      </c>
      <c r="M311" s="4">
        <v>4</v>
      </c>
      <c r="N311" s="4" t="s">
        <v>998</v>
      </c>
      <c r="O311" s="4" t="s">
        <v>45</v>
      </c>
      <c r="P311" s="5">
        <v>233604</v>
      </c>
      <c r="Q311" s="4"/>
      <c r="R311" s="4"/>
      <c r="S311" s="4" t="s">
        <v>5819</v>
      </c>
      <c r="T311" s="4">
        <v>9.5</v>
      </c>
      <c r="U311" s="4" t="s">
        <v>47</v>
      </c>
      <c r="V311" s="4" t="s">
        <v>48</v>
      </c>
      <c r="W311" s="67" t="str">
        <f t="shared" si="24"/>
        <v>-</v>
      </c>
    </row>
    <row r="312" spans="1:23" x14ac:dyDescent="0.3">
      <c r="A312" s="2" t="s">
        <v>1043</v>
      </c>
      <c r="B312" s="2" t="s">
        <v>1044</v>
      </c>
      <c r="C312" s="2">
        <v>9469202923</v>
      </c>
      <c r="D312" s="2" t="s">
        <v>51</v>
      </c>
      <c r="E312" s="2" t="s">
        <v>641</v>
      </c>
      <c r="F312" s="2" t="s">
        <v>681</v>
      </c>
      <c r="G312" s="2" t="s">
        <v>643</v>
      </c>
      <c r="H312" s="2" t="s">
        <v>1039</v>
      </c>
      <c r="I312" s="2" t="str">
        <f t="shared" si="20"/>
        <v>May</v>
      </c>
      <c r="J312" s="2">
        <f t="shared" si="21"/>
        <v>5</v>
      </c>
      <c r="K312" s="2">
        <f t="shared" si="22"/>
        <v>2023</v>
      </c>
      <c r="L312" s="2">
        <f t="shared" si="23"/>
        <v>2</v>
      </c>
      <c r="M312" s="2">
        <v>2</v>
      </c>
      <c r="N312" s="2" t="s">
        <v>998</v>
      </c>
      <c r="O312" s="2" t="s">
        <v>27</v>
      </c>
      <c r="P312" s="3">
        <v>997698</v>
      </c>
      <c r="Q312" s="2"/>
      <c r="R312" s="2"/>
      <c r="S312" s="2" t="s">
        <v>5819</v>
      </c>
      <c r="T312" s="2">
        <v>34</v>
      </c>
      <c r="U312" s="2" t="s">
        <v>29</v>
      </c>
      <c r="V312" s="2" t="s">
        <v>163</v>
      </c>
      <c r="W312" s="67" t="str">
        <f t="shared" si="24"/>
        <v>-</v>
      </c>
    </row>
    <row r="313" spans="1:23" x14ac:dyDescent="0.3">
      <c r="A313" s="4" t="s">
        <v>1045</v>
      </c>
      <c r="B313" s="4" t="s">
        <v>327</v>
      </c>
      <c r="C313" s="4">
        <v>9913413214</v>
      </c>
      <c r="D313" s="4" t="s">
        <v>20</v>
      </c>
      <c r="E313" s="4" t="s">
        <v>641</v>
      </c>
      <c r="F313" s="4" t="s">
        <v>727</v>
      </c>
      <c r="G313" s="4" t="s">
        <v>643</v>
      </c>
      <c r="H313" s="4" t="s">
        <v>1039</v>
      </c>
      <c r="I313" s="2" t="str">
        <f t="shared" si="20"/>
        <v>May</v>
      </c>
      <c r="J313" s="2">
        <f t="shared" si="21"/>
        <v>5</v>
      </c>
      <c r="K313" s="2">
        <f t="shared" si="22"/>
        <v>2023</v>
      </c>
      <c r="L313" s="2">
        <f t="shared" si="23"/>
        <v>2</v>
      </c>
      <c r="M313" s="4">
        <v>9</v>
      </c>
      <c r="N313" s="4" t="s">
        <v>1046</v>
      </c>
      <c r="O313" s="4" t="s">
        <v>27</v>
      </c>
      <c r="P313" s="5">
        <v>788125</v>
      </c>
      <c r="Q313" s="4"/>
      <c r="R313" s="4"/>
      <c r="S313" s="4" t="s">
        <v>28</v>
      </c>
      <c r="T313" s="4">
        <v>57.9</v>
      </c>
      <c r="U313" s="4" t="s">
        <v>29</v>
      </c>
      <c r="V313" s="4"/>
      <c r="W313" s="67" t="str">
        <f t="shared" si="24"/>
        <v>-</v>
      </c>
    </row>
    <row r="314" spans="1:23" x14ac:dyDescent="0.3">
      <c r="A314" s="2" t="s">
        <v>1047</v>
      </c>
      <c r="B314" s="2" t="s">
        <v>1048</v>
      </c>
      <c r="C314" s="2">
        <v>9411199562</v>
      </c>
      <c r="D314" s="2" t="s">
        <v>20</v>
      </c>
      <c r="E314" s="2" t="s">
        <v>41</v>
      </c>
      <c r="F314" s="2" t="s">
        <v>151</v>
      </c>
      <c r="G314" s="2" t="s">
        <v>616</v>
      </c>
      <c r="H314" s="2" t="s">
        <v>1049</v>
      </c>
      <c r="I314" s="2" t="str">
        <f t="shared" si="20"/>
        <v>May</v>
      </c>
      <c r="J314" s="2">
        <f t="shared" si="21"/>
        <v>5</v>
      </c>
      <c r="K314" s="2">
        <f t="shared" si="22"/>
        <v>2023</v>
      </c>
      <c r="L314" s="2">
        <f t="shared" si="23"/>
        <v>2</v>
      </c>
      <c r="M314" s="2">
        <v>10</v>
      </c>
      <c r="N314" s="2" t="s">
        <v>1051</v>
      </c>
      <c r="O314" s="2" t="s">
        <v>55</v>
      </c>
      <c r="P314" s="3">
        <v>138691</v>
      </c>
      <c r="Q314" s="2"/>
      <c r="R314" s="2"/>
      <c r="S314" s="2" t="s">
        <v>28</v>
      </c>
      <c r="T314" s="2">
        <v>70.3</v>
      </c>
      <c r="U314" s="2" t="s">
        <v>29</v>
      </c>
      <c r="V314" s="2" t="s">
        <v>247</v>
      </c>
      <c r="W314" s="67" t="str">
        <f t="shared" si="24"/>
        <v>-</v>
      </c>
    </row>
    <row r="315" spans="1:23" x14ac:dyDescent="0.3">
      <c r="A315" s="4" t="s">
        <v>1052</v>
      </c>
      <c r="B315" s="4" t="s">
        <v>132</v>
      </c>
      <c r="C315" s="4">
        <v>9555086354</v>
      </c>
      <c r="D315" s="4" t="s">
        <v>20</v>
      </c>
      <c r="E315" s="4" t="s">
        <v>67</v>
      </c>
      <c r="F315" s="4" t="s">
        <v>68</v>
      </c>
      <c r="G315" s="4" t="s">
        <v>60</v>
      </c>
      <c r="H315" s="4" t="s">
        <v>1050</v>
      </c>
      <c r="I315" s="2" t="str">
        <f t="shared" si="20"/>
        <v>Jun</v>
      </c>
      <c r="J315" s="2">
        <f t="shared" si="21"/>
        <v>6</v>
      </c>
      <c r="K315" s="2">
        <f t="shared" si="22"/>
        <v>2023</v>
      </c>
      <c r="L315" s="2">
        <f t="shared" si="23"/>
        <v>2</v>
      </c>
      <c r="M315" s="4">
        <v>12</v>
      </c>
      <c r="N315" s="4" t="s">
        <v>1053</v>
      </c>
      <c r="O315" s="4" t="s">
        <v>27</v>
      </c>
      <c r="P315" s="5">
        <v>182909</v>
      </c>
      <c r="Q315" s="4"/>
      <c r="R315" s="4"/>
      <c r="S315" s="4" t="s">
        <v>28</v>
      </c>
      <c r="T315" s="4">
        <v>34.200000000000003</v>
      </c>
      <c r="U315" s="4" t="s">
        <v>29</v>
      </c>
      <c r="V315" s="4" t="s">
        <v>153</v>
      </c>
      <c r="W315" s="67" t="str">
        <f t="shared" si="24"/>
        <v>-</v>
      </c>
    </row>
    <row r="316" spans="1:23" x14ac:dyDescent="0.3">
      <c r="A316" s="6" t="s">
        <v>1054</v>
      </c>
      <c r="B316" s="6" t="s">
        <v>1055</v>
      </c>
      <c r="C316" s="6">
        <v>9473486641</v>
      </c>
      <c r="D316" s="6" t="s">
        <v>59</v>
      </c>
      <c r="E316" s="6" t="s">
        <v>33</v>
      </c>
      <c r="F316" s="6" t="s">
        <v>102</v>
      </c>
      <c r="G316" s="6" t="s">
        <v>52</v>
      </c>
      <c r="H316" s="6" t="s">
        <v>1056</v>
      </c>
      <c r="I316" s="2" t="str">
        <f t="shared" si="20"/>
        <v>Jun</v>
      </c>
      <c r="J316" s="2">
        <f t="shared" si="21"/>
        <v>6</v>
      </c>
      <c r="K316" s="2">
        <f t="shared" si="22"/>
        <v>2023</v>
      </c>
      <c r="L316" s="2">
        <f t="shared" si="23"/>
        <v>2</v>
      </c>
      <c r="M316" s="6">
        <v>2</v>
      </c>
      <c r="N316" s="6" t="s">
        <v>957</v>
      </c>
      <c r="O316" s="6" t="s">
        <v>97</v>
      </c>
      <c r="P316" s="7">
        <v>415463</v>
      </c>
      <c r="Q316" s="7">
        <v>378393</v>
      </c>
      <c r="R316" s="6" t="s">
        <v>963</v>
      </c>
      <c r="S316" s="6" t="s">
        <v>28</v>
      </c>
      <c r="T316" s="6">
        <v>44</v>
      </c>
      <c r="U316" s="6" t="s">
        <v>63</v>
      </c>
      <c r="V316" s="6" t="s">
        <v>483</v>
      </c>
      <c r="W316" s="67" t="str">
        <f t="shared" si="24"/>
        <v>Customer</v>
      </c>
    </row>
    <row r="317" spans="1:23" x14ac:dyDescent="0.3">
      <c r="A317" s="4" t="s">
        <v>1057</v>
      </c>
      <c r="B317" s="4" t="s">
        <v>1058</v>
      </c>
      <c r="C317" s="4">
        <v>9742916320</v>
      </c>
      <c r="D317" s="4" t="s">
        <v>59</v>
      </c>
      <c r="E317" s="4" t="s">
        <v>67</v>
      </c>
      <c r="F317" s="4" t="s">
        <v>68</v>
      </c>
      <c r="G317" s="4" t="s">
        <v>60</v>
      </c>
      <c r="H317" s="4" t="s">
        <v>1056</v>
      </c>
      <c r="I317" s="2" t="str">
        <f t="shared" si="20"/>
        <v>Jun</v>
      </c>
      <c r="J317" s="2">
        <f t="shared" si="21"/>
        <v>6</v>
      </c>
      <c r="K317" s="2">
        <f t="shared" si="22"/>
        <v>2023</v>
      </c>
      <c r="L317" s="2">
        <f t="shared" si="23"/>
        <v>2</v>
      </c>
      <c r="M317" s="4">
        <v>3</v>
      </c>
      <c r="N317" s="4" t="s">
        <v>1059</v>
      </c>
      <c r="O317" s="4" t="s">
        <v>45</v>
      </c>
      <c r="P317" s="5">
        <v>183169</v>
      </c>
      <c r="Q317" s="4"/>
      <c r="R317" s="4"/>
      <c r="S317" s="4" t="s">
        <v>28</v>
      </c>
      <c r="T317" s="4">
        <v>67.7</v>
      </c>
      <c r="U317" s="4" t="s">
        <v>47</v>
      </c>
      <c r="V317" s="4" t="s">
        <v>183</v>
      </c>
      <c r="W317" s="67" t="str">
        <f t="shared" si="24"/>
        <v>-</v>
      </c>
    </row>
    <row r="318" spans="1:23" x14ac:dyDescent="0.3">
      <c r="A318" s="2" t="s">
        <v>1060</v>
      </c>
      <c r="B318" s="2" t="s">
        <v>1061</v>
      </c>
      <c r="C318" s="2">
        <v>9378675934</v>
      </c>
      <c r="D318" s="2" t="s">
        <v>51</v>
      </c>
      <c r="E318" s="2" t="s">
        <v>41</v>
      </c>
      <c r="F318" s="2" t="s">
        <v>86</v>
      </c>
      <c r="G318" s="2" t="s">
        <v>616</v>
      </c>
      <c r="H318" s="2" t="s">
        <v>975</v>
      </c>
      <c r="I318" s="2" t="str">
        <f t="shared" si="20"/>
        <v>Jun</v>
      </c>
      <c r="J318" s="2">
        <f t="shared" si="21"/>
        <v>6</v>
      </c>
      <c r="K318" s="2">
        <f t="shared" si="22"/>
        <v>2023</v>
      </c>
      <c r="L318" s="2">
        <f t="shared" si="23"/>
        <v>2</v>
      </c>
      <c r="M318" s="2">
        <v>5</v>
      </c>
      <c r="N318" s="2" t="s">
        <v>1062</v>
      </c>
      <c r="O318" s="2" t="s">
        <v>45</v>
      </c>
      <c r="P318" s="3">
        <v>186879</v>
      </c>
      <c r="Q318" s="2"/>
      <c r="R318" s="2"/>
      <c r="S318" s="2" t="s">
        <v>1063</v>
      </c>
      <c r="T318" s="2">
        <v>36.4</v>
      </c>
      <c r="U318" s="2" t="s">
        <v>47</v>
      </c>
      <c r="V318" s="2" t="s">
        <v>256</v>
      </c>
      <c r="W318" s="67" t="str">
        <f t="shared" si="24"/>
        <v>-</v>
      </c>
    </row>
    <row r="319" spans="1:23" x14ac:dyDescent="0.3">
      <c r="A319" s="4" t="s">
        <v>1064</v>
      </c>
      <c r="B319" s="4" t="s">
        <v>1065</v>
      </c>
      <c r="C319" s="4">
        <v>9145652216</v>
      </c>
      <c r="D319" s="4" t="s">
        <v>59</v>
      </c>
      <c r="E319" s="4" t="s">
        <v>67</v>
      </c>
      <c r="F319" s="4" t="s">
        <v>80</v>
      </c>
      <c r="G319" s="4" t="s">
        <v>23</v>
      </c>
      <c r="H319" s="4" t="s">
        <v>1009</v>
      </c>
      <c r="I319" s="2" t="str">
        <f t="shared" si="20"/>
        <v>Jun</v>
      </c>
      <c r="J319" s="2">
        <f t="shared" si="21"/>
        <v>6</v>
      </c>
      <c r="K319" s="2">
        <f t="shared" si="22"/>
        <v>2023</v>
      </c>
      <c r="L319" s="2">
        <f t="shared" si="23"/>
        <v>2</v>
      </c>
      <c r="M319" s="4">
        <v>1</v>
      </c>
      <c r="N319" s="4" t="s">
        <v>988</v>
      </c>
      <c r="O319" s="4" t="s">
        <v>45</v>
      </c>
      <c r="P319" s="5">
        <v>701175</v>
      </c>
      <c r="Q319" s="4"/>
      <c r="R319" s="4"/>
      <c r="S319" s="4" t="s">
        <v>28</v>
      </c>
      <c r="T319" s="4">
        <v>32.9</v>
      </c>
      <c r="U319" s="4" t="s">
        <v>29</v>
      </c>
      <c r="V319" s="4" t="s">
        <v>206</v>
      </c>
      <c r="W319" s="67" t="str">
        <f t="shared" si="24"/>
        <v>-</v>
      </c>
    </row>
    <row r="320" spans="1:23" x14ac:dyDescent="0.3">
      <c r="A320" s="2" t="s">
        <v>1066</v>
      </c>
      <c r="B320" s="2" t="s">
        <v>485</v>
      </c>
      <c r="C320" s="2">
        <v>9737426805</v>
      </c>
      <c r="D320" s="2" t="s">
        <v>59</v>
      </c>
      <c r="E320" s="2" t="s">
        <v>641</v>
      </c>
      <c r="F320" s="2" t="s">
        <v>717</v>
      </c>
      <c r="G320" s="2" t="s">
        <v>52</v>
      </c>
      <c r="H320" s="2" t="s">
        <v>1009</v>
      </c>
      <c r="I320" s="2" t="str">
        <f t="shared" si="20"/>
        <v>Jun</v>
      </c>
      <c r="J320" s="2">
        <f t="shared" si="21"/>
        <v>6</v>
      </c>
      <c r="K320" s="2">
        <f t="shared" si="22"/>
        <v>2023</v>
      </c>
      <c r="L320" s="2">
        <f t="shared" si="23"/>
        <v>2</v>
      </c>
      <c r="M320" s="2">
        <v>6</v>
      </c>
      <c r="N320" s="2" t="s">
        <v>1067</v>
      </c>
      <c r="O320" s="2" t="s">
        <v>27</v>
      </c>
      <c r="P320" s="3">
        <v>366289</v>
      </c>
      <c r="Q320" s="2"/>
      <c r="R320" s="2"/>
      <c r="S320" s="2" t="s">
        <v>28</v>
      </c>
      <c r="T320" s="2">
        <v>31.5</v>
      </c>
      <c r="U320" s="2" t="s">
        <v>29</v>
      </c>
      <c r="V320" s="2" t="s">
        <v>153</v>
      </c>
      <c r="W320" s="67" t="str">
        <f t="shared" si="24"/>
        <v>-</v>
      </c>
    </row>
    <row r="321" spans="1:23" x14ac:dyDescent="0.3">
      <c r="A321" s="6" t="s">
        <v>1068</v>
      </c>
      <c r="B321" s="6" t="s">
        <v>1069</v>
      </c>
      <c r="C321" s="6">
        <v>9247024288</v>
      </c>
      <c r="D321" s="6" t="s">
        <v>20</v>
      </c>
      <c r="E321" s="6" t="s">
        <v>109</v>
      </c>
      <c r="F321" s="6" t="s">
        <v>217</v>
      </c>
      <c r="G321" s="6" t="s">
        <v>69</v>
      </c>
      <c r="H321" s="6" t="s">
        <v>1016</v>
      </c>
      <c r="I321" s="2" t="str">
        <f t="shared" si="20"/>
        <v>Jun</v>
      </c>
      <c r="J321" s="2">
        <f t="shared" si="21"/>
        <v>6</v>
      </c>
      <c r="K321" s="2">
        <f t="shared" si="22"/>
        <v>2023</v>
      </c>
      <c r="L321" s="2">
        <f t="shared" si="23"/>
        <v>2</v>
      </c>
      <c r="M321" s="6">
        <v>6</v>
      </c>
      <c r="N321" s="6" t="s">
        <v>1070</v>
      </c>
      <c r="O321" s="6" t="s">
        <v>97</v>
      </c>
      <c r="P321" s="7">
        <v>316450</v>
      </c>
      <c r="Q321" s="7">
        <v>290035</v>
      </c>
      <c r="R321" s="6" t="s">
        <v>1071</v>
      </c>
      <c r="S321" s="6" t="s">
        <v>5819</v>
      </c>
      <c r="T321" s="6">
        <v>31.8</v>
      </c>
      <c r="U321" s="6" t="s">
        <v>63</v>
      </c>
      <c r="V321" s="6" t="s">
        <v>295</v>
      </c>
      <c r="W321" s="67" t="str">
        <f t="shared" si="24"/>
        <v>Customer</v>
      </c>
    </row>
    <row r="322" spans="1:23" x14ac:dyDescent="0.3">
      <c r="A322" s="2" t="s">
        <v>1072</v>
      </c>
      <c r="B322" s="2" t="s">
        <v>1073</v>
      </c>
      <c r="C322" s="2">
        <v>9698216060</v>
      </c>
      <c r="D322" s="2" t="s">
        <v>51</v>
      </c>
      <c r="E322" s="2" t="s">
        <v>109</v>
      </c>
      <c r="F322" s="2" t="s">
        <v>110</v>
      </c>
      <c r="G322" s="2" t="s">
        <v>87</v>
      </c>
      <c r="H322" s="2" t="s">
        <v>1040</v>
      </c>
      <c r="I322" s="2" t="str">
        <f t="shared" ref="I322:I385" si="25">TEXT(H322,"mmm")</f>
        <v>Jun</v>
      </c>
      <c r="J322" s="2">
        <f t="shared" ref="J322:J385" si="26">MONTH(H322)</f>
        <v>6</v>
      </c>
      <c r="K322" s="2">
        <f t="shared" ref="K322:K385" si="27">YEAR(H322)</f>
        <v>2023</v>
      </c>
      <c r="L322" s="2">
        <f t="shared" ref="L322:L385" si="28">ROUNDUP(MONTH(H322)/3,0)</f>
        <v>2</v>
      </c>
      <c r="M322" s="2">
        <v>2</v>
      </c>
      <c r="N322" s="2" t="s">
        <v>1070</v>
      </c>
      <c r="O322" s="2" t="s">
        <v>45</v>
      </c>
      <c r="P322" s="3">
        <v>242762</v>
      </c>
      <c r="Q322" s="2"/>
      <c r="R322" s="2"/>
      <c r="S322" s="2" t="s">
        <v>5819</v>
      </c>
      <c r="T322" s="2">
        <v>35.700000000000003</v>
      </c>
      <c r="U322" s="2" t="s">
        <v>63</v>
      </c>
      <c r="V322" s="2" t="s">
        <v>678</v>
      </c>
      <c r="W322" s="67" t="str">
        <f t="shared" ref="W322:W385" si="29">IF($O322&lt;&gt;"Converted","-",IF(ISNUMBER(SEARCH("Architect",$F322)),"Architect","Customer"))</f>
        <v>-</v>
      </c>
    </row>
    <row r="323" spans="1:23" x14ac:dyDescent="0.3">
      <c r="A323" s="4" t="s">
        <v>1075</v>
      </c>
      <c r="B323" s="4" t="s">
        <v>1076</v>
      </c>
      <c r="C323" s="4">
        <v>9173259976</v>
      </c>
      <c r="D323" s="4" t="s">
        <v>20</v>
      </c>
      <c r="E323" s="4" t="s">
        <v>41</v>
      </c>
      <c r="F323" s="4" t="s">
        <v>151</v>
      </c>
      <c r="G323" s="4" t="s">
        <v>52</v>
      </c>
      <c r="H323" s="4" t="s">
        <v>1074</v>
      </c>
      <c r="I323" s="2" t="str">
        <f t="shared" si="25"/>
        <v>Jun</v>
      </c>
      <c r="J323" s="2">
        <f t="shared" si="26"/>
        <v>6</v>
      </c>
      <c r="K323" s="2">
        <f t="shared" si="27"/>
        <v>2023</v>
      </c>
      <c r="L323" s="2">
        <f t="shared" si="28"/>
        <v>2</v>
      </c>
      <c r="M323" s="4">
        <v>0</v>
      </c>
      <c r="N323" s="4" t="s">
        <v>957</v>
      </c>
      <c r="O323" s="4" t="s">
        <v>62</v>
      </c>
      <c r="P323" s="5">
        <v>199462</v>
      </c>
      <c r="Q323" s="4"/>
      <c r="R323" s="4"/>
      <c r="S323" s="4" t="s">
        <v>28</v>
      </c>
      <c r="T323" s="4">
        <v>46.7</v>
      </c>
      <c r="U323" s="4" t="s">
        <v>47</v>
      </c>
      <c r="V323" s="4"/>
      <c r="W323" s="67" t="str">
        <f t="shared" si="29"/>
        <v>-</v>
      </c>
    </row>
    <row r="324" spans="1:23" x14ac:dyDescent="0.3">
      <c r="A324" s="2" t="s">
        <v>1077</v>
      </c>
      <c r="B324" s="2" t="s">
        <v>1078</v>
      </c>
      <c r="C324" s="2">
        <v>9493486679</v>
      </c>
      <c r="D324" s="2" t="s">
        <v>20</v>
      </c>
      <c r="E324" s="2" t="s">
        <v>648</v>
      </c>
      <c r="F324" s="2" t="s">
        <v>649</v>
      </c>
      <c r="G324" s="2" t="s">
        <v>23</v>
      </c>
      <c r="H324" s="2" t="s">
        <v>957</v>
      </c>
      <c r="I324" s="2" t="str">
        <f t="shared" si="25"/>
        <v>Jun</v>
      </c>
      <c r="J324" s="2">
        <f t="shared" si="26"/>
        <v>6</v>
      </c>
      <c r="K324" s="2">
        <f t="shared" si="27"/>
        <v>2023</v>
      </c>
      <c r="L324" s="2">
        <f t="shared" si="28"/>
        <v>2</v>
      </c>
      <c r="M324" s="2">
        <v>3</v>
      </c>
      <c r="N324" s="2" t="s">
        <v>1033</v>
      </c>
      <c r="O324" s="2" t="s">
        <v>45</v>
      </c>
      <c r="P324" s="3">
        <v>447436</v>
      </c>
      <c r="Q324" s="2"/>
      <c r="R324" s="2"/>
      <c r="S324" s="2" t="s">
        <v>1063</v>
      </c>
      <c r="T324" s="2">
        <v>70.2</v>
      </c>
      <c r="U324" s="2" t="s">
        <v>47</v>
      </c>
      <c r="V324" s="2" t="s">
        <v>597</v>
      </c>
      <c r="W324" s="67" t="str">
        <f t="shared" si="29"/>
        <v>-</v>
      </c>
    </row>
    <row r="325" spans="1:23" x14ac:dyDescent="0.3">
      <c r="A325" s="4" t="s">
        <v>1079</v>
      </c>
      <c r="B325" s="4" t="s">
        <v>1080</v>
      </c>
      <c r="C325" s="4">
        <v>9821657025</v>
      </c>
      <c r="D325" s="4" t="s">
        <v>51</v>
      </c>
      <c r="E325" s="4" t="s">
        <v>641</v>
      </c>
      <c r="F325" s="4" t="s">
        <v>727</v>
      </c>
      <c r="G325" s="4" t="s">
        <v>52</v>
      </c>
      <c r="H325" s="4" t="s">
        <v>1002</v>
      </c>
      <c r="I325" s="2" t="str">
        <f t="shared" si="25"/>
        <v>Jun</v>
      </c>
      <c r="J325" s="2">
        <f t="shared" si="26"/>
        <v>6</v>
      </c>
      <c r="K325" s="2">
        <f t="shared" si="27"/>
        <v>2023</v>
      </c>
      <c r="L325" s="2">
        <f t="shared" si="28"/>
        <v>2</v>
      </c>
      <c r="M325" s="4">
        <v>10</v>
      </c>
      <c r="N325" s="4" t="s">
        <v>1051</v>
      </c>
      <c r="O325" s="4" t="s">
        <v>27</v>
      </c>
      <c r="P325" s="5">
        <v>406074</v>
      </c>
      <c r="Q325" s="4"/>
      <c r="R325" s="4"/>
      <c r="S325" s="4" t="s">
        <v>1063</v>
      </c>
      <c r="T325" s="4">
        <v>62.3</v>
      </c>
      <c r="U325" s="4" t="s">
        <v>29</v>
      </c>
      <c r="V325" s="4"/>
      <c r="W325" s="67" t="str">
        <f t="shared" si="29"/>
        <v>-</v>
      </c>
    </row>
    <row r="326" spans="1:23" x14ac:dyDescent="0.3">
      <c r="A326" s="2" t="s">
        <v>1082</v>
      </c>
      <c r="B326" s="2" t="s">
        <v>1083</v>
      </c>
      <c r="C326" s="2">
        <v>9741720343</v>
      </c>
      <c r="D326" s="2" t="s">
        <v>59</v>
      </c>
      <c r="E326" s="2" t="s">
        <v>41</v>
      </c>
      <c r="F326" s="2" t="s">
        <v>92</v>
      </c>
      <c r="G326" s="2" t="s">
        <v>643</v>
      </c>
      <c r="H326" s="2" t="s">
        <v>1081</v>
      </c>
      <c r="I326" s="2" t="str">
        <f t="shared" si="25"/>
        <v>Jun</v>
      </c>
      <c r="J326" s="2">
        <f t="shared" si="26"/>
        <v>6</v>
      </c>
      <c r="K326" s="2">
        <f t="shared" si="27"/>
        <v>2023</v>
      </c>
      <c r="L326" s="2">
        <f t="shared" si="28"/>
        <v>2</v>
      </c>
      <c r="M326" s="2">
        <v>11</v>
      </c>
      <c r="N326" s="2" t="s">
        <v>1084</v>
      </c>
      <c r="O326" s="2" t="s">
        <v>27</v>
      </c>
      <c r="P326" s="3">
        <v>840794</v>
      </c>
      <c r="Q326" s="2"/>
      <c r="R326" s="2"/>
      <c r="S326" s="2" t="s">
        <v>1063</v>
      </c>
      <c r="T326" s="2">
        <v>36.6</v>
      </c>
      <c r="U326" s="2" t="s">
        <v>29</v>
      </c>
      <c r="V326" s="2" t="s">
        <v>123</v>
      </c>
      <c r="W326" s="67" t="str">
        <f t="shared" si="29"/>
        <v>-</v>
      </c>
    </row>
    <row r="327" spans="1:23" x14ac:dyDescent="0.3">
      <c r="A327" s="6" t="s">
        <v>1085</v>
      </c>
      <c r="B327" s="6" t="s">
        <v>1086</v>
      </c>
      <c r="C327" s="6">
        <v>9992895309</v>
      </c>
      <c r="D327" s="6" t="s">
        <v>121</v>
      </c>
      <c r="E327" s="6" t="s">
        <v>73</v>
      </c>
      <c r="F327" s="6" t="s">
        <v>126</v>
      </c>
      <c r="G327" s="6" t="s">
        <v>52</v>
      </c>
      <c r="H327" s="6" t="s">
        <v>1046</v>
      </c>
      <c r="I327" s="2" t="str">
        <f t="shared" si="25"/>
        <v>Jun</v>
      </c>
      <c r="J327" s="2">
        <f t="shared" si="26"/>
        <v>6</v>
      </c>
      <c r="K327" s="2">
        <f t="shared" si="27"/>
        <v>2023</v>
      </c>
      <c r="L327" s="2">
        <f t="shared" si="28"/>
        <v>2</v>
      </c>
      <c r="M327" s="6">
        <v>6</v>
      </c>
      <c r="N327" s="6" t="s">
        <v>1087</v>
      </c>
      <c r="O327" s="6" t="s">
        <v>97</v>
      </c>
      <c r="P327" s="7">
        <v>481815</v>
      </c>
      <c r="Q327" s="7">
        <v>451836</v>
      </c>
      <c r="R327" s="6" t="s">
        <v>1088</v>
      </c>
      <c r="S327" s="6" t="s">
        <v>28</v>
      </c>
      <c r="T327" s="6">
        <v>29.4</v>
      </c>
      <c r="U327" s="6" t="s">
        <v>63</v>
      </c>
      <c r="V327" s="6" t="s">
        <v>113</v>
      </c>
      <c r="W327" s="67" t="str">
        <f t="shared" si="29"/>
        <v>Customer</v>
      </c>
    </row>
    <row r="328" spans="1:23" x14ac:dyDescent="0.3">
      <c r="A328" s="2" t="s">
        <v>1089</v>
      </c>
      <c r="B328" s="2" t="s">
        <v>1090</v>
      </c>
      <c r="C328" s="2">
        <v>9628159105</v>
      </c>
      <c r="D328" s="2" t="s">
        <v>121</v>
      </c>
      <c r="E328" s="2" t="s">
        <v>41</v>
      </c>
      <c r="F328" s="2" t="s">
        <v>42</v>
      </c>
      <c r="G328" s="2" t="s">
        <v>52</v>
      </c>
      <c r="H328" s="2" t="s">
        <v>1091</v>
      </c>
      <c r="I328" s="2" t="str">
        <f t="shared" si="25"/>
        <v>Jun</v>
      </c>
      <c r="J328" s="2">
        <f t="shared" si="26"/>
        <v>6</v>
      </c>
      <c r="K328" s="2">
        <f t="shared" si="27"/>
        <v>2023</v>
      </c>
      <c r="L328" s="2">
        <f t="shared" si="28"/>
        <v>2</v>
      </c>
      <c r="M328" s="2">
        <v>1</v>
      </c>
      <c r="N328" s="2" t="s">
        <v>1092</v>
      </c>
      <c r="O328" s="2" t="s">
        <v>45</v>
      </c>
      <c r="P328" s="3">
        <v>374103</v>
      </c>
      <c r="Q328" s="2"/>
      <c r="R328" s="2"/>
      <c r="S328" s="2" t="s">
        <v>28</v>
      </c>
      <c r="T328" s="2">
        <v>21.9</v>
      </c>
      <c r="U328" s="2" t="s">
        <v>63</v>
      </c>
      <c r="V328" s="2" t="s">
        <v>535</v>
      </c>
      <c r="W328" s="67" t="str">
        <f t="shared" si="29"/>
        <v>-</v>
      </c>
    </row>
    <row r="329" spans="1:23" x14ac:dyDescent="0.3">
      <c r="A329" s="6" t="s">
        <v>1093</v>
      </c>
      <c r="B329" s="6" t="s">
        <v>859</v>
      </c>
      <c r="C329" s="6">
        <v>9983901883</v>
      </c>
      <c r="D329" s="6" t="s">
        <v>51</v>
      </c>
      <c r="E329" s="6" t="s">
        <v>109</v>
      </c>
      <c r="F329" s="6" t="s">
        <v>217</v>
      </c>
      <c r="G329" s="6" t="s">
        <v>52</v>
      </c>
      <c r="H329" s="6" t="s">
        <v>1094</v>
      </c>
      <c r="I329" s="2" t="str">
        <f t="shared" si="25"/>
        <v>Jul</v>
      </c>
      <c r="J329" s="2">
        <f t="shared" si="26"/>
        <v>7</v>
      </c>
      <c r="K329" s="2">
        <f t="shared" si="27"/>
        <v>2023</v>
      </c>
      <c r="L329" s="2">
        <f t="shared" si="28"/>
        <v>3</v>
      </c>
      <c r="M329" s="6">
        <v>12</v>
      </c>
      <c r="N329" s="6" t="s">
        <v>1095</v>
      </c>
      <c r="O329" s="6" t="s">
        <v>97</v>
      </c>
      <c r="P329" s="7">
        <v>329113</v>
      </c>
      <c r="Q329" s="7">
        <v>291487</v>
      </c>
      <c r="R329" s="6" t="s">
        <v>1096</v>
      </c>
      <c r="S329" s="6" t="s">
        <v>28</v>
      </c>
      <c r="T329" s="6">
        <v>66.3</v>
      </c>
      <c r="U329" s="6" t="s">
        <v>47</v>
      </c>
      <c r="V329" s="6" t="s">
        <v>483</v>
      </c>
      <c r="W329" s="67" t="str">
        <f t="shared" si="29"/>
        <v>Customer</v>
      </c>
    </row>
    <row r="330" spans="1:23" x14ac:dyDescent="0.3">
      <c r="A330" s="2" t="s">
        <v>1097</v>
      </c>
      <c r="B330" s="2" t="s">
        <v>410</v>
      </c>
      <c r="C330" s="2">
        <v>9852281566</v>
      </c>
      <c r="D330" s="2" t="s">
        <v>59</v>
      </c>
      <c r="E330" s="2" t="s">
        <v>21</v>
      </c>
      <c r="F330" s="2" t="s">
        <v>230</v>
      </c>
      <c r="G330" s="2" t="s">
        <v>35</v>
      </c>
      <c r="H330" s="2" t="s">
        <v>1094</v>
      </c>
      <c r="I330" s="2" t="str">
        <f t="shared" si="25"/>
        <v>Jul</v>
      </c>
      <c r="J330" s="2">
        <f t="shared" si="26"/>
        <v>7</v>
      </c>
      <c r="K330" s="2">
        <f t="shared" si="27"/>
        <v>2023</v>
      </c>
      <c r="L330" s="2">
        <f t="shared" si="28"/>
        <v>3</v>
      </c>
      <c r="M330" s="2">
        <v>4</v>
      </c>
      <c r="N330" s="2" t="s">
        <v>1098</v>
      </c>
      <c r="O330" s="2" t="s">
        <v>62</v>
      </c>
      <c r="P330" s="3">
        <v>127774</v>
      </c>
      <c r="Q330" s="2"/>
      <c r="R330" s="2"/>
      <c r="S330" s="2" t="s">
        <v>1063</v>
      </c>
      <c r="T330" s="2">
        <v>57.6</v>
      </c>
      <c r="U330" s="2" t="s">
        <v>47</v>
      </c>
      <c r="V330" s="2" t="s">
        <v>276</v>
      </c>
      <c r="W330" s="67" t="str">
        <f t="shared" si="29"/>
        <v>-</v>
      </c>
    </row>
    <row r="331" spans="1:23" x14ac:dyDescent="0.3">
      <c r="A331" s="4" t="s">
        <v>1099</v>
      </c>
      <c r="B331" s="4" t="s">
        <v>1100</v>
      </c>
      <c r="C331" s="4">
        <v>9555031725</v>
      </c>
      <c r="D331" s="4" t="s">
        <v>108</v>
      </c>
      <c r="E331" s="4" t="s">
        <v>33</v>
      </c>
      <c r="F331" s="4" t="s">
        <v>201</v>
      </c>
      <c r="G331" s="4" t="s">
        <v>23</v>
      </c>
      <c r="H331" s="4" t="s">
        <v>1005</v>
      </c>
      <c r="I331" s="2" t="str">
        <f t="shared" si="25"/>
        <v>Jul</v>
      </c>
      <c r="J331" s="2">
        <f t="shared" si="26"/>
        <v>7</v>
      </c>
      <c r="K331" s="2">
        <f t="shared" si="27"/>
        <v>2023</v>
      </c>
      <c r="L331" s="2">
        <f t="shared" si="28"/>
        <v>3</v>
      </c>
      <c r="M331" s="4">
        <v>5</v>
      </c>
      <c r="N331" s="4" t="s">
        <v>1101</v>
      </c>
      <c r="O331" s="4" t="s">
        <v>27</v>
      </c>
      <c r="P331" s="5">
        <v>418176</v>
      </c>
      <c r="Q331" s="4"/>
      <c r="R331" s="4"/>
      <c r="S331" s="4" t="s">
        <v>5819</v>
      </c>
      <c r="T331" s="4">
        <v>7.8</v>
      </c>
      <c r="U331" s="4" t="s">
        <v>29</v>
      </c>
      <c r="V331" s="4" t="s">
        <v>38</v>
      </c>
      <c r="W331" s="67" t="str">
        <f t="shared" si="29"/>
        <v>-</v>
      </c>
    </row>
    <row r="332" spans="1:23" x14ac:dyDescent="0.3">
      <c r="A332" s="2" t="s">
        <v>1102</v>
      </c>
      <c r="B332" s="2" t="s">
        <v>1103</v>
      </c>
      <c r="C332" s="2">
        <v>9198738972</v>
      </c>
      <c r="D332" s="2" t="s">
        <v>20</v>
      </c>
      <c r="E332" s="2" t="s">
        <v>41</v>
      </c>
      <c r="F332" s="2" t="s">
        <v>92</v>
      </c>
      <c r="G332" s="2" t="s">
        <v>35</v>
      </c>
      <c r="H332" s="2" t="s">
        <v>1005</v>
      </c>
      <c r="I332" s="2" t="str">
        <f t="shared" si="25"/>
        <v>Jul</v>
      </c>
      <c r="J332" s="2">
        <f t="shared" si="26"/>
        <v>7</v>
      </c>
      <c r="K332" s="2">
        <f t="shared" si="27"/>
        <v>2023</v>
      </c>
      <c r="L332" s="2">
        <f t="shared" si="28"/>
        <v>3</v>
      </c>
      <c r="M332" s="2">
        <v>12</v>
      </c>
      <c r="N332" s="2" t="s">
        <v>1105</v>
      </c>
      <c r="O332" s="2" t="s">
        <v>62</v>
      </c>
      <c r="P332" s="3">
        <v>286112</v>
      </c>
      <c r="Q332" s="2"/>
      <c r="R332" s="2"/>
      <c r="S332" s="2" t="s">
        <v>28</v>
      </c>
      <c r="T332" s="2">
        <v>71.7</v>
      </c>
      <c r="U332" s="2" t="s">
        <v>63</v>
      </c>
      <c r="V332" s="2" t="s">
        <v>260</v>
      </c>
      <c r="W332" s="67" t="str">
        <f t="shared" si="29"/>
        <v>-</v>
      </c>
    </row>
    <row r="333" spans="1:23" x14ac:dyDescent="0.3">
      <c r="A333" s="4" t="s">
        <v>1106</v>
      </c>
      <c r="B333" s="4" t="s">
        <v>1107</v>
      </c>
      <c r="C333" s="4">
        <v>9682438493</v>
      </c>
      <c r="D333" s="4" t="s">
        <v>108</v>
      </c>
      <c r="E333" s="4" t="s">
        <v>21</v>
      </c>
      <c r="F333" s="4" t="s">
        <v>230</v>
      </c>
      <c r="G333" s="4" t="s">
        <v>35</v>
      </c>
      <c r="H333" s="4" t="s">
        <v>1104</v>
      </c>
      <c r="I333" s="2" t="str">
        <f t="shared" si="25"/>
        <v>Jul</v>
      </c>
      <c r="J333" s="2">
        <f t="shared" si="26"/>
        <v>7</v>
      </c>
      <c r="K333" s="2">
        <f t="shared" si="27"/>
        <v>2023</v>
      </c>
      <c r="L333" s="2">
        <f t="shared" si="28"/>
        <v>3</v>
      </c>
      <c r="M333" s="4">
        <v>10</v>
      </c>
      <c r="N333" s="4" t="s">
        <v>1108</v>
      </c>
      <c r="O333" s="4" t="s">
        <v>62</v>
      </c>
      <c r="P333" s="5">
        <v>136649</v>
      </c>
      <c r="Q333" s="4"/>
      <c r="R333" s="4"/>
      <c r="S333" s="4" t="s">
        <v>5819</v>
      </c>
      <c r="T333" s="4">
        <v>35.700000000000003</v>
      </c>
      <c r="U333" s="4" t="s">
        <v>47</v>
      </c>
      <c r="V333" s="4" t="s">
        <v>89</v>
      </c>
      <c r="W333" s="67" t="str">
        <f t="shared" si="29"/>
        <v>-</v>
      </c>
    </row>
    <row r="334" spans="1:23" x14ac:dyDescent="0.3">
      <c r="A334" s="6" t="s">
        <v>1109</v>
      </c>
      <c r="B334" s="6" t="s">
        <v>1110</v>
      </c>
      <c r="C334" s="6">
        <v>9436521776</v>
      </c>
      <c r="D334" s="6" t="s">
        <v>20</v>
      </c>
      <c r="E334" s="6" t="s">
        <v>641</v>
      </c>
      <c r="F334" s="6" t="s">
        <v>681</v>
      </c>
      <c r="G334" s="6" t="s">
        <v>23</v>
      </c>
      <c r="H334" s="6" t="s">
        <v>1029</v>
      </c>
      <c r="I334" s="2" t="str">
        <f t="shared" si="25"/>
        <v>Jul</v>
      </c>
      <c r="J334" s="2">
        <f t="shared" si="26"/>
        <v>7</v>
      </c>
      <c r="K334" s="2">
        <f t="shared" si="27"/>
        <v>2023</v>
      </c>
      <c r="L334" s="2">
        <f t="shared" si="28"/>
        <v>3</v>
      </c>
      <c r="M334" s="6">
        <v>4</v>
      </c>
      <c r="N334" s="6" t="s">
        <v>1112</v>
      </c>
      <c r="O334" s="6" t="s">
        <v>97</v>
      </c>
      <c r="P334" s="7">
        <v>608894</v>
      </c>
      <c r="Q334" s="7">
        <v>548992</v>
      </c>
      <c r="R334" s="6" t="s">
        <v>1113</v>
      </c>
      <c r="S334" s="6" t="s">
        <v>1063</v>
      </c>
      <c r="T334" s="6">
        <v>60.4</v>
      </c>
      <c r="U334" s="6" t="s">
        <v>63</v>
      </c>
      <c r="V334" s="6" t="s">
        <v>341</v>
      </c>
      <c r="W334" s="67" t="str">
        <f t="shared" si="29"/>
        <v>Customer</v>
      </c>
    </row>
    <row r="335" spans="1:23" x14ac:dyDescent="0.3">
      <c r="A335" s="4" t="s">
        <v>1114</v>
      </c>
      <c r="B335" s="4" t="s">
        <v>1115</v>
      </c>
      <c r="C335" s="4">
        <v>9281200333</v>
      </c>
      <c r="D335" s="4" t="s">
        <v>121</v>
      </c>
      <c r="E335" s="4" t="s">
        <v>109</v>
      </c>
      <c r="F335" s="4" t="s">
        <v>217</v>
      </c>
      <c r="G335" s="4" t="s">
        <v>52</v>
      </c>
      <c r="H335" s="4" t="s">
        <v>1116</v>
      </c>
      <c r="I335" s="2" t="str">
        <f t="shared" si="25"/>
        <v>Jul</v>
      </c>
      <c r="J335" s="2">
        <f t="shared" si="26"/>
        <v>7</v>
      </c>
      <c r="K335" s="2">
        <f t="shared" si="27"/>
        <v>2023</v>
      </c>
      <c r="L335" s="2">
        <f t="shared" si="28"/>
        <v>3</v>
      </c>
      <c r="M335" s="4">
        <v>1</v>
      </c>
      <c r="N335" s="4" t="s">
        <v>1071</v>
      </c>
      <c r="O335" s="4" t="s">
        <v>62</v>
      </c>
      <c r="P335" s="5">
        <v>366821</v>
      </c>
      <c r="Q335" s="4"/>
      <c r="R335" s="4"/>
      <c r="S335" s="4" t="s">
        <v>1063</v>
      </c>
      <c r="T335" s="4">
        <v>48</v>
      </c>
      <c r="U335" s="4" t="s">
        <v>29</v>
      </c>
      <c r="V335" s="4" t="s">
        <v>613</v>
      </c>
      <c r="W335" s="67" t="str">
        <f t="shared" si="29"/>
        <v>-</v>
      </c>
    </row>
    <row r="336" spans="1:23" x14ac:dyDescent="0.3">
      <c r="A336" s="2" t="s">
        <v>1117</v>
      </c>
      <c r="B336" s="2" t="s">
        <v>1118</v>
      </c>
      <c r="C336" s="2">
        <v>9297288915</v>
      </c>
      <c r="D336" s="2" t="s">
        <v>121</v>
      </c>
      <c r="E336" s="2" t="s">
        <v>33</v>
      </c>
      <c r="F336" s="2" t="s">
        <v>102</v>
      </c>
      <c r="G336" s="2" t="s">
        <v>52</v>
      </c>
      <c r="H336" s="2" t="s">
        <v>1116</v>
      </c>
      <c r="I336" s="2" t="str">
        <f t="shared" si="25"/>
        <v>Jul</v>
      </c>
      <c r="J336" s="2">
        <f t="shared" si="26"/>
        <v>7</v>
      </c>
      <c r="K336" s="2">
        <f t="shared" si="27"/>
        <v>2023</v>
      </c>
      <c r="L336" s="2">
        <f t="shared" si="28"/>
        <v>3</v>
      </c>
      <c r="M336" s="2"/>
      <c r="N336" s="2" t="s">
        <v>1087</v>
      </c>
      <c r="O336" s="2" t="s">
        <v>27</v>
      </c>
      <c r="P336" s="3">
        <v>406716</v>
      </c>
      <c r="Q336" s="2"/>
      <c r="R336" s="2"/>
      <c r="S336" s="2" t="s">
        <v>5819</v>
      </c>
      <c r="T336" s="2">
        <v>41.2</v>
      </c>
      <c r="U336" s="2" t="s">
        <v>29</v>
      </c>
      <c r="V336" s="2" t="s">
        <v>118</v>
      </c>
      <c r="W336" s="67" t="str">
        <f t="shared" si="29"/>
        <v>-</v>
      </c>
    </row>
    <row r="337" spans="1:23" x14ac:dyDescent="0.3">
      <c r="A337" s="4" t="s">
        <v>1119</v>
      </c>
      <c r="B337" s="4" t="s">
        <v>1083</v>
      </c>
      <c r="C337" s="4">
        <v>9633361273</v>
      </c>
      <c r="D337" s="4" t="s">
        <v>59</v>
      </c>
      <c r="E337" s="4" t="s">
        <v>109</v>
      </c>
      <c r="F337" s="4" t="s">
        <v>110</v>
      </c>
      <c r="G337" s="4" t="s">
        <v>52</v>
      </c>
      <c r="H337" s="4" t="s">
        <v>1111</v>
      </c>
      <c r="I337" s="2" t="str">
        <f t="shared" si="25"/>
        <v>Jul</v>
      </c>
      <c r="J337" s="2">
        <f t="shared" si="26"/>
        <v>7</v>
      </c>
      <c r="K337" s="2">
        <f t="shared" si="27"/>
        <v>2023</v>
      </c>
      <c r="L337" s="2">
        <f t="shared" si="28"/>
        <v>3</v>
      </c>
      <c r="M337" s="4">
        <v>1</v>
      </c>
      <c r="N337" s="4" t="s">
        <v>1120</v>
      </c>
      <c r="O337" s="4" t="s">
        <v>45</v>
      </c>
      <c r="P337" s="5">
        <v>490879</v>
      </c>
      <c r="Q337" s="4"/>
      <c r="R337" s="4"/>
      <c r="S337" s="4" t="s">
        <v>28</v>
      </c>
      <c r="T337" s="4">
        <v>42.9</v>
      </c>
      <c r="U337" s="4" t="s">
        <v>47</v>
      </c>
      <c r="V337" s="4" t="s">
        <v>487</v>
      </c>
      <c r="W337" s="67" t="str">
        <f t="shared" si="29"/>
        <v>-</v>
      </c>
    </row>
    <row r="338" spans="1:23" x14ac:dyDescent="0.3">
      <c r="A338" s="2" t="s">
        <v>1121</v>
      </c>
      <c r="B338" s="2" t="s">
        <v>1122</v>
      </c>
      <c r="C338" s="2">
        <v>9771049849</v>
      </c>
      <c r="D338" s="2" t="s">
        <v>108</v>
      </c>
      <c r="E338" s="2" t="s">
        <v>109</v>
      </c>
      <c r="F338" s="2" t="s">
        <v>110</v>
      </c>
      <c r="G338" s="2" t="s">
        <v>87</v>
      </c>
      <c r="H338" s="2" t="s">
        <v>1111</v>
      </c>
      <c r="I338" s="2" t="str">
        <f t="shared" si="25"/>
        <v>Jul</v>
      </c>
      <c r="J338" s="2">
        <f t="shared" si="26"/>
        <v>7</v>
      </c>
      <c r="K338" s="2">
        <f t="shared" si="27"/>
        <v>2023</v>
      </c>
      <c r="L338" s="2">
        <f t="shared" si="28"/>
        <v>3</v>
      </c>
      <c r="M338" s="2">
        <v>5</v>
      </c>
      <c r="N338" s="2" t="s">
        <v>1025</v>
      </c>
      <c r="O338" s="2" t="s">
        <v>27</v>
      </c>
      <c r="P338" s="3">
        <v>187481</v>
      </c>
      <c r="Q338" s="2"/>
      <c r="R338" s="2"/>
      <c r="S338" s="2" t="s">
        <v>1063</v>
      </c>
      <c r="T338" s="2">
        <v>24.4</v>
      </c>
      <c r="U338" s="2" t="s">
        <v>29</v>
      </c>
      <c r="V338" s="2" t="s">
        <v>202</v>
      </c>
      <c r="W338" s="67" t="str">
        <f t="shared" si="29"/>
        <v>-</v>
      </c>
    </row>
    <row r="339" spans="1:23" x14ac:dyDescent="0.3">
      <c r="A339" s="4" t="s">
        <v>1123</v>
      </c>
      <c r="B339" s="4" t="s">
        <v>1124</v>
      </c>
      <c r="C339" s="4">
        <v>9165953495</v>
      </c>
      <c r="D339" s="4" t="s">
        <v>59</v>
      </c>
      <c r="E339" s="4" t="s">
        <v>641</v>
      </c>
      <c r="F339" s="4" t="s">
        <v>727</v>
      </c>
      <c r="G339" s="4" t="s">
        <v>69</v>
      </c>
      <c r="H339" s="4" t="s">
        <v>1125</v>
      </c>
      <c r="I339" s="2" t="str">
        <f t="shared" si="25"/>
        <v>Jul</v>
      </c>
      <c r="J339" s="2">
        <f t="shared" si="26"/>
        <v>7</v>
      </c>
      <c r="K339" s="2">
        <f t="shared" si="27"/>
        <v>2023</v>
      </c>
      <c r="L339" s="2">
        <f t="shared" si="28"/>
        <v>3</v>
      </c>
      <c r="M339" s="4">
        <v>9</v>
      </c>
      <c r="N339" s="4" t="s">
        <v>1126</v>
      </c>
      <c r="O339" s="4" t="s">
        <v>27</v>
      </c>
      <c r="P339" s="5">
        <v>203450</v>
      </c>
      <c r="Q339" s="4"/>
      <c r="R339" s="4"/>
      <c r="S339" s="4" t="s">
        <v>5819</v>
      </c>
      <c r="T339" s="4">
        <v>37.6</v>
      </c>
      <c r="U339" s="4" t="s">
        <v>29</v>
      </c>
      <c r="V339" s="4" t="s">
        <v>238</v>
      </c>
      <c r="W339" s="67" t="str">
        <f t="shared" si="29"/>
        <v>-</v>
      </c>
    </row>
    <row r="340" spans="1:23" x14ac:dyDescent="0.3">
      <c r="A340" s="2" t="s">
        <v>1127</v>
      </c>
      <c r="B340" s="2" t="s">
        <v>1128</v>
      </c>
      <c r="C340" s="2">
        <v>9889385047</v>
      </c>
      <c r="D340" s="2" t="s">
        <v>59</v>
      </c>
      <c r="E340" s="2" t="s">
        <v>33</v>
      </c>
      <c r="F340" s="2" t="s">
        <v>201</v>
      </c>
      <c r="G340" s="2" t="s">
        <v>23</v>
      </c>
      <c r="H340" s="2" t="s">
        <v>1067</v>
      </c>
      <c r="I340" s="2" t="str">
        <f t="shared" si="25"/>
        <v>Jul</v>
      </c>
      <c r="J340" s="2">
        <f t="shared" si="26"/>
        <v>7</v>
      </c>
      <c r="K340" s="2">
        <f t="shared" si="27"/>
        <v>2023</v>
      </c>
      <c r="L340" s="2">
        <f t="shared" si="28"/>
        <v>3</v>
      </c>
      <c r="M340" s="2">
        <v>12</v>
      </c>
      <c r="N340" s="2" t="s">
        <v>1129</v>
      </c>
      <c r="O340" s="2" t="s">
        <v>27</v>
      </c>
      <c r="P340" s="3">
        <v>382933</v>
      </c>
      <c r="Q340" s="2"/>
      <c r="R340" s="2"/>
      <c r="S340" s="2" t="s">
        <v>1063</v>
      </c>
      <c r="T340" s="2">
        <v>61.6</v>
      </c>
      <c r="U340" s="2" t="s">
        <v>29</v>
      </c>
      <c r="V340" s="2" t="s">
        <v>157</v>
      </c>
      <c r="W340" s="67" t="str">
        <f t="shared" si="29"/>
        <v>-</v>
      </c>
    </row>
    <row r="341" spans="1:23" x14ac:dyDescent="0.3">
      <c r="A341" s="4" t="s">
        <v>1130</v>
      </c>
      <c r="B341" s="4" t="s">
        <v>441</v>
      </c>
      <c r="C341" s="4"/>
      <c r="D341" s="4" t="s">
        <v>20</v>
      </c>
      <c r="E341" s="4" t="s">
        <v>73</v>
      </c>
      <c r="F341" s="4" t="s">
        <v>126</v>
      </c>
      <c r="G341" s="4" t="s">
        <v>87</v>
      </c>
      <c r="H341" s="4" t="s">
        <v>1131</v>
      </c>
      <c r="I341" s="2" t="str">
        <f t="shared" si="25"/>
        <v>Jul</v>
      </c>
      <c r="J341" s="2">
        <f t="shared" si="26"/>
        <v>7</v>
      </c>
      <c r="K341" s="2">
        <f t="shared" si="27"/>
        <v>2023</v>
      </c>
      <c r="L341" s="2">
        <f t="shared" si="28"/>
        <v>3</v>
      </c>
      <c r="M341" s="4">
        <v>4</v>
      </c>
      <c r="N341" s="4" t="s">
        <v>1132</v>
      </c>
      <c r="O341" s="4" t="s">
        <v>27</v>
      </c>
      <c r="P341" s="5">
        <v>92335</v>
      </c>
      <c r="Q341" s="4"/>
      <c r="R341" s="4"/>
      <c r="S341" s="4" t="s">
        <v>28</v>
      </c>
      <c r="T341" s="4">
        <v>60</v>
      </c>
      <c r="U341" s="4" t="s">
        <v>29</v>
      </c>
      <c r="V341" s="4" t="s">
        <v>140</v>
      </c>
      <c r="W341" s="67" t="str">
        <f t="shared" si="29"/>
        <v>-</v>
      </c>
    </row>
    <row r="342" spans="1:23" x14ac:dyDescent="0.3">
      <c r="A342" s="2" t="s">
        <v>1133</v>
      </c>
      <c r="B342" s="2" t="s">
        <v>1134</v>
      </c>
      <c r="C342" s="2">
        <v>9164297440</v>
      </c>
      <c r="D342" s="2" t="s">
        <v>121</v>
      </c>
      <c r="E342" s="2" t="s">
        <v>67</v>
      </c>
      <c r="F342" s="2" t="s">
        <v>68</v>
      </c>
      <c r="G342" s="2" t="s">
        <v>69</v>
      </c>
      <c r="H342" s="2" t="s">
        <v>1098</v>
      </c>
      <c r="I342" s="2" t="str">
        <f t="shared" si="25"/>
        <v>Jul</v>
      </c>
      <c r="J342" s="2">
        <f t="shared" si="26"/>
        <v>7</v>
      </c>
      <c r="K342" s="2">
        <f t="shared" si="27"/>
        <v>2023</v>
      </c>
      <c r="L342" s="2">
        <f t="shared" si="28"/>
        <v>3</v>
      </c>
      <c r="M342" s="2">
        <v>12</v>
      </c>
      <c r="N342" s="2" t="s">
        <v>1135</v>
      </c>
      <c r="O342" s="2" t="s">
        <v>27</v>
      </c>
      <c r="P342" s="3">
        <v>233650</v>
      </c>
      <c r="Q342" s="2"/>
      <c r="R342" s="2"/>
      <c r="S342" s="2" t="s">
        <v>1063</v>
      </c>
      <c r="T342" s="2">
        <v>47.4</v>
      </c>
      <c r="U342" s="2" t="s">
        <v>29</v>
      </c>
      <c r="V342" s="2" t="s">
        <v>202</v>
      </c>
      <c r="W342" s="67" t="str">
        <f t="shared" si="29"/>
        <v>-</v>
      </c>
    </row>
    <row r="343" spans="1:23" x14ac:dyDescent="0.3">
      <c r="A343" s="6" t="s">
        <v>1136</v>
      </c>
      <c r="B343" s="6" t="s">
        <v>1137</v>
      </c>
      <c r="C343" s="6">
        <v>9222912620</v>
      </c>
      <c r="D343" s="6" t="s">
        <v>20</v>
      </c>
      <c r="E343" s="6" t="s">
        <v>21</v>
      </c>
      <c r="F343" s="6" t="s">
        <v>160</v>
      </c>
      <c r="G343" s="6" t="s">
        <v>60</v>
      </c>
      <c r="H343" s="6" t="s">
        <v>1138</v>
      </c>
      <c r="I343" s="2" t="str">
        <f t="shared" si="25"/>
        <v>Jul</v>
      </c>
      <c r="J343" s="2">
        <f t="shared" si="26"/>
        <v>7</v>
      </c>
      <c r="K343" s="2">
        <f t="shared" si="27"/>
        <v>2023</v>
      </c>
      <c r="L343" s="2">
        <f t="shared" si="28"/>
        <v>3</v>
      </c>
      <c r="M343" s="6">
        <v>10</v>
      </c>
      <c r="N343" s="6" t="s">
        <v>1140</v>
      </c>
      <c r="O343" s="6" t="s">
        <v>97</v>
      </c>
      <c r="P343" s="7">
        <v>177912</v>
      </c>
      <c r="Q343" s="7">
        <v>176120</v>
      </c>
      <c r="R343" s="6" t="s">
        <v>1141</v>
      </c>
      <c r="S343" s="6" t="s">
        <v>5819</v>
      </c>
      <c r="T343" s="6">
        <v>20.6</v>
      </c>
      <c r="U343" s="6" t="s">
        <v>63</v>
      </c>
      <c r="V343" s="6" t="s">
        <v>341</v>
      </c>
      <c r="W343" s="67" t="str">
        <f t="shared" si="29"/>
        <v>Customer</v>
      </c>
    </row>
    <row r="344" spans="1:23" x14ac:dyDescent="0.3">
      <c r="A344" s="2" t="s">
        <v>1142</v>
      </c>
      <c r="B344" s="2" t="s">
        <v>142</v>
      </c>
      <c r="C344" s="2">
        <v>9435501022</v>
      </c>
      <c r="D344" s="2" t="s">
        <v>108</v>
      </c>
      <c r="E344" s="2" t="s">
        <v>33</v>
      </c>
      <c r="F344" s="2" t="s">
        <v>34</v>
      </c>
      <c r="G344" s="2" t="s">
        <v>60</v>
      </c>
      <c r="H344" s="2" t="s">
        <v>1138</v>
      </c>
      <c r="I344" s="2" t="str">
        <f t="shared" si="25"/>
        <v>Jul</v>
      </c>
      <c r="J344" s="2">
        <f t="shared" si="26"/>
        <v>7</v>
      </c>
      <c r="K344" s="2">
        <f t="shared" si="27"/>
        <v>2023</v>
      </c>
      <c r="L344" s="2">
        <f t="shared" si="28"/>
        <v>3</v>
      </c>
      <c r="M344" s="2">
        <v>11</v>
      </c>
      <c r="N344" s="2" t="s">
        <v>1108</v>
      </c>
      <c r="O344" s="2" t="s">
        <v>27</v>
      </c>
      <c r="P344" s="3">
        <v>114912</v>
      </c>
      <c r="Q344" s="2"/>
      <c r="R344" s="2"/>
      <c r="S344" s="2" t="s">
        <v>5819</v>
      </c>
      <c r="T344" s="2">
        <v>41.9</v>
      </c>
      <c r="U344" s="2" t="s">
        <v>47</v>
      </c>
      <c r="V344" s="2" t="s">
        <v>157</v>
      </c>
      <c r="W344" s="67" t="str">
        <f t="shared" si="29"/>
        <v>-</v>
      </c>
    </row>
    <row r="345" spans="1:23" x14ac:dyDescent="0.3">
      <c r="A345" s="4" t="s">
        <v>1143</v>
      </c>
      <c r="B345" s="4" t="s">
        <v>1144</v>
      </c>
      <c r="C345" s="4">
        <v>9190118660</v>
      </c>
      <c r="D345" s="4" t="s">
        <v>59</v>
      </c>
      <c r="E345" s="4" t="s">
        <v>33</v>
      </c>
      <c r="F345" s="4" t="s">
        <v>201</v>
      </c>
      <c r="G345" s="4" t="s">
        <v>52</v>
      </c>
      <c r="H345" s="4" t="s">
        <v>1138</v>
      </c>
      <c r="I345" s="2" t="str">
        <f t="shared" si="25"/>
        <v>Jul</v>
      </c>
      <c r="J345" s="2">
        <f t="shared" si="26"/>
        <v>7</v>
      </c>
      <c r="K345" s="2">
        <f t="shared" si="27"/>
        <v>2023</v>
      </c>
      <c r="L345" s="2">
        <f t="shared" si="28"/>
        <v>3</v>
      </c>
      <c r="M345" s="4">
        <v>11</v>
      </c>
      <c r="N345" s="4" t="s">
        <v>1126</v>
      </c>
      <c r="O345" s="4" t="s">
        <v>27</v>
      </c>
      <c r="P345" s="5">
        <v>440360</v>
      </c>
      <c r="Q345" s="4"/>
      <c r="R345" s="4"/>
      <c r="S345" s="4" t="s">
        <v>1063</v>
      </c>
      <c r="T345" s="4">
        <v>41.4</v>
      </c>
      <c r="U345" s="4" t="s">
        <v>29</v>
      </c>
      <c r="V345" s="4"/>
      <c r="W345" s="67" t="str">
        <f t="shared" si="29"/>
        <v>-</v>
      </c>
    </row>
    <row r="346" spans="1:23" x14ac:dyDescent="0.3">
      <c r="A346" s="2" t="s">
        <v>1145</v>
      </c>
      <c r="B346" s="2" t="s">
        <v>1146</v>
      </c>
      <c r="C346" s="2">
        <v>9973394943</v>
      </c>
      <c r="D346" s="2" t="s">
        <v>20</v>
      </c>
      <c r="E346" s="2" t="s">
        <v>41</v>
      </c>
      <c r="F346" s="2" t="s">
        <v>92</v>
      </c>
      <c r="G346" s="2" t="s">
        <v>23</v>
      </c>
      <c r="H346" s="2" t="s">
        <v>1139</v>
      </c>
      <c r="I346" s="2" t="str">
        <f t="shared" si="25"/>
        <v>Jul</v>
      </c>
      <c r="J346" s="2">
        <f t="shared" si="26"/>
        <v>7</v>
      </c>
      <c r="K346" s="2">
        <f t="shared" si="27"/>
        <v>2023</v>
      </c>
      <c r="L346" s="2">
        <f t="shared" si="28"/>
        <v>3</v>
      </c>
      <c r="M346" s="2">
        <v>3</v>
      </c>
      <c r="N346" s="2" t="s">
        <v>1147</v>
      </c>
      <c r="O346" s="2" t="s">
        <v>45</v>
      </c>
      <c r="P346" s="3">
        <v>338374</v>
      </c>
      <c r="Q346" s="2"/>
      <c r="R346" s="2"/>
      <c r="S346" s="2" t="s">
        <v>1063</v>
      </c>
      <c r="T346" s="2">
        <v>49.8</v>
      </c>
      <c r="U346" s="2" t="s">
        <v>47</v>
      </c>
      <c r="V346" s="2" t="s">
        <v>310</v>
      </c>
      <c r="W346" s="67" t="str">
        <f t="shared" si="29"/>
        <v>-</v>
      </c>
    </row>
    <row r="347" spans="1:23" x14ac:dyDescent="0.3">
      <c r="A347" s="4" t="s">
        <v>1148</v>
      </c>
      <c r="B347" s="4" t="s">
        <v>1149</v>
      </c>
      <c r="C347" s="4">
        <v>9147080354</v>
      </c>
      <c r="D347" s="4" t="s">
        <v>108</v>
      </c>
      <c r="E347" s="4" t="s">
        <v>67</v>
      </c>
      <c r="F347" s="4" t="s">
        <v>80</v>
      </c>
      <c r="G347" s="4" t="s">
        <v>643</v>
      </c>
      <c r="H347" s="4" t="s">
        <v>1087</v>
      </c>
      <c r="I347" s="2" t="str">
        <f t="shared" si="25"/>
        <v>Aug</v>
      </c>
      <c r="J347" s="2">
        <f t="shared" si="26"/>
        <v>8</v>
      </c>
      <c r="K347" s="2">
        <f t="shared" si="27"/>
        <v>2023</v>
      </c>
      <c r="L347" s="2">
        <f t="shared" si="28"/>
        <v>3</v>
      </c>
      <c r="M347" s="4">
        <v>7</v>
      </c>
      <c r="N347" s="4" t="s">
        <v>1129</v>
      </c>
      <c r="O347" s="4" t="s">
        <v>27</v>
      </c>
      <c r="P347" s="5">
        <v>987734</v>
      </c>
      <c r="Q347" s="4"/>
      <c r="R347" s="4"/>
      <c r="S347" s="4" t="s">
        <v>1063</v>
      </c>
      <c r="T347" s="4">
        <v>9.5</v>
      </c>
      <c r="U347" s="4" t="s">
        <v>47</v>
      </c>
      <c r="V347" s="4" t="s">
        <v>30</v>
      </c>
      <c r="W347" s="67" t="str">
        <f t="shared" si="29"/>
        <v>-</v>
      </c>
    </row>
    <row r="348" spans="1:23" x14ac:dyDescent="0.3">
      <c r="A348" s="2" t="s">
        <v>1150</v>
      </c>
      <c r="B348" s="2" t="s">
        <v>1151</v>
      </c>
      <c r="C348" s="2">
        <v>9640569491</v>
      </c>
      <c r="D348" s="2" t="s">
        <v>59</v>
      </c>
      <c r="E348" s="2" t="s">
        <v>41</v>
      </c>
      <c r="F348" s="2" t="s">
        <v>92</v>
      </c>
      <c r="G348" s="2" t="s">
        <v>23</v>
      </c>
      <c r="H348" s="2" t="s">
        <v>1120</v>
      </c>
      <c r="I348" s="2" t="str">
        <f t="shared" si="25"/>
        <v>Aug</v>
      </c>
      <c r="J348" s="2">
        <f t="shared" si="26"/>
        <v>8</v>
      </c>
      <c r="K348" s="2">
        <f t="shared" si="27"/>
        <v>2023</v>
      </c>
      <c r="L348" s="2">
        <f t="shared" si="28"/>
        <v>3</v>
      </c>
      <c r="M348" s="2">
        <v>5</v>
      </c>
      <c r="N348" s="2" t="s">
        <v>1152</v>
      </c>
      <c r="O348" s="2" t="s">
        <v>45</v>
      </c>
      <c r="P348" s="3">
        <v>392832</v>
      </c>
      <c r="Q348" s="2"/>
      <c r="R348" s="2"/>
      <c r="S348" s="2" t="s">
        <v>5819</v>
      </c>
      <c r="T348" s="2">
        <v>53</v>
      </c>
      <c r="U348" s="2" t="s">
        <v>47</v>
      </c>
      <c r="V348" s="2"/>
      <c r="W348" s="67" t="str">
        <f t="shared" si="29"/>
        <v>-</v>
      </c>
    </row>
    <row r="349" spans="1:23" x14ac:dyDescent="0.3">
      <c r="A349" s="4" t="s">
        <v>1153</v>
      </c>
      <c r="B349" s="4" t="s">
        <v>1154</v>
      </c>
      <c r="C349" s="4">
        <v>9748596832</v>
      </c>
      <c r="D349" s="4" t="s">
        <v>51</v>
      </c>
      <c r="E349" s="4" t="s">
        <v>109</v>
      </c>
      <c r="F349" s="4" t="s">
        <v>217</v>
      </c>
      <c r="G349" s="4" t="s">
        <v>643</v>
      </c>
      <c r="H349" s="4" t="s">
        <v>1155</v>
      </c>
      <c r="I349" s="2" t="str">
        <f t="shared" si="25"/>
        <v>Aug</v>
      </c>
      <c r="J349" s="2">
        <f t="shared" si="26"/>
        <v>8</v>
      </c>
      <c r="K349" s="2">
        <f t="shared" si="27"/>
        <v>2023</v>
      </c>
      <c r="L349" s="2">
        <f t="shared" si="28"/>
        <v>3</v>
      </c>
      <c r="M349" s="4">
        <v>3</v>
      </c>
      <c r="N349" s="4" t="s">
        <v>1156</v>
      </c>
      <c r="O349" s="4" t="s">
        <v>27</v>
      </c>
      <c r="P349" s="4"/>
      <c r="Q349" s="4"/>
      <c r="R349" s="4"/>
      <c r="S349" s="4" t="s">
        <v>5819</v>
      </c>
      <c r="T349" s="4">
        <v>22</v>
      </c>
      <c r="U349" s="4" t="s">
        <v>29</v>
      </c>
      <c r="V349" s="4" t="s">
        <v>38</v>
      </c>
      <c r="W349" s="67" t="str">
        <f t="shared" si="29"/>
        <v>-</v>
      </c>
    </row>
    <row r="350" spans="1:23" x14ac:dyDescent="0.3">
      <c r="A350" s="2" t="s">
        <v>1157</v>
      </c>
      <c r="B350" s="2" t="s">
        <v>1158</v>
      </c>
      <c r="C350" s="2">
        <v>9283890958</v>
      </c>
      <c r="D350" s="2" t="s">
        <v>20</v>
      </c>
      <c r="E350" s="2" t="s">
        <v>21</v>
      </c>
      <c r="F350" s="2" t="s">
        <v>160</v>
      </c>
      <c r="G350" s="2" t="s">
        <v>60</v>
      </c>
      <c r="H350" s="2" t="s">
        <v>1051</v>
      </c>
      <c r="I350" s="2" t="str">
        <f t="shared" si="25"/>
        <v>Aug</v>
      </c>
      <c r="J350" s="2">
        <f t="shared" si="26"/>
        <v>8</v>
      </c>
      <c r="K350" s="2">
        <f t="shared" si="27"/>
        <v>2023</v>
      </c>
      <c r="L350" s="2">
        <f t="shared" si="28"/>
        <v>3</v>
      </c>
      <c r="M350" s="2">
        <v>12</v>
      </c>
      <c r="N350" s="2" t="s">
        <v>1159</v>
      </c>
      <c r="O350" s="2" t="s">
        <v>62</v>
      </c>
      <c r="P350" s="3">
        <v>135764</v>
      </c>
      <c r="Q350" s="2"/>
      <c r="R350" s="2"/>
      <c r="S350" s="2" t="s">
        <v>5819</v>
      </c>
      <c r="T350" s="2">
        <v>56.3</v>
      </c>
      <c r="U350" s="2" t="s">
        <v>47</v>
      </c>
      <c r="V350" s="2" t="s">
        <v>212</v>
      </c>
      <c r="W350" s="67" t="str">
        <f t="shared" si="29"/>
        <v>-</v>
      </c>
    </row>
    <row r="351" spans="1:23" x14ac:dyDescent="0.3">
      <c r="A351" s="4" t="s">
        <v>1160</v>
      </c>
      <c r="B351" s="4" t="s">
        <v>1161</v>
      </c>
      <c r="C351" s="4">
        <v>9824885563</v>
      </c>
      <c r="D351" s="4" t="s">
        <v>20</v>
      </c>
      <c r="E351" s="4" t="s">
        <v>21</v>
      </c>
      <c r="F351" s="4" t="s">
        <v>160</v>
      </c>
      <c r="G351" s="4" t="s">
        <v>87</v>
      </c>
      <c r="H351" s="4" t="s">
        <v>1025</v>
      </c>
      <c r="I351" s="2" t="str">
        <f t="shared" si="25"/>
        <v>Aug</v>
      </c>
      <c r="J351" s="2">
        <f t="shared" si="26"/>
        <v>8</v>
      </c>
      <c r="K351" s="2">
        <f t="shared" si="27"/>
        <v>2023</v>
      </c>
      <c r="L351" s="2">
        <f t="shared" si="28"/>
        <v>3</v>
      </c>
      <c r="M351" s="4">
        <v>5</v>
      </c>
      <c r="N351" s="4" t="s">
        <v>1162</v>
      </c>
      <c r="O351" s="4" t="s">
        <v>45</v>
      </c>
      <c r="P351" s="5">
        <v>261412</v>
      </c>
      <c r="Q351" s="4"/>
      <c r="R351" s="4"/>
      <c r="S351" s="4" t="s">
        <v>5819</v>
      </c>
      <c r="T351" s="4">
        <v>46.1</v>
      </c>
      <c r="U351" s="4" t="s">
        <v>47</v>
      </c>
      <c r="V351" s="4" t="s">
        <v>487</v>
      </c>
      <c r="W351" s="67" t="str">
        <f t="shared" si="29"/>
        <v>-</v>
      </c>
    </row>
    <row r="352" spans="1:23" x14ac:dyDescent="0.3">
      <c r="A352" s="2" t="s">
        <v>1163</v>
      </c>
      <c r="B352" s="2" t="s">
        <v>1164</v>
      </c>
      <c r="C352" s="2">
        <v>9852467956</v>
      </c>
      <c r="D352" s="2" t="s">
        <v>51</v>
      </c>
      <c r="E352" s="2" t="s">
        <v>109</v>
      </c>
      <c r="F352" s="2" t="s">
        <v>217</v>
      </c>
      <c r="G352" s="2" t="s">
        <v>23</v>
      </c>
      <c r="H352" s="2" t="s">
        <v>1025</v>
      </c>
      <c r="I352" s="2" t="str">
        <f t="shared" si="25"/>
        <v>Aug</v>
      </c>
      <c r="J352" s="2">
        <f t="shared" si="26"/>
        <v>8</v>
      </c>
      <c r="K352" s="2">
        <f t="shared" si="27"/>
        <v>2023</v>
      </c>
      <c r="L352" s="2">
        <f t="shared" si="28"/>
        <v>3</v>
      </c>
      <c r="M352" s="2">
        <v>4</v>
      </c>
      <c r="N352" s="2" t="s">
        <v>1108</v>
      </c>
      <c r="O352" s="2" t="s">
        <v>62</v>
      </c>
      <c r="P352" s="2"/>
      <c r="Q352" s="2"/>
      <c r="R352" s="2"/>
      <c r="S352" s="2" t="s">
        <v>28</v>
      </c>
      <c r="T352" s="2">
        <v>70.5</v>
      </c>
      <c r="U352" s="2" t="s">
        <v>47</v>
      </c>
      <c r="V352" s="2" t="s">
        <v>276</v>
      </c>
      <c r="W352" s="67" t="str">
        <f t="shared" si="29"/>
        <v>-</v>
      </c>
    </row>
    <row r="353" spans="1:23" x14ac:dyDescent="0.3">
      <c r="A353" s="4" t="s">
        <v>1165</v>
      </c>
      <c r="B353" s="4" t="s">
        <v>1166</v>
      </c>
      <c r="C353" s="4">
        <v>9611372846</v>
      </c>
      <c r="D353" s="4" t="s">
        <v>121</v>
      </c>
      <c r="E353" s="4" t="s">
        <v>33</v>
      </c>
      <c r="F353" s="4" t="s">
        <v>102</v>
      </c>
      <c r="G353" s="4" t="s">
        <v>60</v>
      </c>
      <c r="H353" s="4" t="s">
        <v>1088</v>
      </c>
      <c r="I353" s="2" t="str">
        <f t="shared" si="25"/>
        <v>Aug</v>
      </c>
      <c r="J353" s="2">
        <f t="shared" si="26"/>
        <v>8</v>
      </c>
      <c r="K353" s="2">
        <f t="shared" si="27"/>
        <v>2023</v>
      </c>
      <c r="L353" s="2">
        <f t="shared" si="28"/>
        <v>3</v>
      </c>
      <c r="M353" s="4">
        <v>1</v>
      </c>
      <c r="N353" s="4" t="s">
        <v>1084</v>
      </c>
      <c r="O353" s="4" t="s">
        <v>45</v>
      </c>
      <c r="P353" s="5">
        <v>118148</v>
      </c>
      <c r="Q353" s="4"/>
      <c r="R353" s="4"/>
      <c r="S353" s="4" t="s">
        <v>28</v>
      </c>
      <c r="T353" s="4">
        <v>60.3</v>
      </c>
      <c r="U353" s="4" t="s">
        <v>47</v>
      </c>
      <c r="V353" s="4" t="s">
        <v>276</v>
      </c>
      <c r="W353" s="67" t="str">
        <f t="shared" si="29"/>
        <v>-</v>
      </c>
    </row>
    <row r="354" spans="1:23" x14ac:dyDescent="0.3">
      <c r="A354" s="2" t="s">
        <v>1167</v>
      </c>
      <c r="B354" s="2" t="s">
        <v>591</v>
      </c>
      <c r="C354" s="2"/>
      <c r="D354" s="2" t="s">
        <v>20</v>
      </c>
      <c r="E354" s="2" t="s">
        <v>641</v>
      </c>
      <c r="F354" s="2" t="s">
        <v>681</v>
      </c>
      <c r="G354" s="2" t="s">
        <v>643</v>
      </c>
      <c r="H354" s="2" t="s">
        <v>1084</v>
      </c>
      <c r="I354" s="2" t="str">
        <f t="shared" si="25"/>
        <v>Aug</v>
      </c>
      <c r="J354" s="2">
        <f t="shared" si="26"/>
        <v>8</v>
      </c>
      <c r="K354" s="2">
        <f t="shared" si="27"/>
        <v>2023</v>
      </c>
      <c r="L354" s="2">
        <f t="shared" si="28"/>
        <v>3</v>
      </c>
      <c r="M354" s="2">
        <v>7</v>
      </c>
      <c r="N354" s="2" t="s">
        <v>1162</v>
      </c>
      <c r="O354" s="2" t="s">
        <v>27</v>
      </c>
      <c r="P354" s="3">
        <v>966949</v>
      </c>
      <c r="Q354" s="2"/>
      <c r="R354" s="2"/>
      <c r="S354" s="2" t="s">
        <v>28</v>
      </c>
      <c r="T354" s="2">
        <v>21.8</v>
      </c>
      <c r="U354" s="2" t="s">
        <v>29</v>
      </c>
      <c r="V354" s="2" t="s">
        <v>1169</v>
      </c>
      <c r="W354" s="67" t="str">
        <f t="shared" si="29"/>
        <v>-</v>
      </c>
    </row>
    <row r="355" spans="1:23" x14ac:dyDescent="0.3">
      <c r="A355" s="6" t="s">
        <v>1170</v>
      </c>
      <c r="B355" s="6" t="s">
        <v>249</v>
      </c>
      <c r="C355" s="6">
        <v>9578290147</v>
      </c>
      <c r="D355" s="6" t="s">
        <v>20</v>
      </c>
      <c r="E355" s="6" t="s">
        <v>67</v>
      </c>
      <c r="F355" s="6" t="s">
        <v>80</v>
      </c>
      <c r="G355" s="6" t="s">
        <v>35</v>
      </c>
      <c r="H355" s="6" t="s">
        <v>1168</v>
      </c>
      <c r="I355" s="2" t="str">
        <f t="shared" si="25"/>
        <v>Aug</v>
      </c>
      <c r="J355" s="2">
        <f t="shared" si="26"/>
        <v>8</v>
      </c>
      <c r="K355" s="2">
        <f t="shared" si="27"/>
        <v>2023</v>
      </c>
      <c r="L355" s="2">
        <f t="shared" si="28"/>
        <v>3</v>
      </c>
      <c r="M355" s="6">
        <v>2</v>
      </c>
      <c r="N355" s="6" t="s">
        <v>1172</v>
      </c>
      <c r="O355" s="6" t="s">
        <v>97</v>
      </c>
      <c r="P355" s="7">
        <v>182371</v>
      </c>
      <c r="Q355" s="7">
        <v>176558</v>
      </c>
      <c r="R355" s="6" t="s">
        <v>1173</v>
      </c>
      <c r="S355" s="6" t="s">
        <v>5819</v>
      </c>
      <c r="T355" s="6">
        <v>25.1</v>
      </c>
      <c r="U355" s="6" t="s">
        <v>47</v>
      </c>
      <c r="V355" s="6" t="s">
        <v>170</v>
      </c>
      <c r="W355" s="67" t="str">
        <f t="shared" si="29"/>
        <v>Customer</v>
      </c>
    </row>
    <row r="356" spans="1:23" x14ac:dyDescent="0.3">
      <c r="A356" s="2" t="s">
        <v>1174</v>
      </c>
      <c r="B356" s="2" t="s">
        <v>1175</v>
      </c>
      <c r="C356" s="2">
        <v>9547601168</v>
      </c>
      <c r="D356" s="2" t="s">
        <v>59</v>
      </c>
      <c r="E356" s="2" t="s">
        <v>67</v>
      </c>
      <c r="F356" s="2" t="s">
        <v>80</v>
      </c>
      <c r="G356" s="2" t="s">
        <v>87</v>
      </c>
      <c r="H356" s="2" t="s">
        <v>1156</v>
      </c>
      <c r="I356" s="2" t="str">
        <f t="shared" si="25"/>
        <v>Aug</v>
      </c>
      <c r="J356" s="2">
        <f t="shared" si="26"/>
        <v>8</v>
      </c>
      <c r="K356" s="2">
        <f t="shared" si="27"/>
        <v>2023</v>
      </c>
      <c r="L356" s="2">
        <f t="shared" si="28"/>
        <v>3</v>
      </c>
      <c r="M356" s="2">
        <v>2</v>
      </c>
      <c r="N356" s="2" t="s">
        <v>1176</v>
      </c>
      <c r="O356" s="2" t="s">
        <v>45</v>
      </c>
      <c r="P356" s="3">
        <v>126383</v>
      </c>
      <c r="Q356" s="2"/>
      <c r="R356" s="2"/>
      <c r="S356" s="2" t="s">
        <v>1063</v>
      </c>
      <c r="T356" s="2">
        <v>52.6</v>
      </c>
      <c r="U356" s="2" t="s">
        <v>29</v>
      </c>
      <c r="V356" s="2" t="s">
        <v>442</v>
      </c>
      <c r="W356" s="67" t="str">
        <f t="shared" si="29"/>
        <v>-</v>
      </c>
    </row>
    <row r="357" spans="1:23" x14ac:dyDescent="0.3">
      <c r="A357" s="6" t="s">
        <v>1177</v>
      </c>
      <c r="B357" s="6" t="s">
        <v>1178</v>
      </c>
      <c r="C357" s="6">
        <v>9712878747</v>
      </c>
      <c r="D357" s="6" t="s">
        <v>20</v>
      </c>
      <c r="E357" s="6" t="s">
        <v>41</v>
      </c>
      <c r="F357" s="6" t="s">
        <v>151</v>
      </c>
      <c r="G357" s="6" t="s">
        <v>23</v>
      </c>
      <c r="H357" s="6" t="s">
        <v>1156</v>
      </c>
      <c r="I357" s="2" t="str">
        <f t="shared" si="25"/>
        <v>Aug</v>
      </c>
      <c r="J357" s="2">
        <f t="shared" si="26"/>
        <v>8</v>
      </c>
      <c r="K357" s="2">
        <f t="shared" si="27"/>
        <v>2023</v>
      </c>
      <c r="L357" s="2">
        <f t="shared" si="28"/>
        <v>3</v>
      </c>
      <c r="M357" s="6">
        <v>4</v>
      </c>
      <c r="N357" s="6" t="s">
        <v>1095</v>
      </c>
      <c r="O357" s="6" t="s">
        <v>97</v>
      </c>
      <c r="P357" s="7">
        <v>596715</v>
      </c>
      <c r="Q357" s="7">
        <v>532030</v>
      </c>
      <c r="R357" s="6" t="s">
        <v>1180</v>
      </c>
      <c r="S357" s="6" t="s">
        <v>1063</v>
      </c>
      <c r="T357" s="6">
        <v>15.4</v>
      </c>
      <c r="U357" s="6" t="s">
        <v>63</v>
      </c>
      <c r="V357" s="6" t="s">
        <v>465</v>
      </c>
      <c r="W357" s="67" t="str">
        <f t="shared" si="29"/>
        <v>Architect</v>
      </c>
    </row>
    <row r="358" spans="1:23" x14ac:dyDescent="0.3">
      <c r="A358" s="6" t="s">
        <v>1181</v>
      </c>
      <c r="B358" s="6" t="s">
        <v>1182</v>
      </c>
      <c r="C358" s="6">
        <v>9382626443</v>
      </c>
      <c r="D358" s="6" t="s">
        <v>59</v>
      </c>
      <c r="E358" s="6" t="s">
        <v>73</v>
      </c>
      <c r="F358" s="6" t="s">
        <v>74</v>
      </c>
      <c r="G358" s="6" t="s">
        <v>87</v>
      </c>
      <c r="H358" s="6" t="s">
        <v>1183</v>
      </c>
      <c r="I358" s="2" t="str">
        <f t="shared" si="25"/>
        <v>Aug</v>
      </c>
      <c r="J358" s="2">
        <f t="shared" si="26"/>
        <v>8</v>
      </c>
      <c r="K358" s="2">
        <f t="shared" si="27"/>
        <v>2023</v>
      </c>
      <c r="L358" s="2">
        <f t="shared" si="28"/>
        <v>3</v>
      </c>
      <c r="M358" s="6">
        <v>7</v>
      </c>
      <c r="N358" s="6" t="s">
        <v>1184</v>
      </c>
      <c r="O358" s="6" t="s">
        <v>97</v>
      </c>
      <c r="P358" s="7">
        <v>149134</v>
      </c>
      <c r="Q358" s="7">
        <v>149184</v>
      </c>
      <c r="R358" s="6" t="s">
        <v>1185</v>
      </c>
      <c r="S358" s="6" t="s">
        <v>5819</v>
      </c>
      <c r="T358" s="6">
        <v>25.3</v>
      </c>
      <c r="U358" s="6" t="s">
        <v>63</v>
      </c>
      <c r="V358" s="6" t="s">
        <v>483</v>
      </c>
      <c r="W358" s="67" t="str">
        <f t="shared" si="29"/>
        <v>Customer</v>
      </c>
    </row>
    <row r="359" spans="1:23" x14ac:dyDescent="0.3">
      <c r="A359" s="4" t="s">
        <v>1186</v>
      </c>
      <c r="B359" s="4" t="s">
        <v>1187</v>
      </c>
      <c r="C359" s="4">
        <v>9698098197</v>
      </c>
      <c r="D359" s="4" t="s">
        <v>59</v>
      </c>
      <c r="E359" s="4" t="s">
        <v>33</v>
      </c>
      <c r="F359" s="4" t="s">
        <v>34</v>
      </c>
      <c r="G359" s="4" t="s">
        <v>23</v>
      </c>
      <c r="H359" s="4" t="s">
        <v>1105</v>
      </c>
      <c r="I359" s="2" t="str">
        <f t="shared" si="25"/>
        <v>Aug</v>
      </c>
      <c r="J359" s="2">
        <f t="shared" si="26"/>
        <v>8</v>
      </c>
      <c r="K359" s="2">
        <f t="shared" si="27"/>
        <v>2023</v>
      </c>
      <c r="L359" s="2">
        <f t="shared" si="28"/>
        <v>3</v>
      </c>
      <c r="M359" s="4">
        <v>12</v>
      </c>
      <c r="N359" s="4" t="s">
        <v>1180</v>
      </c>
      <c r="O359" s="4" t="s">
        <v>27</v>
      </c>
      <c r="P359" s="5">
        <v>614498</v>
      </c>
      <c r="Q359" s="4"/>
      <c r="R359" s="4"/>
      <c r="S359" s="4" t="s">
        <v>28</v>
      </c>
      <c r="T359" s="4">
        <v>21.5</v>
      </c>
      <c r="U359" s="4" t="s">
        <v>29</v>
      </c>
      <c r="V359" s="4" t="s">
        <v>118</v>
      </c>
      <c r="W359" s="67" t="str">
        <f t="shared" si="29"/>
        <v>-</v>
      </c>
    </row>
    <row r="360" spans="1:23" x14ac:dyDescent="0.3">
      <c r="A360" s="2" t="s">
        <v>1188</v>
      </c>
      <c r="B360" s="2" t="s">
        <v>1189</v>
      </c>
      <c r="C360" s="2">
        <v>9423766892</v>
      </c>
      <c r="D360" s="2" t="s">
        <v>121</v>
      </c>
      <c r="E360" s="2" t="s">
        <v>41</v>
      </c>
      <c r="F360" s="2" t="s">
        <v>42</v>
      </c>
      <c r="G360" s="2" t="s">
        <v>23</v>
      </c>
      <c r="H360" s="2" t="s">
        <v>1105</v>
      </c>
      <c r="I360" s="2" t="str">
        <f t="shared" si="25"/>
        <v>Aug</v>
      </c>
      <c r="J360" s="2">
        <f t="shared" si="26"/>
        <v>8</v>
      </c>
      <c r="K360" s="2">
        <f t="shared" si="27"/>
        <v>2023</v>
      </c>
      <c r="L360" s="2">
        <f t="shared" si="28"/>
        <v>3</v>
      </c>
      <c r="M360" s="2">
        <v>12</v>
      </c>
      <c r="N360" s="2" t="s">
        <v>1190</v>
      </c>
      <c r="O360" s="2" t="s">
        <v>27</v>
      </c>
      <c r="P360" s="3">
        <v>440132</v>
      </c>
      <c r="Q360" s="2"/>
      <c r="R360" s="2"/>
      <c r="S360" s="2" t="s">
        <v>5819</v>
      </c>
      <c r="T360" s="2">
        <v>34.1</v>
      </c>
      <c r="U360" s="2" t="s">
        <v>29</v>
      </c>
      <c r="V360" s="2" t="s">
        <v>202</v>
      </c>
      <c r="W360" s="67" t="str">
        <f t="shared" si="29"/>
        <v>-</v>
      </c>
    </row>
    <row r="361" spans="1:23" x14ac:dyDescent="0.3">
      <c r="A361" s="4" t="s">
        <v>1191</v>
      </c>
      <c r="B361" s="4" t="s">
        <v>1192</v>
      </c>
      <c r="C361" s="4">
        <v>9426355333</v>
      </c>
      <c r="D361" s="4" t="s">
        <v>121</v>
      </c>
      <c r="E361" s="4" t="s">
        <v>67</v>
      </c>
      <c r="F361" s="4" t="s">
        <v>80</v>
      </c>
      <c r="G361" s="4" t="s">
        <v>52</v>
      </c>
      <c r="H361" s="4" t="s">
        <v>1171</v>
      </c>
      <c r="I361" s="2" t="str">
        <f t="shared" si="25"/>
        <v>Aug</v>
      </c>
      <c r="J361" s="2">
        <f t="shared" si="26"/>
        <v>8</v>
      </c>
      <c r="K361" s="2">
        <f t="shared" si="27"/>
        <v>2023</v>
      </c>
      <c r="L361" s="2">
        <f t="shared" si="28"/>
        <v>3</v>
      </c>
      <c r="M361" s="4">
        <v>9</v>
      </c>
      <c r="N361" s="4" t="s">
        <v>1193</v>
      </c>
      <c r="O361" s="4" t="s">
        <v>45</v>
      </c>
      <c r="P361" s="5">
        <v>306257</v>
      </c>
      <c r="Q361" s="4"/>
      <c r="R361" s="4"/>
      <c r="S361" s="4" t="s">
        <v>28</v>
      </c>
      <c r="T361" s="4">
        <v>5.6</v>
      </c>
      <c r="U361" s="4" t="s">
        <v>47</v>
      </c>
      <c r="V361" s="4" t="s">
        <v>310</v>
      </c>
      <c r="W361" s="67" t="str">
        <f t="shared" si="29"/>
        <v>-</v>
      </c>
    </row>
    <row r="362" spans="1:23" x14ac:dyDescent="0.3">
      <c r="A362" s="2" t="s">
        <v>1194</v>
      </c>
      <c r="B362" s="2" t="s">
        <v>1195</v>
      </c>
      <c r="C362" s="2">
        <v>9695179948</v>
      </c>
      <c r="D362" s="2" t="s">
        <v>20</v>
      </c>
      <c r="E362" s="2" t="s">
        <v>67</v>
      </c>
      <c r="F362" s="2" t="s">
        <v>68</v>
      </c>
      <c r="G362" s="2" t="s">
        <v>52</v>
      </c>
      <c r="H362" s="2" t="s">
        <v>1179</v>
      </c>
      <c r="I362" s="2" t="str">
        <f t="shared" si="25"/>
        <v>Aug</v>
      </c>
      <c r="J362" s="2">
        <f t="shared" si="26"/>
        <v>8</v>
      </c>
      <c r="K362" s="2">
        <f t="shared" si="27"/>
        <v>2023</v>
      </c>
      <c r="L362" s="2">
        <f t="shared" si="28"/>
        <v>3</v>
      </c>
      <c r="M362" s="2">
        <v>6</v>
      </c>
      <c r="N362" s="2" t="s">
        <v>1180</v>
      </c>
      <c r="O362" s="2" t="s">
        <v>45</v>
      </c>
      <c r="P362" s="3">
        <v>273167</v>
      </c>
      <c r="Q362" s="2"/>
      <c r="R362" s="2"/>
      <c r="S362" s="2" t="s">
        <v>28</v>
      </c>
      <c r="T362" s="2">
        <v>61.6</v>
      </c>
      <c r="U362" s="2" t="s">
        <v>63</v>
      </c>
      <c r="V362" s="2" t="s">
        <v>260</v>
      </c>
      <c r="W362" s="67" t="str">
        <f t="shared" si="29"/>
        <v>-</v>
      </c>
    </row>
    <row r="363" spans="1:23" x14ac:dyDescent="0.3">
      <c r="A363" s="6" t="s">
        <v>1196</v>
      </c>
      <c r="B363" s="6" t="s">
        <v>1197</v>
      </c>
      <c r="C363" s="6">
        <v>9351081528</v>
      </c>
      <c r="D363" s="6" t="s">
        <v>108</v>
      </c>
      <c r="E363" s="6" t="s">
        <v>41</v>
      </c>
      <c r="F363" s="6" t="s">
        <v>92</v>
      </c>
      <c r="G363" s="6" t="s">
        <v>60</v>
      </c>
      <c r="H363" s="6" t="s">
        <v>1198</v>
      </c>
      <c r="I363" s="2" t="str">
        <f t="shared" si="25"/>
        <v>Aug</v>
      </c>
      <c r="J363" s="2">
        <f t="shared" si="26"/>
        <v>8</v>
      </c>
      <c r="K363" s="2">
        <f t="shared" si="27"/>
        <v>2023</v>
      </c>
      <c r="L363" s="2">
        <f t="shared" si="28"/>
        <v>3</v>
      </c>
      <c r="M363" s="6">
        <v>12</v>
      </c>
      <c r="N363" s="6" t="s">
        <v>1190</v>
      </c>
      <c r="O363" s="6" t="s">
        <v>97</v>
      </c>
      <c r="P363" s="7">
        <v>110555</v>
      </c>
      <c r="Q363" s="7">
        <v>108659</v>
      </c>
      <c r="R363" s="6" t="s">
        <v>1199</v>
      </c>
      <c r="S363" s="6" t="s">
        <v>28</v>
      </c>
      <c r="T363" s="6">
        <v>34.799999999999997</v>
      </c>
      <c r="U363" s="6" t="s">
        <v>63</v>
      </c>
      <c r="V363" s="6" t="s">
        <v>170</v>
      </c>
      <c r="W363" s="67" t="str">
        <f t="shared" si="29"/>
        <v>Customer</v>
      </c>
    </row>
    <row r="364" spans="1:23" x14ac:dyDescent="0.3">
      <c r="A364" s="6" t="s">
        <v>1200</v>
      </c>
      <c r="B364" s="6" t="s">
        <v>1201</v>
      </c>
      <c r="C364" s="6">
        <v>9960652062</v>
      </c>
      <c r="D364" s="6" t="s">
        <v>59</v>
      </c>
      <c r="E364" s="6" t="s">
        <v>67</v>
      </c>
      <c r="F364" s="6" t="s">
        <v>68</v>
      </c>
      <c r="G364" s="6" t="s">
        <v>87</v>
      </c>
      <c r="H364" s="6" t="s">
        <v>1198</v>
      </c>
      <c r="I364" s="2" t="str">
        <f t="shared" si="25"/>
        <v>Aug</v>
      </c>
      <c r="J364" s="2">
        <f t="shared" si="26"/>
        <v>8</v>
      </c>
      <c r="K364" s="2">
        <f t="shared" si="27"/>
        <v>2023</v>
      </c>
      <c r="L364" s="2">
        <f t="shared" si="28"/>
        <v>3</v>
      </c>
      <c r="M364" s="6">
        <v>7</v>
      </c>
      <c r="N364" s="6" t="s">
        <v>1202</v>
      </c>
      <c r="O364" s="6" t="s">
        <v>97</v>
      </c>
      <c r="P364" s="7">
        <v>279136</v>
      </c>
      <c r="Q364" s="7">
        <v>270362</v>
      </c>
      <c r="R364" s="6" t="s">
        <v>1203</v>
      </c>
      <c r="S364" s="6" t="s">
        <v>1063</v>
      </c>
      <c r="T364" s="6">
        <v>48</v>
      </c>
      <c r="U364" s="6" t="s">
        <v>63</v>
      </c>
      <c r="V364" s="6" t="s">
        <v>286</v>
      </c>
      <c r="W364" s="67" t="str">
        <f t="shared" si="29"/>
        <v>Customer</v>
      </c>
    </row>
    <row r="365" spans="1:23" x14ac:dyDescent="0.3">
      <c r="A365" s="4" t="s">
        <v>1204</v>
      </c>
      <c r="B365" s="4" t="s">
        <v>1205</v>
      </c>
      <c r="C365" s="4">
        <v>9150518836</v>
      </c>
      <c r="D365" s="4" t="s">
        <v>20</v>
      </c>
      <c r="E365" s="4" t="s">
        <v>67</v>
      </c>
      <c r="F365" s="4" t="s">
        <v>80</v>
      </c>
      <c r="G365" s="4" t="s">
        <v>52</v>
      </c>
      <c r="H365" s="4" t="s">
        <v>1198</v>
      </c>
      <c r="I365" s="2" t="str">
        <f t="shared" si="25"/>
        <v>Aug</v>
      </c>
      <c r="J365" s="2">
        <f t="shared" si="26"/>
        <v>8</v>
      </c>
      <c r="K365" s="2">
        <f t="shared" si="27"/>
        <v>2023</v>
      </c>
      <c r="L365" s="2">
        <f t="shared" si="28"/>
        <v>3</v>
      </c>
      <c r="M365" s="4">
        <v>7</v>
      </c>
      <c r="N365" s="4" t="s">
        <v>1206</v>
      </c>
      <c r="O365" s="4" t="s">
        <v>45</v>
      </c>
      <c r="P365" s="5">
        <v>234308</v>
      </c>
      <c r="Q365" s="4"/>
      <c r="R365" s="4"/>
      <c r="S365" s="4" t="s">
        <v>28</v>
      </c>
      <c r="T365" s="4">
        <v>10.9</v>
      </c>
      <c r="U365" s="4" t="s">
        <v>47</v>
      </c>
      <c r="V365" s="4" t="s">
        <v>310</v>
      </c>
      <c r="W365" s="67" t="str">
        <f t="shared" si="29"/>
        <v>-</v>
      </c>
    </row>
    <row r="366" spans="1:23" x14ac:dyDescent="0.3">
      <c r="A366" s="2" t="s">
        <v>1207</v>
      </c>
      <c r="B366" s="2" t="s">
        <v>1208</v>
      </c>
      <c r="C366" s="2">
        <v>9552989372</v>
      </c>
      <c r="D366" s="2" t="s">
        <v>51</v>
      </c>
      <c r="E366" s="2" t="s">
        <v>67</v>
      </c>
      <c r="F366" s="2" t="s">
        <v>80</v>
      </c>
      <c r="G366" s="2" t="s">
        <v>23</v>
      </c>
      <c r="H366" s="2" t="s">
        <v>1209</v>
      </c>
      <c r="I366" s="2" t="str">
        <f t="shared" si="25"/>
        <v>Aug</v>
      </c>
      <c r="J366" s="2">
        <f t="shared" si="26"/>
        <v>8</v>
      </c>
      <c r="K366" s="2">
        <f t="shared" si="27"/>
        <v>2023</v>
      </c>
      <c r="L366" s="2">
        <f t="shared" si="28"/>
        <v>3</v>
      </c>
      <c r="M366" s="2">
        <v>3</v>
      </c>
      <c r="N366" s="2" t="s">
        <v>1210</v>
      </c>
      <c r="O366" s="2" t="s">
        <v>27</v>
      </c>
      <c r="P366" s="3">
        <v>411048</v>
      </c>
      <c r="Q366" s="2"/>
      <c r="R366" s="2"/>
      <c r="S366" s="2" t="s">
        <v>28</v>
      </c>
      <c r="T366" s="2">
        <v>62.4</v>
      </c>
      <c r="U366" s="2" t="s">
        <v>29</v>
      </c>
      <c r="V366" s="2" t="s">
        <v>153</v>
      </c>
      <c r="W366" s="67" t="str">
        <f t="shared" si="29"/>
        <v>-</v>
      </c>
    </row>
    <row r="367" spans="1:23" x14ac:dyDescent="0.3">
      <c r="A367" s="6" t="s">
        <v>1211</v>
      </c>
      <c r="B367" s="6" t="s">
        <v>1212</v>
      </c>
      <c r="C367" s="6">
        <v>9424814794</v>
      </c>
      <c r="D367" s="6" t="s">
        <v>51</v>
      </c>
      <c r="E367" s="6" t="s">
        <v>41</v>
      </c>
      <c r="F367" s="6" t="s">
        <v>92</v>
      </c>
      <c r="G367" s="6" t="s">
        <v>52</v>
      </c>
      <c r="H367" s="6" t="s">
        <v>1132</v>
      </c>
      <c r="I367" s="2" t="str">
        <f t="shared" si="25"/>
        <v>Aug</v>
      </c>
      <c r="J367" s="2">
        <f t="shared" si="26"/>
        <v>8</v>
      </c>
      <c r="K367" s="2">
        <f t="shared" si="27"/>
        <v>2023</v>
      </c>
      <c r="L367" s="2">
        <f t="shared" si="28"/>
        <v>3</v>
      </c>
      <c r="M367" s="6">
        <v>10</v>
      </c>
      <c r="N367" s="6" t="s">
        <v>1213</v>
      </c>
      <c r="O367" s="6" t="s">
        <v>97</v>
      </c>
      <c r="P367" s="7">
        <v>204346</v>
      </c>
      <c r="Q367" s="7">
        <v>199861</v>
      </c>
      <c r="R367" s="6" t="s">
        <v>1214</v>
      </c>
      <c r="S367" s="6" t="s">
        <v>28</v>
      </c>
      <c r="T367" s="6">
        <v>65.8</v>
      </c>
      <c r="U367" s="6" t="s">
        <v>63</v>
      </c>
      <c r="V367" s="6" t="s">
        <v>170</v>
      </c>
      <c r="W367" s="67" t="str">
        <f t="shared" si="29"/>
        <v>Customer</v>
      </c>
    </row>
    <row r="368" spans="1:23" x14ac:dyDescent="0.3">
      <c r="A368" s="2" t="s">
        <v>1215</v>
      </c>
      <c r="B368" s="2" t="s">
        <v>595</v>
      </c>
      <c r="C368" s="2">
        <v>9858021852</v>
      </c>
      <c r="D368" s="2" t="s">
        <v>20</v>
      </c>
      <c r="E368" s="2" t="s">
        <v>41</v>
      </c>
      <c r="F368" s="2" t="s">
        <v>151</v>
      </c>
      <c r="G368" s="2" t="s">
        <v>616</v>
      </c>
      <c r="H368" s="2" t="s">
        <v>1132</v>
      </c>
      <c r="I368" s="2" t="str">
        <f t="shared" si="25"/>
        <v>Aug</v>
      </c>
      <c r="J368" s="2">
        <f t="shared" si="26"/>
        <v>8</v>
      </c>
      <c r="K368" s="2">
        <f t="shared" si="27"/>
        <v>2023</v>
      </c>
      <c r="L368" s="2">
        <f t="shared" si="28"/>
        <v>3</v>
      </c>
      <c r="M368" s="2">
        <v>2</v>
      </c>
      <c r="N368" s="2" t="s">
        <v>1217</v>
      </c>
      <c r="O368" s="2" t="s">
        <v>45</v>
      </c>
      <c r="P368" s="3">
        <v>215404</v>
      </c>
      <c r="Q368" s="2"/>
      <c r="R368" s="2"/>
      <c r="S368" s="2" t="s">
        <v>1063</v>
      </c>
      <c r="T368" s="2">
        <v>14.1</v>
      </c>
      <c r="U368" s="2" t="s">
        <v>63</v>
      </c>
      <c r="V368" s="2" t="s">
        <v>559</v>
      </c>
      <c r="W368" s="67" t="str">
        <f t="shared" si="29"/>
        <v>-</v>
      </c>
    </row>
    <row r="369" spans="1:23" x14ac:dyDescent="0.3">
      <c r="A369" s="6" t="s">
        <v>1218</v>
      </c>
      <c r="B369" s="6" t="s">
        <v>1219</v>
      </c>
      <c r="C369" s="6">
        <v>9110682349</v>
      </c>
      <c r="D369" s="6" t="s">
        <v>51</v>
      </c>
      <c r="E369" s="6" t="s">
        <v>41</v>
      </c>
      <c r="F369" s="6" t="s">
        <v>151</v>
      </c>
      <c r="G369" s="6" t="s">
        <v>60</v>
      </c>
      <c r="H369" s="6" t="s">
        <v>1216</v>
      </c>
      <c r="I369" s="2" t="str">
        <f t="shared" si="25"/>
        <v>Aug</v>
      </c>
      <c r="J369" s="2">
        <f t="shared" si="26"/>
        <v>8</v>
      </c>
      <c r="K369" s="2">
        <f t="shared" si="27"/>
        <v>2023</v>
      </c>
      <c r="L369" s="2">
        <f t="shared" si="28"/>
        <v>3</v>
      </c>
      <c r="M369" s="6">
        <v>12</v>
      </c>
      <c r="N369" s="6" t="s">
        <v>1221</v>
      </c>
      <c r="O369" s="6" t="s">
        <v>97</v>
      </c>
      <c r="P369" s="7">
        <v>70320</v>
      </c>
      <c r="Q369" s="7">
        <v>67932</v>
      </c>
      <c r="R369" s="6" t="s">
        <v>1222</v>
      </c>
      <c r="S369" s="6" t="s">
        <v>1063</v>
      </c>
      <c r="T369" s="6">
        <v>68.7</v>
      </c>
      <c r="U369" s="6" t="s">
        <v>47</v>
      </c>
      <c r="V369" s="6" t="s">
        <v>286</v>
      </c>
      <c r="W369" s="67" t="str">
        <f t="shared" si="29"/>
        <v>Architect</v>
      </c>
    </row>
    <row r="370" spans="1:23" x14ac:dyDescent="0.3">
      <c r="A370" s="2" t="s">
        <v>1223</v>
      </c>
      <c r="B370" s="2" t="s">
        <v>1000</v>
      </c>
      <c r="C370" s="2">
        <v>9591465381</v>
      </c>
      <c r="D370" s="2" t="s">
        <v>20</v>
      </c>
      <c r="E370" s="2" t="s">
        <v>67</v>
      </c>
      <c r="F370" s="2" t="s">
        <v>68</v>
      </c>
      <c r="G370" s="2" t="s">
        <v>69</v>
      </c>
      <c r="H370" s="2" t="s">
        <v>1147</v>
      </c>
      <c r="I370" s="2" t="str">
        <f t="shared" si="25"/>
        <v>Aug</v>
      </c>
      <c r="J370" s="2">
        <f t="shared" si="26"/>
        <v>8</v>
      </c>
      <c r="K370" s="2">
        <f t="shared" si="27"/>
        <v>2023</v>
      </c>
      <c r="L370" s="2">
        <f t="shared" si="28"/>
        <v>3</v>
      </c>
      <c r="M370" s="2">
        <v>2</v>
      </c>
      <c r="N370" s="2" t="s">
        <v>1184</v>
      </c>
      <c r="O370" s="2" t="s">
        <v>45</v>
      </c>
      <c r="P370" s="3">
        <v>272891</v>
      </c>
      <c r="Q370" s="2"/>
      <c r="R370" s="2"/>
      <c r="S370" s="2" t="s">
        <v>1063</v>
      </c>
      <c r="T370" s="2">
        <v>70.2</v>
      </c>
      <c r="U370" s="2" t="s">
        <v>47</v>
      </c>
      <c r="V370" s="2" t="s">
        <v>183</v>
      </c>
      <c r="W370" s="67" t="str">
        <f t="shared" si="29"/>
        <v>-</v>
      </c>
    </row>
    <row r="371" spans="1:23" x14ac:dyDescent="0.3">
      <c r="A371" s="4" t="s">
        <v>1224</v>
      </c>
      <c r="B371" s="4" t="s">
        <v>1225</v>
      </c>
      <c r="C371" s="4">
        <v>9793830293</v>
      </c>
      <c r="D371" s="4" t="s">
        <v>121</v>
      </c>
      <c r="E371" s="4" t="s">
        <v>41</v>
      </c>
      <c r="F371" s="4" t="s">
        <v>92</v>
      </c>
      <c r="G371" s="4" t="s">
        <v>52</v>
      </c>
      <c r="H371" s="4" t="s">
        <v>1220</v>
      </c>
      <c r="I371" s="2" t="str">
        <f t="shared" si="25"/>
        <v>Aug</v>
      </c>
      <c r="J371" s="2">
        <f t="shared" si="26"/>
        <v>8</v>
      </c>
      <c r="K371" s="2">
        <f t="shared" si="27"/>
        <v>2023</v>
      </c>
      <c r="L371" s="2">
        <f t="shared" si="28"/>
        <v>3</v>
      </c>
      <c r="M371" s="4">
        <v>7</v>
      </c>
      <c r="N371" s="4" t="s">
        <v>1226</v>
      </c>
      <c r="O371" s="4" t="s">
        <v>45</v>
      </c>
      <c r="P371" s="5">
        <v>172125</v>
      </c>
      <c r="Q371" s="4"/>
      <c r="R371" s="4"/>
      <c r="S371" s="4" t="s">
        <v>28</v>
      </c>
      <c r="T371" s="4">
        <v>64.7</v>
      </c>
      <c r="U371" s="4" t="s">
        <v>63</v>
      </c>
      <c r="V371" s="4" t="s">
        <v>559</v>
      </c>
      <c r="W371" s="67" t="str">
        <f t="shared" si="29"/>
        <v>-</v>
      </c>
    </row>
    <row r="372" spans="1:23" x14ac:dyDescent="0.3">
      <c r="A372" s="2" t="s">
        <v>1227</v>
      </c>
      <c r="B372" s="2" t="s">
        <v>1228</v>
      </c>
      <c r="C372" s="2">
        <v>9357784072</v>
      </c>
      <c r="D372" s="2" t="s">
        <v>20</v>
      </c>
      <c r="E372" s="2" t="s">
        <v>41</v>
      </c>
      <c r="F372" s="2" t="s">
        <v>151</v>
      </c>
      <c r="G372" s="2" t="s">
        <v>23</v>
      </c>
      <c r="H372" s="2" t="s">
        <v>1176</v>
      </c>
      <c r="I372" s="2" t="str">
        <f t="shared" si="25"/>
        <v>Aug</v>
      </c>
      <c r="J372" s="2">
        <f t="shared" si="26"/>
        <v>8</v>
      </c>
      <c r="K372" s="2">
        <f t="shared" si="27"/>
        <v>2023</v>
      </c>
      <c r="L372" s="2">
        <f t="shared" si="28"/>
        <v>3</v>
      </c>
      <c r="M372" s="2">
        <v>6</v>
      </c>
      <c r="N372" s="2" t="s">
        <v>1229</v>
      </c>
      <c r="O372" s="2" t="s">
        <v>62</v>
      </c>
      <c r="P372" s="3">
        <v>510143</v>
      </c>
      <c r="Q372" s="2"/>
      <c r="R372" s="2"/>
      <c r="S372" s="2" t="s">
        <v>28</v>
      </c>
      <c r="T372" s="2">
        <v>8.8000000000000007</v>
      </c>
      <c r="U372" s="2" t="s">
        <v>63</v>
      </c>
      <c r="V372" s="2" t="s">
        <v>64</v>
      </c>
      <c r="W372" s="67" t="str">
        <f t="shared" si="29"/>
        <v>-</v>
      </c>
    </row>
    <row r="373" spans="1:23" x14ac:dyDescent="0.3">
      <c r="A373" s="4" t="s">
        <v>1230</v>
      </c>
      <c r="B373" s="4" t="s">
        <v>739</v>
      </c>
      <c r="C373" s="4">
        <v>9320531781</v>
      </c>
      <c r="D373" s="4" t="s">
        <v>108</v>
      </c>
      <c r="E373" s="4" t="s">
        <v>109</v>
      </c>
      <c r="F373" s="4" t="s">
        <v>110</v>
      </c>
      <c r="G373" s="4" t="s">
        <v>87</v>
      </c>
      <c r="H373" s="4" t="s">
        <v>1176</v>
      </c>
      <c r="I373" s="2" t="str">
        <f t="shared" si="25"/>
        <v>Aug</v>
      </c>
      <c r="J373" s="2">
        <f t="shared" si="26"/>
        <v>8</v>
      </c>
      <c r="K373" s="2">
        <f t="shared" si="27"/>
        <v>2023</v>
      </c>
      <c r="L373" s="2">
        <f t="shared" si="28"/>
        <v>3</v>
      </c>
      <c r="M373" s="4">
        <v>8</v>
      </c>
      <c r="N373" s="4" t="s">
        <v>1226</v>
      </c>
      <c r="O373" s="4" t="s">
        <v>55</v>
      </c>
      <c r="P373" s="5">
        <v>177501</v>
      </c>
      <c r="Q373" s="4"/>
      <c r="R373" s="4"/>
      <c r="S373" s="4" t="s">
        <v>1063</v>
      </c>
      <c r="T373" s="4">
        <v>60</v>
      </c>
      <c r="U373" s="4" t="s">
        <v>29</v>
      </c>
      <c r="V373" s="4" t="s">
        <v>805</v>
      </c>
      <c r="W373" s="67" t="str">
        <f t="shared" si="29"/>
        <v>-</v>
      </c>
    </row>
    <row r="374" spans="1:23" x14ac:dyDescent="0.3">
      <c r="A374" s="6" t="s">
        <v>1231</v>
      </c>
      <c r="B374" s="6" t="s">
        <v>1232</v>
      </c>
      <c r="C374" s="6">
        <v>9601869492</v>
      </c>
      <c r="D374" s="6" t="s">
        <v>20</v>
      </c>
      <c r="E374" s="6" t="s">
        <v>41</v>
      </c>
      <c r="F374" s="6" t="s">
        <v>151</v>
      </c>
      <c r="G374" s="6" t="s">
        <v>69</v>
      </c>
      <c r="H374" s="6" t="s">
        <v>1108</v>
      </c>
      <c r="I374" s="2" t="str">
        <f t="shared" si="25"/>
        <v>Sep</v>
      </c>
      <c r="J374" s="2">
        <f t="shared" si="26"/>
        <v>9</v>
      </c>
      <c r="K374" s="2">
        <f t="shared" si="27"/>
        <v>2023</v>
      </c>
      <c r="L374" s="2">
        <f t="shared" si="28"/>
        <v>3</v>
      </c>
      <c r="M374" s="6">
        <v>10</v>
      </c>
      <c r="N374" s="6" t="s">
        <v>1180</v>
      </c>
      <c r="O374" s="6" t="s">
        <v>97</v>
      </c>
      <c r="P374" s="7">
        <v>171854</v>
      </c>
      <c r="Q374" s="7">
        <v>155162</v>
      </c>
      <c r="R374" s="6" t="s">
        <v>1233</v>
      </c>
      <c r="S374" s="6" t="s">
        <v>1063</v>
      </c>
      <c r="T374" s="6">
        <v>17.3</v>
      </c>
      <c r="U374" s="6" t="s">
        <v>63</v>
      </c>
      <c r="V374" s="6" t="s">
        <v>286</v>
      </c>
      <c r="W374" s="67" t="str">
        <f t="shared" si="29"/>
        <v>Architect</v>
      </c>
    </row>
    <row r="375" spans="1:23" x14ac:dyDescent="0.3">
      <c r="A375" s="4" t="s">
        <v>1234</v>
      </c>
      <c r="B375" s="4" t="s">
        <v>1235</v>
      </c>
      <c r="C375" s="4">
        <v>9425535468</v>
      </c>
      <c r="D375" s="4" t="s">
        <v>20</v>
      </c>
      <c r="E375" s="4" t="s">
        <v>33</v>
      </c>
      <c r="F375" s="4" t="s">
        <v>34</v>
      </c>
      <c r="G375" s="4" t="s">
        <v>87</v>
      </c>
      <c r="H375" s="4" t="s">
        <v>1108</v>
      </c>
      <c r="I375" s="2" t="str">
        <f t="shared" si="25"/>
        <v>Sep</v>
      </c>
      <c r="J375" s="2">
        <f t="shared" si="26"/>
        <v>9</v>
      </c>
      <c r="K375" s="2">
        <f t="shared" si="27"/>
        <v>2023</v>
      </c>
      <c r="L375" s="2">
        <f t="shared" si="28"/>
        <v>3</v>
      </c>
      <c r="M375" s="4">
        <v>3</v>
      </c>
      <c r="N375" s="4" t="s">
        <v>1162</v>
      </c>
      <c r="O375" s="4" t="s">
        <v>55</v>
      </c>
      <c r="P375" s="5">
        <v>159307</v>
      </c>
      <c r="Q375" s="4"/>
      <c r="R375" s="4"/>
      <c r="S375" s="4" t="s">
        <v>28</v>
      </c>
      <c r="T375" s="4">
        <v>23.1</v>
      </c>
      <c r="U375" s="4" t="s">
        <v>47</v>
      </c>
      <c r="V375" s="4" t="s">
        <v>597</v>
      </c>
      <c r="W375" s="67" t="str">
        <f t="shared" si="29"/>
        <v>-</v>
      </c>
    </row>
    <row r="376" spans="1:23" x14ac:dyDescent="0.3">
      <c r="A376" s="2" t="s">
        <v>1236</v>
      </c>
      <c r="B376" s="2" t="s">
        <v>1237</v>
      </c>
      <c r="C376" s="2">
        <v>9982222571</v>
      </c>
      <c r="D376" s="2" t="s">
        <v>108</v>
      </c>
      <c r="E376" s="2" t="s">
        <v>33</v>
      </c>
      <c r="F376" s="2" t="s">
        <v>34</v>
      </c>
      <c r="G376" s="2" t="s">
        <v>87</v>
      </c>
      <c r="H376" s="2" t="s">
        <v>1129</v>
      </c>
      <c r="I376" s="2" t="str">
        <f t="shared" si="25"/>
        <v>Sep</v>
      </c>
      <c r="J376" s="2">
        <f t="shared" si="26"/>
        <v>9</v>
      </c>
      <c r="K376" s="2">
        <f t="shared" si="27"/>
        <v>2023</v>
      </c>
      <c r="L376" s="2">
        <f t="shared" si="28"/>
        <v>3</v>
      </c>
      <c r="M376" s="2">
        <v>7</v>
      </c>
      <c r="N376" s="2" t="s">
        <v>1238</v>
      </c>
      <c r="O376" s="2" t="s">
        <v>62</v>
      </c>
      <c r="P376" s="3">
        <v>96492</v>
      </c>
      <c r="Q376" s="2"/>
      <c r="R376" s="2"/>
      <c r="S376" s="2" t="s">
        <v>5819</v>
      </c>
      <c r="T376" s="2">
        <v>21</v>
      </c>
      <c r="U376" s="2" t="s">
        <v>63</v>
      </c>
      <c r="V376" s="2" t="s">
        <v>678</v>
      </c>
      <c r="W376" s="67" t="str">
        <f t="shared" si="29"/>
        <v>-</v>
      </c>
    </row>
    <row r="377" spans="1:23" x14ac:dyDescent="0.3">
      <c r="A377" s="6" t="s">
        <v>1239</v>
      </c>
      <c r="B377" s="6" t="s">
        <v>1240</v>
      </c>
      <c r="C377" s="6">
        <v>9109163182</v>
      </c>
      <c r="D377" s="6" t="s">
        <v>59</v>
      </c>
      <c r="E377" s="6" t="s">
        <v>33</v>
      </c>
      <c r="F377" s="6" t="s">
        <v>34</v>
      </c>
      <c r="G377" s="6" t="s">
        <v>23</v>
      </c>
      <c r="H377" s="6" t="s">
        <v>1129</v>
      </c>
      <c r="I377" s="2" t="str">
        <f t="shared" si="25"/>
        <v>Sep</v>
      </c>
      <c r="J377" s="2">
        <f t="shared" si="26"/>
        <v>9</v>
      </c>
      <c r="K377" s="2">
        <f t="shared" si="27"/>
        <v>2023</v>
      </c>
      <c r="L377" s="2">
        <f t="shared" si="28"/>
        <v>3</v>
      </c>
      <c r="M377" s="6">
        <v>3</v>
      </c>
      <c r="N377" s="6" t="s">
        <v>1180</v>
      </c>
      <c r="O377" s="6" t="s">
        <v>97</v>
      </c>
      <c r="P377" s="7">
        <v>563775</v>
      </c>
      <c r="Q377" s="7">
        <v>546178</v>
      </c>
      <c r="R377" s="6" t="s">
        <v>1213</v>
      </c>
      <c r="S377" s="6" t="s">
        <v>28</v>
      </c>
      <c r="T377" s="6">
        <v>24.6</v>
      </c>
      <c r="U377" s="6" t="s">
        <v>63</v>
      </c>
      <c r="V377" s="6" t="s">
        <v>170</v>
      </c>
      <c r="W377" s="67" t="str">
        <f t="shared" si="29"/>
        <v>Customer</v>
      </c>
    </row>
    <row r="378" spans="1:23" x14ac:dyDescent="0.3">
      <c r="A378" s="2" t="s">
        <v>1242</v>
      </c>
      <c r="B378" s="2" t="s">
        <v>1243</v>
      </c>
      <c r="C378" s="2">
        <v>9448126205</v>
      </c>
      <c r="D378" s="2" t="s">
        <v>20</v>
      </c>
      <c r="E378" s="2" t="s">
        <v>33</v>
      </c>
      <c r="F378" s="2" t="s">
        <v>34</v>
      </c>
      <c r="G378" s="2" t="s">
        <v>52</v>
      </c>
      <c r="H378" s="2" t="s">
        <v>1129</v>
      </c>
      <c r="I378" s="2" t="str">
        <f t="shared" si="25"/>
        <v>Sep</v>
      </c>
      <c r="J378" s="2">
        <f t="shared" si="26"/>
        <v>9</v>
      </c>
      <c r="K378" s="2">
        <f t="shared" si="27"/>
        <v>2023</v>
      </c>
      <c r="L378" s="2">
        <f t="shared" si="28"/>
        <v>3</v>
      </c>
      <c r="M378" s="2">
        <v>6</v>
      </c>
      <c r="N378" s="2" t="s">
        <v>1193</v>
      </c>
      <c r="O378" s="2" t="s">
        <v>45</v>
      </c>
      <c r="P378" s="3">
        <v>322719</v>
      </c>
      <c r="Q378" s="2"/>
      <c r="R378" s="2"/>
      <c r="S378" s="2" t="s">
        <v>1063</v>
      </c>
      <c r="T378" s="2">
        <v>52.5</v>
      </c>
      <c r="U378" s="2" t="s">
        <v>63</v>
      </c>
      <c r="V378" s="2" t="s">
        <v>678</v>
      </c>
      <c r="W378" s="67" t="str">
        <f t="shared" si="29"/>
        <v>-</v>
      </c>
    </row>
    <row r="379" spans="1:23" x14ac:dyDescent="0.3">
      <c r="A379" s="4" t="s">
        <v>1244</v>
      </c>
      <c r="B379" s="4" t="s">
        <v>120</v>
      </c>
      <c r="C379" s="4">
        <v>9695395166</v>
      </c>
      <c r="D379" s="4" t="s">
        <v>59</v>
      </c>
      <c r="E379" s="4" t="s">
        <v>73</v>
      </c>
      <c r="F379" s="4" t="s">
        <v>74</v>
      </c>
      <c r="G379" s="4" t="s">
        <v>87</v>
      </c>
      <c r="H379" s="4" t="s">
        <v>1210</v>
      </c>
      <c r="I379" s="2" t="str">
        <f t="shared" si="25"/>
        <v>Sep</v>
      </c>
      <c r="J379" s="2">
        <f t="shared" si="26"/>
        <v>9</v>
      </c>
      <c r="K379" s="2">
        <f t="shared" si="27"/>
        <v>2023</v>
      </c>
      <c r="L379" s="2">
        <f t="shared" si="28"/>
        <v>3</v>
      </c>
      <c r="M379" s="4">
        <v>4</v>
      </c>
      <c r="N379" s="4" t="s">
        <v>1245</v>
      </c>
      <c r="O379" s="4" t="s">
        <v>45</v>
      </c>
      <c r="P379" s="5">
        <v>259745</v>
      </c>
      <c r="Q379" s="4"/>
      <c r="R379" s="4"/>
      <c r="S379" s="4" t="s">
        <v>1063</v>
      </c>
      <c r="T379" s="4">
        <v>23.3</v>
      </c>
      <c r="U379" s="4" t="s">
        <v>63</v>
      </c>
      <c r="V379" s="4" t="s">
        <v>668</v>
      </c>
      <c r="W379" s="67" t="str">
        <f t="shared" si="29"/>
        <v>-</v>
      </c>
    </row>
    <row r="380" spans="1:23" x14ac:dyDescent="0.3">
      <c r="A380" s="2" t="s">
        <v>1246</v>
      </c>
      <c r="B380" s="2" t="s">
        <v>1247</v>
      </c>
      <c r="C380" s="2">
        <v>9425623035</v>
      </c>
      <c r="D380" s="2" t="s">
        <v>121</v>
      </c>
      <c r="E380" s="2" t="s">
        <v>41</v>
      </c>
      <c r="F380" s="2" t="s">
        <v>92</v>
      </c>
      <c r="G380" s="2" t="s">
        <v>60</v>
      </c>
      <c r="H380" s="2" t="s">
        <v>1241</v>
      </c>
      <c r="I380" s="2" t="str">
        <f t="shared" si="25"/>
        <v>Sep</v>
      </c>
      <c r="J380" s="2">
        <f t="shared" si="26"/>
        <v>9</v>
      </c>
      <c r="K380" s="2">
        <f t="shared" si="27"/>
        <v>2023</v>
      </c>
      <c r="L380" s="2">
        <f t="shared" si="28"/>
        <v>3</v>
      </c>
      <c r="M380" s="2">
        <v>1</v>
      </c>
      <c r="N380" s="2" t="s">
        <v>1095</v>
      </c>
      <c r="O380" s="2" t="s">
        <v>45</v>
      </c>
      <c r="P380" s="3">
        <v>152922</v>
      </c>
      <c r="Q380" s="2"/>
      <c r="R380" s="2"/>
      <c r="S380" s="2" t="s">
        <v>28</v>
      </c>
      <c r="T380" s="2">
        <v>6.7</v>
      </c>
      <c r="U380" s="2" t="s">
        <v>47</v>
      </c>
      <c r="V380" s="2" t="s">
        <v>381</v>
      </c>
      <c r="W380" s="67" t="str">
        <f t="shared" si="29"/>
        <v>-</v>
      </c>
    </row>
    <row r="381" spans="1:23" x14ac:dyDescent="0.3">
      <c r="A381" s="4" t="s">
        <v>1248</v>
      </c>
      <c r="B381" s="4" t="s">
        <v>512</v>
      </c>
      <c r="C381" s="4">
        <v>9157186389</v>
      </c>
      <c r="D381" s="4" t="s">
        <v>51</v>
      </c>
      <c r="E381" s="4" t="s">
        <v>41</v>
      </c>
      <c r="F381" s="4" t="s">
        <v>86</v>
      </c>
      <c r="G381" s="4" t="s">
        <v>60</v>
      </c>
      <c r="H381" s="4" t="s">
        <v>1173</v>
      </c>
      <c r="I381" s="2" t="str">
        <f t="shared" si="25"/>
        <v>Sep</v>
      </c>
      <c r="J381" s="2">
        <f t="shared" si="26"/>
        <v>9</v>
      </c>
      <c r="K381" s="2">
        <f t="shared" si="27"/>
        <v>2023</v>
      </c>
      <c r="L381" s="2">
        <f t="shared" si="28"/>
        <v>3</v>
      </c>
      <c r="M381" s="4">
        <v>8</v>
      </c>
      <c r="N381" s="4" t="s">
        <v>1249</v>
      </c>
      <c r="O381" s="4" t="s">
        <v>27</v>
      </c>
      <c r="P381" s="5">
        <v>169867</v>
      </c>
      <c r="Q381" s="4"/>
      <c r="R381" s="4"/>
      <c r="S381" s="4" t="s">
        <v>28</v>
      </c>
      <c r="T381" s="4">
        <v>45.9</v>
      </c>
      <c r="U381" s="4" t="s">
        <v>47</v>
      </c>
      <c r="V381" s="4" t="s">
        <v>123</v>
      </c>
      <c r="W381" s="67" t="str">
        <f t="shared" si="29"/>
        <v>-</v>
      </c>
    </row>
    <row r="382" spans="1:23" x14ac:dyDescent="0.3">
      <c r="A382" s="2" t="s">
        <v>1250</v>
      </c>
      <c r="B382" s="2" t="s">
        <v>1166</v>
      </c>
      <c r="C382" s="2">
        <v>9445554954</v>
      </c>
      <c r="D382" s="2" t="s">
        <v>59</v>
      </c>
      <c r="E382" s="2" t="s">
        <v>641</v>
      </c>
      <c r="F382" s="2" t="s">
        <v>727</v>
      </c>
      <c r="G382" s="2" t="s">
        <v>23</v>
      </c>
      <c r="H382" s="2" t="s">
        <v>1173</v>
      </c>
      <c r="I382" s="2" t="str">
        <f t="shared" si="25"/>
        <v>Sep</v>
      </c>
      <c r="J382" s="2">
        <f t="shared" si="26"/>
        <v>9</v>
      </c>
      <c r="K382" s="2">
        <f t="shared" si="27"/>
        <v>2023</v>
      </c>
      <c r="L382" s="2">
        <f t="shared" si="28"/>
        <v>3</v>
      </c>
      <c r="M382" s="2">
        <v>5</v>
      </c>
      <c r="N382" s="2" t="s">
        <v>1252</v>
      </c>
      <c r="O382" s="2" t="s">
        <v>62</v>
      </c>
      <c r="P382" s="3">
        <v>667511</v>
      </c>
      <c r="Q382" s="2"/>
      <c r="R382" s="2"/>
      <c r="S382" s="2" t="s">
        <v>28</v>
      </c>
      <c r="T382" s="2">
        <v>64</v>
      </c>
      <c r="U382" s="2" t="s">
        <v>47</v>
      </c>
      <c r="V382" s="2" t="s">
        <v>137</v>
      </c>
      <c r="W382" s="67" t="str">
        <f t="shared" si="29"/>
        <v>-</v>
      </c>
    </row>
    <row r="383" spans="1:23" x14ac:dyDescent="0.3">
      <c r="A383" s="4" t="s">
        <v>1253</v>
      </c>
      <c r="B383" s="4" t="s">
        <v>1254</v>
      </c>
      <c r="C383" s="4">
        <v>9743722897</v>
      </c>
      <c r="D383" s="4" t="s">
        <v>20</v>
      </c>
      <c r="E383" s="4" t="s">
        <v>41</v>
      </c>
      <c r="F383" s="4" t="s">
        <v>86</v>
      </c>
      <c r="G383" s="4" t="s">
        <v>87</v>
      </c>
      <c r="H383" s="4" t="s">
        <v>1173</v>
      </c>
      <c r="I383" s="2" t="str">
        <f t="shared" si="25"/>
        <v>Sep</v>
      </c>
      <c r="J383" s="2">
        <f t="shared" si="26"/>
        <v>9</v>
      </c>
      <c r="K383" s="2">
        <f t="shared" si="27"/>
        <v>2023</v>
      </c>
      <c r="L383" s="2">
        <f t="shared" si="28"/>
        <v>3</v>
      </c>
      <c r="M383" s="4">
        <v>10</v>
      </c>
      <c r="N383" s="4" t="s">
        <v>1255</v>
      </c>
      <c r="O383" s="4" t="s">
        <v>62</v>
      </c>
      <c r="P383" s="4"/>
      <c r="Q383" s="4"/>
      <c r="R383" s="4"/>
      <c r="S383" s="4" t="s">
        <v>28</v>
      </c>
      <c r="T383" s="4">
        <v>34.799999999999997</v>
      </c>
      <c r="U383" s="4" t="s">
        <v>47</v>
      </c>
      <c r="V383" s="4" t="s">
        <v>212</v>
      </c>
      <c r="W383" s="67" t="str">
        <f t="shared" si="29"/>
        <v>-</v>
      </c>
    </row>
    <row r="384" spans="1:23" x14ac:dyDescent="0.3">
      <c r="A384" s="6" t="s">
        <v>1256</v>
      </c>
      <c r="B384" s="6" t="s">
        <v>1257</v>
      </c>
      <c r="C384" s="6">
        <v>9190224542</v>
      </c>
      <c r="D384" s="6" t="s">
        <v>59</v>
      </c>
      <c r="E384" s="6" t="s">
        <v>41</v>
      </c>
      <c r="F384" s="6" t="s">
        <v>92</v>
      </c>
      <c r="G384" s="6" t="s">
        <v>60</v>
      </c>
      <c r="H384" s="6" t="s">
        <v>1258</v>
      </c>
      <c r="I384" s="2" t="str">
        <f t="shared" si="25"/>
        <v>Sep</v>
      </c>
      <c r="J384" s="2">
        <f t="shared" si="26"/>
        <v>9</v>
      </c>
      <c r="K384" s="2">
        <f t="shared" si="27"/>
        <v>2023</v>
      </c>
      <c r="L384" s="2">
        <f t="shared" si="28"/>
        <v>3</v>
      </c>
      <c r="M384" s="6">
        <v>9</v>
      </c>
      <c r="N384" s="6" t="s">
        <v>1259</v>
      </c>
      <c r="O384" s="6" t="s">
        <v>97</v>
      </c>
      <c r="P384" s="7">
        <v>74262</v>
      </c>
      <c r="Q384" s="7">
        <v>71319</v>
      </c>
      <c r="R384" s="6" t="s">
        <v>1135</v>
      </c>
      <c r="S384" s="6" t="s">
        <v>1063</v>
      </c>
      <c r="T384" s="6">
        <v>24.8</v>
      </c>
      <c r="U384" s="6" t="s">
        <v>63</v>
      </c>
      <c r="V384" s="6" t="s">
        <v>341</v>
      </c>
      <c r="W384" s="67" t="str">
        <f t="shared" si="29"/>
        <v>Customer</v>
      </c>
    </row>
    <row r="385" spans="1:23" x14ac:dyDescent="0.3">
      <c r="A385" s="6" t="s">
        <v>1260</v>
      </c>
      <c r="B385" s="6" t="s">
        <v>530</v>
      </c>
      <c r="C385" s="6">
        <v>9503632224</v>
      </c>
      <c r="D385" s="6" t="s">
        <v>20</v>
      </c>
      <c r="E385" s="6" t="s">
        <v>109</v>
      </c>
      <c r="F385" s="6" t="s">
        <v>110</v>
      </c>
      <c r="G385" s="6" t="s">
        <v>60</v>
      </c>
      <c r="H385" s="6" t="s">
        <v>1251</v>
      </c>
      <c r="I385" s="2" t="str">
        <f t="shared" si="25"/>
        <v>Sep</v>
      </c>
      <c r="J385" s="2">
        <f t="shared" si="26"/>
        <v>9</v>
      </c>
      <c r="K385" s="2">
        <f t="shared" si="27"/>
        <v>2023</v>
      </c>
      <c r="L385" s="2">
        <f t="shared" si="28"/>
        <v>3</v>
      </c>
      <c r="M385" s="6"/>
      <c r="N385" s="6" t="s">
        <v>1202</v>
      </c>
      <c r="O385" s="6" t="s">
        <v>97</v>
      </c>
      <c r="P385" s="7">
        <v>161725</v>
      </c>
      <c r="Q385" s="7">
        <v>158672</v>
      </c>
      <c r="R385" s="6" t="s">
        <v>1255</v>
      </c>
      <c r="S385" s="6" t="s">
        <v>28</v>
      </c>
      <c r="T385" s="6">
        <v>19.2</v>
      </c>
      <c r="U385" s="6" t="s">
        <v>63</v>
      </c>
      <c r="V385" s="6" t="s">
        <v>907</v>
      </c>
      <c r="W385" s="67" t="str">
        <f t="shared" si="29"/>
        <v>Customer</v>
      </c>
    </row>
    <row r="386" spans="1:23" x14ac:dyDescent="0.3">
      <c r="A386" s="2" t="s">
        <v>1261</v>
      </c>
      <c r="B386" s="2" t="s">
        <v>1262</v>
      </c>
      <c r="C386" s="2">
        <v>9462734944</v>
      </c>
      <c r="D386" s="2" t="s">
        <v>20</v>
      </c>
      <c r="E386" s="2" t="s">
        <v>67</v>
      </c>
      <c r="F386" s="2" t="s">
        <v>80</v>
      </c>
      <c r="G386" s="2" t="s">
        <v>52</v>
      </c>
      <c r="H386" s="2" t="s">
        <v>1251</v>
      </c>
      <c r="I386" s="2" t="str">
        <f t="shared" ref="I386:I449" si="30">TEXT(H386,"mmm")</f>
        <v>Sep</v>
      </c>
      <c r="J386" s="2">
        <f t="shared" ref="J386:J449" si="31">MONTH(H386)</f>
        <v>9</v>
      </c>
      <c r="K386" s="2">
        <f t="shared" ref="K386:K449" si="32">YEAR(H386)</f>
        <v>2023</v>
      </c>
      <c r="L386" s="2">
        <f t="shared" ref="L386:L449" si="33">ROUNDUP(MONTH(H386)/3,0)</f>
        <v>3</v>
      </c>
      <c r="M386" s="2">
        <v>7</v>
      </c>
      <c r="N386" s="2" t="s">
        <v>1263</v>
      </c>
      <c r="O386" s="2" t="s">
        <v>62</v>
      </c>
      <c r="P386" s="3">
        <v>388917</v>
      </c>
      <c r="Q386" s="2"/>
      <c r="R386" s="2"/>
      <c r="S386" s="2" t="s">
        <v>28</v>
      </c>
      <c r="T386" s="2">
        <v>63.2</v>
      </c>
      <c r="U386" s="2" t="s">
        <v>63</v>
      </c>
      <c r="V386" s="2" t="s">
        <v>535</v>
      </c>
      <c r="W386" s="67" t="str">
        <f t="shared" ref="W386:W449" si="34">IF($O386&lt;&gt;"Converted","-",IF(ISNUMBER(SEARCH("Architect",$F386)),"Architect","Customer"))</f>
        <v>-</v>
      </c>
    </row>
    <row r="387" spans="1:23" x14ac:dyDescent="0.3">
      <c r="A387" s="4" t="s">
        <v>1264</v>
      </c>
      <c r="B387" s="4" t="s">
        <v>1247</v>
      </c>
      <c r="C387" s="4">
        <v>9681048625</v>
      </c>
      <c r="D387" s="4" t="s">
        <v>20</v>
      </c>
      <c r="E387" s="4" t="s">
        <v>109</v>
      </c>
      <c r="F387" s="4" t="s">
        <v>331</v>
      </c>
      <c r="G387" s="4" t="s">
        <v>87</v>
      </c>
      <c r="H387" s="4" t="s">
        <v>1162</v>
      </c>
      <c r="I387" s="2" t="str">
        <f t="shared" si="30"/>
        <v>Sep</v>
      </c>
      <c r="J387" s="2">
        <f t="shared" si="31"/>
        <v>9</v>
      </c>
      <c r="K387" s="2">
        <f t="shared" si="32"/>
        <v>2023</v>
      </c>
      <c r="L387" s="2">
        <f t="shared" si="33"/>
        <v>3</v>
      </c>
      <c r="M387" s="4">
        <v>6</v>
      </c>
      <c r="N387" s="4" t="s">
        <v>1266</v>
      </c>
      <c r="O387" s="4" t="s">
        <v>45</v>
      </c>
      <c r="P387" s="5">
        <v>247159</v>
      </c>
      <c r="Q387" s="4"/>
      <c r="R387" s="4"/>
      <c r="S387" s="4" t="s">
        <v>28</v>
      </c>
      <c r="T387" s="4">
        <v>12.7</v>
      </c>
      <c r="U387" s="4" t="s">
        <v>63</v>
      </c>
      <c r="V387" s="4" t="s">
        <v>678</v>
      </c>
      <c r="W387" s="67" t="str">
        <f t="shared" si="34"/>
        <v>-</v>
      </c>
    </row>
    <row r="388" spans="1:23" x14ac:dyDescent="0.3">
      <c r="A388" s="2" t="s">
        <v>1267</v>
      </c>
      <c r="B388" s="2" t="s">
        <v>1268</v>
      </c>
      <c r="C388" s="2">
        <v>9693366110</v>
      </c>
      <c r="D388" s="2" t="s">
        <v>121</v>
      </c>
      <c r="E388" s="2" t="s">
        <v>41</v>
      </c>
      <c r="F388" s="2" t="s">
        <v>92</v>
      </c>
      <c r="G388" s="2" t="s">
        <v>616</v>
      </c>
      <c r="H388" s="2" t="s">
        <v>1269</v>
      </c>
      <c r="I388" s="2" t="str">
        <f t="shared" si="30"/>
        <v>Sep</v>
      </c>
      <c r="J388" s="2">
        <f t="shared" si="31"/>
        <v>9</v>
      </c>
      <c r="K388" s="2">
        <f t="shared" si="32"/>
        <v>2023</v>
      </c>
      <c r="L388" s="2">
        <f t="shared" si="33"/>
        <v>3</v>
      </c>
      <c r="M388" s="2">
        <v>7</v>
      </c>
      <c r="N388" s="2" t="s">
        <v>1249</v>
      </c>
      <c r="O388" s="2" t="s">
        <v>27</v>
      </c>
      <c r="P388" s="3">
        <v>169359</v>
      </c>
      <c r="Q388" s="2"/>
      <c r="R388" s="2"/>
      <c r="S388" s="2" t="s">
        <v>1063</v>
      </c>
      <c r="T388" s="2">
        <v>19.5</v>
      </c>
      <c r="U388" s="2" t="s">
        <v>29</v>
      </c>
      <c r="V388" s="2" t="s">
        <v>163</v>
      </c>
      <c r="W388" s="67" t="str">
        <f t="shared" si="34"/>
        <v>-</v>
      </c>
    </row>
    <row r="389" spans="1:23" x14ac:dyDescent="0.3">
      <c r="A389" s="4" t="s">
        <v>1270</v>
      </c>
      <c r="B389" s="4" t="s">
        <v>1271</v>
      </c>
      <c r="C389" s="4">
        <v>9416236101</v>
      </c>
      <c r="D389" s="4" t="s">
        <v>20</v>
      </c>
      <c r="E389" s="4" t="s">
        <v>109</v>
      </c>
      <c r="F389" s="4" t="s">
        <v>217</v>
      </c>
      <c r="G389" s="4" t="s">
        <v>87</v>
      </c>
      <c r="H389" s="4" t="s">
        <v>1095</v>
      </c>
      <c r="I389" s="2" t="str">
        <f t="shared" si="30"/>
        <v>Sep</v>
      </c>
      <c r="J389" s="2">
        <f t="shared" si="31"/>
        <v>9</v>
      </c>
      <c r="K389" s="2">
        <f t="shared" si="32"/>
        <v>2023</v>
      </c>
      <c r="L389" s="2">
        <f t="shared" si="33"/>
        <v>3</v>
      </c>
      <c r="M389" s="4">
        <v>10</v>
      </c>
      <c r="N389" s="4" t="s">
        <v>1259</v>
      </c>
      <c r="O389" s="4" t="s">
        <v>27</v>
      </c>
      <c r="P389" s="5">
        <v>299872</v>
      </c>
      <c r="Q389" s="4"/>
      <c r="R389" s="4"/>
      <c r="S389" s="4" t="s">
        <v>28</v>
      </c>
      <c r="T389" s="4">
        <v>34</v>
      </c>
      <c r="U389" s="4" t="s">
        <v>47</v>
      </c>
      <c r="V389" s="4" t="s">
        <v>238</v>
      </c>
      <c r="W389" s="67" t="str">
        <f t="shared" si="34"/>
        <v>-</v>
      </c>
    </row>
    <row r="390" spans="1:23" x14ac:dyDescent="0.3">
      <c r="A390" s="2" t="s">
        <v>1272</v>
      </c>
      <c r="B390" s="2" t="s">
        <v>1273</v>
      </c>
      <c r="C390" s="2">
        <v>9464881354</v>
      </c>
      <c r="D390" s="2" t="s">
        <v>59</v>
      </c>
      <c r="E390" s="2" t="s">
        <v>648</v>
      </c>
      <c r="F390" s="2" t="s">
        <v>899</v>
      </c>
      <c r="G390" s="2" t="s">
        <v>643</v>
      </c>
      <c r="H390" s="2" t="s">
        <v>1095</v>
      </c>
      <c r="I390" s="2" t="str">
        <f t="shared" si="30"/>
        <v>Sep</v>
      </c>
      <c r="J390" s="2">
        <f t="shared" si="31"/>
        <v>9</v>
      </c>
      <c r="K390" s="2">
        <f t="shared" si="32"/>
        <v>2023</v>
      </c>
      <c r="L390" s="2">
        <f t="shared" si="33"/>
        <v>3</v>
      </c>
      <c r="M390" s="2">
        <v>11</v>
      </c>
      <c r="N390" s="2" t="s">
        <v>1202</v>
      </c>
      <c r="O390" s="2" t="s">
        <v>27</v>
      </c>
      <c r="P390" s="3">
        <v>1178409</v>
      </c>
      <c r="Q390" s="2"/>
      <c r="R390" s="2"/>
      <c r="S390" s="2" t="s">
        <v>28</v>
      </c>
      <c r="T390" s="2">
        <v>63.4</v>
      </c>
      <c r="U390" s="2" t="s">
        <v>47</v>
      </c>
      <c r="V390" s="2" t="s">
        <v>157</v>
      </c>
      <c r="W390" s="67" t="str">
        <f t="shared" si="34"/>
        <v>-</v>
      </c>
    </row>
    <row r="391" spans="1:23" x14ac:dyDescent="0.3">
      <c r="A391" s="4" t="s">
        <v>1274</v>
      </c>
      <c r="B391" s="4" t="s">
        <v>1275</v>
      </c>
      <c r="C391" s="4">
        <v>9729398143</v>
      </c>
      <c r="D391" s="4" t="s">
        <v>59</v>
      </c>
      <c r="E391" s="4" t="s">
        <v>41</v>
      </c>
      <c r="F391" s="4" t="s">
        <v>42</v>
      </c>
      <c r="G391" s="4" t="s">
        <v>616</v>
      </c>
      <c r="H391" s="4" t="s">
        <v>1265</v>
      </c>
      <c r="I391" s="2" t="str">
        <f t="shared" si="30"/>
        <v>Sep</v>
      </c>
      <c r="J391" s="2">
        <f t="shared" si="31"/>
        <v>9</v>
      </c>
      <c r="K391" s="2">
        <f t="shared" si="32"/>
        <v>2023</v>
      </c>
      <c r="L391" s="2">
        <f t="shared" si="33"/>
        <v>3</v>
      </c>
      <c r="M391" s="4">
        <v>6</v>
      </c>
      <c r="N391" s="4" t="s">
        <v>1249</v>
      </c>
      <c r="O391" s="4" t="s">
        <v>55</v>
      </c>
      <c r="P391" s="5">
        <v>140533</v>
      </c>
      <c r="Q391" s="4"/>
      <c r="R391" s="4"/>
      <c r="S391" s="4" t="s">
        <v>28</v>
      </c>
      <c r="T391" s="4">
        <v>8.5</v>
      </c>
      <c r="U391" s="4" t="s">
        <v>29</v>
      </c>
      <c r="V391" s="4" t="s">
        <v>389</v>
      </c>
      <c r="W391" s="67" t="str">
        <f t="shared" si="34"/>
        <v>-</v>
      </c>
    </row>
    <row r="392" spans="1:23" x14ac:dyDescent="0.3">
      <c r="A392" s="6" t="s">
        <v>1276</v>
      </c>
      <c r="B392" s="6" t="s">
        <v>181</v>
      </c>
      <c r="C392" s="6">
        <v>9170180435</v>
      </c>
      <c r="D392" s="6" t="s">
        <v>121</v>
      </c>
      <c r="E392" s="6" t="s">
        <v>641</v>
      </c>
      <c r="F392" s="6" t="s">
        <v>681</v>
      </c>
      <c r="G392" s="6" t="s">
        <v>643</v>
      </c>
      <c r="H392" s="6" t="s">
        <v>1265</v>
      </c>
      <c r="I392" s="2" t="str">
        <f t="shared" si="30"/>
        <v>Sep</v>
      </c>
      <c r="J392" s="2">
        <f t="shared" si="31"/>
        <v>9</v>
      </c>
      <c r="K392" s="2">
        <f t="shared" si="32"/>
        <v>2023</v>
      </c>
      <c r="L392" s="2">
        <f t="shared" si="33"/>
        <v>3</v>
      </c>
      <c r="M392" s="6">
        <v>8</v>
      </c>
      <c r="N392" s="6" t="s">
        <v>1277</v>
      </c>
      <c r="O392" s="6" t="s">
        <v>97</v>
      </c>
      <c r="P392" s="7">
        <v>1059439</v>
      </c>
      <c r="Q392" s="7">
        <v>1066089</v>
      </c>
      <c r="R392" s="6" t="s">
        <v>1278</v>
      </c>
      <c r="S392" s="6" t="s">
        <v>28</v>
      </c>
      <c r="T392" s="6">
        <v>38</v>
      </c>
      <c r="U392" s="6" t="s">
        <v>63</v>
      </c>
      <c r="V392" s="6" t="s">
        <v>295</v>
      </c>
      <c r="W392" s="67" t="str">
        <f t="shared" si="34"/>
        <v>Customer</v>
      </c>
    </row>
    <row r="393" spans="1:23" x14ac:dyDescent="0.3">
      <c r="A393" s="4" t="s">
        <v>1279</v>
      </c>
      <c r="B393" s="4" t="s">
        <v>1280</v>
      </c>
      <c r="C393" s="4">
        <v>9229153072</v>
      </c>
      <c r="D393" s="4" t="s">
        <v>121</v>
      </c>
      <c r="E393" s="4" t="s">
        <v>21</v>
      </c>
      <c r="F393" s="4" t="s">
        <v>22</v>
      </c>
      <c r="G393" s="4" t="s">
        <v>23</v>
      </c>
      <c r="H393" s="4" t="s">
        <v>1184</v>
      </c>
      <c r="I393" s="2" t="str">
        <f t="shared" si="30"/>
        <v>Sep</v>
      </c>
      <c r="J393" s="2">
        <f t="shared" si="31"/>
        <v>9</v>
      </c>
      <c r="K393" s="2">
        <f t="shared" si="32"/>
        <v>2023</v>
      </c>
      <c r="L393" s="2">
        <f t="shared" si="33"/>
        <v>3</v>
      </c>
      <c r="M393" s="4">
        <v>3</v>
      </c>
      <c r="N393" s="4" t="s">
        <v>1281</v>
      </c>
      <c r="O393" s="4" t="s">
        <v>45</v>
      </c>
      <c r="P393" s="5">
        <v>592664</v>
      </c>
      <c r="Q393" s="4"/>
      <c r="R393" s="4"/>
      <c r="S393" s="4" t="s">
        <v>5819</v>
      </c>
      <c r="T393" s="4">
        <v>69.099999999999994</v>
      </c>
      <c r="U393" s="4" t="s">
        <v>47</v>
      </c>
      <c r="V393" s="4" t="s">
        <v>137</v>
      </c>
      <c r="W393" s="67" t="str">
        <f t="shared" si="34"/>
        <v>-</v>
      </c>
    </row>
    <row r="394" spans="1:23" x14ac:dyDescent="0.3">
      <c r="A394" s="2" t="s">
        <v>1282</v>
      </c>
      <c r="B394" s="2" t="s">
        <v>1283</v>
      </c>
      <c r="C394" s="2">
        <v>9168407281</v>
      </c>
      <c r="D394" s="2" t="s">
        <v>59</v>
      </c>
      <c r="E394" s="2" t="s">
        <v>33</v>
      </c>
      <c r="F394" s="2" t="s">
        <v>201</v>
      </c>
      <c r="G394" s="2" t="s">
        <v>69</v>
      </c>
      <c r="H394" s="2" t="s">
        <v>1284</v>
      </c>
      <c r="I394" s="2" t="str">
        <f t="shared" si="30"/>
        <v>Sep</v>
      </c>
      <c r="J394" s="2">
        <f t="shared" si="31"/>
        <v>9</v>
      </c>
      <c r="K394" s="2">
        <f t="shared" si="32"/>
        <v>2023</v>
      </c>
      <c r="L394" s="2">
        <f t="shared" si="33"/>
        <v>3</v>
      </c>
      <c r="M394" s="2">
        <v>6</v>
      </c>
      <c r="N394" s="2" t="s">
        <v>1266</v>
      </c>
      <c r="O394" s="2" t="s">
        <v>62</v>
      </c>
      <c r="P394" s="3">
        <v>293167</v>
      </c>
      <c r="Q394" s="2"/>
      <c r="R394" s="2"/>
      <c r="S394" s="2" t="s">
        <v>5819</v>
      </c>
      <c r="T394" s="2">
        <v>66.099999999999994</v>
      </c>
      <c r="U394" s="2" t="s">
        <v>47</v>
      </c>
      <c r="V394" s="2" t="s">
        <v>310</v>
      </c>
      <c r="W394" s="67" t="str">
        <f t="shared" si="34"/>
        <v>-</v>
      </c>
    </row>
    <row r="395" spans="1:23" x14ac:dyDescent="0.3">
      <c r="A395" s="4" t="s">
        <v>1285</v>
      </c>
      <c r="B395" s="4" t="s">
        <v>1286</v>
      </c>
      <c r="C395" s="4">
        <v>9696090185</v>
      </c>
      <c r="D395" s="4" t="s">
        <v>121</v>
      </c>
      <c r="E395" s="4" t="s">
        <v>109</v>
      </c>
      <c r="F395" s="4" t="s">
        <v>110</v>
      </c>
      <c r="G395" s="4" t="s">
        <v>87</v>
      </c>
      <c r="H395" s="4" t="s">
        <v>1284</v>
      </c>
      <c r="I395" s="2" t="str">
        <f t="shared" si="30"/>
        <v>Sep</v>
      </c>
      <c r="J395" s="2">
        <f t="shared" si="31"/>
        <v>9</v>
      </c>
      <c r="K395" s="2">
        <f t="shared" si="32"/>
        <v>2023</v>
      </c>
      <c r="L395" s="2">
        <f t="shared" si="33"/>
        <v>3</v>
      </c>
      <c r="M395" s="4">
        <v>12</v>
      </c>
      <c r="N395" s="4" t="s">
        <v>1266</v>
      </c>
      <c r="O395" s="4" t="s">
        <v>62</v>
      </c>
      <c r="P395" s="5">
        <v>240742</v>
      </c>
      <c r="Q395" s="4"/>
      <c r="R395" s="4"/>
      <c r="S395" s="4" t="s">
        <v>1063</v>
      </c>
      <c r="T395" s="4"/>
      <c r="U395" s="4" t="s">
        <v>63</v>
      </c>
      <c r="V395" s="4" t="s">
        <v>221</v>
      </c>
      <c r="W395" s="67" t="str">
        <f t="shared" si="34"/>
        <v>-</v>
      </c>
    </row>
    <row r="396" spans="1:23" x14ac:dyDescent="0.3">
      <c r="A396" s="6" t="s">
        <v>1287</v>
      </c>
      <c r="B396" s="6" t="s">
        <v>499</v>
      </c>
      <c r="C396" s="6">
        <v>9827529296</v>
      </c>
      <c r="D396" s="6" t="s">
        <v>20</v>
      </c>
      <c r="E396" s="6" t="s">
        <v>109</v>
      </c>
      <c r="F396" s="6" t="s">
        <v>110</v>
      </c>
      <c r="G396" s="6" t="s">
        <v>69</v>
      </c>
      <c r="H396" s="6" t="s">
        <v>1229</v>
      </c>
      <c r="I396" s="2" t="str">
        <f t="shared" si="30"/>
        <v>Sep</v>
      </c>
      <c r="J396" s="2">
        <f t="shared" si="31"/>
        <v>9</v>
      </c>
      <c r="K396" s="2">
        <f t="shared" si="32"/>
        <v>2023</v>
      </c>
      <c r="L396" s="2">
        <f t="shared" si="33"/>
        <v>3</v>
      </c>
      <c r="M396" s="6">
        <v>0</v>
      </c>
      <c r="N396" s="6" t="s">
        <v>1159</v>
      </c>
      <c r="O396" s="6" t="s">
        <v>97</v>
      </c>
      <c r="P396" s="7">
        <v>302324</v>
      </c>
      <c r="Q396" s="7">
        <v>291990</v>
      </c>
      <c r="R396" s="6" t="s">
        <v>1238</v>
      </c>
      <c r="S396" s="6" t="s">
        <v>28</v>
      </c>
      <c r="T396" s="6">
        <v>51.1</v>
      </c>
      <c r="U396" s="6" t="s">
        <v>47</v>
      </c>
      <c r="V396" s="6"/>
      <c r="W396" s="67" t="str">
        <f t="shared" si="34"/>
        <v>Customer</v>
      </c>
    </row>
    <row r="397" spans="1:23" x14ac:dyDescent="0.3">
      <c r="A397" s="4" t="s">
        <v>1288</v>
      </c>
      <c r="B397" s="4" t="s">
        <v>1289</v>
      </c>
      <c r="C397" s="4">
        <v>9769159960</v>
      </c>
      <c r="D397" s="4" t="s">
        <v>121</v>
      </c>
      <c r="E397" s="4" t="s">
        <v>33</v>
      </c>
      <c r="F397" s="4" t="s">
        <v>102</v>
      </c>
      <c r="G397" s="4" t="s">
        <v>60</v>
      </c>
      <c r="H397" s="4" t="s">
        <v>1226</v>
      </c>
      <c r="I397" s="2" t="str">
        <f t="shared" si="30"/>
        <v>Sep</v>
      </c>
      <c r="J397" s="2">
        <f t="shared" si="31"/>
        <v>9</v>
      </c>
      <c r="K397" s="2">
        <f t="shared" si="32"/>
        <v>2023</v>
      </c>
      <c r="L397" s="2">
        <f t="shared" si="33"/>
        <v>3</v>
      </c>
      <c r="M397" s="4">
        <v>10</v>
      </c>
      <c r="N397" s="4" t="s">
        <v>1213</v>
      </c>
      <c r="O397" s="4" t="s">
        <v>62</v>
      </c>
      <c r="P397" s="5">
        <v>143383</v>
      </c>
      <c r="Q397" s="4"/>
      <c r="R397" s="4"/>
      <c r="S397" s="4" t="s">
        <v>1063</v>
      </c>
      <c r="T397" s="4">
        <v>20.3</v>
      </c>
      <c r="U397" s="4" t="s">
        <v>63</v>
      </c>
      <c r="V397" s="4" t="s">
        <v>221</v>
      </c>
      <c r="W397" s="67" t="str">
        <f t="shared" si="34"/>
        <v>-</v>
      </c>
    </row>
    <row r="398" spans="1:23" x14ac:dyDescent="0.3">
      <c r="A398" s="6" t="s">
        <v>1290</v>
      </c>
      <c r="B398" s="6" t="s">
        <v>916</v>
      </c>
      <c r="C398" s="6">
        <v>9793547595</v>
      </c>
      <c r="D398" s="6" t="s">
        <v>20</v>
      </c>
      <c r="E398" s="6" t="s">
        <v>109</v>
      </c>
      <c r="F398" s="6" t="s">
        <v>217</v>
      </c>
      <c r="G398" s="6" t="s">
        <v>643</v>
      </c>
      <c r="H398" s="6" t="s">
        <v>1193</v>
      </c>
      <c r="I398" s="2" t="str">
        <f t="shared" si="30"/>
        <v>Sep</v>
      </c>
      <c r="J398" s="2">
        <f t="shared" si="31"/>
        <v>9</v>
      </c>
      <c r="K398" s="2">
        <f t="shared" si="32"/>
        <v>2023</v>
      </c>
      <c r="L398" s="2">
        <f t="shared" si="33"/>
        <v>3</v>
      </c>
      <c r="M398" s="6">
        <v>6</v>
      </c>
      <c r="N398" s="6" t="s">
        <v>1266</v>
      </c>
      <c r="O398" s="6" t="s">
        <v>97</v>
      </c>
      <c r="P398" s="7">
        <v>775660</v>
      </c>
      <c r="Q398" s="7">
        <v>688765</v>
      </c>
      <c r="R398" s="6" t="s">
        <v>1291</v>
      </c>
      <c r="S398" s="6" t="s">
        <v>1063</v>
      </c>
      <c r="T398" s="6">
        <v>31.9</v>
      </c>
      <c r="U398" s="6" t="s">
        <v>63</v>
      </c>
      <c r="V398" s="6" t="s">
        <v>286</v>
      </c>
      <c r="W398" s="67" t="str">
        <f t="shared" si="34"/>
        <v>Customer</v>
      </c>
    </row>
    <row r="399" spans="1:23" x14ac:dyDescent="0.3">
      <c r="A399" s="4" t="s">
        <v>1292</v>
      </c>
      <c r="B399" s="4" t="s">
        <v>1293</v>
      </c>
      <c r="C399" s="4">
        <v>9840397560</v>
      </c>
      <c r="D399" s="4" t="s">
        <v>59</v>
      </c>
      <c r="E399" s="4" t="s">
        <v>67</v>
      </c>
      <c r="F399" s="4" t="s">
        <v>68</v>
      </c>
      <c r="G399" s="4" t="s">
        <v>23</v>
      </c>
      <c r="H399" s="4" t="s">
        <v>1193</v>
      </c>
      <c r="I399" s="2" t="str">
        <f t="shared" si="30"/>
        <v>Sep</v>
      </c>
      <c r="J399" s="2">
        <f t="shared" si="31"/>
        <v>9</v>
      </c>
      <c r="K399" s="2">
        <f t="shared" si="32"/>
        <v>2023</v>
      </c>
      <c r="L399" s="2">
        <f t="shared" si="33"/>
        <v>3</v>
      </c>
      <c r="M399" s="4">
        <v>12</v>
      </c>
      <c r="N399" s="4" t="s">
        <v>1294</v>
      </c>
      <c r="O399" s="4" t="s">
        <v>62</v>
      </c>
      <c r="P399" s="5">
        <v>421025</v>
      </c>
      <c r="Q399" s="4"/>
      <c r="R399" s="4"/>
      <c r="S399" s="4" t="s">
        <v>28</v>
      </c>
      <c r="T399" s="4">
        <v>26.8</v>
      </c>
      <c r="U399" s="4" t="s">
        <v>47</v>
      </c>
      <c r="V399" s="4" t="s">
        <v>256</v>
      </c>
      <c r="W399" s="67" t="str">
        <f t="shared" si="34"/>
        <v>-</v>
      </c>
    </row>
    <row r="400" spans="1:23" x14ac:dyDescent="0.3">
      <c r="A400" s="6" t="s">
        <v>1295</v>
      </c>
      <c r="B400" s="6" t="s">
        <v>1296</v>
      </c>
      <c r="C400" s="6">
        <v>9376142554</v>
      </c>
      <c r="D400" s="6" t="s">
        <v>51</v>
      </c>
      <c r="E400" s="6" t="s">
        <v>641</v>
      </c>
      <c r="F400" s="6" t="s">
        <v>727</v>
      </c>
      <c r="G400" s="6" t="s">
        <v>69</v>
      </c>
      <c r="H400" s="6" t="s">
        <v>1297</v>
      </c>
      <c r="I400" s="2" t="str">
        <f t="shared" si="30"/>
        <v>Sep</v>
      </c>
      <c r="J400" s="2">
        <f t="shared" si="31"/>
        <v>9</v>
      </c>
      <c r="K400" s="2">
        <f t="shared" si="32"/>
        <v>2023</v>
      </c>
      <c r="L400" s="2">
        <f t="shared" si="33"/>
        <v>3</v>
      </c>
      <c r="M400" s="6">
        <v>5</v>
      </c>
      <c r="N400" s="6" t="s">
        <v>1298</v>
      </c>
      <c r="O400" s="6" t="s">
        <v>97</v>
      </c>
      <c r="P400" s="7">
        <v>113357</v>
      </c>
      <c r="Q400" s="7">
        <v>104698</v>
      </c>
      <c r="R400" s="6" t="s">
        <v>1203</v>
      </c>
      <c r="S400" s="6" t="s">
        <v>28</v>
      </c>
      <c r="T400" s="6">
        <v>37.4</v>
      </c>
      <c r="U400" s="6" t="s">
        <v>63</v>
      </c>
      <c r="V400" s="6" t="s">
        <v>170</v>
      </c>
      <c r="W400" s="67" t="str">
        <f t="shared" si="34"/>
        <v>Customer</v>
      </c>
    </row>
    <row r="401" spans="1:23" x14ac:dyDescent="0.3">
      <c r="A401" s="4" t="s">
        <v>1299</v>
      </c>
      <c r="B401" s="4" t="s">
        <v>1300</v>
      </c>
      <c r="C401" s="4">
        <v>9215971195</v>
      </c>
      <c r="D401" s="4" t="s">
        <v>59</v>
      </c>
      <c r="E401" s="4" t="s">
        <v>41</v>
      </c>
      <c r="F401" s="4" t="s">
        <v>92</v>
      </c>
      <c r="G401" s="4" t="s">
        <v>643</v>
      </c>
      <c r="H401" s="4" t="s">
        <v>1141</v>
      </c>
      <c r="I401" s="2" t="str">
        <f t="shared" si="30"/>
        <v>Sep</v>
      </c>
      <c r="J401" s="2">
        <f t="shared" si="31"/>
        <v>9</v>
      </c>
      <c r="K401" s="2">
        <f t="shared" si="32"/>
        <v>2023</v>
      </c>
      <c r="L401" s="2">
        <f t="shared" si="33"/>
        <v>3</v>
      </c>
      <c r="M401" s="4">
        <v>7</v>
      </c>
      <c r="N401" s="4" t="s">
        <v>1301</v>
      </c>
      <c r="O401" s="4" t="s">
        <v>27</v>
      </c>
      <c r="P401" s="5">
        <v>857064</v>
      </c>
      <c r="Q401" s="4"/>
      <c r="R401" s="4"/>
      <c r="S401" s="4" t="s">
        <v>5819</v>
      </c>
      <c r="T401" s="4">
        <v>10.9</v>
      </c>
      <c r="U401" s="4" t="s">
        <v>29</v>
      </c>
      <c r="V401" s="4" t="s">
        <v>238</v>
      </c>
      <c r="W401" s="67" t="str">
        <f t="shared" si="34"/>
        <v>-</v>
      </c>
    </row>
    <row r="402" spans="1:23" x14ac:dyDescent="0.3">
      <c r="A402" s="2" t="s">
        <v>1302</v>
      </c>
      <c r="B402" s="2" t="s">
        <v>1303</v>
      </c>
      <c r="C402" s="2">
        <v>9479025201</v>
      </c>
      <c r="D402" s="2" t="s">
        <v>121</v>
      </c>
      <c r="E402" s="2" t="s">
        <v>33</v>
      </c>
      <c r="F402" s="2" t="s">
        <v>201</v>
      </c>
      <c r="G402" s="2" t="s">
        <v>643</v>
      </c>
      <c r="H402" s="2" t="s">
        <v>1096</v>
      </c>
      <c r="I402" s="2" t="str">
        <f t="shared" si="30"/>
        <v>Sep</v>
      </c>
      <c r="J402" s="2">
        <f t="shared" si="31"/>
        <v>9</v>
      </c>
      <c r="K402" s="2">
        <f t="shared" si="32"/>
        <v>2023</v>
      </c>
      <c r="L402" s="2">
        <f t="shared" si="33"/>
        <v>3</v>
      </c>
      <c r="M402" s="2">
        <v>8</v>
      </c>
      <c r="N402" s="2" t="s">
        <v>1277</v>
      </c>
      <c r="O402" s="2" t="s">
        <v>27</v>
      </c>
      <c r="P402" s="3">
        <v>1036947</v>
      </c>
      <c r="Q402" s="2"/>
      <c r="R402" s="2"/>
      <c r="S402" s="2" t="s">
        <v>5819</v>
      </c>
      <c r="T402" s="2">
        <v>63.6</v>
      </c>
      <c r="U402" s="2" t="s">
        <v>47</v>
      </c>
      <c r="V402" s="2" t="s">
        <v>157</v>
      </c>
      <c r="W402" s="67" t="str">
        <f t="shared" si="34"/>
        <v>-</v>
      </c>
    </row>
    <row r="403" spans="1:23" x14ac:dyDescent="0.3">
      <c r="A403" s="6" t="s">
        <v>1304</v>
      </c>
      <c r="B403" s="6" t="s">
        <v>376</v>
      </c>
      <c r="C403" s="6">
        <v>9536879666</v>
      </c>
      <c r="D403" s="6" t="s">
        <v>108</v>
      </c>
      <c r="E403" s="6" t="s">
        <v>41</v>
      </c>
      <c r="F403" s="6" t="s">
        <v>86</v>
      </c>
      <c r="G403" s="6" t="s">
        <v>643</v>
      </c>
      <c r="H403" s="6" t="s">
        <v>1096</v>
      </c>
      <c r="I403" s="2" t="str">
        <f t="shared" si="30"/>
        <v>Sep</v>
      </c>
      <c r="J403" s="2">
        <f t="shared" si="31"/>
        <v>9</v>
      </c>
      <c r="K403" s="2">
        <f t="shared" si="32"/>
        <v>2023</v>
      </c>
      <c r="L403" s="2">
        <f t="shared" si="33"/>
        <v>3</v>
      </c>
      <c r="M403" s="6">
        <v>0</v>
      </c>
      <c r="N403" s="6" t="s">
        <v>1202</v>
      </c>
      <c r="O403" s="6" t="s">
        <v>97</v>
      </c>
      <c r="P403" s="7">
        <v>805124</v>
      </c>
      <c r="Q403" s="7">
        <v>795985</v>
      </c>
      <c r="R403" s="6" t="s">
        <v>1249</v>
      </c>
      <c r="S403" s="6" t="s">
        <v>5819</v>
      </c>
      <c r="T403" s="6">
        <v>50.3</v>
      </c>
      <c r="U403" s="6" t="s">
        <v>63</v>
      </c>
      <c r="V403" s="6" t="s">
        <v>907</v>
      </c>
      <c r="W403" s="67" t="str">
        <f t="shared" si="34"/>
        <v>Customer</v>
      </c>
    </row>
    <row r="404" spans="1:23" x14ac:dyDescent="0.3">
      <c r="A404" s="2" t="s">
        <v>1306</v>
      </c>
      <c r="B404" s="2" t="s">
        <v>1307</v>
      </c>
      <c r="C404" s="2">
        <v>9422807973</v>
      </c>
      <c r="D404" s="2" t="s">
        <v>20</v>
      </c>
      <c r="E404" s="2" t="s">
        <v>41</v>
      </c>
      <c r="F404" s="2" t="s">
        <v>86</v>
      </c>
      <c r="G404" s="2" t="s">
        <v>52</v>
      </c>
      <c r="H404" s="2" t="s">
        <v>1159</v>
      </c>
      <c r="I404" s="2" t="str">
        <f t="shared" si="30"/>
        <v>Sep</v>
      </c>
      <c r="J404" s="2">
        <f t="shared" si="31"/>
        <v>9</v>
      </c>
      <c r="K404" s="2">
        <f t="shared" si="32"/>
        <v>2023</v>
      </c>
      <c r="L404" s="2">
        <f t="shared" si="33"/>
        <v>3</v>
      </c>
      <c r="M404" s="2">
        <v>0</v>
      </c>
      <c r="N404" s="2" t="s">
        <v>1308</v>
      </c>
      <c r="O404" s="2" t="s">
        <v>62</v>
      </c>
      <c r="P404" s="3">
        <v>480907</v>
      </c>
      <c r="Q404" s="2"/>
      <c r="R404" s="2"/>
      <c r="S404" s="2" t="s">
        <v>1063</v>
      </c>
      <c r="T404" s="2">
        <v>61.2</v>
      </c>
      <c r="U404" s="2" t="s">
        <v>63</v>
      </c>
      <c r="V404" s="2" t="s">
        <v>221</v>
      </c>
      <c r="W404" s="67" t="str">
        <f t="shared" si="34"/>
        <v>-</v>
      </c>
    </row>
    <row r="405" spans="1:23" x14ac:dyDescent="0.3">
      <c r="A405" s="6" t="s">
        <v>1309</v>
      </c>
      <c r="B405" s="6" t="s">
        <v>1310</v>
      </c>
      <c r="C405" s="6">
        <v>9953866157</v>
      </c>
      <c r="D405" s="6" t="s">
        <v>20</v>
      </c>
      <c r="E405" s="6" t="s">
        <v>41</v>
      </c>
      <c r="F405" s="6" t="s">
        <v>42</v>
      </c>
      <c r="G405" s="6" t="s">
        <v>69</v>
      </c>
      <c r="H405" s="6" t="s">
        <v>1305</v>
      </c>
      <c r="I405" s="2" t="str">
        <f t="shared" si="30"/>
        <v>Oct</v>
      </c>
      <c r="J405" s="2">
        <f t="shared" si="31"/>
        <v>10</v>
      </c>
      <c r="K405" s="2">
        <f t="shared" si="32"/>
        <v>2023</v>
      </c>
      <c r="L405" s="2">
        <f t="shared" si="33"/>
        <v>4</v>
      </c>
      <c r="M405" s="6">
        <v>4</v>
      </c>
      <c r="N405" s="6" t="s">
        <v>1311</v>
      </c>
      <c r="O405" s="6" t="s">
        <v>97</v>
      </c>
      <c r="P405" s="7">
        <v>121164</v>
      </c>
      <c r="Q405" s="7">
        <v>111211</v>
      </c>
      <c r="R405" s="6" t="s">
        <v>1312</v>
      </c>
      <c r="S405" s="6" t="s">
        <v>1063</v>
      </c>
      <c r="T405" s="6">
        <v>36.9</v>
      </c>
      <c r="U405" s="6" t="s">
        <v>63</v>
      </c>
      <c r="V405" s="6" t="s">
        <v>341</v>
      </c>
      <c r="W405" s="67" t="str">
        <f t="shared" si="34"/>
        <v>Customer</v>
      </c>
    </row>
    <row r="406" spans="1:23" x14ac:dyDescent="0.3">
      <c r="A406" s="2" t="s">
        <v>1313</v>
      </c>
      <c r="B406" s="2" t="s">
        <v>1314</v>
      </c>
      <c r="C406" s="2">
        <v>9167829864</v>
      </c>
      <c r="D406" s="2" t="s">
        <v>108</v>
      </c>
      <c r="E406" s="2" t="s">
        <v>33</v>
      </c>
      <c r="F406" s="2" t="s">
        <v>34</v>
      </c>
      <c r="G406" s="2" t="s">
        <v>616</v>
      </c>
      <c r="H406" s="2" t="s">
        <v>1305</v>
      </c>
      <c r="I406" s="2" t="str">
        <f t="shared" si="30"/>
        <v>Oct</v>
      </c>
      <c r="J406" s="2">
        <f t="shared" si="31"/>
        <v>10</v>
      </c>
      <c r="K406" s="2">
        <f t="shared" si="32"/>
        <v>2023</v>
      </c>
      <c r="L406" s="2">
        <f t="shared" si="33"/>
        <v>4</v>
      </c>
      <c r="M406" s="2">
        <v>0</v>
      </c>
      <c r="N406" s="2" t="s">
        <v>1202</v>
      </c>
      <c r="O406" s="2" t="s">
        <v>62</v>
      </c>
      <c r="P406" s="3">
        <v>277674</v>
      </c>
      <c r="Q406" s="2"/>
      <c r="R406" s="2"/>
      <c r="S406" s="2" t="s">
        <v>1063</v>
      </c>
      <c r="T406" s="2">
        <v>5.0999999999999996</v>
      </c>
      <c r="U406" s="2" t="s">
        <v>63</v>
      </c>
      <c r="V406" s="2" t="s">
        <v>335</v>
      </c>
      <c r="W406" s="67" t="str">
        <f t="shared" si="34"/>
        <v>-</v>
      </c>
    </row>
    <row r="407" spans="1:23" x14ac:dyDescent="0.3">
      <c r="A407" s="6" t="s">
        <v>1315</v>
      </c>
      <c r="B407" s="6" t="s">
        <v>1316</v>
      </c>
      <c r="C407" s="6">
        <v>9415032444</v>
      </c>
      <c r="D407" s="6" t="s">
        <v>59</v>
      </c>
      <c r="E407" s="6" t="s">
        <v>41</v>
      </c>
      <c r="F407" s="6" t="s">
        <v>92</v>
      </c>
      <c r="G407" s="6" t="s">
        <v>52</v>
      </c>
      <c r="H407" s="6" t="s">
        <v>1238</v>
      </c>
      <c r="I407" s="2" t="str">
        <f t="shared" si="30"/>
        <v>Oct</v>
      </c>
      <c r="J407" s="2">
        <f t="shared" si="31"/>
        <v>10</v>
      </c>
      <c r="K407" s="2">
        <f t="shared" si="32"/>
        <v>2023</v>
      </c>
      <c r="L407" s="2">
        <f t="shared" si="33"/>
        <v>4</v>
      </c>
      <c r="M407" s="6">
        <v>3</v>
      </c>
      <c r="N407" s="6" t="s">
        <v>1255</v>
      </c>
      <c r="O407" s="6" t="s">
        <v>97</v>
      </c>
      <c r="P407" s="7">
        <v>404911</v>
      </c>
      <c r="Q407" s="7">
        <v>394370</v>
      </c>
      <c r="R407" s="6" t="s">
        <v>1317</v>
      </c>
      <c r="S407" s="6" t="s">
        <v>28</v>
      </c>
      <c r="T407" s="6">
        <v>15.7</v>
      </c>
      <c r="U407" s="6" t="s">
        <v>47</v>
      </c>
      <c r="V407" s="6" t="s">
        <v>170</v>
      </c>
      <c r="W407" s="67" t="str">
        <f t="shared" si="34"/>
        <v>Customer</v>
      </c>
    </row>
    <row r="408" spans="1:23" x14ac:dyDescent="0.3">
      <c r="A408" s="6" t="s">
        <v>1318</v>
      </c>
      <c r="B408" s="6" t="s">
        <v>1319</v>
      </c>
      <c r="C408" s="6">
        <v>9826680721</v>
      </c>
      <c r="D408" s="6" t="s">
        <v>59</v>
      </c>
      <c r="E408" s="6" t="s">
        <v>33</v>
      </c>
      <c r="F408" s="6" t="s">
        <v>201</v>
      </c>
      <c r="G408" s="6" t="s">
        <v>69</v>
      </c>
      <c r="H408" s="6" t="s">
        <v>1238</v>
      </c>
      <c r="I408" s="2" t="str">
        <f t="shared" si="30"/>
        <v>Oct</v>
      </c>
      <c r="J408" s="2">
        <f t="shared" si="31"/>
        <v>10</v>
      </c>
      <c r="K408" s="2">
        <f t="shared" si="32"/>
        <v>2023</v>
      </c>
      <c r="L408" s="2">
        <f t="shared" si="33"/>
        <v>4</v>
      </c>
      <c r="M408" s="6">
        <v>10</v>
      </c>
      <c r="N408" s="6" t="s">
        <v>1320</v>
      </c>
      <c r="O408" s="6" t="s">
        <v>97</v>
      </c>
      <c r="P408" s="7">
        <v>294269</v>
      </c>
      <c r="Q408" s="7">
        <v>284155</v>
      </c>
      <c r="R408" s="6" t="s">
        <v>1321</v>
      </c>
      <c r="S408" s="6" t="s">
        <v>1063</v>
      </c>
      <c r="T408" s="6">
        <v>4.7</v>
      </c>
      <c r="U408" s="6" t="s">
        <v>47</v>
      </c>
      <c r="V408" s="6" t="s">
        <v>170</v>
      </c>
      <c r="W408" s="67" t="str">
        <f t="shared" si="34"/>
        <v>Customer</v>
      </c>
    </row>
    <row r="409" spans="1:23" x14ac:dyDescent="0.3">
      <c r="A409" s="6" t="s">
        <v>1322</v>
      </c>
      <c r="B409" s="6" t="s">
        <v>1323</v>
      </c>
      <c r="C409" s="6">
        <v>9889913429</v>
      </c>
      <c r="D409" s="6" t="s">
        <v>59</v>
      </c>
      <c r="E409" s="6" t="s">
        <v>109</v>
      </c>
      <c r="F409" s="6" t="s">
        <v>110</v>
      </c>
      <c r="G409" s="6" t="s">
        <v>69</v>
      </c>
      <c r="H409" s="6" t="s">
        <v>1180</v>
      </c>
      <c r="I409" s="2" t="str">
        <f t="shared" si="30"/>
        <v>Oct</v>
      </c>
      <c r="J409" s="2">
        <f t="shared" si="31"/>
        <v>10</v>
      </c>
      <c r="K409" s="2">
        <f t="shared" si="32"/>
        <v>2023</v>
      </c>
      <c r="L409" s="2">
        <f t="shared" si="33"/>
        <v>4</v>
      </c>
      <c r="M409" s="6">
        <v>10</v>
      </c>
      <c r="N409" s="6" t="s">
        <v>1324</v>
      </c>
      <c r="O409" s="6" t="s">
        <v>97</v>
      </c>
      <c r="P409" s="7">
        <v>143764</v>
      </c>
      <c r="Q409" s="7">
        <v>147993</v>
      </c>
      <c r="R409" s="6" t="s">
        <v>1325</v>
      </c>
      <c r="S409" s="6" t="s">
        <v>5819</v>
      </c>
      <c r="T409" s="6">
        <v>27.7</v>
      </c>
      <c r="U409" s="6" t="s">
        <v>63</v>
      </c>
      <c r="V409" s="6" t="s">
        <v>243</v>
      </c>
      <c r="W409" s="67" t="str">
        <f t="shared" si="34"/>
        <v>Customer</v>
      </c>
    </row>
    <row r="410" spans="1:23" x14ac:dyDescent="0.3">
      <c r="A410" s="6" t="s">
        <v>1326</v>
      </c>
      <c r="B410" s="6" t="s">
        <v>1327</v>
      </c>
      <c r="C410" s="6">
        <v>9327247605</v>
      </c>
      <c r="D410" s="6" t="s">
        <v>20</v>
      </c>
      <c r="E410" s="6" t="s">
        <v>41</v>
      </c>
      <c r="F410" s="6" t="s">
        <v>92</v>
      </c>
      <c r="G410" s="6" t="s">
        <v>69</v>
      </c>
      <c r="H410" s="6" t="s">
        <v>1308</v>
      </c>
      <c r="I410" s="2" t="str">
        <f t="shared" si="30"/>
        <v>Oct</v>
      </c>
      <c r="J410" s="2">
        <f t="shared" si="31"/>
        <v>10</v>
      </c>
      <c r="K410" s="2">
        <f t="shared" si="32"/>
        <v>2023</v>
      </c>
      <c r="L410" s="2">
        <f t="shared" si="33"/>
        <v>4</v>
      </c>
      <c r="M410" s="6">
        <v>2</v>
      </c>
      <c r="N410" s="6" t="s">
        <v>1203</v>
      </c>
      <c r="O410" s="6" t="s">
        <v>97</v>
      </c>
      <c r="P410" s="7">
        <v>309529</v>
      </c>
      <c r="Q410" s="7">
        <v>287575</v>
      </c>
      <c r="R410" s="6" t="s">
        <v>1190</v>
      </c>
      <c r="S410" s="6" t="s">
        <v>28</v>
      </c>
      <c r="T410" s="6">
        <v>41.3</v>
      </c>
      <c r="U410" s="6" t="s">
        <v>63</v>
      </c>
      <c r="V410" s="6" t="s">
        <v>170</v>
      </c>
      <c r="W410" s="67" t="str">
        <f t="shared" si="34"/>
        <v>Customer</v>
      </c>
    </row>
    <row r="411" spans="1:23" x14ac:dyDescent="0.3">
      <c r="A411" s="4" t="s">
        <v>1328</v>
      </c>
      <c r="B411" s="4" t="s">
        <v>1065</v>
      </c>
      <c r="C411" s="4">
        <v>9499584709</v>
      </c>
      <c r="D411" s="4" t="s">
        <v>59</v>
      </c>
      <c r="E411" s="4" t="s">
        <v>109</v>
      </c>
      <c r="F411" s="4" t="s">
        <v>110</v>
      </c>
      <c r="G411" s="4" t="s">
        <v>87</v>
      </c>
      <c r="H411" s="4" t="s">
        <v>1252</v>
      </c>
      <c r="I411" s="2" t="str">
        <f t="shared" si="30"/>
        <v>Oct</v>
      </c>
      <c r="J411" s="2">
        <f t="shared" si="31"/>
        <v>10</v>
      </c>
      <c r="K411" s="2">
        <f t="shared" si="32"/>
        <v>2023</v>
      </c>
      <c r="L411" s="2">
        <f t="shared" si="33"/>
        <v>4</v>
      </c>
      <c r="M411" s="4">
        <v>10</v>
      </c>
      <c r="N411" s="4" t="s">
        <v>1329</v>
      </c>
      <c r="O411" s="4" t="s">
        <v>55</v>
      </c>
      <c r="P411" s="5">
        <v>135919</v>
      </c>
      <c r="Q411" s="4"/>
      <c r="R411" s="4"/>
      <c r="S411" s="4" t="s">
        <v>1063</v>
      </c>
      <c r="T411" s="4">
        <v>17.899999999999999</v>
      </c>
      <c r="U411" s="4" t="s">
        <v>47</v>
      </c>
      <c r="V411" s="4" t="s">
        <v>487</v>
      </c>
      <c r="W411" s="67" t="str">
        <f t="shared" si="34"/>
        <v>-</v>
      </c>
    </row>
    <row r="412" spans="1:23" x14ac:dyDescent="0.3">
      <c r="A412" s="2" t="s">
        <v>1330</v>
      </c>
      <c r="B412" s="2" t="s">
        <v>1331</v>
      </c>
      <c r="C412" s="2">
        <v>9880346808</v>
      </c>
      <c r="D412" s="2" t="s">
        <v>59</v>
      </c>
      <c r="E412" s="2" t="s">
        <v>41</v>
      </c>
      <c r="F412" s="2" t="s">
        <v>42</v>
      </c>
      <c r="G412" s="2" t="s">
        <v>643</v>
      </c>
      <c r="H412" s="2" t="s">
        <v>1252</v>
      </c>
      <c r="I412" s="2" t="str">
        <f t="shared" si="30"/>
        <v>Oct</v>
      </c>
      <c r="J412" s="2">
        <f t="shared" si="31"/>
        <v>10</v>
      </c>
      <c r="K412" s="2">
        <f t="shared" si="32"/>
        <v>2023</v>
      </c>
      <c r="L412" s="2">
        <f t="shared" si="33"/>
        <v>4</v>
      </c>
      <c r="M412" s="2">
        <v>12</v>
      </c>
      <c r="N412" s="2" t="s">
        <v>1320</v>
      </c>
      <c r="O412" s="2" t="s">
        <v>27</v>
      </c>
      <c r="P412" s="3">
        <v>895526</v>
      </c>
      <c r="Q412" s="2"/>
      <c r="R412" s="2"/>
      <c r="S412" s="2" t="s">
        <v>5819</v>
      </c>
      <c r="T412" s="2">
        <v>50.1</v>
      </c>
      <c r="U412" s="2" t="s">
        <v>29</v>
      </c>
      <c r="V412" s="2"/>
      <c r="W412" s="67" t="str">
        <f t="shared" si="34"/>
        <v>-</v>
      </c>
    </row>
    <row r="413" spans="1:23" x14ac:dyDescent="0.3">
      <c r="A413" s="4" t="s">
        <v>1332</v>
      </c>
      <c r="B413" s="4" t="s">
        <v>1333</v>
      </c>
      <c r="C413" s="4">
        <v>9175145733</v>
      </c>
      <c r="D413" s="4" t="s">
        <v>20</v>
      </c>
      <c r="E413" s="4" t="s">
        <v>41</v>
      </c>
      <c r="F413" s="4" t="s">
        <v>151</v>
      </c>
      <c r="G413" s="4" t="s">
        <v>23</v>
      </c>
      <c r="H413" s="4" t="s">
        <v>1245</v>
      </c>
      <c r="I413" s="2" t="str">
        <f t="shared" si="30"/>
        <v>Oct</v>
      </c>
      <c r="J413" s="2">
        <f t="shared" si="31"/>
        <v>10</v>
      </c>
      <c r="K413" s="2">
        <f t="shared" si="32"/>
        <v>2023</v>
      </c>
      <c r="L413" s="2">
        <f t="shared" si="33"/>
        <v>4</v>
      </c>
      <c r="M413" s="4">
        <v>7</v>
      </c>
      <c r="N413" s="4" t="s">
        <v>1135</v>
      </c>
      <c r="O413" s="4" t="s">
        <v>62</v>
      </c>
      <c r="P413" s="5">
        <v>501467</v>
      </c>
      <c r="Q413" s="4"/>
      <c r="R413" s="4"/>
      <c r="S413" s="4" t="s">
        <v>28</v>
      </c>
      <c r="T413" s="4">
        <v>39.5</v>
      </c>
      <c r="U413" s="4" t="s">
        <v>29</v>
      </c>
      <c r="V413" s="4" t="s">
        <v>697</v>
      </c>
      <c r="W413" s="67" t="str">
        <f t="shared" si="34"/>
        <v>-</v>
      </c>
    </row>
    <row r="414" spans="1:23" x14ac:dyDescent="0.3">
      <c r="A414" s="2" t="s">
        <v>1334</v>
      </c>
      <c r="B414" s="2" t="s">
        <v>1335</v>
      </c>
      <c r="C414" s="2"/>
      <c r="D414" s="2" t="s">
        <v>108</v>
      </c>
      <c r="E414" s="2" t="s">
        <v>67</v>
      </c>
      <c r="F414" s="2" t="s">
        <v>80</v>
      </c>
      <c r="G414" s="2" t="s">
        <v>23</v>
      </c>
      <c r="H414" s="2" t="s">
        <v>1202</v>
      </c>
      <c r="I414" s="2" t="str">
        <f t="shared" si="30"/>
        <v>Oct</v>
      </c>
      <c r="J414" s="2">
        <f t="shared" si="31"/>
        <v>10</v>
      </c>
      <c r="K414" s="2">
        <f t="shared" si="32"/>
        <v>2023</v>
      </c>
      <c r="L414" s="2">
        <f t="shared" si="33"/>
        <v>4</v>
      </c>
      <c r="M414" s="2">
        <v>7</v>
      </c>
      <c r="N414" s="2" t="s">
        <v>1336</v>
      </c>
      <c r="O414" s="2" t="s">
        <v>27</v>
      </c>
      <c r="P414" s="3">
        <v>439708</v>
      </c>
      <c r="Q414" s="2"/>
      <c r="R414" s="2"/>
      <c r="S414" s="2" t="s">
        <v>1063</v>
      </c>
      <c r="T414" s="2">
        <v>65.900000000000006</v>
      </c>
      <c r="U414" s="2" t="s">
        <v>29</v>
      </c>
      <c r="V414" s="2" t="s">
        <v>328</v>
      </c>
      <c r="W414" s="67" t="str">
        <f t="shared" si="34"/>
        <v>-</v>
      </c>
    </row>
    <row r="415" spans="1:23" x14ac:dyDescent="0.3">
      <c r="A415" s="4" t="s">
        <v>1337</v>
      </c>
      <c r="B415" s="4" t="s">
        <v>1338</v>
      </c>
      <c r="C415" s="4">
        <v>9577942116</v>
      </c>
      <c r="D415" s="4" t="s">
        <v>108</v>
      </c>
      <c r="E415" s="4" t="s">
        <v>641</v>
      </c>
      <c r="F415" s="4" t="s">
        <v>681</v>
      </c>
      <c r="G415" s="4" t="s">
        <v>35</v>
      </c>
      <c r="H415" s="4" t="s">
        <v>1259</v>
      </c>
      <c r="I415" s="2" t="str">
        <f t="shared" si="30"/>
        <v>Oct</v>
      </c>
      <c r="J415" s="2">
        <f t="shared" si="31"/>
        <v>10</v>
      </c>
      <c r="K415" s="2">
        <f t="shared" si="32"/>
        <v>2023</v>
      </c>
      <c r="L415" s="2">
        <f t="shared" si="33"/>
        <v>4</v>
      </c>
      <c r="M415" s="4">
        <v>10</v>
      </c>
      <c r="N415" s="4" t="s">
        <v>1320</v>
      </c>
      <c r="O415" s="4" t="s">
        <v>45</v>
      </c>
      <c r="P415" s="5">
        <v>221867</v>
      </c>
      <c r="Q415" s="4"/>
      <c r="R415" s="4"/>
      <c r="S415" s="4" t="s">
        <v>5819</v>
      </c>
      <c r="T415" s="4">
        <v>48.8</v>
      </c>
      <c r="U415" s="4" t="s">
        <v>47</v>
      </c>
      <c r="V415" s="4" t="s">
        <v>381</v>
      </c>
      <c r="W415" s="67" t="str">
        <f t="shared" si="34"/>
        <v>-</v>
      </c>
    </row>
    <row r="416" spans="1:23" x14ac:dyDescent="0.3">
      <c r="A416" s="2" t="s">
        <v>1339</v>
      </c>
      <c r="B416" s="2" t="s">
        <v>1340</v>
      </c>
      <c r="C416" s="2">
        <v>9659282971</v>
      </c>
      <c r="D416" s="2" t="s">
        <v>121</v>
      </c>
      <c r="E416" s="2" t="s">
        <v>67</v>
      </c>
      <c r="F416" s="2" t="s">
        <v>68</v>
      </c>
      <c r="G416" s="2" t="s">
        <v>23</v>
      </c>
      <c r="H416" s="2" t="s">
        <v>1259</v>
      </c>
      <c r="I416" s="2" t="str">
        <f t="shared" si="30"/>
        <v>Oct</v>
      </c>
      <c r="J416" s="2">
        <f t="shared" si="31"/>
        <v>10</v>
      </c>
      <c r="K416" s="2">
        <f t="shared" si="32"/>
        <v>2023</v>
      </c>
      <c r="L416" s="2">
        <f t="shared" si="33"/>
        <v>4</v>
      </c>
      <c r="M416" s="2">
        <v>2</v>
      </c>
      <c r="N416" s="2" t="s">
        <v>1294</v>
      </c>
      <c r="O416" s="2" t="s">
        <v>27</v>
      </c>
      <c r="P416" s="3">
        <v>417549</v>
      </c>
      <c r="Q416" s="2"/>
      <c r="R416" s="2"/>
      <c r="S416" s="2" t="s">
        <v>1063</v>
      </c>
      <c r="T416" s="2">
        <v>68.3</v>
      </c>
      <c r="U416" s="2" t="s">
        <v>29</v>
      </c>
      <c r="V416" s="2" t="s">
        <v>238</v>
      </c>
      <c r="W416" s="67" t="str">
        <f t="shared" si="34"/>
        <v>-</v>
      </c>
    </row>
    <row r="417" spans="1:23" x14ac:dyDescent="0.3">
      <c r="A417" s="4" t="s">
        <v>1341</v>
      </c>
      <c r="B417" s="4" t="s">
        <v>1342</v>
      </c>
      <c r="C417" s="4">
        <v>9233204293</v>
      </c>
      <c r="D417" s="4" t="s">
        <v>108</v>
      </c>
      <c r="E417" s="4" t="s">
        <v>641</v>
      </c>
      <c r="F417" s="4" t="s">
        <v>717</v>
      </c>
      <c r="G417" s="4" t="s">
        <v>87</v>
      </c>
      <c r="H417" s="4" t="s">
        <v>1343</v>
      </c>
      <c r="I417" s="2" t="str">
        <f t="shared" si="30"/>
        <v>Oct</v>
      </c>
      <c r="J417" s="2">
        <f t="shared" si="31"/>
        <v>10</v>
      </c>
      <c r="K417" s="2">
        <f t="shared" si="32"/>
        <v>2023</v>
      </c>
      <c r="L417" s="2">
        <f t="shared" si="33"/>
        <v>4</v>
      </c>
      <c r="M417" s="4">
        <v>9</v>
      </c>
      <c r="N417" s="4" t="s">
        <v>1344</v>
      </c>
      <c r="O417" s="4" t="s">
        <v>27</v>
      </c>
      <c r="P417" s="5">
        <v>102641</v>
      </c>
      <c r="Q417" s="4"/>
      <c r="R417" s="4"/>
      <c r="S417" s="4" t="s">
        <v>5819</v>
      </c>
      <c r="T417" s="4">
        <v>54.4</v>
      </c>
      <c r="U417" s="4" t="s">
        <v>29</v>
      </c>
      <c r="V417" s="4" t="s">
        <v>118</v>
      </c>
      <c r="W417" s="67" t="str">
        <f t="shared" si="34"/>
        <v>-</v>
      </c>
    </row>
    <row r="418" spans="1:23" x14ac:dyDescent="0.3">
      <c r="A418" s="2" t="s">
        <v>1345</v>
      </c>
      <c r="B418" s="2" t="s">
        <v>1346</v>
      </c>
      <c r="C418" s="2">
        <v>9777395712</v>
      </c>
      <c r="D418" s="2" t="s">
        <v>108</v>
      </c>
      <c r="E418" s="2" t="s">
        <v>33</v>
      </c>
      <c r="F418" s="2" t="s">
        <v>201</v>
      </c>
      <c r="G418" s="2" t="s">
        <v>23</v>
      </c>
      <c r="H418" s="2" t="s">
        <v>1249</v>
      </c>
      <c r="I418" s="2" t="str">
        <f t="shared" si="30"/>
        <v>Oct</v>
      </c>
      <c r="J418" s="2">
        <f t="shared" si="31"/>
        <v>10</v>
      </c>
      <c r="K418" s="2">
        <f t="shared" si="32"/>
        <v>2023</v>
      </c>
      <c r="L418" s="2">
        <f t="shared" si="33"/>
        <v>4</v>
      </c>
      <c r="M418" s="2">
        <v>2</v>
      </c>
      <c r="N418" s="2" t="s">
        <v>1214</v>
      </c>
      <c r="O418" s="2" t="s">
        <v>27</v>
      </c>
      <c r="P418" s="3">
        <v>552525</v>
      </c>
      <c r="Q418" s="2"/>
      <c r="R418" s="2"/>
      <c r="S418" s="2" t="s">
        <v>1063</v>
      </c>
      <c r="T418" s="2">
        <v>40.5</v>
      </c>
      <c r="U418" s="2" t="s">
        <v>47</v>
      </c>
      <c r="V418" s="2" t="s">
        <v>38</v>
      </c>
      <c r="W418" s="67" t="str">
        <f t="shared" si="34"/>
        <v>-</v>
      </c>
    </row>
    <row r="419" spans="1:23" x14ac:dyDescent="0.3">
      <c r="A419" s="6" t="s">
        <v>1347</v>
      </c>
      <c r="B419" s="6" t="s">
        <v>1348</v>
      </c>
      <c r="C419" s="6">
        <v>9980926449</v>
      </c>
      <c r="D419" s="6" t="s">
        <v>51</v>
      </c>
      <c r="E419" s="6" t="s">
        <v>33</v>
      </c>
      <c r="F419" s="6" t="s">
        <v>34</v>
      </c>
      <c r="G419" s="6" t="s">
        <v>23</v>
      </c>
      <c r="H419" s="6" t="s">
        <v>1281</v>
      </c>
      <c r="I419" s="2" t="str">
        <f t="shared" si="30"/>
        <v>Oct</v>
      </c>
      <c r="J419" s="2">
        <f t="shared" si="31"/>
        <v>10</v>
      </c>
      <c r="K419" s="2">
        <f t="shared" si="32"/>
        <v>2023</v>
      </c>
      <c r="L419" s="2">
        <f t="shared" si="33"/>
        <v>4</v>
      </c>
      <c r="M419" s="6">
        <v>8</v>
      </c>
      <c r="N419" s="6" t="s">
        <v>1324</v>
      </c>
      <c r="O419" s="6" t="s">
        <v>97</v>
      </c>
      <c r="P419" s="7">
        <v>707585</v>
      </c>
      <c r="Q419" s="7">
        <v>686129</v>
      </c>
      <c r="R419" s="6" t="s">
        <v>1349</v>
      </c>
      <c r="S419" s="6" t="s">
        <v>5819</v>
      </c>
      <c r="T419" s="6">
        <v>35.4</v>
      </c>
      <c r="U419" s="6" t="s">
        <v>63</v>
      </c>
      <c r="V419" s="6" t="s">
        <v>286</v>
      </c>
      <c r="W419" s="67" t="str">
        <f t="shared" si="34"/>
        <v>Customer</v>
      </c>
    </row>
    <row r="420" spans="1:23" x14ac:dyDescent="0.3">
      <c r="A420" s="2" t="s">
        <v>1350</v>
      </c>
      <c r="B420" s="2" t="s">
        <v>1351</v>
      </c>
      <c r="C420" s="2">
        <v>9402791679</v>
      </c>
      <c r="D420" s="2" t="s">
        <v>20</v>
      </c>
      <c r="E420" s="2" t="s">
        <v>67</v>
      </c>
      <c r="F420" s="2" t="s">
        <v>80</v>
      </c>
      <c r="G420" s="2" t="s">
        <v>60</v>
      </c>
      <c r="H420" s="2" t="s">
        <v>1281</v>
      </c>
      <c r="I420" s="2" t="str">
        <f t="shared" si="30"/>
        <v>Oct</v>
      </c>
      <c r="J420" s="2">
        <f t="shared" si="31"/>
        <v>10</v>
      </c>
      <c r="K420" s="2">
        <f t="shared" si="32"/>
        <v>2023</v>
      </c>
      <c r="L420" s="2">
        <f t="shared" si="33"/>
        <v>4</v>
      </c>
      <c r="M420" s="2">
        <v>1</v>
      </c>
      <c r="N420" s="2" t="s">
        <v>1352</v>
      </c>
      <c r="O420" s="2" t="s">
        <v>62</v>
      </c>
      <c r="P420" s="3">
        <v>211554</v>
      </c>
      <c r="Q420" s="2"/>
      <c r="R420" s="2"/>
      <c r="S420" s="2" t="s">
        <v>5819</v>
      </c>
      <c r="T420" s="2">
        <v>44</v>
      </c>
      <c r="U420" s="2" t="s">
        <v>29</v>
      </c>
      <c r="V420" s="2" t="s">
        <v>187</v>
      </c>
      <c r="W420" s="67" t="str">
        <f t="shared" si="34"/>
        <v>-</v>
      </c>
    </row>
    <row r="421" spans="1:23" x14ac:dyDescent="0.3">
      <c r="A421" s="6" t="s">
        <v>1353</v>
      </c>
      <c r="B421" s="6" t="s">
        <v>1354</v>
      </c>
      <c r="C421" s="6">
        <v>9896924722</v>
      </c>
      <c r="D421" s="6" t="s">
        <v>59</v>
      </c>
      <c r="E421" s="6" t="s">
        <v>41</v>
      </c>
      <c r="F421" s="6" t="s">
        <v>42</v>
      </c>
      <c r="G421" s="6" t="s">
        <v>35</v>
      </c>
      <c r="H421" s="6" t="s">
        <v>1281</v>
      </c>
      <c r="I421" s="2" t="str">
        <f t="shared" si="30"/>
        <v>Oct</v>
      </c>
      <c r="J421" s="2">
        <f t="shared" si="31"/>
        <v>10</v>
      </c>
      <c r="K421" s="2">
        <f t="shared" si="32"/>
        <v>2023</v>
      </c>
      <c r="L421" s="2">
        <f t="shared" si="33"/>
        <v>4</v>
      </c>
      <c r="M421" s="6">
        <v>8</v>
      </c>
      <c r="N421" s="6" t="s">
        <v>1199</v>
      </c>
      <c r="O421" s="6" t="s">
        <v>97</v>
      </c>
      <c r="P421" s="7">
        <v>146225</v>
      </c>
      <c r="Q421" s="7">
        <v>149593</v>
      </c>
      <c r="R421" s="6" t="s">
        <v>1355</v>
      </c>
      <c r="S421" s="6" t="s">
        <v>5819</v>
      </c>
      <c r="T421" s="6">
        <v>16.899999999999999</v>
      </c>
      <c r="U421" s="6" t="s">
        <v>63</v>
      </c>
      <c r="V421" s="6" t="s">
        <v>243</v>
      </c>
      <c r="W421" s="67" t="str">
        <f t="shared" si="34"/>
        <v>Customer</v>
      </c>
    </row>
    <row r="422" spans="1:23" x14ac:dyDescent="0.3">
      <c r="A422" s="2" t="s">
        <v>1356</v>
      </c>
      <c r="B422" s="2" t="s">
        <v>1357</v>
      </c>
      <c r="C422" s="2">
        <v>9813815668</v>
      </c>
      <c r="D422" s="2" t="s">
        <v>59</v>
      </c>
      <c r="E422" s="2" t="s">
        <v>33</v>
      </c>
      <c r="F422" s="2" t="s">
        <v>201</v>
      </c>
      <c r="G422" s="2" t="s">
        <v>23</v>
      </c>
      <c r="H422" s="2" t="s">
        <v>1281</v>
      </c>
      <c r="I422" s="2" t="str">
        <f t="shared" si="30"/>
        <v>Oct</v>
      </c>
      <c r="J422" s="2">
        <f t="shared" si="31"/>
        <v>10</v>
      </c>
      <c r="K422" s="2">
        <f t="shared" si="32"/>
        <v>2023</v>
      </c>
      <c r="L422" s="2">
        <f t="shared" si="33"/>
        <v>4</v>
      </c>
      <c r="M422" s="2">
        <v>3</v>
      </c>
      <c r="N422" s="2" t="s">
        <v>1266</v>
      </c>
      <c r="O422" s="2" t="s">
        <v>45</v>
      </c>
      <c r="P422" s="3">
        <v>392534</v>
      </c>
      <c r="Q422" s="2"/>
      <c r="R422" s="2"/>
      <c r="S422" s="2" t="s">
        <v>28</v>
      </c>
      <c r="T422" s="2">
        <v>62.9</v>
      </c>
      <c r="U422" s="2" t="s">
        <v>29</v>
      </c>
      <c r="V422" s="2" t="s">
        <v>589</v>
      </c>
      <c r="W422" s="67" t="str">
        <f t="shared" si="34"/>
        <v>-</v>
      </c>
    </row>
    <row r="423" spans="1:23" x14ac:dyDescent="0.3">
      <c r="A423" s="4" t="s">
        <v>1359</v>
      </c>
      <c r="B423" s="4" t="s">
        <v>1360</v>
      </c>
      <c r="C423" s="4">
        <v>9255371286</v>
      </c>
      <c r="D423" s="4" t="s">
        <v>59</v>
      </c>
      <c r="E423" s="4" t="s">
        <v>73</v>
      </c>
      <c r="F423" s="4" t="s">
        <v>126</v>
      </c>
      <c r="G423" s="4" t="s">
        <v>616</v>
      </c>
      <c r="H423" s="4" t="s">
        <v>1358</v>
      </c>
      <c r="I423" s="2" t="str">
        <f t="shared" si="30"/>
        <v>Oct</v>
      </c>
      <c r="J423" s="2">
        <f t="shared" si="31"/>
        <v>10</v>
      </c>
      <c r="K423" s="2">
        <f t="shared" si="32"/>
        <v>2023</v>
      </c>
      <c r="L423" s="2">
        <f t="shared" si="33"/>
        <v>4</v>
      </c>
      <c r="M423" s="4">
        <v>0</v>
      </c>
      <c r="N423" s="4" t="s">
        <v>1352</v>
      </c>
      <c r="O423" s="4" t="s">
        <v>62</v>
      </c>
      <c r="P423" s="5">
        <v>118475</v>
      </c>
      <c r="Q423" s="4"/>
      <c r="R423" s="4"/>
      <c r="S423" s="4" t="s">
        <v>5819</v>
      </c>
      <c r="T423" s="4">
        <v>19.100000000000001</v>
      </c>
      <c r="U423" s="4" t="s">
        <v>47</v>
      </c>
      <c r="V423" s="4" t="s">
        <v>597</v>
      </c>
      <c r="W423" s="67" t="str">
        <f t="shared" si="34"/>
        <v>-</v>
      </c>
    </row>
    <row r="424" spans="1:23" x14ac:dyDescent="0.3">
      <c r="A424" s="2" t="s">
        <v>1361</v>
      </c>
      <c r="B424" s="2" t="s">
        <v>1362</v>
      </c>
      <c r="C424" s="2"/>
      <c r="D424" s="2" t="s">
        <v>59</v>
      </c>
      <c r="E424" s="2" t="s">
        <v>67</v>
      </c>
      <c r="F424" s="2" t="s">
        <v>68</v>
      </c>
      <c r="G424" s="2" t="s">
        <v>643</v>
      </c>
      <c r="H424" s="2" t="s">
        <v>1358</v>
      </c>
      <c r="I424" s="2" t="str">
        <f t="shared" si="30"/>
        <v>Oct</v>
      </c>
      <c r="J424" s="2">
        <f t="shared" si="31"/>
        <v>10</v>
      </c>
      <c r="K424" s="2">
        <f t="shared" si="32"/>
        <v>2023</v>
      </c>
      <c r="L424" s="2">
        <f t="shared" si="33"/>
        <v>4</v>
      </c>
      <c r="M424" s="2">
        <v>1</v>
      </c>
      <c r="N424" s="2" t="s">
        <v>1352</v>
      </c>
      <c r="O424" s="2" t="s">
        <v>27</v>
      </c>
      <c r="P424" s="2"/>
      <c r="Q424" s="2"/>
      <c r="R424" s="2"/>
      <c r="S424" s="2" t="s">
        <v>1063</v>
      </c>
      <c r="T424" s="2">
        <v>53.9</v>
      </c>
      <c r="U424" s="2" t="s">
        <v>29</v>
      </c>
      <c r="V424" s="2" t="s">
        <v>1363</v>
      </c>
      <c r="W424" s="67" t="str">
        <f t="shared" si="34"/>
        <v>-</v>
      </c>
    </row>
    <row r="425" spans="1:23" x14ac:dyDescent="0.3">
      <c r="A425" s="4" t="s">
        <v>1364</v>
      </c>
      <c r="B425" s="4" t="s">
        <v>1365</v>
      </c>
      <c r="C425" s="4">
        <v>9295404184</v>
      </c>
      <c r="D425" s="4" t="s">
        <v>20</v>
      </c>
      <c r="E425" s="4" t="s">
        <v>33</v>
      </c>
      <c r="F425" s="4" t="s">
        <v>201</v>
      </c>
      <c r="G425" s="4" t="s">
        <v>23</v>
      </c>
      <c r="H425" s="4" t="s">
        <v>1277</v>
      </c>
      <c r="I425" s="2" t="str">
        <f t="shared" si="30"/>
        <v>Oct</v>
      </c>
      <c r="J425" s="2">
        <f t="shared" si="31"/>
        <v>10</v>
      </c>
      <c r="K425" s="2">
        <f t="shared" si="32"/>
        <v>2023</v>
      </c>
      <c r="L425" s="2">
        <f t="shared" si="33"/>
        <v>4</v>
      </c>
      <c r="M425" s="4">
        <v>5</v>
      </c>
      <c r="N425" s="4" t="s">
        <v>1190</v>
      </c>
      <c r="O425" s="4" t="s">
        <v>62</v>
      </c>
      <c r="P425" s="5">
        <v>703349</v>
      </c>
      <c r="Q425" s="4"/>
      <c r="R425" s="4"/>
      <c r="S425" s="4" t="s">
        <v>5819</v>
      </c>
      <c r="T425" s="4">
        <v>33.299999999999997</v>
      </c>
      <c r="U425" s="4" t="s">
        <v>63</v>
      </c>
      <c r="V425" s="4" t="s">
        <v>668</v>
      </c>
      <c r="W425" s="67" t="str">
        <f t="shared" si="34"/>
        <v>-</v>
      </c>
    </row>
    <row r="426" spans="1:23" x14ac:dyDescent="0.3">
      <c r="A426" s="6" t="s">
        <v>1366</v>
      </c>
      <c r="B426" s="6" t="s">
        <v>1367</v>
      </c>
      <c r="C426" s="6">
        <v>9952508471</v>
      </c>
      <c r="D426" s="6" t="s">
        <v>20</v>
      </c>
      <c r="E426" s="6" t="s">
        <v>41</v>
      </c>
      <c r="F426" s="6" t="s">
        <v>151</v>
      </c>
      <c r="G426" s="6" t="s">
        <v>60</v>
      </c>
      <c r="H426" s="6" t="s">
        <v>1277</v>
      </c>
      <c r="I426" s="2" t="str">
        <f t="shared" si="30"/>
        <v>Oct</v>
      </c>
      <c r="J426" s="2">
        <f t="shared" si="31"/>
        <v>10</v>
      </c>
      <c r="K426" s="2">
        <f t="shared" si="32"/>
        <v>2023</v>
      </c>
      <c r="L426" s="2">
        <f t="shared" si="33"/>
        <v>4</v>
      </c>
      <c r="M426" s="6">
        <v>10</v>
      </c>
      <c r="N426" s="6" t="s">
        <v>1368</v>
      </c>
      <c r="O426" s="6" t="s">
        <v>97</v>
      </c>
      <c r="P426" s="7">
        <v>148689</v>
      </c>
      <c r="Q426" s="7">
        <v>134358</v>
      </c>
      <c r="R426" s="6" t="s">
        <v>1369</v>
      </c>
      <c r="S426" s="6" t="s">
        <v>5819</v>
      </c>
      <c r="T426" s="6">
        <v>69.900000000000006</v>
      </c>
      <c r="U426" s="6" t="s">
        <v>47</v>
      </c>
      <c r="V426" s="6" t="s">
        <v>243</v>
      </c>
      <c r="W426" s="67" t="str">
        <f t="shared" si="34"/>
        <v>Architect</v>
      </c>
    </row>
    <row r="427" spans="1:23" x14ac:dyDescent="0.3">
      <c r="A427" s="4" t="s">
        <v>1370</v>
      </c>
      <c r="B427" s="4" t="s">
        <v>1371</v>
      </c>
      <c r="C427" s="4">
        <v>9264066364</v>
      </c>
      <c r="D427" s="4" t="s">
        <v>59</v>
      </c>
      <c r="E427" s="4" t="s">
        <v>109</v>
      </c>
      <c r="F427" s="4" t="s">
        <v>331</v>
      </c>
      <c r="G427" s="4" t="s">
        <v>87</v>
      </c>
      <c r="H427" s="4" t="s">
        <v>1277</v>
      </c>
      <c r="I427" s="2" t="str">
        <f t="shared" si="30"/>
        <v>Oct</v>
      </c>
      <c r="J427" s="2">
        <f t="shared" si="31"/>
        <v>10</v>
      </c>
      <c r="K427" s="2">
        <f t="shared" si="32"/>
        <v>2023</v>
      </c>
      <c r="L427" s="2">
        <f t="shared" si="33"/>
        <v>4</v>
      </c>
      <c r="M427" s="4">
        <v>6</v>
      </c>
      <c r="N427" s="4" t="s">
        <v>1312</v>
      </c>
      <c r="O427" s="4" t="s">
        <v>45</v>
      </c>
      <c r="P427" s="5">
        <v>105362</v>
      </c>
      <c r="Q427" s="4"/>
      <c r="R427" s="4"/>
      <c r="S427" s="4" t="s">
        <v>28</v>
      </c>
      <c r="T427" s="4">
        <v>36.799999999999997</v>
      </c>
      <c r="U427" s="4" t="s">
        <v>29</v>
      </c>
      <c r="V427" s="4" t="s">
        <v>247</v>
      </c>
      <c r="W427" s="67" t="str">
        <f t="shared" si="34"/>
        <v>-</v>
      </c>
    </row>
    <row r="428" spans="1:23" x14ac:dyDescent="0.3">
      <c r="A428" s="6" t="s">
        <v>1373</v>
      </c>
      <c r="B428" s="6" t="s">
        <v>226</v>
      </c>
      <c r="C428" s="6">
        <v>9178593060</v>
      </c>
      <c r="D428" s="6" t="s">
        <v>20</v>
      </c>
      <c r="E428" s="6" t="s">
        <v>109</v>
      </c>
      <c r="F428" s="6" t="s">
        <v>331</v>
      </c>
      <c r="G428" s="6" t="s">
        <v>616</v>
      </c>
      <c r="H428" s="6" t="s">
        <v>1277</v>
      </c>
      <c r="I428" s="2" t="str">
        <f t="shared" si="30"/>
        <v>Oct</v>
      </c>
      <c r="J428" s="2">
        <f t="shared" si="31"/>
        <v>10</v>
      </c>
      <c r="K428" s="2">
        <f t="shared" si="32"/>
        <v>2023</v>
      </c>
      <c r="L428" s="2">
        <f t="shared" si="33"/>
        <v>4</v>
      </c>
      <c r="M428" s="6">
        <v>7</v>
      </c>
      <c r="N428" s="6" t="s">
        <v>1374</v>
      </c>
      <c r="O428" s="6" t="s">
        <v>97</v>
      </c>
      <c r="P428" s="7">
        <v>79629</v>
      </c>
      <c r="Q428" s="7">
        <v>70241</v>
      </c>
      <c r="R428" s="6" t="s">
        <v>1375</v>
      </c>
      <c r="S428" s="6" t="s">
        <v>5819</v>
      </c>
      <c r="T428" s="6">
        <v>57</v>
      </c>
      <c r="U428" s="6" t="s">
        <v>63</v>
      </c>
      <c r="V428" s="6" t="s">
        <v>465</v>
      </c>
      <c r="W428" s="67" t="str">
        <f t="shared" si="34"/>
        <v>Customer</v>
      </c>
    </row>
    <row r="429" spans="1:23" x14ac:dyDescent="0.3">
      <c r="A429" s="4" t="s">
        <v>1376</v>
      </c>
      <c r="B429" s="4" t="s">
        <v>1377</v>
      </c>
      <c r="C429" s="4">
        <v>9846482380</v>
      </c>
      <c r="D429" s="4" t="s">
        <v>20</v>
      </c>
      <c r="E429" s="4" t="s">
        <v>41</v>
      </c>
      <c r="F429" s="4" t="s">
        <v>92</v>
      </c>
      <c r="G429" s="4" t="s">
        <v>87</v>
      </c>
      <c r="H429" s="4" t="s">
        <v>1255</v>
      </c>
      <c r="I429" s="2" t="str">
        <f t="shared" si="30"/>
        <v>Oct</v>
      </c>
      <c r="J429" s="2">
        <f t="shared" si="31"/>
        <v>10</v>
      </c>
      <c r="K429" s="2">
        <f t="shared" si="32"/>
        <v>2023</v>
      </c>
      <c r="L429" s="2">
        <f t="shared" si="33"/>
        <v>4</v>
      </c>
      <c r="M429" s="4">
        <v>10</v>
      </c>
      <c r="N429" s="4" t="s">
        <v>1378</v>
      </c>
      <c r="O429" s="4" t="s">
        <v>45</v>
      </c>
      <c r="P429" s="5">
        <v>176012</v>
      </c>
      <c r="Q429" s="4"/>
      <c r="R429" s="4"/>
      <c r="S429" s="4" t="s">
        <v>5819</v>
      </c>
      <c r="T429" s="4">
        <v>12.4</v>
      </c>
      <c r="U429" s="4" t="s">
        <v>47</v>
      </c>
      <c r="V429" s="4" t="s">
        <v>183</v>
      </c>
      <c r="W429" s="67" t="str">
        <f t="shared" si="34"/>
        <v>-</v>
      </c>
    </row>
    <row r="430" spans="1:23" x14ac:dyDescent="0.3">
      <c r="A430" s="2" t="s">
        <v>1379</v>
      </c>
      <c r="B430" s="2" t="s">
        <v>1380</v>
      </c>
      <c r="C430" s="2">
        <v>9109805961</v>
      </c>
      <c r="D430" s="2" t="s">
        <v>59</v>
      </c>
      <c r="E430" s="2" t="s">
        <v>33</v>
      </c>
      <c r="F430" s="2" t="s">
        <v>34</v>
      </c>
      <c r="G430" s="2" t="s">
        <v>643</v>
      </c>
      <c r="H430" s="2" t="s">
        <v>1372</v>
      </c>
      <c r="I430" s="2" t="str">
        <f t="shared" si="30"/>
        <v>Oct</v>
      </c>
      <c r="J430" s="2">
        <f t="shared" si="31"/>
        <v>10</v>
      </c>
      <c r="K430" s="2">
        <f t="shared" si="32"/>
        <v>2023</v>
      </c>
      <c r="L430" s="2">
        <f t="shared" si="33"/>
        <v>4</v>
      </c>
      <c r="M430" s="2">
        <v>3</v>
      </c>
      <c r="N430" s="2" t="s">
        <v>1190</v>
      </c>
      <c r="O430" s="2" t="s">
        <v>27</v>
      </c>
      <c r="P430" s="3">
        <v>667800</v>
      </c>
      <c r="Q430" s="2"/>
      <c r="R430" s="2"/>
      <c r="S430" s="2" t="s">
        <v>28</v>
      </c>
      <c r="T430" s="2">
        <v>23.8</v>
      </c>
      <c r="U430" s="2" t="s">
        <v>29</v>
      </c>
      <c r="V430" s="2" t="s">
        <v>105</v>
      </c>
      <c r="W430" s="67" t="str">
        <f t="shared" si="34"/>
        <v>-</v>
      </c>
    </row>
    <row r="431" spans="1:23" x14ac:dyDescent="0.3">
      <c r="A431" s="6" t="s">
        <v>1381</v>
      </c>
      <c r="B431" s="6" t="s">
        <v>1382</v>
      </c>
      <c r="C431" s="6">
        <v>9774399203</v>
      </c>
      <c r="D431" s="6" t="s">
        <v>121</v>
      </c>
      <c r="E431" s="6" t="s">
        <v>67</v>
      </c>
      <c r="F431" s="6" t="s">
        <v>80</v>
      </c>
      <c r="G431" s="6" t="s">
        <v>60</v>
      </c>
      <c r="H431" s="6" t="s">
        <v>1298</v>
      </c>
      <c r="I431" s="2" t="str">
        <f t="shared" si="30"/>
        <v>Oct</v>
      </c>
      <c r="J431" s="2">
        <f t="shared" si="31"/>
        <v>10</v>
      </c>
      <c r="K431" s="2">
        <f t="shared" si="32"/>
        <v>2023</v>
      </c>
      <c r="L431" s="2">
        <f t="shared" si="33"/>
        <v>4</v>
      </c>
      <c r="M431" s="6">
        <v>6</v>
      </c>
      <c r="N431" s="6" t="s">
        <v>1263</v>
      </c>
      <c r="O431" s="6" t="s">
        <v>97</v>
      </c>
      <c r="P431" s="7">
        <v>130331</v>
      </c>
      <c r="Q431" s="7">
        <v>120985</v>
      </c>
      <c r="R431" s="6" t="s">
        <v>1383</v>
      </c>
      <c r="S431" s="6" t="s">
        <v>28</v>
      </c>
      <c r="T431" s="6">
        <v>51.5</v>
      </c>
      <c r="U431" s="6" t="s">
        <v>63</v>
      </c>
      <c r="V431" s="6" t="s">
        <v>113</v>
      </c>
      <c r="W431" s="67" t="str">
        <f t="shared" si="34"/>
        <v>Customer</v>
      </c>
    </row>
    <row r="432" spans="1:23" x14ac:dyDescent="0.3">
      <c r="A432" s="2" t="s">
        <v>1384</v>
      </c>
      <c r="B432" s="2" t="s">
        <v>1385</v>
      </c>
      <c r="C432" s="2">
        <v>9512690234</v>
      </c>
      <c r="D432" s="2" t="s">
        <v>20</v>
      </c>
      <c r="E432" s="2" t="s">
        <v>33</v>
      </c>
      <c r="F432" s="2" t="s">
        <v>102</v>
      </c>
      <c r="G432" s="2" t="s">
        <v>52</v>
      </c>
      <c r="H432" s="2" t="s">
        <v>1317</v>
      </c>
      <c r="I432" s="2" t="str">
        <f t="shared" si="30"/>
        <v>Oct</v>
      </c>
      <c r="J432" s="2">
        <f t="shared" si="31"/>
        <v>10</v>
      </c>
      <c r="K432" s="2">
        <f t="shared" si="32"/>
        <v>2023</v>
      </c>
      <c r="L432" s="2">
        <f t="shared" si="33"/>
        <v>4</v>
      </c>
      <c r="M432" s="2">
        <v>0</v>
      </c>
      <c r="N432" s="2" t="s">
        <v>1213</v>
      </c>
      <c r="O432" s="2" t="s">
        <v>27</v>
      </c>
      <c r="P432" s="3">
        <v>256181</v>
      </c>
      <c r="Q432" s="2"/>
      <c r="R432" s="2"/>
      <c r="S432" s="2" t="s">
        <v>28</v>
      </c>
      <c r="T432" s="2">
        <v>49.1</v>
      </c>
      <c r="U432" s="2" t="s">
        <v>29</v>
      </c>
      <c r="V432" s="2" t="s">
        <v>38</v>
      </c>
      <c r="W432" s="67" t="str">
        <f t="shared" si="34"/>
        <v>-</v>
      </c>
    </row>
    <row r="433" spans="1:23" x14ac:dyDescent="0.3">
      <c r="A433" s="4" t="s">
        <v>1386</v>
      </c>
      <c r="B433" s="4" t="s">
        <v>1387</v>
      </c>
      <c r="C433" s="4">
        <v>9536491927</v>
      </c>
      <c r="D433" s="4" t="s">
        <v>59</v>
      </c>
      <c r="E433" s="4" t="s">
        <v>109</v>
      </c>
      <c r="F433" s="4" t="s">
        <v>217</v>
      </c>
      <c r="G433" s="4" t="s">
        <v>52</v>
      </c>
      <c r="H433" s="4" t="s">
        <v>1135</v>
      </c>
      <c r="I433" s="2" t="str">
        <f t="shared" si="30"/>
        <v>Oct</v>
      </c>
      <c r="J433" s="2">
        <f t="shared" si="31"/>
        <v>10</v>
      </c>
      <c r="K433" s="2">
        <f t="shared" si="32"/>
        <v>2023</v>
      </c>
      <c r="L433" s="2">
        <f t="shared" si="33"/>
        <v>4</v>
      </c>
      <c r="M433" s="4">
        <v>4</v>
      </c>
      <c r="N433" s="4" t="s">
        <v>1199</v>
      </c>
      <c r="O433" s="4" t="s">
        <v>55</v>
      </c>
      <c r="P433" s="5">
        <v>283364</v>
      </c>
      <c r="Q433" s="4"/>
      <c r="R433" s="4"/>
      <c r="S433" s="4" t="s">
        <v>28</v>
      </c>
      <c r="T433" s="4">
        <v>39.4</v>
      </c>
      <c r="U433" s="4" t="s">
        <v>29</v>
      </c>
      <c r="V433" s="4" t="s">
        <v>697</v>
      </c>
      <c r="W433" s="67" t="str">
        <f t="shared" si="34"/>
        <v>-</v>
      </c>
    </row>
    <row r="434" spans="1:23" x14ac:dyDescent="0.3">
      <c r="A434" s="2" t="s">
        <v>1388</v>
      </c>
      <c r="B434" s="2" t="s">
        <v>1389</v>
      </c>
      <c r="C434" s="2">
        <v>9467382830</v>
      </c>
      <c r="D434" s="2" t="s">
        <v>59</v>
      </c>
      <c r="E434" s="2" t="s">
        <v>67</v>
      </c>
      <c r="F434" s="2" t="s">
        <v>80</v>
      </c>
      <c r="G434" s="2" t="s">
        <v>616</v>
      </c>
      <c r="H434" s="2" t="s">
        <v>1294</v>
      </c>
      <c r="I434" s="2" t="str">
        <f t="shared" si="30"/>
        <v>Oct</v>
      </c>
      <c r="J434" s="2">
        <f t="shared" si="31"/>
        <v>10</v>
      </c>
      <c r="K434" s="2">
        <f t="shared" si="32"/>
        <v>2023</v>
      </c>
      <c r="L434" s="2">
        <f t="shared" si="33"/>
        <v>4</v>
      </c>
      <c r="M434" s="2">
        <v>1</v>
      </c>
      <c r="N434" s="2" t="s">
        <v>1311</v>
      </c>
      <c r="O434" s="2" t="s">
        <v>27</v>
      </c>
      <c r="P434" s="3">
        <v>93046</v>
      </c>
      <c r="Q434" s="2"/>
      <c r="R434" s="2"/>
      <c r="S434" s="2" t="s">
        <v>5819</v>
      </c>
      <c r="T434" s="2">
        <v>11.4</v>
      </c>
      <c r="U434" s="2" t="s">
        <v>29</v>
      </c>
      <c r="V434" s="2" t="s">
        <v>38</v>
      </c>
      <c r="W434" s="67" t="str">
        <f t="shared" si="34"/>
        <v>-</v>
      </c>
    </row>
    <row r="435" spans="1:23" x14ac:dyDescent="0.3">
      <c r="A435" s="4" t="s">
        <v>1390</v>
      </c>
      <c r="B435" s="4" t="s">
        <v>1391</v>
      </c>
      <c r="C435" s="4">
        <v>9280960216</v>
      </c>
      <c r="D435" s="4" t="s">
        <v>51</v>
      </c>
      <c r="E435" s="4" t="s">
        <v>33</v>
      </c>
      <c r="F435" s="4" t="s">
        <v>34</v>
      </c>
      <c r="G435" s="4" t="s">
        <v>643</v>
      </c>
      <c r="H435" s="4" t="s">
        <v>1294</v>
      </c>
      <c r="I435" s="2" t="str">
        <f t="shared" si="30"/>
        <v>Oct</v>
      </c>
      <c r="J435" s="2">
        <f t="shared" si="31"/>
        <v>10</v>
      </c>
      <c r="K435" s="2">
        <f t="shared" si="32"/>
        <v>2023</v>
      </c>
      <c r="L435" s="2">
        <f t="shared" si="33"/>
        <v>4</v>
      </c>
      <c r="M435" s="4">
        <v>10</v>
      </c>
      <c r="N435" s="4" t="s">
        <v>1392</v>
      </c>
      <c r="O435" s="4" t="s">
        <v>45</v>
      </c>
      <c r="P435" s="5">
        <v>863744</v>
      </c>
      <c r="Q435" s="4"/>
      <c r="R435" s="4"/>
      <c r="S435" s="4" t="s">
        <v>1063</v>
      </c>
      <c r="T435" s="4">
        <v>66.599999999999994</v>
      </c>
      <c r="U435" s="4" t="s">
        <v>47</v>
      </c>
      <c r="V435" s="4" t="s">
        <v>302</v>
      </c>
      <c r="W435" s="67" t="str">
        <f t="shared" si="34"/>
        <v>-</v>
      </c>
    </row>
    <row r="436" spans="1:23" x14ac:dyDescent="0.3">
      <c r="A436" s="2" t="s">
        <v>1393</v>
      </c>
      <c r="B436" s="2" t="s">
        <v>1394</v>
      </c>
      <c r="C436" s="2">
        <v>9436480931</v>
      </c>
      <c r="D436" s="2" t="s">
        <v>20</v>
      </c>
      <c r="E436" s="2" t="s">
        <v>641</v>
      </c>
      <c r="F436" s="2" t="s">
        <v>727</v>
      </c>
      <c r="G436" s="2" t="s">
        <v>60</v>
      </c>
      <c r="H436" s="2" t="s">
        <v>1294</v>
      </c>
      <c r="I436" s="2" t="str">
        <f t="shared" si="30"/>
        <v>Oct</v>
      </c>
      <c r="J436" s="2">
        <f t="shared" si="31"/>
        <v>10</v>
      </c>
      <c r="K436" s="2">
        <f t="shared" si="32"/>
        <v>2023</v>
      </c>
      <c r="L436" s="2">
        <f t="shared" si="33"/>
        <v>4</v>
      </c>
      <c r="M436" s="2">
        <v>3</v>
      </c>
      <c r="N436" s="2" t="s">
        <v>1312</v>
      </c>
      <c r="O436" s="2" t="s">
        <v>62</v>
      </c>
      <c r="P436" s="3">
        <v>217784</v>
      </c>
      <c r="Q436" s="2"/>
      <c r="R436" s="2"/>
      <c r="S436" s="2" t="s">
        <v>28</v>
      </c>
      <c r="T436" s="2">
        <v>10.1</v>
      </c>
      <c r="U436" s="2" t="s">
        <v>63</v>
      </c>
      <c r="V436" s="2" t="s">
        <v>260</v>
      </c>
      <c r="W436" s="67" t="str">
        <f t="shared" si="34"/>
        <v>-</v>
      </c>
    </row>
    <row r="437" spans="1:23" x14ac:dyDescent="0.3">
      <c r="A437" s="4" t="s">
        <v>1395</v>
      </c>
      <c r="B437" s="4" t="s">
        <v>1396</v>
      </c>
      <c r="C437" s="4">
        <v>9151277635</v>
      </c>
      <c r="D437" s="4" t="s">
        <v>51</v>
      </c>
      <c r="E437" s="4" t="s">
        <v>109</v>
      </c>
      <c r="F437" s="4" t="s">
        <v>110</v>
      </c>
      <c r="G437" s="4" t="s">
        <v>52</v>
      </c>
      <c r="H437" s="4" t="s">
        <v>1294</v>
      </c>
      <c r="I437" s="2" t="str">
        <f t="shared" si="30"/>
        <v>Oct</v>
      </c>
      <c r="J437" s="2">
        <f t="shared" si="31"/>
        <v>10</v>
      </c>
      <c r="K437" s="2">
        <f t="shared" si="32"/>
        <v>2023</v>
      </c>
      <c r="L437" s="2">
        <f t="shared" si="33"/>
        <v>4</v>
      </c>
      <c r="M437" s="4">
        <v>10</v>
      </c>
      <c r="N437" s="4" t="s">
        <v>1344</v>
      </c>
      <c r="O437" s="4" t="s">
        <v>45</v>
      </c>
      <c r="P437" s="5">
        <v>434959</v>
      </c>
      <c r="Q437" s="4"/>
      <c r="R437" s="4"/>
      <c r="S437" s="4" t="s">
        <v>28</v>
      </c>
      <c r="T437" s="4">
        <v>16.100000000000001</v>
      </c>
      <c r="U437" s="4" t="s">
        <v>47</v>
      </c>
      <c r="V437" s="4" t="s">
        <v>310</v>
      </c>
      <c r="W437" s="67" t="str">
        <f t="shared" si="34"/>
        <v>-</v>
      </c>
    </row>
    <row r="438" spans="1:23" x14ac:dyDescent="0.3">
      <c r="A438" s="2" t="s">
        <v>1397</v>
      </c>
      <c r="B438" s="2" t="s">
        <v>1398</v>
      </c>
      <c r="C438" s="2">
        <v>9461883170</v>
      </c>
      <c r="D438" s="2" t="s">
        <v>59</v>
      </c>
      <c r="E438" s="2" t="s">
        <v>33</v>
      </c>
      <c r="F438" s="2" t="s">
        <v>102</v>
      </c>
      <c r="G438" s="2" t="s">
        <v>643</v>
      </c>
      <c r="H438" s="2" t="s">
        <v>1213</v>
      </c>
      <c r="I438" s="2" t="str">
        <f t="shared" si="30"/>
        <v>Oct</v>
      </c>
      <c r="J438" s="2">
        <f t="shared" si="31"/>
        <v>10</v>
      </c>
      <c r="K438" s="2">
        <f t="shared" si="32"/>
        <v>2023</v>
      </c>
      <c r="L438" s="2">
        <f t="shared" si="33"/>
        <v>4</v>
      </c>
      <c r="M438" s="2">
        <v>12</v>
      </c>
      <c r="N438" s="2" t="s">
        <v>1324</v>
      </c>
      <c r="O438" s="2" t="s">
        <v>62</v>
      </c>
      <c r="P438" s="3">
        <v>1019353</v>
      </c>
      <c r="Q438" s="2"/>
      <c r="R438" s="2"/>
      <c r="S438" s="2" t="s">
        <v>28</v>
      </c>
      <c r="T438" s="2">
        <v>29.5</v>
      </c>
      <c r="U438" s="2" t="s">
        <v>47</v>
      </c>
      <c r="V438" s="2" t="s">
        <v>89</v>
      </c>
      <c r="W438" s="67" t="str">
        <f t="shared" si="34"/>
        <v>-</v>
      </c>
    </row>
    <row r="439" spans="1:23" x14ac:dyDescent="0.3">
      <c r="A439" s="4" t="s">
        <v>1399</v>
      </c>
      <c r="B439" s="4" t="s">
        <v>1400</v>
      </c>
      <c r="C439" s="4">
        <v>9889653765</v>
      </c>
      <c r="D439" s="4" t="s">
        <v>59</v>
      </c>
      <c r="E439" s="4" t="s">
        <v>109</v>
      </c>
      <c r="F439" s="4" t="s">
        <v>217</v>
      </c>
      <c r="G439" s="4" t="s">
        <v>52</v>
      </c>
      <c r="H439" s="4" t="s">
        <v>1213</v>
      </c>
      <c r="I439" s="2" t="str">
        <f t="shared" si="30"/>
        <v>Oct</v>
      </c>
      <c r="J439" s="2">
        <f t="shared" si="31"/>
        <v>10</v>
      </c>
      <c r="K439" s="2">
        <f t="shared" si="32"/>
        <v>2023</v>
      </c>
      <c r="L439" s="2">
        <f t="shared" si="33"/>
        <v>4</v>
      </c>
      <c r="M439" s="4">
        <v>10</v>
      </c>
      <c r="N439" s="4" t="s">
        <v>1375</v>
      </c>
      <c r="O439" s="4" t="s">
        <v>62</v>
      </c>
      <c r="P439" s="5">
        <v>239832</v>
      </c>
      <c r="Q439" s="4"/>
      <c r="R439" s="4"/>
      <c r="S439" s="4" t="s">
        <v>5819</v>
      </c>
      <c r="T439" s="4">
        <v>50.7</v>
      </c>
      <c r="U439" s="4" t="s">
        <v>63</v>
      </c>
      <c r="V439" s="4" t="s">
        <v>668</v>
      </c>
      <c r="W439" s="67" t="str">
        <f t="shared" si="34"/>
        <v>-</v>
      </c>
    </row>
    <row r="440" spans="1:23" x14ac:dyDescent="0.3">
      <c r="A440" s="2" t="s">
        <v>1401</v>
      </c>
      <c r="B440" s="2" t="s">
        <v>1100</v>
      </c>
      <c r="C440" s="2">
        <v>9458111525</v>
      </c>
      <c r="D440" s="2" t="s">
        <v>59</v>
      </c>
      <c r="E440" s="2" t="s">
        <v>109</v>
      </c>
      <c r="F440" s="2" t="s">
        <v>110</v>
      </c>
      <c r="G440" s="2" t="s">
        <v>60</v>
      </c>
      <c r="H440" s="2" t="s">
        <v>1352</v>
      </c>
      <c r="I440" s="2" t="str">
        <f t="shared" si="30"/>
        <v>Oct</v>
      </c>
      <c r="J440" s="2">
        <f t="shared" si="31"/>
        <v>10</v>
      </c>
      <c r="K440" s="2">
        <f t="shared" si="32"/>
        <v>2023</v>
      </c>
      <c r="L440" s="2">
        <f t="shared" si="33"/>
        <v>4</v>
      </c>
      <c r="M440" s="2">
        <v>1</v>
      </c>
      <c r="N440" s="2" t="s">
        <v>1312</v>
      </c>
      <c r="O440" s="2" t="s">
        <v>55</v>
      </c>
      <c r="P440" s="3">
        <v>169830</v>
      </c>
      <c r="Q440" s="2"/>
      <c r="R440" s="2"/>
      <c r="S440" s="2" t="s">
        <v>28</v>
      </c>
      <c r="T440" s="2"/>
      <c r="U440" s="2" t="s">
        <v>29</v>
      </c>
      <c r="V440" s="2"/>
      <c r="W440" s="67" t="str">
        <f t="shared" si="34"/>
        <v>-</v>
      </c>
    </row>
    <row r="441" spans="1:23" x14ac:dyDescent="0.3">
      <c r="A441" s="4" t="s">
        <v>1402</v>
      </c>
      <c r="B441" s="4" t="s">
        <v>1403</v>
      </c>
      <c r="C441" s="4">
        <v>9316252684</v>
      </c>
      <c r="D441" s="4" t="s">
        <v>20</v>
      </c>
      <c r="E441" s="4" t="s">
        <v>67</v>
      </c>
      <c r="F441" s="4" t="s">
        <v>80</v>
      </c>
      <c r="G441" s="4" t="s">
        <v>52</v>
      </c>
      <c r="H441" s="4" t="s">
        <v>1352</v>
      </c>
      <c r="I441" s="2" t="str">
        <f t="shared" si="30"/>
        <v>Oct</v>
      </c>
      <c r="J441" s="2">
        <f t="shared" si="31"/>
        <v>10</v>
      </c>
      <c r="K441" s="2">
        <f t="shared" si="32"/>
        <v>2023</v>
      </c>
      <c r="L441" s="2">
        <f t="shared" si="33"/>
        <v>4</v>
      </c>
      <c r="M441" s="4">
        <v>3</v>
      </c>
      <c r="N441" s="4" t="s">
        <v>1301</v>
      </c>
      <c r="O441" s="4" t="s">
        <v>27</v>
      </c>
      <c r="P441" s="5">
        <v>488549</v>
      </c>
      <c r="Q441" s="4"/>
      <c r="R441" s="4"/>
      <c r="S441" s="4" t="s">
        <v>28</v>
      </c>
      <c r="T441" s="4">
        <v>32.799999999999997</v>
      </c>
      <c r="U441" s="4" t="s">
        <v>29</v>
      </c>
      <c r="V441" s="4" t="s">
        <v>153</v>
      </c>
      <c r="W441" s="67" t="str">
        <f t="shared" si="34"/>
        <v>-</v>
      </c>
    </row>
    <row r="442" spans="1:23" x14ac:dyDescent="0.3">
      <c r="A442" s="2" t="s">
        <v>1404</v>
      </c>
      <c r="B442" s="2" t="s">
        <v>91</v>
      </c>
      <c r="C442" s="2">
        <v>9669758914</v>
      </c>
      <c r="D442" s="2" t="s">
        <v>59</v>
      </c>
      <c r="E442" s="2" t="s">
        <v>67</v>
      </c>
      <c r="F442" s="2" t="s">
        <v>68</v>
      </c>
      <c r="G442" s="2" t="s">
        <v>60</v>
      </c>
      <c r="H442" s="2" t="s">
        <v>1203</v>
      </c>
      <c r="I442" s="2" t="str">
        <f t="shared" si="30"/>
        <v>Oct</v>
      </c>
      <c r="J442" s="2">
        <f t="shared" si="31"/>
        <v>10</v>
      </c>
      <c r="K442" s="2">
        <f t="shared" si="32"/>
        <v>2023</v>
      </c>
      <c r="L442" s="2">
        <f t="shared" si="33"/>
        <v>4</v>
      </c>
      <c r="M442" s="2">
        <v>11</v>
      </c>
      <c r="N442" s="2" t="s">
        <v>1405</v>
      </c>
      <c r="O442" s="2" t="s">
        <v>27</v>
      </c>
      <c r="P442" s="3">
        <v>67274</v>
      </c>
      <c r="Q442" s="2"/>
      <c r="R442" s="2"/>
      <c r="S442" s="2" t="s">
        <v>1063</v>
      </c>
      <c r="T442" s="2">
        <v>4.2</v>
      </c>
      <c r="U442" s="2" t="s">
        <v>29</v>
      </c>
      <c r="V442" s="2"/>
      <c r="W442" s="67" t="str">
        <f t="shared" si="34"/>
        <v>-</v>
      </c>
    </row>
    <row r="443" spans="1:23" x14ac:dyDescent="0.3">
      <c r="A443" s="4" t="s">
        <v>1406</v>
      </c>
      <c r="B443" s="4" t="s">
        <v>1407</v>
      </c>
      <c r="C443" s="4">
        <v>9439560357</v>
      </c>
      <c r="D443" s="4" t="s">
        <v>108</v>
      </c>
      <c r="E443" s="4" t="s">
        <v>73</v>
      </c>
      <c r="F443" s="4" t="s">
        <v>74</v>
      </c>
      <c r="G443" s="4" t="s">
        <v>60</v>
      </c>
      <c r="H443" s="4" t="s">
        <v>1203</v>
      </c>
      <c r="I443" s="2" t="str">
        <f t="shared" si="30"/>
        <v>Oct</v>
      </c>
      <c r="J443" s="2">
        <f t="shared" si="31"/>
        <v>10</v>
      </c>
      <c r="K443" s="2">
        <f t="shared" si="32"/>
        <v>2023</v>
      </c>
      <c r="L443" s="2">
        <f t="shared" si="33"/>
        <v>4</v>
      </c>
      <c r="M443" s="4">
        <v>5</v>
      </c>
      <c r="N443" s="4" t="s">
        <v>1301</v>
      </c>
      <c r="O443" s="4" t="s">
        <v>45</v>
      </c>
      <c r="P443" s="5">
        <v>237532</v>
      </c>
      <c r="Q443" s="4"/>
      <c r="R443" s="4"/>
      <c r="S443" s="4" t="s">
        <v>1063</v>
      </c>
      <c r="T443" s="4">
        <v>18.5</v>
      </c>
      <c r="U443" s="4" t="s">
        <v>63</v>
      </c>
      <c r="V443" s="4" t="s">
        <v>195</v>
      </c>
      <c r="W443" s="67" t="str">
        <f t="shared" si="34"/>
        <v>-</v>
      </c>
    </row>
    <row r="444" spans="1:23" x14ac:dyDescent="0.3">
      <c r="A444" s="2" t="s">
        <v>1408</v>
      </c>
      <c r="B444" s="2" t="s">
        <v>1409</v>
      </c>
      <c r="C444" s="2">
        <v>9263962774</v>
      </c>
      <c r="D444" s="2" t="s">
        <v>59</v>
      </c>
      <c r="E444" s="2" t="s">
        <v>641</v>
      </c>
      <c r="F444" s="2" t="s">
        <v>642</v>
      </c>
      <c r="G444" s="2" t="s">
        <v>23</v>
      </c>
      <c r="H444" s="2" t="s">
        <v>1214</v>
      </c>
      <c r="I444" s="2" t="str">
        <f t="shared" si="30"/>
        <v>Oct</v>
      </c>
      <c r="J444" s="2">
        <f t="shared" si="31"/>
        <v>10</v>
      </c>
      <c r="K444" s="2">
        <f t="shared" si="32"/>
        <v>2023</v>
      </c>
      <c r="L444" s="2">
        <f t="shared" si="33"/>
        <v>4</v>
      </c>
      <c r="M444" s="2">
        <v>7</v>
      </c>
      <c r="N444" s="2" t="s">
        <v>1410</v>
      </c>
      <c r="O444" s="2" t="s">
        <v>27</v>
      </c>
      <c r="P444" s="3">
        <v>655487</v>
      </c>
      <c r="Q444" s="2"/>
      <c r="R444" s="2"/>
      <c r="S444" s="2" t="s">
        <v>28</v>
      </c>
      <c r="T444" s="2">
        <v>43</v>
      </c>
      <c r="U444" s="2" t="s">
        <v>29</v>
      </c>
      <c r="V444" s="2"/>
      <c r="W444" s="67" t="str">
        <f t="shared" si="34"/>
        <v>-</v>
      </c>
    </row>
    <row r="445" spans="1:23" x14ac:dyDescent="0.3">
      <c r="A445" s="4" t="s">
        <v>1411</v>
      </c>
      <c r="B445" s="4" t="s">
        <v>795</v>
      </c>
      <c r="C445" s="4">
        <v>9397851389</v>
      </c>
      <c r="D445" s="4" t="s">
        <v>121</v>
      </c>
      <c r="E445" s="4" t="s">
        <v>73</v>
      </c>
      <c r="F445" s="4" t="s">
        <v>74</v>
      </c>
      <c r="G445" s="4" t="s">
        <v>35</v>
      </c>
      <c r="H445" s="4" t="s">
        <v>1266</v>
      </c>
      <c r="I445" s="2" t="str">
        <f t="shared" si="30"/>
        <v>Oct</v>
      </c>
      <c r="J445" s="2">
        <f t="shared" si="31"/>
        <v>10</v>
      </c>
      <c r="K445" s="2">
        <f t="shared" si="32"/>
        <v>2023</v>
      </c>
      <c r="L445" s="2">
        <f t="shared" si="33"/>
        <v>4</v>
      </c>
      <c r="M445" s="4">
        <v>2</v>
      </c>
      <c r="N445" s="4" t="s">
        <v>1199</v>
      </c>
      <c r="O445" s="4" t="s">
        <v>45</v>
      </c>
      <c r="P445" s="5">
        <v>256136</v>
      </c>
      <c r="Q445" s="4"/>
      <c r="R445" s="4"/>
      <c r="S445" s="4" t="s">
        <v>28</v>
      </c>
      <c r="T445" s="4">
        <v>24.4</v>
      </c>
      <c r="U445" s="4" t="s">
        <v>63</v>
      </c>
      <c r="V445" s="4" t="s">
        <v>335</v>
      </c>
      <c r="W445" s="67" t="str">
        <f t="shared" si="34"/>
        <v>-</v>
      </c>
    </row>
    <row r="446" spans="1:23" x14ac:dyDescent="0.3">
      <c r="A446" s="6" t="s">
        <v>1412</v>
      </c>
      <c r="B446" s="6" t="s">
        <v>1166</v>
      </c>
      <c r="C446" s="6">
        <v>9663065592</v>
      </c>
      <c r="D446" s="6" t="s">
        <v>51</v>
      </c>
      <c r="E446" s="6" t="s">
        <v>73</v>
      </c>
      <c r="F446" s="6" t="s">
        <v>74</v>
      </c>
      <c r="G446" s="6" t="s">
        <v>23</v>
      </c>
      <c r="H446" s="6" t="s">
        <v>1266</v>
      </c>
      <c r="I446" s="2" t="str">
        <f t="shared" si="30"/>
        <v>Oct</v>
      </c>
      <c r="J446" s="2">
        <f t="shared" si="31"/>
        <v>10</v>
      </c>
      <c r="K446" s="2">
        <f t="shared" si="32"/>
        <v>2023</v>
      </c>
      <c r="L446" s="2">
        <f t="shared" si="33"/>
        <v>4</v>
      </c>
      <c r="M446" s="6"/>
      <c r="N446" s="6" t="s">
        <v>1413</v>
      </c>
      <c r="O446" s="6" t="s">
        <v>97</v>
      </c>
      <c r="P446" s="7">
        <v>542058</v>
      </c>
      <c r="Q446" s="7">
        <v>546647</v>
      </c>
      <c r="R446" s="6" t="s">
        <v>1414</v>
      </c>
      <c r="S446" s="6" t="s">
        <v>28</v>
      </c>
      <c r="T446" s="6">
        <v>37.200000000000003</v>
      </c>
      <c r="U446" s="6" t="s">
        <v>63</v>
      </c>
      <c r="V446" s="6" t="s">
        <v>99</v>
      </c>
      <c r="W446" s="67" t="str">
        <f t="shared" si="34"/>
        <v>Customer</v>
      </c>
    </row>
    <row r="447" spans="1:23" x14ac:dyDescent="0.3">
      <c r="A447" s="4" t="s">
        <v>1415</v>
      </c>
      <c r="B447" s="4" t="s">
        <v>1416</v>
      </c>
      <c r="C447" s="4"/>
      <c r="D447" s="4" t="s">
        <v>20</v>
      </c>
      <c r="E447" s="4" t="s">
        <v>73</v>
      </c>
      <c r="F447" s="4" t="s">
        <v>126</v>
      </c>
      <c r="G447" s="4" t="s">
        <v>60</v>
      </c>
      <c r="H447" s="4" t="s">
        <v>1266</v>
      </c>
      <c r="I447" s="2" t="str">
        <f t="shared" si="30"/>
        <v>Oct</v>
      </c>
      <c r="J447" s="2">
        <f t="shared" si="31"/>
        <v>10</v>
      </c>
      <c r="K447" s="2">
        <f t="shared" si="32"/>
        <v>2023</v>
      </c>
      <c r="L447" s="2">
        <f t="shared" si="33"/>
        <v>4</v>
      </c>
      <c r="M447" s="4">
        <v>8</v>
      </c>
      <c r="N447" s="4" t="s">
        <v>1417</v>
      </c>
      <c r="O447" s="4" t="s">
        <v>27</v>
      </c>
      <c r="P447" s="5">
        <v>232306</v>
      </c>
      <c r="Q447" s="4"/>
      <c r="R447" s="4"/>
      <c r="S447" s="4" t="s">
        <v>5819</v>
      </c>
      <c r="T447" s="4">
        <v>12.4</v>
      </c>
      <c r="U447" s="4" t="s">
        <v>29</v>
      </c>
      <c r="V447" s="4" t="s">
        <v>140</v>
      </c>
      <c r="W447" s="67" t="str">
        <f t="shared" si="34"/>
        <v>-</v>
      </c>
    </row>
    <row r="448" spans="1:23" x14ac:dyDescent="0.3">
      <c r="A448" s="2" t="s">
        <v>1418</v>
      </c>
      <c r="B448" s="2" t="s">
        <v>1419</v>
      </c>
      <c r="C448" s="2">
        <v>9259524021</v>
      </c>
      <c r="D448" s="2" t="s">
        <v>20</v>
      </c>
      <c r="E448" s="2" t="s">
        <v>109</v>
      </c>
      <c r="F448" s="2" t="s">
        <v>110</v>
      </c>
      <c r="G448" s="2" t="s">
        <v>643</v>
      </c>
      <c r="H448" s="2" t="s">
        <v>1311</v>
      </c>
      <c r="I448" s="2" t="str">
        <f t="shared" si="30"/>
        <v>Oct</v>
      </c>
      <c r="J448" s="2">
        <f t="shared" si="31"/>
        <v>10</v>
      </c>
      <c r="K448" s="2">
        <f t="shared" si="32"/>
        <v>2023</v>
      </c>
      <c r="L448" s="2">
        <f t="shared" si="33"/>
        <v>4</v>
      </c>
      <c r="M448" s="2">
        <v>10</v>
      </c>
      <c r="N448" s="2" t="s">
        <v>1420</v>
      </c>
      <c r="O448" s="2" t="s">
        <v>62</v>
      </c>
      <c r="P448" s="3">
        <v>869963</v>
      </c>
      <c r="Q448" s="2"/>
      <c r="R448" s="2"/>
      <c r="S448" s="2" t="s">
        <v>1063</v>
      </c>
      <c r="T448" s="2">
        <v>7.6</v>
      </c>
      <c r="U448" s="2" t="s">
        <v>63</v>
      </c>
      <c r="V448" s="2" t="s">
        <v>260</v>
      </c>
      <c r="W448" s="67" t="str">
        <f t="shared" si="34"/>
        <v>-</v>
      </c>
    </row>
    <row r="449" spans="1:23" x14ac:dyDescent="0.3">
      <c r="A449" s="6" t="s">
        <v>1421</v>
      </c>
      <c r="B449" s="6" t="s">
        <v>782</v>
      </c>
      <c r="C449" s="6">
        <v>9875840127</v>
      </c>
      <c r="D449" s="6" t="s">
        <v>59</v>
      </c>
      <c r="E449" s="6" t="s">
        <v>33</v>
      </c>
      <c r="F449" s="6" t="s">
        <v>201</v>
      </c>
      <c r="G449" s="6" t="s">
        <v>60</v>
      </c>
      <c r="H449" s="6" t="s">
        <v>1190</v>
      </c>
      <c r="I449" s="2" t="str">
        <f t="shared" si="30"/>
        <v>Nov</v>
      </c>
      <c r="J449" s="2">
        <f t="shared" si="31"/>
        <v>11</v>
      </c>
      <c r="K449" s="2">
        <f t="shared" si="32"/>
        <v>2023</v>
      </c>
      <c r="L449" s="2">
        <f t="shared" si="33"/>
        <v>4</v>
      </c>
      <c r="M449" s="6">
        <v>7</v>
      </c>
      <c r="N449" s="6" t="s">
        <v>1336</v>
      </c>
      <c r="O449" s="6" t="s">
        <v>97</v>
      </c>
      <c r="P449" s="7">
        <v>117582</v>
      </c>
      <c r="Q449" s="7">
        <v>109433</v>
      </c>
      <c r="R449" s="6" t="s">
        <v>1329</v>
      </c>
      <c r="S449" s="6" t="s">
        <v>5819</v>
      </c>
      <c r="T449" s="6">
        <v>14.2</v>
      </c>
      <c r="U449" s="6" t="s">
        <v>47</v>
      </c>
      <c r="V449" s="6" t="s">
        <v>483</v>
      </c>
      <c r="W449" s="67" t="str">
        <f t="shared" si="34"/>
        <v>Customer</v>
      </c>
    </row>
    <row r="450" spans="1:23" x14ac:dyDescent="0.3">
      <c r="A450" s="2" t="s">
        <v>1423</v>
      </c>
      <c r="B450" s="2" t="s">
        <v>1424</v>
      </c>
      <c r="C450" s="2">
        <v>9671735145</v>
      </c>
      <c r="D450" s="2" t="s">
        <v>51</v>
      </c>
      <c r="E450" s="2" t="s">
        <v>33</v>
      </c>
      <c r="F450" s="2" t="s">
        <v>34</v>
      </c>
      <c r="G450" s="2" t="s">
        <v>35</v>
      </c>
      <c r="H450" s="2" t="s">
        <v>1190</v>
      </c>
      <c r="I450" s="2" t="str">
        <f t="shared" ref="I450:I513" si="35">TEXT(H450,"mmm")</f>
        <v>Nov</v>
      </c>
      <c r="J450" s="2">
        <f t="shared" ref="J450:J513" si="36">MONTH(H450)</f>
        <v>11</v>
      </c>
      <c r="K450" s="2">
        <f t="shared" ref="K450:K513" si="37">YEAR(H450)</f>
        <v>2023</v>
      </c>
      <c r="L450" s="2">
        <f t="shared" ref="L450:L513" si="38">ROUNDUP(MONTH(H450)/3,0)</f>
        <v>4</v>
      </c>
      <c r="M450" s="2">
        <v>11</v>
      </c>
      <c r="N450" s="2" t="s">
        <v>1425</v>
      </c>
      <c r="O450" s="2" t="s">
        <v>45</v>
      </c>
      <c r="P450" s="3">
        <v>103696</v>
      </c>
      <c r="Q450" s="2"/>
      <c r="R450" s="2"/>
      <c r="S450" s="2" t="s">
        <v>28</v>
      </c>
      <c r="T450" s="2">
        <v>58</v>
      </c>
      <c r="U450" s="2" t="s">
        <v>47</v>
      </c>
      <c r="V450" s="2" t="s">
        <v>276</v>
      </c>
      <c r="W450" s="67" t="str">
        <f t="shared" ref="W450:W513" si="39">IF($O450&lt;&gt;"Converted","-",IF(ISNUMBER(SEARCH("Architect",$F450)),"Architect","Customer"))</f>
        <v>-</v>
      </c>
    </row>
    <row r="451" spans="1:23" x14ac:dyDescent="0.3">
      <c r="A451" s="4" t="s">
        <v>1426</v>
      </c>
      <c r="B451" s="4" t="s">
        <v>1427</v>
      </c>
      <c r="C451" s="4">
        <v>9490120758</v>
      </c>
      <c r="D451" s="4" t="s">
        <v>108</v>
      </c>
      <c r="E451" s="4" t="s">
        <v>33</v>
      </c>
      <c r="F451" s="4" t="s">
        <v>34</v>
      </c>
      <c r="G451" s="4" t="s">
        <v>616</v>
      </c>
      <c r="H451" s="4" t="s">
        <v>1190</v>
      </c>
      <c r="I451" s="2" t="str">
        <f t="shared" si="35"/>
        <v>Nov</v>
      </c>
      <c r="J451" s="2">
        <f t="shared" si="36"/>
        <v>11</v>
      </c>
      <c r="K451" s="2">
        <f t="shared" si="37"/>
        <v>2023</v>
      </c>
      <c r="L451" s="2">
        <f t="shared" si="38"/>
        <v>4</v>
      </c>
      <c r="M451" s="4">
        <v>4</v>
      </c>
      <c r="N451" s="4" t="s">
        <v>1378</v>
      </c>
      <c r="O451" s="4" t="s">
        <v>45</v>
      </c>
      <c r="P451" s="5">
        <v>156894</v>
      </c>
      <c r="Q451" s="4"/>
      <c r="R451" s="4"/>
      <c r="S451" s="4" t="s">
        <v>1063</v>
      </c>
      <c r="T451" s="4">
        <v>34.9</v>
      </c>
      <c r="U451" s="4" t="s">
        <v>47</v>
      </c>
      <c r="V451" s="4" t="s">
        <v>48</v>
      </c>
      <c r="W451" s="67" t="str">
        <f t="shared" si="39"/>
        <v>-</v>
      </c>
    </row>
    <row r="452" spans="1:23" x14ac:dyDescent="0.3">
      <c r="A452" s="2" t="s">
        <v>1428</v>
      </c>
      <c r="B452" s="2" t="s">
        <v>1429</v>
      </c>
      <c r="C452" s="2">
        <v>9638881430</v>
      </c>
      <c r="D452" s="2" t="s">
        <v>59</v>
      </c>
      <c r="E452" s="2" t="s">
        <v>41</v>
      </c>
      <c r="F452" s="2" t="s">
        <v>151</v>
      </c>
      <c r="G452" s="2" t="s">
        <v>616</v>
      </c>
      <c r="H452" s="2" t="s">
        <v>1422</v>
      </c>
      <c r="I452" s="2" t="str">
        <f t="shared" si="35"/>
        <v>Nov</v>
      </c>
      <c r="J452" s="2">
        <f t="shared" si="36"/>
        <v>11</v>
      </c>
      <c r="K452" s="2">
        <f t="shared" si="37"/>
        <v>2023</v>
      </c>
      <c r="L452" s="2">
        <f t="shared" si="38"/>
        <v>4</v>
      </c>
      <c r="M452" s="2">
        <v>11</v>
      </c>
      <c r="N452" s="2" t="s">
        <v>1430</v>
      </c>
      <c r="O452" s="2" t="s">
        <v>27</v>
      </c>
      <c r="P452" s="3">
        <v>276405</v>
      </c>
      <c r="Q452" s="2"/>
      <c r="R452" s="2"/>
      <c r="S452" s="2" t="s">
        <v>1063</v>
      </c>
      <c r="T452" s="2">
        <v>63.6</v>
      </c>
      <c r="U452" s="2" t="s">
        <v>29</v>
      </c>
      <c r="V452" s="2" t="s">
        <v>153</v>
      </c>
      <c r="W452" s="67" t="str">
        <f t="shared" si="39"/>
        <v>-</v>
      </c>
    </row>
    <row r="453" spans="1:23" x14ac:dyDescent="0.3">
      <c r="A453" s="4" t="s">
        <v>1431</v>
      </c>
      <c r="B453" s="4" t="s">
        <v>911</v>
      </c>
      <c r="C453" s="4">
        <v>9316601552</v>
      </c>
      <c r="D453" s="4" t="s">
        <v>20</v>
      </c>
      <c r="E453" s="4" t="s">
        <v>33</v>
      </c>
      <c r="F453" s="4" t="s">
        <v>34</v>
      </c>
      <c r="G453" s="4" t="s">
        <v>23</v>
      </c>
      <c r="H453" s="4" t="s">
        <v>1221</v>
      </c>
      <c r="I453" s="2" t="str">
        <f t="shared" si="35"/>
        <v>Nov</v>
      </c>
      <c r="J453" s="2">
        <f t="shared" si="36"/>
        <v>11</v>
      </c>
      <c r="K453" s="2">
        <f t="shared" si="37"/>
        <v>2023</v>
      </c>
      <c r="L453" s="2">
        <f t="shared" si="38"/>
        <v>4</v>
      </c>
      <c r="M453" s="4">
        <v>9</v>
      </c>
      <c r="N453" s="4" t="s">
        <v>1336</v>
      </c>
      <c r="O453" s="4" t="s">
        <v>45</v>
      </c>
      <c r="P453" s="5">
        <v>597697</v>
      </c>
      <c r="Q453" s="4"/>
      <c r="R453" s="4"/>
      <c r="S453" s="4" t="s">
        <v>28</v>
      </c>
      <c r="T453" s="4">
        <v>11.2</v>
      </c>
      <c r="U453" s="4" t="s">
        <v>63</v>
      </c>
      <c r="V453" s="4" t="s">
        <v>535</v>
      </c>
      <c r="W453" s="67" t="str">
        <f t="shared" si="39"/>
        <v>-</v>
      </c>
    </row>
    <row r="454" spans="1:23" x14ac:dyDescent="0.3">
      <c r="A454" s="6" t="s">
        <v>1432</v>
      </c>
      <c r="B454" s="6" t="s">
        <v>1433</v>
      </c>
      <c r="C454" s="6">
        <v>9832008973</v>
      </c>
      <c r="D454" s="6" t="s">
        <v>20</v>
      </c>
      <c r="E454" s="6" t="s">
        <v>67</v>
      </c>
      <c r="F454" s="6" t="s">
        <v>80</v>
      </c>
      <c r="G454" s="6" t="s">
        <v>52</v>
      </c>
      <c r="H454" s="6" t="s">
        <v>1221</v>
      </c>
      <c r="I454" s="2" t="str">
        <f t="shared" si="35"/>
        <v>Nov</v>
      </c>
      <c r="J454" s="2">
        <f t="shared" si="36"/>
        <v>11</v>
      </c>
      <c r="K454" s="2">
        <f t="shared" si="37"/>
        <v>2023</v>
      </c>
      <c r="L454" s="2">
        <f t="shared" si="38"/>
        <v>4</v>
      </c>
      <c r="M454" s="6">
        <v>10</v>
      </c>
      <c r="N454" s="6" t="s">
        <v>1369</v>
      </c>
      <c r="O454" s="6" t="s">
        <v>97</v>
      </c>
      <c r="P454" s="7">
        <v>401927</v>
      </c>
      <c r="Q454" s="7">
        <v>358624</v>
      </c>
      <c r="R454" s="6" t="s">
        <v>1435</v>
      </c>
      <c r="S454" s="6" t="s">
        <v>28</v>
      </c>
      <c r="T454" s="6">
        <v>49.3</v>
      </c>
      <c r="U454" s="6" t="s">
        <v>63</v>
      </c>
      <c r="V454" s="6" t="s">
        <v>170</v>
      </c>
      <c r="W454" s="67" t="str">
        <f t="shared" si="39"/>
        <v>Customer</v>
      </c>
    </row>
    <row r="455" spans="1:23" x14ac:dyDescent="0.3">
      <c r="A455" s="4" t="s">
        <v>1436</v>
      </c>
      <c r="B455" s="4" t="s">
        <v>1437</v>
      </c>
      <c r="C455" s="4">
        <v>9804674903</v>
      </c>
      <c r="D455" s="4" t="s">
        <v>59</v>
      </c>
      <c r="E455" s="4" t="s">
        <v>41</v>
      </c>
      <c r="F455" s="4" t="s">
        <v>151</v>
      </c>
      <c r="G455" s="4" t="s">
        <v>23</v>
      </c>
      <c r="H455" s="4" t="s">
        <v>1221</v>
      </c>
      <c r="I455" s="2" t="str">
        <f t="shared" si="35"/>
        <v>Nov</v>
      </c>
      <c r="J455" s="2">
        <f t="shared" si="36"/>
        <v>11</v>
      </c>
      <c r="K455" s="2">
        <f t="shared" si="37"/>
        <v>2023</v>
      </c>
      <c r="L455" s="2">
        <f t="shared" si="38"/>
        <v>4</v>
      </c>
      <c r="M455" s="4"/>
      <c r="N455" s="4" t="s">
        <v>1438</v>
      </c>
      <c r="O455" s="4" t="s">
        <v>62</v>
      </c>
      <c r="P455" s="5">
        <v>576135</v>
      </c>
      <c r="Q455" s="4"/>
      <c r="R455" s="4"/>
      <c r="S455" s="4" t="s">
        <v>5819</v>
      </c>
      <c r="T455" s="4">
        <v>28.8</v>
      </c>
      <c r="U455" s="4" t="s">
        <v>47</v>
      </c>
      <c r="V455" s="4" t="s">
        <v>48</v>
      </c>
      <c r="W455" s="67" t="str">
        <f t="shared" si="39"/>
        <v>-</v>
      </c>
    </row>
    <row r="456" spans="1:23" x14ac:dyDescent="0.3">
      <c r="A456" s="2" t="s">
        <v>1439</v>
      </c>
      <c r="B456" s="2" t="s">
        <v>1440</v>
      </c>
      <c r="C456" s="2">
        <v>9755398297</v>
      </c>
      <c r="D456" s="2" t="s">
        <v>20</v>
      </c>
      <c r="E456" s="2" t="s">
        <v>41</v>
      </c>
      <c r="F456" s="2" t="s">
        <v>86</v>
      </c>
      <c r="G456" s="2" t="s">
        <v>69</v>
      </c>
      <c r="H456" s="2" t="s">
        <v>1312</v>
      </c>
      <c r="I456" s="2" t="str">
        <f t="shared" si="35"/>
        <v>Nov</v>
      </c>
      <c r="J456" s="2">
        <f t="shared" si="36"/>
        <v>11</v>
      </c>
      <c r="K456" s="2">
        <f t="shared" si="37"/>
        <v>2023</v>
      </c>
      <c r="L456" s="2">
        <f t="shared" si="38"/>
        <v>4</v>
      </c>
      <c r="M456" s="2">
        <v>11</v>
      </c>
      <c r="N456" s="2" t="s">
        <v>1441</v>
      </c>
      <c r="O456" s="2" t="s">
        <v>27</v>
      </c>
      <c r="P456" s="3">
        <v>238855</v>
      </c>
      <c r="Q456" s="2"/>
      <c r="R456" s="2"/>
      <c r="S456" s="2" t="s">
        <v>28</v>
      </c>
      <c r="T456" s="2">
        <v>67.900000000000006</v>
      </c>
      <c r="U456" s="2" t="s">
        <v>29</v>
      </c>
      <c r="V456" s="2" t="s">
        <v>202</v>
      </c>
      <c r="W456" s="67" t="str">
        <f t="shared" si="39"/>
        <v>-</v>
      </c>
    </row>
    <row r="457" spans="1:23" x14ac:dyDescent="0.3">
      <c r="A457" s="4" t="s">
        <v>1442</v>
      </c>
      <c r="B457" s="4" t="s">
        <v>1443</v>
      </c>
      <c r="C457" s="4">
        <v>9789225036</v>
      </c>
      <c r="D457" s="4" t="s">
        <v>121</v>
      </c>
      <c r="E457" s="4" t="s">
        <v>648</v>
      </c>
      <c r="F457" s="4" t="s">
        <v>899</v>
      </c>
      <c r="G457" s="4" t="s">
        <v>52</v>
      </c>
      <c r="H457" s="4" t="s">
        <v>1312</v>
      </c>
      <c r="I457" s="2" t="str">
        <f t="shared" si="35"/>
        <v>Nov</v>
      </c>
      <c r="J457" s="2">
        <f t="shared" si="36"/>
        <v>11</v>
      </c>
      <c r="K457" s="2">
        <f t="shared" si="37"/>
        <v>2023</v>
      </c>
      <c r="L457" s="2">
        <f t="shared" si="38"/>
        <v>4</v>
      </c>
      <c r="M457" s="4">
        <v>11</v>
      </c>
      <c r="N457" s="4" t="s">
        <v>1444</v>
      </c>
      <c r="O457" s="4" t="s">
        <v>45</v>
      </c>
      <c r="P457" s="5">
        <v>401100</v>
      </c>
      <c r="Q457" s="4"/>
      <c r="R457" s="4"/>
      <c r="S457" s="4" t="s">
        <v>28</v>
      </c>
      <c r="T457" s="4">
        <v>42</v>
      </c>
      <c r="U457" s="4" t="s">
        <v>47</v>
      </c>
      <c r="V457" s="4" t="s">
        <v>89</v>
      </c>
      <c r="W457" s="67" t="str">
        <f t="shared" si="39"/>
        <v>-</v>
      </c>
    </row>
    <row r="458" spans="1:23" x14ac:dyDescent="0.3">
      <c r="A458" s="6" t="s">
        <v>1445</v>
      </c>
      <c r="B458" s="6" t="s">
        <v>1446</v>
      </c>
      <c r="C458" s="6">
        <v>9505740335</v>
      </c>
      <c r="D458" s="6" t="s">
        <v>108</v>
      </c>
      <c r="E458" s="6" t="s">
        <v>109</v>
      </c>
      <c r="F458" s="6" t="s">
        <v>331</v>
      </c>
      <c r="G458" s="6" t="s">
        <v>643</v>
      </c>
      <c r="H458" s="6" t="s">
        <v>1312</v>
      </c>
      <c r="I458" s="2" t="str">
        <f t="shared" si="35"/>
        <v>Nov</v>
      </c>
      <c r="J458" s="2">
        <f t="shared" si="36"/>
        <v>11</v>
      </c>
      <c r="K458" s="2">
        <f t="shared" si="37"/>
        <v>2023</v>
      </c>
      <c r="L458" s="2">
        <f t="shared" si="38"/>
        <v>4</v>
      </c>
      <c r="M458" s="6">
        <v>1</v>
      </c>
      <c r="N458" s="6" t="s">
        <v>1414</v>
      </c>
      <c r="O458" s="6" t="s">
        <v>97</v>
      </c>
      <c r="P458" s="7">
        <v>738024</v>
      </c>
      <c r="Q458" s="7">
        <v>672600</v>
      </c>
      <c r="R458" s="6" t="s">
        <v>1448</v>
      </c>
      <c r="S458" s="6" t="s">
        <v>5819</v>
      </c>
      <c r="T458" s="6">
        <v>47.9</v>
      </c>
      <c r="U458" s="6" t="s">
        <v>63</v>
      </c>
      <c r="V458" s="6" t="s">
        <v>465</v>
      </c>
      <c r="W458" s="67" t="str">
        <f t="shared" si="39"/>
        <v>Customer</v>
      </c>
    </row>
    <row r="459" spans="1:23" x14ac:dyDescent="0.3">
      <c r="A459" s="4" t="s">
        <v>1449</v>
      </c>
      <c r="B459" s="4" t="s">
        <v>1450</v>
      </c>
      <c r="C459" s="4">
        <v>9647461968</v>
      </c>
      <c r="D459" s="4" t="s">
        <v>59</v>
      </c>
      <c r="E459" s="4" t="s">
        <v>33</v>
      </c>
      <c r="F459" s="4" t="s">
        <v>201</v>
      </c>
      <c r="G459" s="4" t="s">
        <v>87</v>
      </c>
      <c r="H459" s="4" t="s">
        <v>1434</v>
      </c>
      <c r="I459" s="2" t="str">
        <f t="shared" si="35"/>
        <v>Nov</v>
      </c>
      <c r="J459" s="2">
        <f t="shared" si="36"/>
        <v>11</v>
      </c>
      <c r="K459" s="2">
        <f t="shared" si="37"/>
        <v>2023</v>
      </c>
      <c r="L459" s="2">
        <f t="shared" si="38"/>
        <v>4</v>
      </c>
      <c r="M459" s="4">
        <v>3</v>
      </c>
      <c r="N459" s="4" t="s">
        <v>1336</v>
      </c>
      <c r="O459" s="4" t="s">
        <v>45</v>
      </c>
      <c r="P459" s="5">
        <v>194662</v>
      </c>
      <c r="Q459" s="4"/>
      <c r="R459" s="4"/>
      <c r="S459" s="4" t="s">
        <v>28</v>
      </c>
      <c r="T459" s="4">
        <v>51.6</v>
      </c>
      <c r="U459" s="4" t="s">
        <v>47</v>
      </c>
      <c r="V459" s="4" t="s">
        <v>276</v>
      </c>
      <c r="W459" s="67" t="str">
        <f t="shared" si="39"/>
        <v>-</v>
      </c>
    </row>
    <row r="460" spans="1:23" x14ac:dyDescent="0.3">
      <c r="A460" s="2" t="s">
        <v>1451</v>
      </c>
      <c r="B460" s="2" t="s">
        <v>1452</v>
      </c>
      <c r="C460" s="2">
        <v>9302581790</v>
      </c>
      <c r="D460" s="2" t="s">
        <v>20</v>
      </c>
      <c r="E460" s="2" t="s">
        <v>67</v>
      </c>
      <c r="F460" s="2" t="s">
        <v>80</v>
      </c>
      <c r="G460" s="2" t="s">
        <v>616</v>
      </c>
      <c r="H460" s="2" t="s">
        <v>1413</v>
      </c>
      <c r="I460" s="2" t="str">
        <f t="shared" si="35"/>
        <v>Nov</v>
      </c>
      <c r="J460" s="2">
        <f t="shared" si="36"/>
        <v>11</v>
      </c>
      <c r="K460" s="2">
        <f t="shared" si="37"/>
        <v>2023</v>
      </c>
      <c r="L460" s="2">
        <f t="shared" si="38"/>
        <v>4</v>
      </c>
      <c r="M460" s="2">
        <v>11</v>
      </c>
      <c r="N460" s="2" t="s">
        <v>1425</v>
      </c>
      <c r="O460" s="2" t="s">
        <v>62</v>
      </c>
      <c r="P460" s="3">
        <v>104781</v>
      </c>
      <c r="Q460" s="2"/>
      <c r="R460" s="2"/>
      <c r="S460" s="2" t="s">
        <v>5819</v>
      </c>
      <c r="T460" s="2">
        <v>36.200000000000003</v>
      </c>
      <c r="U460" s="2" t="s">
        <v>47</v>
      </c>
      <c r="V460" s="2" t="s">
        <v>137</v>
      </c>
      <c r="W460" s="67" t="str">
        <f t="shared" si="39"/>
        <v>-</v>
      </c>
    </row>
    <row r="461" spans="1:23" x14ac:dyDescent="0.3">
      <c r="A461" s="4" t="s">
        <v>1453</v>
      </c>
      <c r="B461" s="4" t="s">
        <v>1454</v>
      </c>
      <c r="C461" s="4">
        <v>9272538668</v>
      </c>
      <c r="D461" s="4" t="s">
        <v>20</v>
      </c>
      <c r="E461" s="4" t="s">
        <v>67</v>
      </c>
      <c r="F461" s="4" t="s">
        <v>80</v>
      </c>
      <c r="G461" s="4" t="s">
        <v>23</v>
      </c>
      <c r="H461" s="4" t="s">
        <v>1447</v>
      </c>
      <c r="I461" s="2" t="str">
        <f t="shared" si="35"/>
        <v>Nov</v>
      </c>
      <c r="J461" s="2">
        <f t="shared" si="36"/>
        <v>11</v>
      </c>
      <c r="K461" s="2">
        <f t="shared" si="37"/>
        <v>2023</v>
      </c>
      <c r="L461" s="2">
        <f t="shared" si="38"/>
        <v>4</v>
      </c>
      <c r="M461" s="4">
        <v>7</v>
      </c>
      <c r="N461" s="4" t="s">
        <v>1444</v>
      </c>
      <c r="O461" s="4" t="s">
        <v>62</v>
      </c>
      <c r="P461" s="5">
        <v>686641</v>
      </c>
      <c r="Q461" s="4"/>
      <c r="R461" s="4"/>
      <c r="S461" s="4" t="s">
        <v>1063</v>
      </c>
      <c r="T461" s="4">
        <v>17.5</v>
      </c>
      <c r="U461" s="4" t="s">
        <v>63</v>
      </c>
      <c r="V461" s="4" t="s">
        <v>221</v>
      </c>
      <c r="W461" s="67" t="str">
        <f t="shared" si="39"/>
        <v>-</v>
      </c>
    </row>
    <row r="462" spans="1:23" x14ac:dyDescent="0.3">
      <c r="A462" s="6" t="s">
        <v>1455</v>
      </c>
      <c r="B462" s="6" t="s">
        <v>1456</v>
      </c>
      <c r="C462" s="6">
        <v>9408169864</v>
      </c>
      <c r="D462" s="6" t="s">
        <v>108</v>
      </c>
      <c r="E462" s="6" t="s">
        <v>73</v>
      </c>
      <c r="F462" s="6" t="s">
        <v>126</v>
      </c>
      <c r="G462" s="6" t="s">
        <v>23</v>
      </c>
      <c r="H462" s="6" t="s">
        <v>1457</v>
      </c>
      <c r="I462" s="2" t="str">
        <f t="shared" si="35"/>
        <v>Nov</v>
      </c>
      <c r="J462" s="2">
        <f t="shared" si="36"/>
        <v>11</v>
      </c>
      <c r="K462" s="2">
        <f t="shared" si="37"/>
        <v>2023</v>
      </c>
      <c r="L462" s="2">
        <f t="shared" si="38"/>
        <v>4</v>
      </c>
      <c r="M462" s="6">
        <v>2</v>
      </c>
      <c r="N462" s="6" t="s">
        <v>1410</v>
      </c>
      <c r="O462" s="6" t="s">
        <v>97</v>
      </c>
      <c r="P462" s="7">
        <v>601753</v>
      </c>
      <c r="Q462" s="7">
        <v>558872</v>
      </c>
      <c r="R462" s="6" t="s">
        <v>1458</v>
      </c>
      <c r="S462" s="6" t="s">
        <v>5819</v>
      </c>
      <c r="T462" s="6">
        <v>40.1</v>
      </c>
      <c r="U462" s="6" t="s">
        <v>63</v>
      </c>
      <c r="V462" s="6" t="s">
        <v>483</v>
      </c>
      <c r="W462" s="67" t="str">
        <f t="shared" si="39"/>
        <v>Customer</v>
      </c>
    </row>
    <row r="463" spans="1:23" x14ac:dyDescent="0.3">
      <c r="A463" s="6" t="s">
        <v>1459</v>
      </c>
      <c r="B463" s="6" t="s">
        <v>1460</v>
      </c>
      <c r="C463" s="6">
        <v>9174366341</v>
      </c>
      <c r="D463" s="6" t="s">
        <v>121</v>
      </c>
      <c r="E463" s="6" t="s">
        <v>41</v>
      </c>
      <c r="F463" s="6" t="s">
        <v>42</v>
      </c>
      <c r="G463" s="6" t="s">
        <v>23</v>
      </c>
      <c r="H463" s="6" t="s">
        <v>1461</v>
      </c>
      <c r="I463" s="2" t="str">
        <f t="shared" si="35"/>
        <v>Nov</v>
      </c>
      <c r="J463" s="2">
        <f t="shared" si="36"/>
        <v>11</v>
      </c>
      <c r="K463" s="2">
        <f t="shared" si="37"/>
        <v>2023</v>
      </c>
      <c r="L463" s="2">
        <f t="shared" si="38"/>
        <v>4</v>
      </c>
      <c r="M463" s="6">
        <v>12</v>
      </c>
      <c r="N463" s="6" t="s">
        <v>1462</v>
      </c>
      <c r="O463" s="6" t="s">
        <v>97</v>
      </c>
      <c r="P463" s="7">
        <v>652379</v>
      </c>
      <c r="Q463" s="7">
        <v>667598</v>
      </c>
      <c r="R463" s="6" t="s">
        <v>1463</v>
      </c>
      <c r="S463" s="6" t="s">
        <v>5819</v>
      </c>
      <c r="T463" s="6">
        <v>7.7</v>
      </c>
      <c r="U463" s="6" t="s">
        <v>63</v>
      </c>
      <c r="V463" s="6"/>
      <c r="W463" s="67" t="str">
        <f t="shared" si="39"/>
        <v>Customer</v>
      </c>
    </row>
    <row r="464" spans="1:23" x14ac:dyDescent="0.3">
      <c r="A464" s="2" t="s">
        <v>1464</v>
      </c>
      <c r="B464" s="2" t="s">
        <v>1465</v>
      </c>
      <c r="C464" s="2">
        <v>9900764212</v>
      </c>
      <c r="D464" s="2" t="s">
        <v>59</v>
      </c>
      <c r="E464" s="2" t="s">
        <v>33</v>
      </c>
      <c r="F464" s="2" t="s">
        <v>201</v>
      </c>
      <c r="G464" s="2" t="s">
        <v>35</v>
      </c>
      <c r="H464" s="2" t="s">
        <v>1461</v>
      </c>
      <c r="I464" s="2" t="str">
        <f t="shared" si="35"/>
        <v>Nov</v>
      </c>
      <c r="J464" s="2">
        <f t="shared" si="36"/>
        <v>11</v>
      </c>
      <c r="K464" s="2">
        <f t="shared" si="37"/>
        <v>2023</v>
      </c>
      <c r="L464" s="2">
        <f t="shared" si="38"/>
        <v>4</v>
      </c>
      <c r="M464" s="2">
        <v>10</v>
      </c>
      <c r="N464" s="2" t="s">
        <v>1466</v>
      </c>
      <c r="O464" s="2" t="s">
        <v>62</v>
      </c>
      <c r="P464" s="3">
        <v>156585</v>
      </c>
      <c r="Q464" s="2"/>
      <c r="R464" s="2"/>
      <c r="S464" s="2" t="s">
        <v>1063</v>
      </c>
      <c r="T464" s="2">
        <v>70.099999999999994</v>
      </c>
      <c r="U464" s="2" t="s">
        <v>63</v>
      </c>
      <c r="V464" s="2"/>
      <c r="W464" s="67" t="str">
        <f t="shared" si="39"/>
        <v>-</v>
      </c>
    </row>
    <row r="465" spans="1:23" x14ac:dyDescent="0.3">
      <c r="A465" s="6" t="s">
        <v>1467</v>
      </c>
      <c r="B465" s="6" t="s">
        <v>1468</v>
      </c>
      <c r="C465" s="6">
        <v>9388315411</v>
      </c>
      <c r="D465" s="6" t="s">
        <v>121</v>
      </c>
      <c r="E465" s="6" t="s">
        <v>109</v>
      </c>
      <c r="F465" s="6" t="s">
        <v>217</v>
      </c>
      <c r="G465" s="6" t="s">
        <v>35</v>
      </c>
      <c r="H465" s="6" t="s">
        <v>1374</v>
      </c>
      <c r="I465" s="2" t="str">
        <f t="shared" si="35"/>
        <v>Nov</v>
      </c>
      <c r="J465" s="2">
        <f t="shared" si="36"/>
        <v>11</v>
      </c>
      <c r="K465" s="2">
        <f t="shared" si="37"/>
        <v>2023</v>
      </c>
      <c r="L465" s="2">
        <f t="shared" si="38"/>
        <v>4</v>
      </c>
      <c r="M465" s="6">
        <v>7</v>
      </c>
      <c r="N465" s="6" t="s">
        <v>1469</v>
      </c>
      <c r="O465" s="6" t="s">
        <v>97</v>
      </c>
      <c r="P465" s="7">
        <v>137492</v>
      </c>
      <c r="Q465" s="7">
        <v>127744</v>
      </c>
      <c r="R465" s="6" t="s">
        <v>1430</v>
      </c>
      <c r="S465" s="6" t="s">
        <v>5819</v>
      </c>
      <c r="T465" s="6">
        <v>4.5999999999999996</v>
      </c>
      <c r="U465" s="6" t="s">
        <v>63</v>
      </c>
      <c r="V465" s="6" t="s">
        <v>99</v>
      </c>
      <c r="W465" s="67" t="str">
        <f t="shared" si="39"/>
        <v>Customer</v>
      </c>
    </row>
    <row r="466" spans="1:23" x14ac:dyDescent="0.3">
      <c r="A466" s="2" t="s">
        <v>1470</v>
      </c>
      <c r="B466" s="2" t="s">
        <v>176</v>
      </c>
      <c r="C466" s="2">
        <v>9977686393</v>
      </c>
      <c r="D466" s="2" t="s">
        <v>20</v>
      </c>
      <c r="E466" s="2" t="s">
        <v>641</v>
      </c>
      <c r="F466" s="2" t="s">
        <v>642</v>
      </c>
      <c r="G466" s="2" t="s">
        <v>60</v>
      </c>
      <c r="H466" s="2" t="s">
        <v>1374</v>
      </c>
      <c r="I466" s="2" t="str">
        <f t="shared" si="35"/>
        <v>Nov</v>
      </c>
      <c r="J466" s="2">
        <f t="shared" si="36"/>
        <v>11</v>
      </c>
      <c r="K466" s="2">
        <f t="shared" si="37"/>
        <v>2023</v>
      </c>
      <c r="L466" s="2">
        <f t="shared" si="38"/>
        <v>4</v>
      </c>
      <c r="M466" s="2">
        <v>1</v>
      </c>
      <c r="N466" s="2" t="s">
        <v>1471</v>
      </c>
      <c r="O466" s="2" t="s">
        <v>27</v>
      </c>
      <c r="P466" s="3">
        <v>165114</v>
      </c>
      <c r="Q466" s="2"/>
      <c r="R466" s="2"/>
      <c r="S466" s="2" t="s">
        <v>5819</v>
      </c>
      <c r="T466" s="2">
        <v>11.2</v>
      </c>
      <c r="U466" s="2" t="s">
        <v>47</v>
      </c>
      <c r="V466" s="2" t="s">
        <v>30</v>
      </c>
      <c r="W466" s="67" t="str">
        <f t="shared" si="39"/>
        <v>-</v>
      </c>
    </row>
    <row r="467" spans="1:23" x14ac:dyDescent="0.3">
      <c r="A467" s="4" t="s">
        <v>1472</v>
      </c>
      <c r="B467" s="4" t="s">
        <v>139</v>
      </c>
      <c r="C467" s="4">
        <v>9671740071</v>
      </c>
      <c r="D467" s="4" t="s">
        <v>51</v>
      </c>
      <c r="E467" s="4" t="s">
        <v>41</v>
      </c>
      <c r="F467" s="4" t="s">
        <v>42</v>
      </c>
      <c r="G467" s="4" t="s">
        <v>643</v>
      </c>
      <c r="H467" s="4" t="s">
        <v>1301</v>
      </c>
      <c r="I467" s="2" t="str">
        <f t="shared" si="35"/>
        <v>Nov</v>
      </c>
      <c r="J467" s="2">
        <f t="shared" si="36"/>
        <v>11</v>
      </c>
      <c r="K467" s="2">
        <f t="shared" si="37"/>
        <v>2023</v>
      </c>
      <c r="L467" s="2">
        <f t="shared" si="38"/>
        <v>4</v>
      </c>
      <c r="M467" s="4">
        <v>6</v>
      </c>
      <c r="N467" s="4" t="s">
        <v>1473</v>
      </c>
      <c r="O467" s="4" t="s">
        <v>45</v>
      </c>
      <c r="P467" s="5">
        <v>1107913</v>
      </c>
      <c r="Q467" s="4"/>
      <c r="R467" s="4"/>
      <c r="S467" s="4" t="s">
        <v>28</v>
      </c>
      <c r="T467" s="4">
        <v>66.7</v>
      </c>
      <c r="U467" s="4" t="s">
        <v>29</v>
      </c>
      <c r="V467" s="4" t="s">
        <v>454</v>
      </c>
      <c r="W467" s="67" t="str">
        <f t="shared" si="39"/>
        <v>-</v>
      </c>
    </row>
    <row r="468" spans="1:23" x14ac:dyDescent="0.3">
      <c r="A468" s="2" t="s">
        <v>1474</v>
      </c>
      <c r="B468" s="2" t="s">
        <v>1475</v>
      </c>
      <c r="C468" s="2">
        <v>9490392385</v>
      </c>
      <c r="D468" s="2" t="s">
        <v>59</v>
      </c>
      <c r="E468" s="2" t="s">
        <v>67</v>
      </c>
      <c r="F468" s="2" t="s">
        <v>80</v>
      </c>
      <c r="G468" s="2" t="s">
        <v>60</v>
      </c>
      <c r="H468" s="2" t="s">
        <v>1301</v>
      </c>
      <c r="I468" s="2" t="str">
        <f t="shared" si="35"/>
        <v>Nov</v>
      </c>
      <c r="J468" s="2">
        <f t="shared" si="36"/>
        <v>11</v>
      </c>
      <c r="K468" s="2">
        <f t="shared" si="37"/>
        <v>2023</v>
      </c>
      <c r="L468" s="2">
        <f t="shared" si="38"/>
        <v>4</v>
      </c>
      <c r="M468" s="2">
        <v>9</v>
      </c>
      <c r="N468" s="2" t="s">
        <v>1324</v>
      </c>
      <c r="O468" s="2" t="s">
        <v>27</v>
      </c>
      <c r="P468" s="3">
        <v>78649</v>
      </c>
      <c r="Q468" s="2"/>
      <c r="R468" s="2"/>
      <c r="S468" s="2" t="s">
        <v>5819</v>
      </c>
      <c r="T468" s="2">
        <v>23.4</v>
      </c>
      <c r="U468" s="2" t="s">
        <v>29</v>
      </c>
      <c r="V468" s="2" t="s">
        <v>202</v>
      </c>
      <c r="W468" s="67" t="str">
        <f t="shared" si="39"/>
        <v>-</v>
      </c>
    </row>
    <row r="469" spans="1:23" x14ac:dyDescent="0.3">
      <c r="A469" s="4" t="s">
        <v>1476</v>
      </c>
      <c r="B469" s="4" t="s">
        <v>605</v>
      </c>
      <c r="C469" s="4">
        <v>9611336760</v>
      </c>
      <c r="D469" s="4" t="s">
        <v>20</v>
      </c>
      <c r="E469" s="4" t="s">
        <v>33</v>
      </c>
      <c r="F469" s="4" t="s">
        <v>201</v>
      </c>
      <c r="G469" s="4" t="s">
        <v>23</v>
      </c>
      <c r="H469" s="4" t="s">
        <v>1378</v>
      </c>
      <c r="I469" s="2" t="str">
        <f t="shared" si="35"/>
        <v>Nov</v>
      </c>
      <c r="J469" s="2">
        <f t="shared" si="36"/>
        <v>11</v>
      </c>
      <c r="K469" s="2">
        <f t="shared" si="37"/>
        <v>2023</v>
      </c>
      <c r="L469" s="2">
        <f t="shared" si="38"/>
        <v>4</v>
      </c>
      <c r="M469" s="4">
        <v>9</v>
      </c>
      <c r="N469" s="4" t="s">
        <v>1477</v>
      </c>
      <c r="O469" s="4" t="s">
        <v>45</v>
      </c>
      <c r="P469" s="5">
        <v>680041</v>
      </c>
      <c r="Q469" s="4"/>
      <c r="R469" s="4"/>
      <c r="S469" s="4" t="s">
        <v>5819</v>
      </c>
      <c r="T469" s="4">
        <v>8.4</v>
      </c>
      <c r="U469" s="4" t="s">
        <v>47</v>
      </c>
      <c r="V469" s="4" t="s">
        <v>310</v>
      </c>
      <c r="W469" s="67" t="str">
        <f t="shared" si="39"/>
        <v>-</v>
      </c>
    </row>
    <row r="470" spans="1:23" x14ac:dyDescent="0.3">
      <c r="A470" s="2" t="s">
        <v>1478</v>
      </c>
      <c r="B470" s="2" t="s">
        <v>1479</v>
      </c>
      <c r="C470" s="2">
        <v>9200170301</v>
      </c>
      <c r="D470" s="2" t="s">
        <v>108</v>
      </c>
      <c r="E470" s="2" t="s">
        <v>648</v>
      </c>
      <c r="F470" s="2" t="s">
        <v>656</v>
      </c>
      <c r="G470" s="2" t="s">
        <v>23</v>
      </c>
      <c r="H470" s="2" t="s">
        <v>1222</v>
      </c>
      <c r="I470" s="2" t="str">
        <f t="shared" si="35"/>
        <v>Nov</v>
      </c>
      <c r="J470" s="2">
        <f t="shared" si="36"/>
        <v>11</v>
      </c>
      <c r="K470" s="2">
        <f t="shared" si="37"/>
        <v>2023</v>
      </c>
      <c r="L470" s="2">
        <f t="shared" si="38"/>
        <v>4</v>
      </c>
      <c r="M470" s="2">
        <v>10</v>
      </c>
      <c r="N470" s="2" t="s">
        <v>1480</v>
      </c>
      <c r="O470" s="2" t="s">
        <v>45</v>
      </c>
      <c r="P470" s="3">
        <v>443698</v>
      </c>
      <c r="Q470" s="2"/>
      <c r="R470" s="2"/>
      <c r="S470" s="2" t="s">
        <v>5819</v>
      </c>
      <c r="T470" s="2">
        <v>23.7</v>
      </c>
      <c r="U470" s="2" t="s">
        <v>29</v>
      </c>
      <c r="V470" s="2" t="s">
        <v>697</v>
      </c>
      <c r="W470" s="67" t="str">
        <f t="shared" si="39"/>
        <v>-</v>
      </c>
    </row>
    <row r="471" spans="1:23" x14ac:dyDescent="0.3">
      <c r="A471" s="4" t="s">
        <v>1481</v>
      </c>
      <c r="B471" s="4" t="s">
        <v>1482</v>
      </c>
      <c r="C471" s="4">
        <v>9384273996</v>
      </c>
      <c r="D471" s="4" t="s">
        <v>108</v>
      </c>
      <c r="E471" s="4" t="s">
        <v>73</v>
      </c>
      <c r="F471" s="4" t="s">
        <v>126</v>
      </c>
      <c r="G471" s="4" t="s">
        <v>23</v>
      </c>
      <c r="H471" s="4" t="s">
        <v>1222</v>
      </c>
      <c r="I471" s="2" t="str">
        <f t="shared" si="35"/>
        <v>Nov</v>
      </c>
      <c r="J471" s="2">
        <f t="shared" si="36"/>
        <v>11</v>
      </c>
      <c r="K471" s="2">
        <f t="shared" si="37"/>
        <v>2023</v>
      </c>
      <c r="L471" s="2">
        <f t="shared" si="38"/>
        <v>4</v>
      </c>
      <c r="M471" s="4">
        <v>12</v>
      </c>
      <c r="N471" s="4" t="s">
        <v>1483</v>
      </c>
      <c r="O471" s="4" t="s">
        <v>27</v>
      </c>
      <c r="P471" s="5">
        <v>438422</v>
      </c>
      <c r="Q471" s="4"/>
      <c r="R471" s="4"/>
      <c r="S471" s="4" t="s">
        <v>1063</v>
      </c>
      <c r="T471" s="4">
        <v>50.2</v>
      </c>
      <c r="U471" s="4" t="s">
        <v>29</v>
      </c>
      <c r="V471" s="4" t="s">
        <v>38</v>
      </c>
      <c r="W471" s="67" t="str">
        <f t="shared" si="39"/>
        <v>-</v>
      </c>
    </row>
    <row r="472" spans="1:23" x14ac:dyDescent="0.3">
      <c r="A472" s="6" t="s">
        <v>1484</v>
      </c>
      <c r="B472" s="6" t="s">
        <v>1485</v>
      </c>
      <c r="C472" s="6">
        <v>9342541514</v>
      </c>
      <c r="D472" s="6" t="s">
        <v>59</v>
      </c>
      <c r="E472" s="6" t="s">
        <v>33</v>
      </c>
      <c r="F472" s="6" t="s">
        <v>201</v>
      </c>
      <c r="G472" s="6" t="s">
        <v>23</v>
      </c>
      <c r="H472" s="6" t="s">
        <v>1291</v>
      </c>
      <c r="I472" s="2" t="str">
        <f t="shared" si="35"/>
        <v>Nov</v>
      </c>
      <c r="J472" s="2">
        <f t="shared" si="36"/>
        <v>11</v>
      </c>
      <c r="K472" s="2">
        <f t="shared" si="37"/>
        <v>2023</v>
      </c>
      <c r="L472" s="2">
        <f t="shared" si="38"/>
        <v>4</v>
      </c>
      <c r="M472" s="6">
        <v>0</v>
      </c>
      <c r="N472" s="6" t="s">
        <v>1336</v>
      </c>
      <c r="O472" s="6" t="s">
        <v>97</v>
      </c>
      <c r="P472" s="7">
        <v>527347</v>
      </c>
      <c r="Q472" s="7">
        <v>519398</v>
      </c>
      <c r="R472" s="6" t="s">
        <v>1438</v>
      </c>
      <c r="S472" s="6" t="s">
        <v>5819</v>
      </c>
      <c r="T472" s="6">
        <v>13.6</v>
      </c>
      <c r="U472" s="6" t="s">
        <v>47</v>
      </c>
      <c r="V472" s="6" t="s">
        <v>907</v>
      </c>
      <c r="W472" s="67" t="str">
        <f t="shared" si="39"/>
        <v>Customer</v>
      </c>
    </row>
    <row r="473" spans="1:23" x14ac:dyDescent="0.3">
      <c r="A473" s="4" t="s">
        <v>1486</v>
      </c>
      <c r="B473" s="4" t="s">
        <v>1487</v>
      </c>
      <c r="C473" s="4">
        <v>9636275696</v>
      </c>
      <c r="D473" s="4" t="s">
        <v>59</v>
      </c>
      <c r="E473" s="4" t="s">
        <v>41</v>
      </c>
      <c r="F473" s="4" t="s">
        <v>92</v>
      </c>
      <c r="G473" s="4" t="s">
        <v>52</v>
      </c>
      <c r="H473" s="4" t="s">
        <v>1291</v>
      </c>
      <c r="I473" s="2" t="str">
        <f t="shared" si="35"/>
        <v>Nov</v>
      </c>
      <c r="J473" s="2">
        <f t="shared" si="36"/>
        <v>11</v>
      </c>
      <c r="K473" s="2">
        <f t="shared" si="37"/>
        <v>2023</v>
      </c>
      <c r="L473" s="2">
        <f t="shared" si="38"/>
        <v>4</v>
      </c>
      <c r="M473" s="4">
        <v>0</v>
      </c>
      <c r="N473" s="4" t="s">
        <v>1375</v>
      </c>
      <c r="O473" s="4" t="s">
        <v>45</v>
      </c>
      <c r="P473" s="5">
        <v>272059</v>
      </c>
      <c r="Q473" s="4"/>
      <c r="R473" s="4"/>
      <c r="S473" s="4" t="s">
        <v>5819</v>
      </c>
      <c r="T473" s="4">
        <v>53.9</v>
      </c>
      <c r="U473" s="4" t="s">
        <v>29</v>
      </c>
      <c r="V473" s="4" t="s">
        <v>206</v>
      </c>
      <c r="W473" s="67" t="str">
        <f t="shared" si="39"/>
        <v>-</v>
      </c>
    </row>
    <row r="474" spans="1:23" x14ac:dyDescent="0.3">
      <c r="A474" s="2" t="s">
        <v>1488</v>
      </c>
      <c r="B474" s="2" t="s">
        <v>1489</v>
      </c>
      <c r="C474" s="2">
        <v>9239067697</v>
      </c>
      <c r="D474" s="2" t="s">
        <v>51</v>
      </c>
      <c r="E474" s="2" t="s">
        <v>41</v>
      </c>
      <c r="F474" s="2" t="s">
        <v>92</v>
      </c>
      <c r="G474" s="2" t="s">
        <v>23</v>
      </c>
      <c r="H474" s="2" t="s">
        <v>1471</v>
      </c>
      <c r="I474" s="2" t="str">
        <f t="shared" si="35"/>
        <v>Nov</v>
      </c>
      <c r="J474" s="2">
        <f t="shared" si="36"/>
        <v>11</v>
      </c>
      <c r="K474" s="2">
        <f t="shared" si="37"/>
        <v>2023</v>
      </c>
      <c r="L474" s="2">
        <f t="shared" si="38"/>
        <v>4</v>
      </c>
      <c r="M474" s="2">
        <v>3</v>
      </c>
      <c r="N474" s="2" t="s">
        <v>1324</v>
      </c>
      <c r="O474" s="2" t="s">
        <v>27</v>
      </c>
      <c r="P474" s="3">
        <v>634217</v>
      </c>
      <c r="Q474" s="2"/>
      <c r="R474" s="2"/>
      <c r="S474" s="2" t="s">
        <v>1063</v>
      </c>
      <c r="T474" s="2">
        <v>69.2</v>
      </c>
      <c r="U474" s="2" t="s">
        <v>29</v>
      </c>
      <c r="V474" s="2" t="s">
        <v>202</v>
      </c>
      <c r="W474" s="67" t="str">
        <f t="shared" si="39"/>
        <v>-</v>
      </c>
    </row>
    <row r="475" spans="1:23" x14ac:dyDescent="0.3">
      <c r="A475" s="4" t="s">
        <v>1490</v>
      </c>
      <c r="B475" s="4" t="s">
        <v>1491</v>
      </c>
      <c r="C475" s="4">
        <v>9975598792</v>
      </c>
      <c r="D475" s="4" t="s">
        <v>59</v>
      </c>
      <c r="E475" s="4" t="s">
        <v>41</v>
      </c>
      <c r="F475" s="4" t="s">
        <v>92</v>
      </c>
      <c r="G475" s="4" t="s">
        <v>23</v>
      </c>
      <c r="H475" s="4" t="s">
        <v>1199</v>
      </c>
      <c r="I475" s="2" t="str">
        <f t="shared" si="35"/>
        <v>Nov</v>
      </c>
      <c r="J475" s="2">
        <f t="shared" si="36"/>
        <v>11</v>
      </c>
      <c r="K475" s="2">
        <f t="shared" si="37"/>
        <v>2023</v>
      </c>
      <c r="L475" s="2">
        <f t="shared" si="38"/>
        <v>4</v>
      </c>
      <c r="M475" s="4">
        <v>2</v>
      </c>
      <c r="N475" s="4" t="s">
        <v>1324</v>
      </c>
      <c r="O475" s="4" t="s">
        <v>55</v>
      </c>
      <c r="P475" s="5">
        <v>691695</v>
      </c>
      <c r="Q475" s="4"/>
      <c r="R475" s="4"/>
      <c r="S475" s="4" t="s">
        <v>5819</v>
      </c>
      <c r="T475" s="4">
        <v>52.1</v>
      </c>
      <c r="U475" s="4" t="s">
        <v>29</v>
      </c>
      <c r="V475" s="4" t="s">
        <v>56</v>
      </c>
      <c r="W475" s="67" t="str">
        <f t="shared" si="39"/>
        <v>-</v>
      </c>
    </row>
    <row r="476" spans="1:23" x14ac:dyDescent="0.3">
      <c r="A476" s="2" t="s">
        <v>1492</v>
      </c>
      <c r="B476" s="2" t="s">
        <v>1493</v>
      </c>
      <c r="C476" s="2">
        <v>9448495661</v>
      </c>
      <c r="D476" s="2" t="s">
        <v>20</v>
      </c>
      <c r="E476" s="2" t="s">
        <v>33</v>
      </c>
      <c r="F476" s="2" t="s">
        <v>201</v>
      </c>
      <c r="G476" s="2" t="s">
        <v>52</v>
      </c>
      <c r="H476" s="2" t="s">
        <v>1199</v>
      </c>
      <c r="I476" s="2" t="str">
        <f t="shared" si="35"/>
        <v>Nov</v>
      </c>
      <c r="J476" s="2">
        <f t="shared" si="36"/>
        <v>11</v>
      </c>
      <c r="K476" s="2">
        <f t="shared" si="37"/>
        <v>2023</v>
      </c>
      <c r="L476" s="2">
        <f t="shared" si="38"/>
        <v>4</v>
      </c>
      <c r="M476" s="2">
        <v>0</v>
      </c>
      <c r="N476" s="2" t="s">
        <v>1320</v>
      </c>
      <c r="O476" s="2" t="s">
        <v>27</v>
      </c>
      <c r="P476" s="3">
        <v>307530</v>
      </c>
      <c r="Q476" s="2"/>
      <c r="R476" s="2"/>
      <c r="S476" s="2" t="s">
        <v>1063</v>
      </c>
      <c r="T476" s="2">
        <v>18.3</v>
      </c>
      <c r="U476" s="2" t="s">
        <v>29</v>
      </c>
      <c r="V476" s="2" t="s">
        <v>30</v>
      </c>
      <c r="W476" s="67" t="str">
        <f t="shared" si="39"/>
        <v>-</v>
      </c>
    </row>
    <row r="477" spans="1:23" x14ac:dyDescent="0.3">
      <c r="A477" s="6" t="s">
        <v>1494</v>
      </c>
      <c r="B477" s="6" t="s">
        <v>1495</v>
      </c>
      <c r="C477" s="6">
        <v>9596367839</v>
      </c>
      <c r="D477" s="6" t="s">
        <v>20</v>
      </c>
      <c r="E477" s="6" t="s">
        <v>33</v>
      </c>
      <c r="F477" s="6" t="s">
        <v>102</v>
      </c>
      <c r="G477" s="6" t="s">
        <v>35</v>
      </c>
      <c r="H477" s="6" t="s">
        <v>1414</v>
      </c>
      <c r="I477" s="2" t="str">
        <f t="shared" si="35"/>
        <v>Nov</v>
      </c>
      <c r="J477" s="2">
        <f t="shared" si="36"/>
        <v>11</v>
      </c>
      <c r="K477" s="2">
        <f t="shared" si="37"/>
        <v>2023</v>
      </c>
      <c r="L477" s="2">
        <f t="shared" si="38"/>
        <v>4</v>
      </c>
      <c r="M477" s="6">
        <v>4</v>
      </c>
      <c r="N477" s="6" t="s">
        <v>1329</v>
      </c>
      <c r="O477" s="6" t="s">
        <v>97</v>
      </c>
      <c r="P477" s="7">
        <v>138434</v>
      </c>
      <c r="Q477" s="7">
        <v>136122</v>
      </c>
      <c r="R477" s="6" t="s">
        <v>1435</v>
      </c>
      <c r="S477" s="6" t="s">
        <v>5819</v>
      </c>
      <c r="T477" s="6">
        <v>14.5</v>
      </c>
      <c r="U477" s="6" t="s">
        <v>63</v>
      </c>
      <c r="V477" s="6" t="s">
        <v>341</v>
      </c>
      <c r="W477" s="67" t="str">
        <f t="shared" si="39"/>
        <v>Customer</v>
      </c>
    </row>
    <row r="478" spans="1:23" x14ac:dyDescent="0.3">
      <c r="A478" s="2" t="s">
        <v>1496</v>
      </c>
      <c r="B478" s="2" t="s">
        <v>1497</v>
      </c>
      <c r="C478" s="2">
        <v>9880296481</v>
      </c>
      <c r="D478" s="2" t="s">
        <v>51</v>
      </c>
      <c r="E478" s="2" t="s">
        <v>33</v>
      </c>
      <c r="F478" s="2" t="s">
        <v>201</v>
      </c>
      <c r="G478" s="2" t="s">
        <v>23</v>
      </c>
      <c r="H478" s="2" t="s">
        <v>1375</v>
      </c>
      <c r="I478" s="2" t="str">
        <f t="shared" si="35"/>
        <v>Nov</v>
      </c>
      <c r="J478" s="2">
        <f t="shared" si="36"/>
        <v>11</v>
      </c>
      <c r="K478" s="2">
        <f t="shared" si="37"/>
        <v>2023</v>
      </c>
      <c r="L478" s="2">
        <f t="shared" si="38"/>
        <v>4</v>
      </c>
      <c r="M478" s="2">
        <v>1</v>
      </c>
      <c r="N478" s="2" t="s">
        <v>1498</v>
      </c>
      <c r="O478" s="2" t="s">
        <v>62</v>
      </c>
      <c r="P478" s="3">
        <v>722277</v>
      </c>
      <c r="Q478" s="2"/>
      <c r="R478" s="2"/>
      <c r="S478" s="2" t="s">
        <v>28</v>
      </c>
      <c r="T478" s="2">
        <v>58.2</v>
      </c>
      <c r="U478" s="2" t="s">
        <v>47</v>
      </c>
      <c r="V478" s="2" t="s">
        <v>174</v>
      </c>
      <c r="W478" s="67" t="str">
        <f t="shared" si="39"/>
        <v>-</v>
      </c>
    </row>
    <row r="479" spans="1:23" x14ac:dyDescent="0.3">
      <c r="A479" s="6" t="s">
        <v>1499</v>
      </c>
      <c r="B479" s="6" t="s">
        <v>1500</v>
      </c>
      <c r="C479" s="6">
        <v>9410812427</v>
      </c>
      <c r="D479" s="6" t="s">
        <v>59</v>
      </c>
      <c r="E479" s="6" t="s">
        <v>641</v>
      </c>
      <c r="F479" s="6" t="s">
        <v>681</v>
      </c>
      <c r="G479" s="6" t="s">
        <v>60</v>
      </c>
      <c r="H479" s="6" t="s">
        <v>1336</v>
      </c>
      <c r="I479" s="2" t="str">
        <f t="shared" si="35"/>
        <v>Nov</v>
      </c>
      <c r="J479" s="2">
        <f t="shared" si="36"/>
        <v>11</v>
      </c>
      <c r="K479" s="2">
        <f t="shared" si="37"/>
        <v>2023</v>
      </c>
      <c r="L479" s="2">
        <f t="shared" si="38"/>
        <v>4</v>
      </c>
      <c r="M479" s="6">
        <v>0</v>
      </c>
      <c r="N479" s="6" t="s">
        <v>1410</v>
      </c>
      <c r="O479" s="6" t="s">
        <v>97</v>
      </c>
      <c r="P479" s="7">
        <v>117627</v>
      </c>
      <c r="Q479" s="7">
        <v>113627</v>
      </c>
      <c r="R479" s="6" t="s">
        <v>1502</v>
      </c>
      <c r="S479" s="6" t="s">
        <v>28</v>
      </c>
      <c r="T479" s="6">
        <v>38</v>
      </c>
      <c r="U479" s="6" t="s">
        <v>63</v>
      </c>
      <c r="V479" s="6" t="s">
        <v>465</v>
      </c>
      <c r="W479" s="67" t="str">
        <f t="shared" si="39"/>
        <v>Customer</v>
      </c>
    </row>
    <row r="480" spans="1:23" x14ac:dyDescent="0.3">
      <c r="A480" s="2" t="s">
        <v>1503</v>
      </c>
      <c r="B480" s="2" t="s">
        <v>1504</v>
      </c>
      <c r="C480" s="2">
        <v>9870222796</v>
      </c>
      <c r="D480" s="2" t="s">
        <v>59</v>
      </c>
      <c r="E480" s="2" t="s">
        <v>109</v>
      </c>
      <c r="F480" s="2" t="s">
        <v>110</v>
      </c>
      <c r="G480" s="2" t="s">
        <v>616</v>
      </c>
      <c r="H480" s="2" t="s">
        <v>1336</v>
      </c>
      <c r="I480" s="2" t="str">
        <f t="shared" si="35"/>
        <v>Nov</v>
      </c>
      <c r="J480" s="2">
        <f t="shared" si="36"/>
        <v>11</v>
      </c>
      <c r="K480" s="2">
        <f t="shared" si="37"/>
        <v>2023</v>
      </c>
      <c r="L480" s="2">
        <f t="shared" si="38"/>
        <v>4</v>
      </c>
      <c r="M480" s="2">
        <v>5</v>
      </c>
      <c r="N480" s="2" t="s">
        <v>1477</v>
      </c>
      <c r="O480" s="2" t="s">
        <v>45</v>
      </c>
      <c r="P480" s="3">
        <v>259325</v>
      </c>
      <c r="Q480" s="2"/>
      <c r="R480" s="2"/>
      <c r="S480" s="2" t="s">
        <v>28</v>
      </c>
      <c r="T480" s="2">
        <v>52.4</v>
      </c>
      <c r="U480" s="2" t="s">
        <v>47</v>
      </c>
      <c r="V480" s="2" t="s">
        <v>212</v>
      </c>
      <c r="W480" s="67" t="str">
        <f t="shared" si="39"/>
        <v>-</v>
      </c>
    </row>
    <row r="481" spans="1:23" x14ac:dyDescent="0.3">
      <c r="A481" s="4" t="s">
        <v>1505</v>
      </c>
      <c r="B481" s="4" t="s">
        <v>1506</v>
      </c>
      <c r="C481" s="4">
        <v>9475109063</v>
      </c>
      <c r="D481" s="4" t="s">
        <v>121</v>
      </c>
      <c r="E481" s="4" t="s">
        <v>641</v>
      </c>
      <c r="F481" s="4" t="s">
        <v>681</v>
      </c>
      <c r="G481" s="4" t="s">
        <v>616</v>
      </c>
      <c r="H481" s="4" t="s">
        <v>1501</v>
      </c>
      <c r="I481" s="2" t="str">
        <f t="shared" si="35"/>
        <v>Nov</v>
      </c>
      <c r="J481" s="2">
        <f t="shared" si="36"/>
        <v>11</v>
      </c>
      <c r="K481" s="2">
        <f t="shared" si="37"/>
        <v>2023</v>
      </c>
      <c r="L481" s="2">
        <f t="shared" si="38"/>
        <v>4</v>
      </c>
      <c r="M481" s="4">
        <v>7</v>
      </c>
      <c r="N481" s="4" t="s">
        <v>1508</v>
      </c>
      <c r="O481" s="4" t="s">
        <v>45</v>
      </c>
      <c r="P481" s="5">
        <v>131200</v>
      </c>
      <c r="Q481" s="4"/>
      <c r="R481" s="4"/>
      <c r="S481" s="4" t="s">
        <v>28</v>
      </c>
      <c r="T481" s="4">
        <v>5.2</v>
      </c>
      <c r="U481" s="4" t="s">
        <v>29</v>
      </c>
      <c r="V481" s="4"/>
      <c r="W481" s="67" t="str">
        <f t="shared" si="39"/>
        <v>-</v>
      </c>
    </row>
    <row r="482" spans="1:23" x14ac:dyDescent="0.3">
      <c r="A482" s="2" t="s">
        <v>1509</v>
      </c>
      <c r="B482" s="2" t="s">
        <v>1510</v>
      </c>
      <c r="C482" s="2">
        <v>9473754019</v>
      </c>
      <c r="D482" s="2" t="s">
        <v>20</v>
      </c>
      <c r="E482" s="2" t="s">
        <v>33</v>
      </c>
      <c r="F482" s="2" t="s">
        <v>34</v>
      </c>
      <c r="G482" s="2" t="s">
        <v>35</v>
      </c>
      <c r="H482" s="2" t="s">
        <v>1320</v>
      </c>
      <c r="I482" s="2" t="str">
        <f t="shared" si="35"/>
        <v>Nov</v>
      </c>
      <c r="J482" s="2">
        <f t="shared" si="36"/>
        <v>11</v>
      </c>
      <c r="K482" s="2">
        <f t="shared" si="37"/>
        <v>2023</v>
      </c>
      <c r="L482" s="2">
        <f t="shared" si="38"/>
        <v>4</v>
      </c>
      <c r="M482" s="2">
        <v>12</v>
      </c>
      <c r="N482" s="2" t="s">
        <v>1511</v>
      </c>
      <c r="O482" s="2" t="s">
        <v>45</v>
      </c>
      <c r="P482" s="3">
        <v>161992</v>
      </c>
      <c r="Q482" s="2"/>
      <c r="R482" s="2"/>
      <c r="S482" s="2" t="s">
        <v>28</v>
      </c>
      <c r="T482" s="2">
        <v>16.8</v>
      </c>
      <c r="U482" s="2" t="s">
        <v>47</v>
      </c>
      <c r="V482" s="2" t="s">
        <v>174</v>
      </c>
      <c r="W482" s="67" t="str">
        <f t="shared" si="39"/>
        <v>-</v>
      </c>
    </row>
    <row r="483" spans="1:23" x14ac:dyDescent="0.3">
      <c r="A483" s="4" t="s">
        <v>1512</v>
      </c>
      <c r="B483" s="4" t="s">
        <v>1513</v>
      </c>
      <c r="C483" s="4">
        <v>9298672324</v>
      </c>
      <c r="D483" s="4" t="s">
        <v>121</v>
      </c>
      <c r="E483" s="4" t="s">
        <v>109</v>
      </c>
      <c r="F483" s="4" t="s">
        <v>217</v>
      </c>
      <c r="G483" s="4" t="s">
        <v>52</v>
      </c>
      <c r="H483" s="4" t="s">
        <v>1320</v>
      </c>
      <c r="I483" s="2" t="str">
        <f t="shared" si="35"/>
        <v>Nov</v>
      </c>
      <c r="J483" s="2">
        <f t="shared" si="36"/>
        <v>11</v>
      </c>
      <c r="K483" s="2">
        <f t="shared" si="37"/>
        <v>2023</v>
      </c>
      <c r="L483" s="2">
        <f t="shared" si="38"/>
        <v>4</v>
      </c>
      <c r="M483" s="4">
        <v>7</v>
      </c>
      <c r="N483" s="4" t="s">
        <v>1344</v>
      </c>
      <c r="O483" s="4" t="s">
        <v>27</v>
      </c>
      <c r="P483" s="5">
        <v>241805</v>
      </c>
      <c r="Q483" s="4"/>
      <c r="R483" s="4"/>
      <c r="S483" s="4" t="s">
        <v>5819</v>
      </c>
      <c r="T483" s="4">
        <v>33.5</v>
      </c>
      <c r="U483" s="4" t="s">
        <v>29</v>
      </c>
      <c r="V483" s="4" t="s">
        <v>157</v>
      </c>
      <c r="W483" s="67" t="str">
        <f t="shared" si="39"/>
        <v>-</v>
      </c>
    </row>
    <row r="484" spans="1:23" x14ac:dyDescent="0.3">
      <c r="A484" s="2" t="s">
        <v>1514</v>
      </c>
      <c r="B484" s="2" t="s">
        <v>565</v>
      </c>
      <c r="C484" s="2">
        <v>9480676189</v>
      </c>
      <c r="D484" s="2" t="s">
        <v>51</v>
      </c>
      <c r="E484" s="2" t="s">
        <v>33</v>
      </c>
      <c r="F484" s="2" t="s">
        <v>102</v>
      </c>
      <c r="G484" s="2" t="s">
        <v>87</v>
      </c>
      <c r="H484" s="2" t="s">
        <v>1507</v>
      </c>
      <c r="I484" s="2" t="str">
        <f t="shared" si="35"/>
        <v>Nov</v>
      </c>
      <c r="J484" s="2">
        <f t="shared" si="36"/>
        <v>11</v>
      </c>
      <c r="K484" s="2">
        <f t="shared" si="37"/>
        <v>2023</v>
      </c>
      <c r="L484" s="2">
        <f t="shared" si="38"/>
        <v>4</v>
      </c>
      <c r="M484" s="2">
        <v>0</v>
      </c>
      <c r="N484" s="2" t="s">
        <v>1368</v>
      </c>
      <c r="O484" s="2" t="s">
        <v>62</v>
      </c>
      <c r="P484" s="3">
        <v>102157</v>
      </c>
      <c r="Q484" s="2"/>
      <c r="R484" s="2"/>
      <c r="S484" s="2" t="s">
        <v>28</v>
      </c>
      <c r="T484" s="2">
        <v>24.3</v>
      </c>
      <c r="U484" s="2" t="s">
        <v>47</v>
      </c>
      <c r="V484" s="2" t="s">
        <v>256</v>
      </c>
      <c r="W484" s="67" t="str">
        <f t="shared" si="39"/>
        <v>-</v>
      </c>
    </row>
    <row r="485" spans="1:23" x14ac:dyDescent="0.3">
      <c r="A485" s="4" t="s">
        <v>1515</v>
      </c>
      <c r="B485" s="4" t="s">
        <v>1487</v>
      </c>
      <c r="C485" s="4">
        <v>9770693402</v>
      </c>
      <c r="D485" s="4" t="s">
        <v>20</v>
      </c>
      <c r="E485" s="4" t="s">
        <v>109</v>
      </c>
      <c r="F485" s="4" t="s">
        <v>110</v>
      </c>
      <c r="G485" s="4" t="s">
        <v>35</v>
      </c>
      <c r="H485" s="4" t="s">
        <v>1507</v>
      </c>
      <c r="I485" s="2" t="str">
        <f t="shared" si="35"/>
        <v>Nov</v>
      </c>
      <c r="J485" s="2">
        <f t="shared" si="36"/>
        <v>11</v>
      </c>
      <c r="K485" s="2">
        <f t="shared" si="37"/>
        <v>2023</v>
      </c>
      <c r="L485" s="2">
        <f t="shared" si="38"/>
        <v>4</v>
      </c>
      <c r="M485" s="4">
        <v>10</v>
      </c>
      <c r="N485" s="4" t="s">
        <v>1517</v>
      </c>
      <c r="O485" s="4" t="s">
        <v>55</v>
      </c>
      <c r="P485" s="5">
        <v>226421</v>
      </c>
      <c r="Q485" s="4"/>
      <c r="R485" s="4"/>
      <c r="S485" s="4" t="s">
        <v>28</v>
      </c>
      <c r="T485" s="4">
        <v>31.3</v>
      </c>
      <c r="U485" s="4" t="s">
        <v>29</v>
      </c>
      <c r="V485" s="4" t="s">
        <v>206</v>
      </c>
      <c r="W485" s="67" t="str">
        <f t="shared" si="39"/>
        <v>-</v>
      </c>
    </row>
    <row r="486" spans="1:23" x14ac:dyDescent="0.3">
      <c r="A486" s="2" t="s">
        <v>1518</v>
      </c>
      <c r="B486" s="2" t="s">
        <v>1519</v>
      </c>
      <c r="C486" s="2">
        <v>9499092905</v>
      </c>
      <c r="D486" s="2" t="s">
        <v>51</v>
      </c>
      <c r="E486" s="2" t="s">
        <v>109</v>
      </c>
      <c r="F486" s="2" t="s">
        <v>110</v>
      </c>
      <c r="G486" s="2" t="s">
        <v>52</v>
      </c>
      <c r="H486" s="2" t="s">
        <v>1498</v>
      </c>
      <c r="I486" s="2" t="str">
        <f t="shared" si="35"/>
        <v>Nov</v>
      </c>
      <c r="J486" s="2">
        <f t="shared" si="36"/>
        <v>11</v>
      </c>
      <c r="K486" s="2">
        <f t="shared" si="37"/>
        <v>2023</v>
      </c>
      <c r="L486" s="2">
        <f t="shared" si="38"/>
        <v>4</v>
      </c>
      <c r="M486" s="2">
        <v>11</v>
      </c>
      <c r="N486" s="2" t="s">
        <v>1444</v>
      </c>
      <c r="O486" s="2" t="s">
        <v>62</v>
      </c>
      <c r="P486" s="3">
        <v>459491</v>
      </c>
      <c r="Q486" s="2"/>
      <c r="R486" s="2"/>
      <c r="S486" s="2" t="s">
        <v>28</v>
      </c>
      <c r="T486" s="2">
        <v>51.9</v>
      </c>
      <c r="U486" s="2" t="s">
        <v>29</v>
      </c>
      <c r="V486" s="2" t="s">
        <v>442</v>
      </c>
      <c r="W486" s="67" t="str">
        <f t="shared" si="39"/>
        <v>-</v>
      </c>
    </row>
    <row r="487" spans="1:23" x14ac:dyDescent="0.3">
      <c r="A487" s="4" t="s">
        <v>1520</v>
      </c>
      <c r="B487" s="4" t="s">
        <v>1521</v>
      </c>
      <c r="C487" s="4">
        <v>9505636313</v>
      </c>
      <c r="D487" s="4" t="s">
        <v>51</v>
      </c>
      <c r="E487" s="4" t="s">
        <v>33</v>
      </c>
      <c r="F487" s="4" t="s">
        <v>201</v>
      </c>
      <c r="G487" s="4" t="s">
        <v>60</v>
      </c>
      <c r="H487" s="4" t="s">
        <v>1410</v>
      </c>
      <c r="I487" s="2" t="str">
        <f t="shared" si="35"/>
        <v>Dec</v>
      </c>
      <c r="J487" s="2">
        <f t="shared" si="36"/>
        <v>12</v>
      </c>
      <c r="K487" s="2">
        <f t="shared" si="37"/>
        <v>2023</v>
      </c>
      <c r="L487" s="2">
        <f t="shared" si="38"/>
        <v>4</v>
      </c>
      <c r="M487" s="4">
        <v>5</v>
      </c>
      <c r="N487" s="4" t="s">
        <v>1349</v>
      </c>
      <c r="O487" s="4" t="s">
        <v>45</v>
      </c>
      <c r="P487" s="5">
        <v>229702</v>
      </c>
      <c r="Q487" s="4"/>
      <c r="R487" s="4"/>
      <c r="S487" s="4" t="s">
        <v>5819</v>
      </c>
      <c r="T487" s="4">
        <v>54.4</v>
      </c>
      <c r="U487" s="4" t="s">
        <v>63</v>
      </c>
      <c r="V487" s="4" t="s">
        <v>621</v>
      </c>
      <c r="W487" s="67" t="str">
        <f t="shared" si="39"/>
        <v>-</v>
      </c>
    </row>
    <row r="488" spans="1:23" x14ac:dyDescent="0.3">
      <c r="A488" s="6" t="s">
        <v>1522</v>
      </c>
      <c r="B488" s="6" t="s">
        <v>1523</v>
      </c>
      <c r="C488" s="6">
        <v>9412092259</v>
      </c>
      <c r="D488" s="6" t="s">
        <v>20</v>
      </c>
      <c r="E488" s="6" t="s">
        <v>67</v>
      </c>
      <c r="F488" s="6" t="s">
        <v>80</v>
      </c>
      <c r="G488" s="6" t="s">
        <v>52</v>
      </c>
      <c r="H488" s="6" t="s">
        <v>1410</v>
      </c>
      <c r="I488" s="2" t="str">
        <f t="shared" si="35"/>
        <v>Dec</v>
      </c>
      <c r="J488" s="2">
        <f t="shared" si="36"/>
        <v>12</v>
      </c>
      <c r="K488" s="2">
        <f t="shared" si="37"/>
        <v>2023</v>
      </c>
      <c r="L488" s="2">
        <f t="shared" si="38"/>
        <v>4</v>
      </c>
      <c r="M488" s="6">
        <v>7</v>
      </c>
      <c r="N488" s="6" t="s">
        <v>1524</v>
      </c>
      <c r="O488" s="6" t="s">
        <v>97</v>
      </c>
      <c r="P488" s="7">
        <v>203132</v>
      </c>
      <c r="Q488" s="7">
        <v>187175</v>
      </c>
      <c r="R488" s="6" t="s">
        <v>1417</v>
      </c>
      <c r="S488" s="6" t="s">
        <v>28</v>
      </c>
      <c r="T488" s="6">
        <v>4.0999999999999996</v>
      </c>
      <c r="U488" s="6" t="s">
        <v>63</v>
      </c>
      <c r="V488" s="6" t="s">
        <v>295</v>
      </c>
      <c r="W488" s="67" t="str">
        <f t="shared" si="39"/>
        <v>Customer</v>
      </c>
    </row>
    <row r="489" spans="1:23" x14ac:dyDescent="0.3">
      <c r="A489" s="4" t="s">
        <v>1525</v>
      </c>
      <c r="B489" s="4" t="s">
        <v>1526</v>
      </c>
      <c r="C489" s="4">
        <v>9828988247</v>
      </c>
      <c r="D489" s="4" t="s">
        <v>59</v>
      </c>
      <c r="E489" s="4" t="s">
        <v>73</v>
      </c>
      <c r="F489" s="4" t="s">
        <v>74</v>
      </c>
      <c r="G489" s="4" t="s">
        <v>52</v>
      </c>
      <c r="H489" s="4" t="s">
        <v>1516</v>
      </c>
      <c r="I489" s="2" t="str">
        <f t="shared" si="35"/>
        <v>Dec</v>
      </c>
      <c r="J489" s="2">
        <f t="shared" si="36"/>
        <v>12</v>
      </c>
      <c r="K489" s="2">
        <f t="shared" si="37"/>
        <v>2023</v>
      </c>
      <c r="L489" s="2">
        <f t="shared" si="38"/>
        <v>4</v>
      </c>
      <c r="M489" s="4">
        <v>4</v>
      </c>
      <c r="N489" s="4" t="s">
        <v>1508</v>
      </c>
      <c r="O489" s="4" t="s">
        <v>27</v>
      </c>
      <c r="P489" s="5">
        <v>259314</v>
      </c>
      <c r="Q489" s="4"/>
      <c r="R489" s="4"/>
      <c r="S489" s="4" t="s">
        <v>1063</v>
      </c>
      <c r="T489" s="4">
        <v>32.700000000000003</v>
      </c>
      <c r="U489" s="4" t="s">
        <v>29</v>
      </c>
      <c r="V489" s="4" t="s">
        <v>30</v>
      </c>
      <c r="W489" s="67" t="str">
        <f t="shared" si="39"/>
        <v>-</v>
      </c>
    </row>
    <row r="490" spans="1:23" x14ac:dyDescent="0.3">
      <c r="A490" s="2" t="s">
        <v>1527</v>
      </c>
      <c r="B490" s="2" t="s">
        <v>1528</v>
      </c>
      <c r="C490" s="2">
        <v>9198751865</v>
      </c>
      <c r="D490" s="2" t="s">
        <v>20</v>
      </c>
      <c r="E490" s="2" t="s">
        <v>67</v>
      </c>
      <c r="F490" s="2" t="s">
        <v>80</v>
      </c>
      <c r="G490" s="2" t="s">
        <v>60</v>
      </c>
      <c r="H490" s="2" t="s">
        <v>1368</v>
      </c>
      <c r="I490" s="2" t="str">
        <f t="shared" si="35"/>
        <v>Dec</v>
      </c>
      <c r="J490" s="2">
        <f t="shared" si="36"/>
        <v>12</v>
      </c>
      <c r="K490" s="2">
        <f t="shared" si="37"/>
        <v>2023</v>
      </c>
      <c r="L490" s="2">
        <f t="shared" si="38"/>
        <v>4</v>
      </c>
      <c r="M490" s="2">
        <v>4</v>
      </c>
      <c r="N490" s="2" t="s">
        <v>1530</v>
      </c>
      <c r="O490" s="2" t="s">
        <v>62</v>
      </c>
      <c r="P490" s="3">
        <v>100013</v>
      </c>
      <c r="Q490" s="2"/>
      <c r="R490" s="2"/>
      <c r="S490" s="2" t="s">
        <v>28</v>
      </c>
      <c r="T490" s="2">
        <v>51</v>
      </c>
      <c r="U490" s="2" t="s">
        <v>63</v>
      </c>
      <c r="V490" s="2" t="s">
        <v>559</v>
      </c>
      <c r="W490" s="67" t="str">
        <f t="shared" si="39"/>
        <v>-</v>
      </c>
    </row>
    <row r="491" spans="1:23" x14ac:dyDescent="0.3">
      <c r="A491" s="6" t="s">
        <v>1531</v>
      </c>
      <c r="B491" s="6" t="s">
        <v>1532</v>
      </c>
      <c r="C491" s="6">
        <v>9550871833</v>
      </c>
      <c r="D491" s="6" t="s">
        <v>20</v>
      </c>
      <c r="E491" s="6" t="s">
        <v>67</v>
      </c>
      <c r="F491" s="6" t="s">
        <v>80</v>
      </c>
      <c r="G491" s="6" t="s">
        <v>52</v>
      </c>
      <c r="H491" s="6" t="s">
        <v>1368</v>
      </c>
      <c r="I491" s="2" t="str">
        <f t="shared" si="35"/>
        <v>Dec</v>
      </c>
      <c r="J491" s="2">
        <f t="shared" si="36"/>
        <v>12</v>
      </c>
      <c r="K491" s="2">
        <f t="shared" si="37"/>
        <v>2023</v>
      </c>
      <c r="L491" s="2">
        <f t="shared" si="38"/>
        <v>4</v>
      </c>
      <c r="M491" s="6">
        <v>6</v>
      </c>
      <c r="N491" s="6" t="s">
        <v>1508</v>
      </c>
      <c r="O491" s="6" t="s">
        <v>97</v>
      </c>
      <c r="P491" s="7">
        <v>146030</v>
      </c>
      <c r="Q491" s="7">
        <v>133221</v>
      </c>
      <c r="R491" s="6" t="s">
        <v>1533</v>
      </c>
      <c r="S491" s="6" t="s">
        <v>1063</v>
      </c>
      <c r="T491" s="6"/>
      <c r="U491" s="6" t="s">
        <v>63</v>
      </c>
      <c r="V491" s="6" t="s">
        <v>341</v>
      </c>
      <c r="W491" s="67" t="str">
        <f t="shared" si="39"/>
        <v>Customer</v>
      </c>
    </row>
    <row r="492" spans="1:23" x14ac:dyDescent="0.3">
      <c r="A492" s="2" t="s">
        <v>1534</v>
      </c>
      <c r="B492" s="2" t="s">
        <v>1535</v>
      </c>
      <c r="C492" s="2">
        <v>9896390906</v>
      </c>
      <c r="D492" s="2" t="s">
        <v>59</v>
      </c>
      <c r="E492" s="2" t="s">
        <v>21</v>
      </c>
      <c r="F492" s="2" t="s">
        <v>22</v>
      </c>
      <c r="G492" s="2" t="s">
        <v>69</v>
      </c>
      <c r="H492" s="2" t="s">
        <v>1529</v>
      </c>
      <c r="I492" s="2" t="str">
        <f t="shared" si="35"/>
        <v>Dec</v>
      </c>
      <c r="J492" s="2">
        <f t="shared" si="36"/>
        <v>12</v>
      </c>
      <c r="K492" s="2">
        <f t="shared" si="37"/>
        <v>2023</v>
      </c>
      <c r="L492" s="2">
        <f t="shared" si="38"/>
        <v>4</v>
      </c>
      <c r="M492" s="2">
        <v>9</v>
      </c>
      <c r="N492" s="2" t="s">
        <v>1463</v>
      </c>
      <c r="O492" s="2" t="s">
        <v>45</v>
      </c>
      <c r="P492" s="3">
        <v>82308</v>
      </c>
      <c r="Q492" s="2"/>
      <c r="R492" s="2"/>
      <c r="S492" s="2" t="s">
        <v>1063</v>
      </c>
      <c r="T492" s="2">
        <v>36.9</v>
      </c>
      <c r="U492" s="2" t="s">
        <v>29</v>
      </c>
      <c r="V492" s="2" t="s">
        <v>389</v>
      </c>
      <c r="W492" s="67" t="str">
        <f t="shared" si="39"/>
        <v>-</v>
      </c>
    </row>
    <row r="493" spans="1:23" x14ac:dyDescent="0.3">
      <c r="A493" s="6" t="s">
        <v>1536</v>
      </c>
      <c r="B493" s="6" t="s">
        <v>159</v>
      </c>
      <c r="C493" s="6">
        <v>9334918423</v>
      </c>
      <c r="D493" s="6" t="s">
        <v>121</v>
      </c>
      <c r="E493" s="6" t="s">
        <v>41</v>
      </c>
      <c r="F493" s="6" t="s">
        <v>86</v>
      </c>
      <c r="G493" s="6" t="s">
        <v>23</v>
      </c>
      <c r="H493" s="6" t="s">
        <v>1458</v>
      </c>
      <c r="I493" s="2" t="str">
        <f t="shared" si="35"/>
        <v>Dec</v>
      </c>
      <c r="J493" s="2">
        <f t="shared" si="36"/>
        <v>12</v>
      </c>
      <c r="K493" s="2">
        <f t="shared" si="37"/>
        <v>2023</v>
      </c>
      <c r="L493" s="2">
        <f t="shared" si="38"/>
        <v>4</v>
      </c>
      <c r="M493" s="6">
        <v>11</v>
      </c>
      <c r="N493" s="6" t="s">
        <v>1537</v>
      </c>
      <c r="O493" s="6" t="s">
        <v>97</v>
      </c>
      <c r="P493" s="7">
        <v>524244</v>
      </c>
      <c r="Q493" s="7">
        <v>500022</v>
      </c>
      <c r="R493" s="6" t="s">
        <v>1538</v>
      </c>
      <c r="S493" s="6" t="s">
        <v>5819</v>
      </c>
      <c r="T493" s="6">
        <v>55.7</v>
      </c>
      <c r="U493" s="6" t="s">
        <v>47</v>
      </c>
      <c r="V493" s="6" t="s">
        <v>341</v>
      </c>
      <c r="W493" s="67" t="str">
        <f t="shared" si="39"/>
        <v>Customer</v>
      </c>
    </row>
    <row r="494" spans="1:23" x14ac:dyDescent="0.3">
      <c r="A494" s="2" t="s">
        <v>1539</v>
      </c>
      <c r="B494" s="2" t="s">
        <v>1296</v>
      </c>
      <c r="C494" s="2">
        <v>9655422035</v>
      </c>
      <c r="D494" s="2" t="s">
        <v>108</v>
      </c>
      <c r="E494" s="2" t="s">
        <v>41</v>
      </c>
      <c r="F494" s="2" t="s">
        <v>151</v>
      </c>
      <c r="G494" s="2" t="s">
        <v>60</v>
      </c>
      <c r="H494" s="2" t="s">
        <v>1355</v>
      </c>
      <c r="I494" s="2" t="str">
        <f t="shared" si="35"/>
        <v>Dec</v>
      </c>
      <c r="J494" s="2">
        <f t="shared" si="36"/>
        <v>12</v>
      </c>
      <c r="K494" s="2">
        <f t="shared" si="37"/>
        <v>2023</v>
      </c>
      <c r="L494" s="2">
        <f t="shared" si="38"/>
        <v>4</v>
      </c>
      <c r="M494" s="2">
        <v>11</v>
      </c>
      <c r="N494" s="2" t="s">
        <v>1405</v>
      </c>
      <c r="O494" s="2" t="s">
        <v>45</v>
      </c>
      <c r="P494" s="3">
        <v>93460</v>
      </c>
      <c r="Q494" s="2"/>
      <c r="R494" s="2"/>
      <c r="S494" s="2" t="s">
        <v>1063</v>
      </c>
      <c r="T494" s="2">
        <v>12.8</v>
      </c>
      <c r="U494" s="2" t="s">
        <v>47</v>
      </c>
      <c r="V494" s="2" t="s">
        <v>276</v>
      </c>
      <c r="W494" s="67" t="str">
        <f t="shared" si="39"/>
        <v>-</v>
      </c>
    </row>
    <row r="495" spans="1:23" x14ac:dyDescent="0.3">
      <c r="A495" s="4" t="s">
        <v>1540</v>
      </c>
      <c r="B495" s="4" t="s">
        <v>1541</v>
      </c>
      <c r="C495" s="4">
        <v>9657232542</v>
      </c>
      <c r="D495" s="4" t="s">
        <v>20</v>
      </c>
      <c r="E495" s="4" t="s">
        <v>21</v>
      </c>
      <c r="F495" s="4" t="s">
        <v>160</v>
      </c>
      <c r="G495" s="4" t="s">
        <v>52</v>
      </c>
      <c r="H495" s="4" t="s">
        <v>1438</v>
      </c>
      <c r="I495" s="2" t="str">
        <f t="shared" si="35"/>
        <v>Dec</v>
      </c>
      <c r="J495" s="2">
        <f t="shared" si="36"/>
        <v>12</v>
      </c>
      <c r="K495" s="2">
        <f t="shared" si="37"/>
        <v>2023</v>
      </c>
      <c r="L495" s="2">
        <f t="shared" si="38"/>
        <v>4</v>
      </c>
      <c r="M495" s="4">
        <v>0</v>
      </c>
      <c r="N495" s="4" t="s">
        <v>1329</v>
      </c>
      <c r="O495" s="4" t="s">
        <v>62</v>
      </c>
      <c r="P495" s="5">
        <v>402918</v>
      </c>
      <c r="Q495" s="4"/>
      <c r="R495" s="4"/>
      <c r="S495" s="4" t="s">
        <v>28</v>
      </c>
      <c r="T495" s="4">
        <v>32.200000000000003</v>
      </c>
      <c r="U495" s="4" t="s">
        <v>29</v>
      </c>
      <c r="V495" s="4" t="s">
        <v>187</v>
      </c>
      <c r="W495" s="67" t="str">
        <f t="shared" si="39"/>
        <v>-</v>
      </c>
    </row>
    <row r="496" spans="1:23" x14ac:dyDescent="0.3">
      <c r="A496" s="2" t="s">
        <v>1542</v>
      </c>
      <c r="B496" s="2" t="s">
        <v>1543</v>
      </c>
      <c r="C496" s="2">
        <v>9810694145</v>
      </c>
      <c r="D496" s="2" t="s">
        <v>59</v>
      </c>
      <c r="E496" s="2" t="s">
        <v>109</v>
      </c>
      <c r="F496" s="2" t="s">
        <v>331</v>
      </c>
      <c r="G496" s="2" t="s">
        <v>52</v>
      </c>
      <c r="H496" s="2" t="s">
        <v>1438</v>
      </c>
      <c r="I496" s="2" t="str">
        <f t="shared" si="35"/>
        <v>Dec</v>
      </c>
      <c r="J496" s="2">
        <f t="shared" si="36"/>
        <v>12</v>
      </c>
      <c r="K496" s="2">
        <f t="shared" si="37"/>
        <v>2023</v>
      </c>
      <c r="L496" s="2">
        <f t="shared" si="38"/>
        <v>4</v>
      </c>
      <c r="M496" s="2">
        <v>7</v>
      </c>
      <c r="N496" s="2" t="s">
        <v>1544</v>
      </c>
      <c r="O496" s="2" t="s">
        <v>27</v>
      </c>
      <c r="P496" s="3">
        <v>240047</v>
      </c>
      <c r="Q496" s="2"/>
      <c r="R496" s="2"/>
      <c r="S496" s="2" t="s">
        <v>5819</v>
      </c>
      <c r="T496" s="2">
        <v>11.5</v>
      </c>
      <c r="U496" s="2" t="s">
        <v>47</v>
      </c>
      <c r="V496" s="2"/>
      <c r="W496" s="67" t="str">
        <f t="shared" si="39"/>
        <v>-</v>
      </c>
    </row>
    <row r="497" spans="1:23" x14ac:dyDescent="0.3">
      <c r="A497" s="4" t="s">
        <v>1545</v>
      </c>
      <c r="B497" s="4" t="s">
        <v>1546</v>
      </c>
      <c r="C497" s="4">
        <v>9543770966</v>
      </c>
      <c r="D497" s="4" t="s">
        <v>121</v>
      </c>
      <c r="E497" s="4" t="s">
        <v>33</v>
      </c>
      <c r="F497" s="4" t="s">
        <v>34</v>
      </c>
      <c r="G497" s="4" t="s">
        <v>52</v>
      </c>
      <c r="H497" s="4" t="s">
        <v>1324</v>
      </c>
      <c r="I497" s="2" t="str">
        <f t="shared" si="35"/>
        <v>Dec</v>
      </c>
      <c r="J497" s="2">
        <f t="shared" si="36"/>
        <v>12</v>
      </c>
      <c r="K497" s="2">
        <f t="shared" si="37"/>
        <v>2023</v>
      </c>
      <c r="L497" s="2">
        <f t="shared" si="38"/>
        <v>4</v>
      </c>
      <c r="M497" s="4">
        <v>2</v>
      </c>
      <c r="N497" s="4" t="s">
        <v>1392</v>
      </c>
      <c r="O497" s="4" t="s">
        <v>45</v>
      </c>
      <c r="P497" s="5">
        <v>160675</v>
      </c>
      <c r="Q497" s="4"/>
      <c r="R497" s="4"/>
      <c r="S497" s="4" t="s">
        <v>5819</v>
      </c>
      <c r="T497" s="4">
        <v>43.7</v>
      </c>
      <c r="U497" s="4" t="s">
        <v>29</v>
      </c>
      <c r="V497" s="4" t="s">
        <v>805</v>
      </c>
      <c r="W497" s="67" t="str">
        <f t="shared" si="39"/>
        <v>-</v>
      </c>
    </row>
    <row r="498" spans="1:23" x14ac:dyDescent="0.3">
      <c r="A498" s="2" t="s">
        <v>1547</v>
      </c>
      <c r="B498" s="2" t="s">
        <v>1100</v>
      </c>
      <c r="C498" s="2">
        <v>9192345517</v>
      </c>
      <c r="D498" s="2" t="s">
        <v>59</v>
      </c>
      <c r="E498" s="2" t="s">
        <v>33</v>
      </c>
      <c r="F498" s="2" t="s">
        <v>34</v>
      </c>
      <c r="G498" s="2" t="s">
        <v>87</v>
      </c>
      <c r="H498" s="2" t="s">
        <v>1324</v>
      </c>
      <c r="I498" s="2" t="str">
        <f t="shared" si="35"/>
        <v>Dec</v>
      </c>
      <c r="J498" s="2">
        <f t="shared" si="36"/>
        <v>12</v>
      </c>
      <c r="K498" s="2">
        <f t="shared" si="37"/>
        <v>2023</v>
      </c>
      <c r="L498" s="2">
        <f t="shared" si="38"/>
        <v>4</v>
      </c>
      <c r="M498" s="2">
        <v>10</v>
      </c>
      <c r="N498" s="2" t="s">
        <v>1548</v>
      </c>
      <c r="O498" s="2" t="s">
        <v>45</v>
      </c>
      <c r="P498" s="3">
        <v>281961</v>
      </c>
      <c r="Q498" s="2"/>
      <c r="R498" s="2"/>
      <c r="S498" s="2" t="s">
        <v>28</v>
      </c>
      <c r="T498" s="2">
        <v>23.3</v>
      </c>
      <c r="U498" s="2" t="s">
        <v>47</v>
      </c>
      <c r="V498" s="2" t="s">
        <v>137</v>
      </c>
      <c r="W498" s="67" t="str">
        <f t="shared" si="39"/>
        <v>-</v>
      </c>
    </row>
    <row r="499" spans="1:23" x14ac:dyDescent="0.3">
      <c r="A499" s="4" t="s">
        <v>1549</v>
      </c>
      <c r="B499" s="4" t="s">
        <v>1550</v>
      </c>
      <c r="C499" s="4">
        <v>9931641272</v>
      </c>
      <c r="D499" s="4" t="s">
        <v>51</v>
      </c>
      <c r="E499" s="4" t="s">
        <v>109</v>
      </c>
      <c r="F499" s="4" t="s">
        <v>331</v>
      </c>
      <c r="G499" s="4" t="s">
        <v>87</v>
      </c>
      <c r="H499" s="4" t="s">
        <v>1324</v>
      </c>
      <c r="I499" s="2" t="str">
        <f t="shared" si="35"/>
        <v>Dec</v>
      </c>
      <c r="J499" s="2">
        <f t="shared" si="36"/>
        <v>12</v>
      </c>
      <c r="K499" s="2">
        <f t="shared" si="37"/>
        <v>2023</v>
      </c>
      <c r="L499" s="2">
        <f t="shared" si="38"/>
        <v>4</v>
      </c>
      <c r="M499" s="4">
        <v>4</v>
      </c>
      <c r="N499" s="4" t="s">
        <v>1552</v>
      </c>
      <c r="O499" s="4" t="s">
        <v>27</v>
      </c>
      <c r="P499" s="5">
        <v>256305</v>
      </c>
      <c r="Q499" s="4"/>
      <c r="R499" s="4"/>
      <c r="S499" s="4" t="s">
        <v>5819</v>
      </c>
      <c r="T499" s="4">
        <v>35.200000000000003</v>
      </c>
      <c r="U499" s="4" t="s">
        <v>29</v>
      </c>
      <c r="V499" s="4" t="s">
        <v>238</v>
      </c>
      <c r="W499" s="67" t="str">
        <f t="shared" si="39"/>
        <v>-</v>
      </c>
    </row>
    <row r="500" spans="1:23" x14ac:dyDescent="0.3">
      <c r="A500" s="2" t="s">
        <v>1553</v>
      </c>
      <c r="B500" s="2" t="s">
        <v>1554</v>
      </c>
      <c r="C500" s="2">
        <v>9174576347</v>
      </c>
      <c r="D500" s="2" t="s">
        <v>59</v>
      </c>
      <c r="E500" s="2" t="s">
        <v>641</v>
      </c>
      <c r="F500" s="2" t="s">
        <v>642</v>
      </c>
      <c r="G500" s="2" t="s">
        <v>35</v>
      </c>
      <c r="H500" s="2" t="s">
        <v>1324</v>
      </c>
      <c r="I500" s="2" t="str">
        <f t="shared" si="35"/>
        <v>Dec</v>
      </c>
      <c r="J500" s="2">
        <f t="shared" si="36"/>
        <v>12</v>
      </c>
      <c r="K500" s="2">
        <f t="shared" si="37"/>
        <v>2023</v>
      </c>
      <c r="L500" s="2">
        <f t="shared" si="38"/>
        <v>4</v>
      </c>
      <c r="M500" s="2">
        <v>11</v>
      </c>
      <c r="N500" s="2" t="s">
        <v>1555</v>
      </c>
      <c r="O500" s="2" t="s">
        <v>45</v>
      </c>
      <c r="P500" s="3">
        <v>317241</v>
      </c>
      <c r="Q500" s="2"/>
      <c r="R500" s="2"/>
      <c r="S500" s="2" t="s">
        <v>5819</v>
      </c>
      <c r="T500" s="2">
        <v>36.4</v>
      </c>
      <c r="U500" s="2" t="s">
        <v>47</v>
      </c>
      <c r="V500" s="2" t="s">
        <v>183</v>
      </c>
      <c r="W500" s="67" t="str">
        <f t="shared" si="39"/>
        <v>-</v>
      </c>
    </row>
    <row r="501" spans="1:23" x14ac:dyDescent="0.3">
      <c r="A501" s="4" t="s">
        <v>1556</v>
      </c>
      <c r="B501" s="4" t="s">
        <v>1557</v>
      </c>
      <c r="C501" s="4">
        <v>9640967416</v>
      </c>
      <c r="D501" s="4" t="s">
        <v>59</v>
      </c>
      <c r="E501" s="4" t="s">
        <v>33</v>
      </c>
      <c r="F501" s="4" t="s">
        <v>102</v>
      </c>
      <c r="G501" s="4" t="s">
        <v>52</v>
      </c>
      <c r="H501" s="4" t="s">
        <v>1324</v>
      </c>
      <c r="I501" s="2" t="str">
        <f t="shared" si="35"/>
        <v>Dec</v>
      </c>
      <c r="J501" s="2">
        <f t="shared" si="36"/>
        <v>12</v>
      </c>
      <c r="K501" s="2">
        <f t="shared" si="37"/>
        <v>2023</v>
      </c>
      <c r="L501" s="2">
        <f t="shared" si="38"/>
        <v>4</v>
      </c>
      <c r="M501" s="4">
        <v>2</v>
      </c>
      <c r="N501" s="4" t="s">
        <v>1517</v>
      </c>
      <c r="O501" s="4" t="s">
        <v>62</v>
      </c>
      <c r="P501" s="5">
        <v>355888</v>
      </c>
      <c r="Q501" s="4"/>
      <c r="R501" s="4"/>
      <c r="S501" s="4" t="s">
        <v>28</v>
      </c>
      <c r="T501" s="4">
        <v>60.7</v>
      </c>
      <c r="U501" s="4" t="s">
        <v>47</v>
      </c>
      <c r="V501" s="4" t="s">
        <v>89</v>
      </c>
      <c r="W501" s="67" t="str">
        <f t="shared" si="39"/>
        <v>-</v>
      </c>
    </row>
    <row r="502" spans="1:23" x14ac:dyDescent="0.3">
      <c r="A502" s="2" t="s">
        <v>1558</v>
      </c>
      <c r="B502" s="2" t="s">
        <v>1559</v>
      </c>
      <c r="C502" s="2">
        <v>9869084355</v>
      </c>
      <c r="D502" s="2" t="s">
        <v>59</v>
      </c>
      <c r="E502" s="2" t="s">
        <v>641</v>
      </c>
      <c r="F502" s="2" t="s">
        <v>642</v>
      </c>
      <c r="G502" s="2" t="s">
        <v>23</v>
      </c>
      <c r="H502" s="2" t="s">
        <v>1324</v>
      </c>
      <c r="I502" s="2" t="str">
        <f t="shared" si="35"/>
        <v>Dec</v>
      </c>
      <c r="J502" s="2">
        <f t="shared" si="36"/>
        <v>12</v>
      </c>
      <c r="K502" s="2">
        <f t="shared" si="37"/>
        <v>2023</v>
      </c>
      <c r="L502" s="2">
        <f t="shared" si="38"/>
        <v>4</v>
      </c>
      <c r="M502" s="2">
        <v>9</v>
      </c>
      <c r="N502" s="2" t="s">
        <v>1405</v>
      </c>
      <c r="O502" s="2" t="s">
        <v>27</v>
      </c>
      <c r="P502" s="3">
        <v>418485</v>
      </c>
      <c r="Q502" s="2"/>
      <c r="R502" s="2"/>
      <c r="S502" s="2" t="s">
        <v>28</v>
      </c>
      <c r="T502" s="2">
        <v>8.5</v>
      </c>
      <c r="U502" s="2" t="s">
        <v>29</v>
      </c>
      <c r="V502" s="2" t="s">
        <v>163</v>
      </c>
      <c r="W502" s="67" t="str">
        <f t="shared" si="39"/>
        <v>-</v>
      </c>
    </row>
    <row r="503" spans="1:23" x14ac:dyDescent="0.3">
      <c r="A503" s="4" t="s">
        <v>1560</v>
      </c>
      <c r="B503" s="4" t="s">
        <v>1561</v>
      </c>
      <c r="C503" s="4">
        <v>9958762678</v>
      </c>
      <c r="D503" s="4" t="s">
        <v>59</v>
      </c>
      <c r="E503" s="4" t="s">
        <v>67</v>
      </c>
      <c r="F503" s="4" t="s">
        <v>80</v>
      </c>
      <c r="G503" s="4" t="s">
        <v>23</v>
      </c>
      <c r="H503" s="4" t="s">
        <v>1329</v>
      </c>
      <c r="I503" s="2" t="str">
        <f t="shared" si="35"/>
        <v>Dec</v>
      </c>
      <c r="J503" s="2">
        <f t="shared" si="36"/>
        <v>12</v>
      </c>
      <c r="K503" s="2">
        <f t="shared" si="37"/>
        <v>2023</v>
      </c>
      <c r="L503" s="2">
        <f t="shared" si="38"/>
        <v>4</v>
      </c>
      <c r="M503" s="4">
        <v>8</v>
      </c>
      <c r="N503" s="4" t="s">
        <v>1562</v>
      </c>
      <c r="O503" s="4" t="s">
        <v>27</v>
      </c>
      <c r="P503" s="5">
        <v>681014</v>
      </c>
      <c r="Q503" s="4"/>
      <c r="R503" s="4"/>
      <c r="S503" s="4" t="s">
        <v>5819</v>
      </c>
      <c r="T503" s="4">
        <v>69.7</v>
      </c>
      <c r="U503" s="4" t="s">
        <v>47</v>
      </c>
      <c r="V503" s="4" t="s">
        <v>123</v>
      </c>
      <c r="W503" s="67" t="str">
        <f t="shared" si="39"/>
        <v>-</v>
      </c>
    </row>
    <row r="504" spans="1:23" x14ac:dyDescent="0.3">
      <c r="A504" s="6" t="s">
        <v>1563</v>
      </c>
      <c r="B504" s="6" t="s">
        <v>1564</v>
      </c>
      <c r="C504" s="6">
        <v>9299624593</v>
      </c>
      <c r="D504" s="6" t="s">
        <v>121</v>
      </c>
      <c r="E504" s="6" t="s">
        <v>21</v>
      </c>
      <c r="F504" s="6" t="s">
        <v>160</v>
      </c>
      <c r="G504" s="6" t="s">
        <v>23</v>
      </c>
      <c r="H504" s="6" t="s">
        <v>1329</v>
      </c>
      <c r="I504" s="2" t="str">
        <f t="shared" si="35"/>
        <v>Dec</v>
      </c>
      <c r="J504" s="2">
        <f t="shared" si="36"/>
        <v>12</v>
      </c>
      <c r="K504" s="2">
        <f t="shared" si="37"/>
        <v>2023</v>
      </c>
      <c r="L504" s="2">
        <f t="shared" si="38"/>
        <v>4</v>
      </c>
      <c r="M504" s="6">
        <v>5</v>
      </c>
      <c r="N504" s="6" t="s">
        <v>1565</v>
      </c>
      <c r="O504" s="6" t="s">
        <v>97</v>
      </c>
      <c r="P504" s="7">
        <v>563732</v>
      </c>
      <c r="Q504" s="7">
        <v>505277</v>
      </c>
      <c r="R504" s="6" t="s">
        <v>1566</v>
      </c>
      <c r="S504" s="6" t="s">
        <v>28</v>
      </c>
      <c r="T504" s="6">
        <v>45.1</v>
      </c>
      <c r="U504" s="6" t="s">
        <v>63</v>
      </c>
      <c r="V504" s="6" t="s">
        <v>907</v>
      </c>
      <c r="W504" s="67" t="str">
        <f t="shared" si="39"/>
        <v>Customer</v>
      </c>
    </row>
    <row r="505" spans="1:23" x14ac:dyDescent="0.3">
      <c r="A505" s="6" t="s">
        <v>1567</v>
      </c>
      <c r="B505" s="6" t="s">
        <v>749</v>
      </c>
      <c r="C505" s="6">
        <v>9630233687</v>
      </c>
      <c r="D505" s="6" t="s">
        <v>59</v>
      </c>
      <c r="E505" s="6" t="s">
        <v>33</v>
      </c>
      <c r="F505" s="6" t="s">
        <v>102</v>
      </c>
      <c r="G505" s="6" t="s">
        <v>69</v>
      </c>
      <c r="H505" s="6" t="s">
        <v>1551</v>
      </c>
      <c r="I505" s="2" t="str">
        <f t="shared" si="35"/>
        <v>Dec</v>
      </c>
      <c r="J505" s="2">
        <f t="shared" si="36"/>
        <v>12</v>
      </c>
      <c r="K505" s="2">
        <f t="shared" si="37"/>
        <v>2023</v>
      </c>
      <c r="L505" s="2">
        <f t="shared" si="38"/>
        <v>4</v>
      </c>
      <c r="M505" s="6">
        <v>4</v>
      </c>
      <c r="N505" s="6" t="s">
        <v>1469</v>
      </c>
      <c r="O505" s="6" t="s">
        <v>97</v>
      </c>
      <c r="P505" s="7">
        <v>132319</v>
      </c>
      <c r="Q505" s="7">
        <v>116922</v>
      </c>
      <c r="R505" s="6" t="s">
        <v>1425</v>
      </c>
      <c r="S505" s="6" t="s">
        <v>28</v>
      </c>
      <c r="T505" s="6">
        <v>58.6</v>
      </c>
      <c r="U505" s="6" t="s">
        <v>63</v>
      </c>
      <c r="V505" s="6" t="s">
        <v>170</v>
      </c>
      <c r="W505" s="67" t="str">
        <f t="shared" si="39"/>
        <v>Customer</v>
      </c>
    </row>
    <row r="506" spans="1:23" x14ac:dyDescent="0.3">
      <c r="A506" s="2" t="s">
        <v>1568</v>
      </c>
      <c r="B506" s="2" t="s">
        <v>1569</v>
      </c>
      <c r="C506" s="2">
        <v>9406056061</v>
      </c>
      <c r="D506" s="2" t="s">
        <v>59</v>
      </c>
      <c r="E506" s="2" t="s">
        <v>73</v>
      </c>
      <c r="F506" s="2" t="s">
        <v>74</v>
      </c>
      <c r="G506" s="2" t="s">
        <v>60</v>
      </c>
      <c r="H506" s="2" t="s">
        <v>1369</v>
      </c>
      <c r="I506" s="2" t="str">
        <f t="shared" si="35"/>
        <v>Dec</v>
      </c>
      <c r="J506" s="2">
        <f t="shared" si="36"/>
        <v>12</v>
      </c>
      <c r="K506" s="2">
        <f t="shared" si="37"/>
        <v>2023</v>
      </c>
      <c r="L506" s="2">
        <f t="shared" si="38"/>
        <v>4</v>
      </c>
      <c r="M506" s="2">
        <v>2</v>
      </c>
      <c r="N506" s="2" t="s">
        <v>1517</v>
      </c>
      <c r="O506" s="2" t="s">
        <v>27</v>
      </c>
      <c r="P506" s="3">
        <v>65201</v>
      </c>
      <c r="Q506" s="2"/>
      <c r="R506" s="2"/>
      <c r="S506" s="2" t="s">
        <v>28</v>
      </c>
      <c r="T506" s="2">
        <v>12.1</v>
      </c>
      <c r="U506" s="2" t="s">
        <v>29</v>
      </c>
      <c r="V506" s="2" t="s">
        <v>30</v>
      </c>
      <c r="W506" s="67" t="str">
        <f t="shared" si="39"/>
        <v>-</v>
      </c>
    </row>
    <row r="507" spans="1:23" x14ac:dyDescent="0.3">
      <c r="A507" s="6" t="s">
        <v>1570</v>
      </c>
      <c r="B507" s="6" t="s">
        <v>1571</v>
      </c>
      <c r="C507" s="6">
        <v>9414974851</v>
      </c>
      <c r="D507" s="6" t="s">
        <v>51</v>
      </c>
      <c r="E507" s="6" t="s">
        <v>109</v>
      </c>
      <c r="F507" s="6" t="s">
        <v>331</v>
      </c>
      <c r="G507" s="6" t="s">
        <v>23</v>
      </c>
      <c r="H507" s="6" t="s">
        <v>1369</v>
      </c>
      <c r="I507" s="2" t="str">
        <f t="shared" si="35"/>
        <v>Dec</v>
      </c>
      <c r="J507" s="2">
        <f t="shared" si="36"/>
        <v>12</v>
      </c>
      <c r="K507" s="2">
        <f t="shared" si="37"/>
        <v>2023</v>
      </c>
      <c r="L507" s="2">
        <f t="shared" si="38"/>
        <v>4</v>
      </c>
      <c r="M507" s="6">
        <v>9</v>
      </c>
      <c r="N507" s="6" t="s">
        <v>1572</v>
      </c>
      <c r="O507" s="6" t="s">
        <v>97</v>
      </c>
      <c r="P507" s="6"/>
      <c r="Q507" s="7">
        <v>293509</v>
      </c>
      <c r="R507" s="6" t="s">
        <v>1573</v>
      </c>
      <c r="S507" s="6" t="s">
        <v>5819</v>
      </c>
      <c r="T507" s="6">
        <v>24.6</v>
      </c>
      <c r="U507" s="6" t="s">
        <v>63</v>
      </c>
      <c r="V507" s="6" t="s">
        <v>170</v>
      </c>
      <c r="W507" s="67" t="str">
        <f t="shared" si="39"/>
        <v>Customer</v>
      </c>
    </row>
    <row r="508" spans="1:23" x14ac:dyDescent="0.3">
      <c r="A508" s="2" t="s">
        <v>1574</v>
      </c>
      <c r="B508" s="2" t="s">
        <v>861</v>
      </c>
      <c r="C508" s="2">
        <v>9737855436</v>
      </c>
      <c r="D508" s="2" t="s">
        <v>121</v>
      </c>
      <c r="E508" s="2" t="s">
        <v>67</v>
      </c>
      <c r="F508" s="2" t="s">
        <v>68</v>
      </c>
      <c r="G508" s="2" t="s">
        <v>23</v>
      </c>
      <c r="H508" s="2" t="s">
        <v>1369</v>
      </c>
      <c r="I508" s="2" t="str">
        <f t="shared" si="35"/>
        <v>Dec</v>
      </c>
      <c r="J508" s="2">
        <f t="shared" si="36"/>
        <v>12</v>
      </c>
      <c r="K508" s="2">
        <f t="shared" si="37"/>
        <v>2023</v>
      </c>
      <c r="L508" s="2">
        <f t="shared" si="38"/>
        <v>4</v>
      </c>
      <c r="M508" s="2">
        <v>11</v>
      </c>
      <c r="N508" s="2" t="s">
        <v>1575</v>
      </c>
      <c r="O508" s="2" t="s">
        <v>27</v>
      </c>
      <c r="P508" s="3">
        <v>744638</v>
      </c>
      <c r="Q508" s="2"/>
      <c r="R508" s="2"/>
      <c r="S508" s="2" t="s">
        <v>28</v>
      </c>
      <c r="T508" s="2">
        <v>10.7</v>
      </c>
      <c r="U508" s="2" t="s">
        <v>29</v>
      </c>
      <c r="V508" s="2" t="s">
        <v>105</v>
      </c>
      <c r="W508" s="67" t="str">
        <f t="shared" si="39"/>
        <v>-</v>
      </c>
    </row>
    <row r="509" spans="1:23" x14ac:dyDescent="0.3">
      <c r="A509" s="4" t="s">
        <v>1576</v>
      </c>
      <c r="B509" s="4" t="s">
        <v>1577</v>
      </c>
      <c r="C509" s="4">
        <v>9468588126</v>
      </c>
      <c r="D509" s="4" t="s">
        <v>51</v>
      </c>
      <c r="E509" s="4" t="s">
        <v>41</v>
      </c>
      <c r="F509" s="4" t="s">
        <v>86</v>
      </c>
      <c r="G509" s="4" t="s">
        <v>52</v>
      </c>
      <c r="H509" s="4" t="s">
        <v>1420</v>
      </c>
      <c r="I509" s="2" t="str">
        <f t="shared" si="35"/>
        <v>Dec</v>
      </c>
      <c r="J509" s="2">
        <f t="shared" si="36"/>
        <v>12</v>
      </c>
      <c r="K509" s="2">
        <f t="shared" si="37"/>
        <v>2023</v>
      </c>
      <c r="L509" s="2">
        <f t="shared" si="38"/>
        <v>4</v>
      </c>
      <c r="M509" s="4">
        <v>3</v>
      </c>
      <c r="N509" s="4" t="s">
        <v>1392</v>
      </c>
      <c r="O509" s="4" t="s">
        <v>62</v>
      </c>
      <c r="P509" s="5">
        <v>486011</v>
      </c>
      <c r="Q509" s="4"/>
      <c r="R509" s="4"/>
      <c r="S509" s="4" t="s">
        <v>5819</v>
      </c>
      <c r="T509" s="4">
        <v>71.599999999999994</v>
      </c>
      <c r="U509" s="4" t="s">
        <v>47</v>
      </c>
      <c r="V509" s="4" t="s">
        <v>174</v>
      </c>
      <c r="W509" s="67" t="str">
        <f t="shared" si="39"/>
        <v>-</v>
      </c>
    </row>
    <row r="510" spans="1:23" x14ac:dyDescent="0.3">
      <c r="A510" s="2" t="s">
        <v>1578</v>
      </c>
      <c r="B510" s="2" t="s">
        <v>1579</v>
      </c>
      <c r="C510" s="2"/>
      <c r="D510" s="2" t="s">
        <v>51</v>
      </c>
      <c r="E510" s="2" t="s">
        <v>67</v>
      </c>
      <c r="F510" s="2" t="s">
        <v>68</v>
      </c>
      <c r="G510" s="2" t="s">
        <v>60</v>
      </c>
      <c r="H510" s="2" t="s">
        <v>1502</v>
      </c>
      <c r="I510" s="2" t="str">
        <f t="shared" si="35"/>
        <v>Dec</v>
      </c>
      <c r="J510" s="2">
        <f t="shared" si="36"/>
        <v>12</v>
      </c>
      <c r="K510" s="2">
        <f t="shared" si="37"/>
        <v>2023</v>
      </c>
      <c r="L510" s="2">
        <f t="shared" si="38"/>
        <v>4</v>
      </c>
      <c r="M510" s="2">
        <v>10</v>
      </c>
      <c r="N510" s="2" t="s">
        <v>1580</v>
      </c>
      <c r="O510" s="2" t="s">
        <v>27</v>
      </c>
      <c r="P510" s="3">
        <v>92506</v>
      </c>
      <c r="Q510" s="2"/>
      <c r="R510" s="2"/>
      <c r="S510" s="2" t="s">
        <v>28</v>
      </c>
      <c r="T510" s="2">
        <v>42</v>
      </c>
      <c r="U510" s="2" t="s">
        <v>47</v>
      </c>
      <c r="V510" s="2" t="s">
        <v>328</v>
      </c>
      <c r="W510" s="67" t="str">
        <f t="shared" si="39"/>
        <v>-</v>
      </c>
    </row>
    <row r="511" spans="1:23" x14ac:dyDescent="0.3">
      <c r="A511" s="6" t="s">
        <v>1581</v>
      </c>
      <c r="B511" s="6" t="s">
        <v>1582</v>
      </c>
      <c r="C511" s="6">
        <v>9677198900</v>
      </c>
      <c r="D511" s="6" t="s">
        <v>59</v>
      </c>
      <c r="E511" s="6" t="s">
        <v>33</v>
      </c>
      <c r="F511" s="6" t="s">
        <v>102</v>
      </c>
      <c r="G511" s="6" t="s">
        <v>60</v>
      </c>
      <c r="H511" s="6" t="s">
        <v>1508</v>
      </c>
      <c r="I511" s="2" t="str">
        <f t="shared" si="35"/>
        <v>Dec</v>
      </c>
      <c r="J511" s="2">
        <f t="shared" si="36"/>
        <v>12</v>
      </c>
      <c r="K511" s="2">
        <f t="shared" si="37"/>
        <v>2023</v>
      </c>
      <c r="L511" s="2">
        <f t="shared" si="38"/>
        <v>4</v>
      </c>
      <c r="M511" s="6">
        <v>3</v>
      </c>
      <c r="N511" s="6" t="s">
        <v>1477</v>
      </c>
      <c r="O511" s="6" t="s">
        <v>97</v>
      </c>
      <c r="P511" s="7">
        <v>55417</v>
      </c>
      <c r="Q511" s="7">
        <v>56357</v>
      </c>
      <c r="R511" s="6" t="s">
        <v>1583</v>
      </c>
      <c r="S511" s="6" t="s">
        <v>1063</v>
      </c>
      <c r="T511" s="6">
        <v>71.599999999999994</v>
      </c>
      <c r="U511" s="6" t="s">
        <v>63</v>
      </c>
      <c r="V511" s="6" t="s">
        <v>907</v>
      </c>
      <c r="W511" s="67" t="str">
        <f t="shared" si="39"/>
        <v>Customer</v>
      </c>
    </row>
    <row r="512" spans="1:23" x14ac:dyDescent="0.3">
      <c r="A512" s="2" t="s">
        <v>1584</v>
      </c>
      <c r="B512" s="2" t="s">
        <v>1103</v>
      </c>
      <c r="C512" s="2">
        <v>9773706432</v>
      </c>
      <c r="D512" s="2" t="s">
        <v>20</v>
      </c>
      <c r="E512" s="2" t="s">
        <v>648</v>
      </c>
      <c r="F512" s="2" t="s">
        <v>649</v>
      </c>
      <c r="G512" s="2" t="s">
        <v>60</v>
      </c>
      <c r="H512" s="2" t="s">
        <v>1508</v>
      </c>
      <c r="I512" s="2" t="str">
        <f t="shared" si="35"/>
        <v>Dec</v>
      </c>
      <c r="J512" s="2">
        <f t="shared" si="36"/>
        <v>12</v>
      </c>
      <c r="K512" s="2">
        <f t="shared" si="37"/>
        <v>2023</v>
      </c>
      <c r="L512" s="2">
        <f t="shared" si="38"/>
        <v>4</v>
      </c>
      <c r="M512" s="2">
        <v>12</v>
      </c>
      <c r="N512" s="2" t="s">
        <v>1572</v>
      </c>
      <c r="O512" s="2" t="s">
        <v>27</v>
      </c>
      <c r="P512" s="3">
        <v>156574</v>
      </c>
      <c r="Q512" s="2"/>
      <c r="R512" s="2"/>
      <c r="S512" s="2" t="s">
        <v>28</v>
      </c>
      <c r="T512" s="2">
        <v>53.4</v>
      </c>
      <c r="U512" s="2" t="s">
        <v>29</v>
      </c>
      <c r="V512" s="2" t="s">
        <v>118</v>
      </c>
      <c r="W512" s="67" t="str">
        <f t="shared" si="39"/>
        <v>-</v>
      </c>
    </row>
    <row r="513" spans="1:23" x14ac:dyDescent="0.3">
      <c r="A513" s="4" t="s">
        <v>1585</v>
      </c>
      <c r="B513" s="4" t="s">
        <v>1586</v>
      </c>
      <c r="C513" s="4">
        <v>9907160462</v>
      </c>
      <c r="D513" s="4" t="s">
        <v>108</v>
      </c>
      <c r="E513" s="4" t="s">
        <v>641</v>
      </c>
      <c r="F513" s="4" t="s">
        <v>727</v>
      </c>
      <c r="G513" s="4" t="s">
        <v>643</v>
      </c>
      <c r="H513" s="4" t="s">
        <v>1530</v>
      </c>
      <c r="I513" s="2" t="str">
        <f t="shared" si="35"/>
        <v>Dec</v>
      </c>
      <c r="J513" s="2">
        <f t="shared" si="36"/>
        <v>12</v>
      </c>
      <c r="K513" s="2">
        <f t="shared" si="37"/>
        <v>2023</v>
      </c>
      <c r="L513" s="2">
        <f t="shared" si="38"/>
        <v>4</v>
      </c>
      <c r="M513" s="4">
        <v>9</v>
      </c>
      <c r="N513" s="4" t="s">
        <v>1575</v>
      </c>
      <c r="O513" s="4" t="s">
        <v>45</v>
      </c>
      <c r="P513" s="5">
        <v>1172166</v>
      </c>
      <c r="Q513" s="4"/>
      <c r="R513" s="4"/>
      <c r="S513" s="4" t="s">
        <v>1063</v>
      </c>
      <c r="T513" s="4">
        <v>11.1</v>
      </c>
      <c r="U513" s="4" t="s">
        <v>29</v>
      </c>
      <c r="V513" s="4" t="s">
        <v>697</v>
      </c>
      <c r="W513" s="67" t="str">
        <f t="shared" si="39"/>
        <v>-</v>
      </c>
    </row>
    <row r="514" spans="1:23" x14ac:dyDescent="0.3">
      <c r="A514" s="2" t="s">
        <v>1587</v>
      </c>
      <c r="B514" s="2" t="s">
        <v>262</v>
      </c>
      <c r="C514" s="2">
        <v>9855737029</v>
      </c>
      <c r="D514" s="2" t="s">
        <v>121</v>
      </c>
      <c r="E514" s="2" t="s">
        <v>73</v>
      </c>
      <c r="F514" s="2" t="s">
        <v>74</v>
      </c>
      <c r="G514" s="2" t="s">
        <v>60</v>
      </c>
      <c r="H514" s="2" t="s">
        <v>1530</v>
      </c>
      <c r="I514" s="2" t="str">
        <f t="shared" ref="I514:I577" si="40">TEXT(H514,"mmm")</f>
        <v>Dec</v>
      </c>
      <c r="J514" s="2">
        <f t="shared" ref="J514:J577" si="41">MONTH(H514)</f>
        <v>12</v>
      </c>
      <c r="K514" s="2">
        <f t="shared" ref="K514:K577" si="42">YEAR(H514)</f>
        <v>2023</v>
      </c>
      <c r="L514" s="2">
        <f t="shared" ref="L514:L577" si="43">ROUNDUP(MONTH(H514)/3,0)</f>
        <v>4</v>
      </c>
      <c r="M514" s="2">
        <v>5</v>
      </c>
      <c r="N514" s="2" t="s">
        <v>1588</v>
      </c>
      <c r="O514" s="2" t="s">
        <v>27</v>
      </c>
      <c r="P514" s="3">
        <v>182790</v>
      </c>
      <c r="Q514" s="2"/>
      <c r="R514" s="2"/>
      <c r="S514" s="2" t="s">
        <v>28</v>
      </c>
      <c r="T514" s="2">
        <v>35.9</v>
      </c>
      <c r="U514" s="2" t="s">
        <v>29</v>
      </c>
      <c r="V514" s="2" t="s">
        <v>157</v>
      </c>
      <c r="W514" s="67" t="str">
        <f t="shared" ref="W514:W577" si="44">IF($O514&lt;&gt;"Converted","-",IF(ISNUMBER(SEARCH("Architect",$F514)),"Architect","Customer"))</f>
        <v>-</v>
      </c>
    </row>
    <row r="515" spans="1:23" x14ac:dyDescent="0.3">
      <c r="A515" s="4" t="s">
        <v>1589</v>
      </c>
      <c r="B515" s="4" t="s">
        <v>1590</v>
      </c>
      <c r="C515" s="4">
        <v>9184581329</v>
      </c>
      <c r="D515" s="4" t="s">
        <v>20</v>
      </c>
      <c r="E515" s="4" t="s">
        <v>648</v>
      </c>
      <c r="F515" s="4" t="s">
        <v>822</v>
      </c>
      <c r="G515" s="4" t="s">
        <v>35</v>
      </c>
      <c r="H515" s="4" t="s">
        <v>1444</v>
      </c>
      <c r="I515" s="2" t="str">
        <f t="shared" si="40"/>
        <v>Dec</v>
      </c>
      <c r="J515" s="2">
        <f t="shared" si="41"/>
        <v>12</v>
      </c>
      <c r="K515" s="2">
        <f t="shared" si="42"/>
        <v>2023</v>
      </c>
      <c r="L515" s="2">
        <f t="shared" si="43"/>
        <v>4</v>
      </c>
      <c r="M515" s="4">
        <v>2</v>
      </c>
      <c r="N515" s="4" t="s">
        <v>1477</v>
      </c>
      <c r="O515" s="4" t="s">
        <v>62</v>
      </c>
      <c r="P515" s="5">
        <v>313422</v>
      </c>
      <c r="Q515" s="4"/>
      <c r="R515" s="4"/>
      <c r="S515" s="4" t="s">
        <v>28</v>
      </c>
      <c r="T515" s="4">
        <v>33.700000000000003</v>
      </c>
      <c r="U515" s="4" t="s">
        <v>63</v>
      </c>
      <c r="V515" s="4" t="s">
        <v>260</v>
      </c>
      <c r="W515" s="67" t="str">
        <f t="shared" si="44"/>
        <v>-</v>
      </c>
    </row>
    <row r="516" spans="1:23" x14ac:dyDescent="0.3">
      <c r="A516" s="2" t="s">
        <v>1591</v>
      </c>
      <c r="B516" s="2" t="s">
        <v>1592</v>
      </c>
      <c r="C516" s="2">
        <v>9592658048</v>
      </c>
      <c r="D516" s="2" t="s">
        <v>59</v>
      </c>
      <c r="E516" s="2" t="s">
        <v>73</v>
      </c>
      <c r="F516" s="2" t="s">
        <v>74</v>
      </c>
      <c r="G516" s="2" t="s">
        <v>87</v>
      </c>
      <c r="H516" s="2" t="s">
        <v>1593</v>
      </c>
      <c r="I516" s="2" t="str">
        <f t="shared" si="40"/>
        <v>Dec</v>
      </c>
      <c r="J516" s="2">
        <f t="shared" si="41"/>
        <v>12</v>
      </c>
      <c r="K516" s="2">
        <f t="shared" si="42"/>
        <v>2023</v>
      </c>
      <c r="L516" s="2">
        <f t="shared" si="43"/>
        <v>4</v>
      </c>
      <c r="M516" s="2">
        <v>8</v>
      </c>
      <c r="N516" s="2" t="s">
        <v>1483</v>
      </c>
      <c r="O516" s="2" t="s">
        <v>45</v>
      </c>
      <c r="P516" s="3">
        <v>71874</v>
      </c>
      <c r="Q516" s="2"/>
      <c r="R516" s="2"/>
      <c r="S516" s="2" t="s">
        <v>5819</v>
      </c>
      <c r="T516" s="2">
        <v>60.3</v>
      </c>
      <c r="U516" s="2" t="s">
        <v>47</v>
      </c>
      <c r="V516" s="2" t="s">
        <v>48</v>
      </c>
      <c r="W516" s="67" t="str">
        <f t="shared" si="44"/>
        <v>-</v>
      </c>
    </row>
    <row r="517" spans="1:23" x14ac:dyDescent="0.3">
      <c r="A517" s="6" t="s">
        <v>1594</v>
      </c>
      <c r="B517" s="6" t="s">
        <v>1456</v>
      </c>
      <c r="C517" s="6">
        <v>9984836978</v>
      </c>
      <c r="D517" s="6" t="s">
        <v>59</v>
      </c>
      <c r="E517" s="6" t="s">
        <v>33</v>
      </c>
      <c r="F517" s="6" t="s">
        <v>201</v>
      </c>
      <c r="G517" s="6" t="s">
        <v>52</v>
      </c>
      <c r="H517" s="6" t="s">
        <v>1517</v>
      </c>
      <c r="I517" s="2" t="str">
        <f t="shared" si="40"/>
        <v>Jan</v>
      </c>
      <c r="J517" s="2">
        <f t="shared" si="41"/>
        <v>1</v>
      </c>
      <c r="K517" s="2">
        <f t="shared" si="42"/>
        <v>2024</v>
      </c>
      <c r="L517" s="2">
        <f t="shared" si="43"/>
        <v>1</v>
      </c>
      <c r="M517" s="6">
        <v>9</v>
      </c>
      <c r="N517" s="6" t="s">
        <v>1595</v>
      </c>
      <c r="O517" s="6" t="s">
        <v>97</v>
      </c>
      <c r="P517" s="7">
        <v>544415</v>
      </c>
      <c r="Q517" s="7">
        <v>482400</v>
      </c>
      <c r="R517" s="6" t="s">
        <v>1596</v>
      </c>
      <c r="S517" s="6" t="s">
        <v>28</v>
      </c>
      <c r="T517" s="6">
        <v>10.9</v>
      </c>
      <c r="U517" s="6" t="s">
        <v>63</v>
      </c>
      <c r="V517" s="6" t="s">
        <v>341</v>
      </c>
      <c r="W517" s="67" t="str">
        <f t="shared" si="44"/>
        <v>Customer</v>
      </c>
    </row>
    <row r="518" spans="1:23" x14ac:dyDescent="0.3">
      <c r="A518" s="6" t="s">
        <v>1597</v>
      </c>
      <c r="B518" s="6" t="s">
        <v>1598</v>
      </c>
      <c r="C518" s="6">
        <v>9127418311</v>
      </c>
      <c r="D518" s="6" t="s">
        <v>20</v>
      </c>
      <c r="E518" s="6" t="s">
        <v>41</v>
      </c>
      <c r="F518" s="6" t="s">
        <v>86</v>
      </c>
      <c r="G518" s="6" t="s">
        <v>1599</v>
      </c>
      <c r="H518" s="6" t="s">
        <v>1517</v>
      </c>
      <c r="I518" s="2" t="str">
        <f t="shared" si="40"/>
        <v>Jan</v>
      </c>
      <c r="J518" s="2">
        <f t="shared" si="41"/>
        <v>1</v>
      </c>
      <c r="K518" s="2">
        <f t="shared" si="42"/>
        <v>2024</v>
      </c>
      <c r="L518" s="2">
        <f t="shared" si="43"/>
        <v>1</v>
      </c>
      <c r="M518" s="6">
        <v>2</v>
      </c>
      <c r="N518" s="6" t="s">
        <v>1441</v>
      </c>
      <c r="O518" s="6" t="s">
        <v>97</v>
      </c>
      <c r="P518" s="7">
        <v>542468</v>
      </c>
      <c r="Q518" s="7">
        <v>484217</v>
      </c>
      <c r="R518" s="6" t="s">
        <v>1555</v>
      </c>
      <c r="S518" s="6" t="s">
        <v>28</v>
      </c>
      <c r="T518" s="6">
        <v>14.8</v>
      </c>
      <c r="U518" s="6" t="s">
        <v>47</v>
      </c>
      <c r="V518" s="6" t="s">
        <v>113</v>
      </c>
      <c r="W518" s="67" t="str">
        <f t="shared" si="44"/>
        <v>Customer</v>
      </c>
    </row>
    <row r="519" spans="1:23" x14ac:dyDescent="0.3">
      <c r="A519" s="6" t="s">
        <v>1600</v>
      </c>
      <c r="B519" s="6" t="s">
        <v>1601</v>
      </c>
      <c r="C519" s="6">
        <v>9902170256</v>
      </c>
      <c r="D519" s="6" t="s">
        <v>59</v>
      </c>
      <c r="E519" s="6" t="s">
        <v>109</v>
      </c>
      <c r="F519" s="6" t="s">
        <v>217</v>
      </c>
      <c r="G519" s="6" t="s">
        <v>52</v>
      </c>
      <c r="H519" s="6" t="s">
        <v>1517</v>
      </c>
      <c r="I519" s="2" t="str">
        <f t="shared" si="40"/>
        <v>Jan</v>
      </c>
      <c r="J519" s="2">
        <f t="shared" si="41"/>
        <v>1</v>
      </c>
      <c r="K519" s="2">
        <f t="shared" si="42"/>
        <v>2024</v>
      </c>
      <c r="L519" s="2">
        <f t="shared" si="43"/>
        <v>1</v>
      </c>
      <c r="M519" s="6">
        <v>12</v>
      </c>
      <c r="N519" s="6" t="s">
        <v>1602</v>
      </c>
      <c r="O519" s="6" t="s">
        <v>97</v>
      </c>
      <c r="P519" s="7">
        <v>201835</v>
      </c>
      <c r="Q519" s="7">
        <v>180446</v>
      </c>
      <c r="R519" s="6" t="s">
        <v>1603</v>
      </c>
      <c r="S519" s="6" t="s">
        <v>28</v>
      </c>
      <c r="T519" s="6">
        <v>44</v>
      </c>
      <c r="U519" s="6" t="s">
        <v>63</v>
      </c>
      <c r="V519" s="6" t="s">
        <v>286</v>
      </c>
      <c r="W519" s="67" t="str">
        <f t="shared" si="44"/>
        <v>Customer</v>
      </c>
    </row>
    <row r="520" spans="1:23" x14ac:dyDescent="0.3">
      <c r="A520" s="2" t="s">
        <v>1604</v>
      </c>
      <c r="B520" s="2" t="s">
        <v>1605</v>
      </c>
      <c r="C520" s="2">
        <v>9269988928</v>
      </c>
      <c r="D520" s="2" t="s">
        <v>59</v>
      </c>
      <c r="E520" s="2" t="s">
        <v>648</v>
      </c>
      <c r="F520" s="2" t="s">
        <v>656</v>
      </c>
      <c r="G520" s="2" t="s">
        <v>87</v>
      </c>
      <c r="H520" s="2" t="s">
        <v>1517</v>
      </c>
      <c r="I520" s="2" t="str">
        <f t="shared" si="40"/>
        <v>Jan</v>
      </c>
      <c r="J520" s="2">
        <f t="shared" si="41"/>
        <v>1</v>
      </c>
      <c r="K520" s="2">
        <f t="shared" si="42"/>
        <v>2024</v>
      </c>
      <c r="L520" s="2">
        <f t="shared" si="43"/>
        <v>1</v>
      </c>
      <c r="M520" s="2">
        <v>7</v>
      </c>
      <c r="N520" s="2" t="s">
        <v>1606</v>
      </c>
      <c r="O520" s="2" t="s">
        <v>45</v>
      </c>
      <c r="P520" s="3">
        <v>254709</v>
      </c>
      <c r="Q520" s="2"/>
      <c r="R520" s="2"/>
      <c r="S520" s="2" t="s">
        <v>5819</v>
      </c>
      <c r="T520" s="2">
        <v>43.6</v>
      </c>
      <c r="U520" s="2" t="s">
        <v>63</v>
      </c>
      <c r="V520" s="2"/>
      <c r="W520" s="67" t="str">
        <f t="shared" si="44"/>
        <v>-</v>
      </c>
    </row>
    <row r="521" spans="1:23" x14ac:dyDescent="0.3">
      <c r="A521" s="6" t="s">
        <v>1607</v>
      </c>
      <c r="B521" s="6" t="s">
        <v>1608</v>
      </c>
      <c r="C521" s="6">
        <v>9115171420</v>
      </c>
      <c r="D521" s="6" t="s">
        <v>59</v>
      </c>
      <c r="E521" s="6" t="s">
        <v>41</v>
      </c>
      <c r="F521" s="6" t="s">
        <v>151</v>
      </c>
      <c r="G521" s="6" t="s">
        <v>1609</v>
      </c>
      <c r="H521" s="6" t="s">
        <v>1517</v>
      </c>
      <c r="I521" s="2" t="str">
        <f t="shared" si="40"/>
        <v>Jan</v>
      </c>
      <c r="J521" s="2">
        <f t="shared" si="41"/>
        <v>1</v>
      </c>
      <c r="K521" s="2">
        <f t="shared" si="42"/>
        <v>2024</v>
      </c>
      <c r="L521" s="2">
        <f t="shared" si="43"/>
        <v>1</v>
      </c>
      <c r="M521" s="6">
        <v>2</v>
      </c>
      <c r="N521" s="6" t="s">
        <v>1610</v>
      </c>
      <c r="O521" s="6" t="s">
        <v>97</v>
      </c>
      <c r="P521" s="7">
        <v>505314</v>
      </c>
      <c r="Q521" s="7">
        <v>449510</v>
      </c>
      <c r="R521" s="6" t="s">
        <v>1611</v>
      </c>
      <c r="S521" s="6" t="s">
        <v>5819</v>
      </c>
      <c r="T521" s="6">
        <v>30.4</v>
      </c>
      <c r="U521" s="6" t="s">
        <v>63</v>
      </c>
      <c r="V521" s="6" t="s">
        <v>99</v>
      </c>
      <c r="W521" s="67" t="str">
        <f t="shared" si="44"/>
        <v>Architect</v>
      </c>
    </row>
    <row r="522" spans="1:23" x14ac:dyDescent="0.3">
      <c r="A522" s="6" t="s">
        <v>1612</v>
      </c>
      <c r="B522" s="6" t="s">
        <v>1613</v>
      </c>
      <c r="C522" s="6">
        <v>9291907920</v>
      </c>
      <c r="D522" s="6" t="s">
        <v>108</v>
      </c>
      <c r="E522" s="6" t="s">
        <v>641</v>
      </c>
      <c r="F522" s="6" t="s">
        <v>717</v>
      </c>
      <c r="G522" s="6" t="s">
        <v>87</v>
      </c>
      <c r="H522" s="6" t="s">
        <v>1469</v>
      </c>
      <c r="I522" s="2" t="str">
        <f t="shared" si="40"/>
        <v>Jan</v>
      </c>
      <c r="J522" s="2">
        <f t="shared" si="41"/>
        <v>1</v>
      </c>
      <c r="K522" s="2">
        <f t="shared" si="42"/>
        <v>2024</v>
      </c>
      <c r="L522" s="2">
        <f t="shared" si="43"/>
        <v>1</v>
      </c>
      <c r="M522" s="6">
        <v>6</v>
      </c>
      <c r="N522" s="6" t="s">
        <v>1614</v>
      </c>
      <c r="O522" s="6" t="s">
        <v>97</v>
      </c>
      <c r="P522" s="7">
        <v>309911</v>
      </c>
      <c r="Q522" s="7">
        <v>280684</v>
      </c>
      <c r="R522" s="6" t="s">
        <v>1580</v>
      </c>
      <c r="S522" s="6" t="s">
        <v>28</v>
      </c>
      <c r="T522" s="6">
        <v>33.299999999999997</v>
      </c>
      <c r="U522" s="6" t="s">
        <v>47</v>
      </c>
      <c r="V522" s="6" t="s">
        <v>465</v>
      </c>
      <c r="W522" s="67" t="str">
        <f t="shared" si="44"/>
        <v>Customer</v>
      </c>
    </row>
    <row r="523" spans="1:23" x14ac:dyDescent="0.3">
      <c r="A523" s="4" t="s">
        <v>1615</v>
      </c>
      <c r="B523" s="4" t="s">
        <v>1616</v>
      </c>
      <c r="C523" s="4">
        <v>9873032900</v>
      </c>
      <c r="D523" s="4" t="s">
        <v>59</v>
      </c>
      <c r="E523" s="4" t="s">
        <v>21</v>
      </c>
      <c r="F523" s="4" t="s">
        <v>230</v>
      </c>
      <c r="G523" s="4" t="s">
        <v>643</v>
      </c>
      <c r="H523" s="4" t="s">
        <v>1469</v>
      </c>
      <c r="I523" s="2" t="str">
        <f t="shared" si="40"/>
        <v>Jan</v>
      </c>
      <c r="J523" s="2">
        <f t="shared" si="41"/>
        <v>1</v>
      </c>
      <c r="K523" s="2">
        <f t="shared" si="42"/>
        <v>2024</v>
      </c>
      <c r="L523" s="2">
        <f t="shared" si="43"/>
        <v>1</v>
      </c>
      <c r="M523" s="4">
        <v>4</v>
      </c>
      <c r="N523" s="4" t="s">
        <v>1405</v>
      </c>
      <c r="O523" s="4" t="s">
        <v>45</v>
      </c>
      <c r="P523" s="5">
        <v>959948</v>
      </c>
      <c r="Q523" s="4"/>
      <c r="R523" s="4"/>
      <c r="S523" s="4" t="s">
        <v>28</v>
      </c>
      <c r="T523" s="4">
        <v>20.7</v>
      </c>
      <c r="U523" s="4" t="s">
        <v>29</v>
      </c>
      <c r="V523" s="4" t="s">
        <v>589</v>
      </c>
      <c r="W523" s="67" t="str">
        <f t="shared" si="44"/>
        <v>-</v>
      </c>
    </row>
    <row r="524" spans="1:23" x14ac:dyDescent="0.3">
      <c r="A524" s="2" t="s">
        <v>1617</v>
      </c>
      <c r="B524" s="2" t="s">
        <v>1618</v>
      </c>
      <c r="C524" s="2">
        <v>9225010851</v>
      </c>
      <c r="D524" s="2" t="s">
        <v>121</v>
      </c>
      <c r="E524" s="2" t="s">
        <v>73</v>
      </c>
      <c r="F524" s="2" t="s">
        <v>74</v>
      </c>
      <c r="G524" s="2" t="s">
        <v>1599</v>
      </c>
      <c r="H524" s="2" t="s">
        <v>1469</v>
      </c>
      <c r="I524" s="2" t="str">
        <f t="shared" si="40"/>
        <v>Jan</v>
      </c>
      <c r="J524" s="2">
        <f t="shared" si="41"/>
        <v>1</v>
      </c>
      <c r="K524" s="2">
        <f t="shared" si="42"/>
        <v>2024</v>
      </c>
      <c r="L524" s="2">
        <f t="shared" si="43"/>
        <v>1</v>
      </c>
      <c r="M524" s="2">
        <v>2</v>
      </c>
      <c r="N524" s="2" t="s">
        <v>1425</v>
      </c>
      <c r="O524" s="2" t="s">
        <v>27</v>
      </c>
      <c r="P524" s="3">
        <v>909205</v>
      </c>
      <c r="Q524" s="2"/>
      <c r="R524" s="2"/>
      <c r="S524" s="2" t="s">
        <v>1063</v>
      </c>
      <c r="T524" s="2">
        <v>20.9</v>
      </c>
      <c r="U524" s="2" t="s">
        <v>29</v>
      </c>
      <c r="V524" s="2" t="s">
        <v>38</v>
      </c>
      <c r="W524" s="67" t="str">
        <f t="shared" si="44"/>
        <v>-</v>
      </c>
    </row>
    <row r="525" spans="1:23" x14ac:dyDescent="0.3">
      <c r="A525" s="4" t="s">
        <v>1619</v>
      </c>
      <c r="B525" s="4" t="s">
        <v>1620</v>
      </c>
      <c r="C525" s="4">
        <v>9358227947</v>
      </c>
      <c r="D525" s="4" t="s">
        <v>121</v>
      </c>
      <c r="E525" s="4" t="s">
        <v>73</v>
      </c>
      <c r="F525" s="4" t="s">
        <v>74</v>
      </c>
      <c r="G525" s="4" t="s">
        <v>1621</v>
      </c>
      <c r="H525" s="4" t="s">
        <v>1544</v>
      </c>
      <c r="I525" s="2" t="str">
        <f t="shared" si="40"/>
        <v>Jan</v>
      </c>
      <c r="J525" s="2">
        <f t="shared" si="41"/>
        <v>1</v>
      </c>
      <c r="K525" s="2">
        <f t="shared" si="42"/>
        <v>2024</v>
      </c>
      <c r="L525" s="2">
        <f t="shared" si="43"/>
        <v>1</v>
      </c>
      <c r="M525" s="4">
        <v>12</v>
      </c>
      <c r="N525" s="4" t="s">
        <v>1596</v>
      </c>
      <c r="O525" s="4" t="s">
        <v>27</v>
      </c>
      <c r="P525" s="5">
        <v>593015</v>
      </c>
      <c r="Q525" s="4"/>
      <c r="R525" s="4"/>
      <c r="S525" s="4" t="s">
        <v>28</v>
      </c>
      <c r="T525" s="4">
        <v>38</v>
      </c>
      <c r="U525" s="4" t="s">
        <v>29</v>
      </c>
      <c r="V525" s="4" t="s">
        <v>153</v>
      </c>
      <c r="W525" s="67" t="str">
        <f t="shared" si="44"/>
        <v>-</v>
      </c>
    </row>
    <row r="526" spans="1:23" x14ac:dyDescent="0.3">
      <c r="A526" s="6" t="s">
        <v>1622</v>
      </c>
      <c r="B526" s="6" t="s">
        <v>32</v>
      </c>
      <c r="C526" s="6">
        <v>9831100711</v>
      </c>
      <c r="D526" s="6" t="s">
        <v>20</v>
      </c>
      <c r="E526" s="6" t="s">
        <v>73</v>
      </c>
      <c r="F526" s="6" t="s">
        <v>74</v>
      </c>
      <c r="G526" s="6" t="s">
        <v>1623</v>
      </c>
      <c r="H526" s="6" t="s">
        <v>1544</v>
      </c>
      <c r="I526" s="2" t="str">
        <f t="shared" si="40"/>
        <v>Jan</v>
      </c>
      <c r="J526" s="2">
        <f t="shared" si="41"/>
        <v>1</v>
      </c>
      <c r="K526" s="2">
        <f t="shared" si="42"/>
        <v>2024</v>
      </c>
      <c r="L526" s="2">
        <f t="shared" si="43"/>
        <v>1</v>
      </c>
      <c r="M526" s="6">
        <v>10</v>
      </c>
      <c r="N526" s="6" t="s">
        <v>1573</v>
      </c>
      <c r="O526" s="6" t="s">
        <v>97</v>
      </c>
      <c r="P526" s="7">
        <v>349503</v>
      </c>
      <c r="Q526" s="7">
        <v>332437</v>
      </c>
      <c r="R526" s="6" t="s">
        <v>1624</v>
      </c>
      <c r="S526" s="6" t="s">
        <v>1063</v>
      </c>
      <c r="T526" s="6">
        <v>38.1</v>
      </c>
      <c r="U526" s="6" t="s">
        <v>63</v>
      </c>
      <c r="V526" s="6" t="s">
        <v>99</v>
      </c>
      <c r="W526" s="67" t="str">
        <f t="shared" si="44"/>
        <v>Customer</v>
      </c>
    </row>
    <row r="527" spans="1:23" x14ac:dyDescent="0.3">
      <c r="A527" s="4" t="s">
        <v>1625</v>
      </c>
      <c r="B527" s="4" t="s">
        <v>1626</v>
      </c>
      <c r="C527" s="4">
        <v>9134654722</v>
      </c>
      <c r="D527" s="4" t="s">
        <v>108</v>
      </c>
      <c r="E527" s="4" t="s">
        <v>641</v>
      </c>
      <c r="F527" s="4" t="s">
        <v>681</v>
      </c>
      <c r="G527" s="4" t="s">
        <v>1599</v>
      </c>
      <c r="H527" s="4" t="s">
        <v>1544</v>
      </c>
      <c r="I527" s="2" t="str">
        <f t="shared" si="40"/>
        <v>Jan</v>
      </c>
      <c r="J527" s="2">
        <f t="shared" si="41"/>
        <v>1</v>
      </c>
      <c r="K527" s="2">
        <f t="shared" si="42"/>
        <v>2024</v>
      </c>
      <c r="L527" s="2">
        <f t="shared" si="43"/>
        <v>1</v>
      </c>
      <c r="M527" s="4">
        <v>9</v>
      </c>
      <c r="N527" s="4" t="s">
        <v>1627</v>
      </c>
      <c r="O527" s="4" t="s">
        <v>62</v>
      </c>
      <c r="P527" s="5">
        <v>488737</v>
      </c>
      <c r="Q527" s="4"/>
      <c r="R527" s="4"/>
      <c r="S527" s="4" t="s">
        <v>5819</v>
      </c>
      <c r="T527" s="4">
        <v>33.799999999999997</v>
      </c>
      <c r="U527" s="4" t="s">
        <v>63</v>
      </c>
      <c r="V527" s="4" t="s">
        <v>535</v>
      </c>
      <c r="W527" s="67" t="str">
        <f t="shared" si="44"/>
        <v>-</v>
      </c>
    </row>
    <row r="528" spans="1:23" x14ac:dyDescent="0.3">
      <c r="A528" s="2" t="s">
        <v>1628</v>
      </c>
      <c r="B528" s="2" t="s">
        <v>1629</v>
      </c>
      <c r="C528" s="2">
        <v>9823814870</v>
      </c>
      <c r="D528" s="2" t="s">
        <v>20</v>
      </c>
      <c r="E528" s="2" t="s">
        <v>41</v>
      </c>
      <c r="F528" s="2" t="s">
        <v>92</v>
      </c>
      <c r="G528" s="2" t="s">
        <v>1599</v>
      </c>
      <c r="H528" s="2" t="s">
        <v>1544</v>
      </c>
      <c r="I528" s="2" t="str">
        <f t="shared" si="40"/>
        <v>Jan</v>
      </c>
      <c r="J528" s="2">
        <f t="shared" si="41"/>
        <v>1</v>
      </c>
      <c r="K528" s="2">
        <f t="shared" si="42"/>
        <v>2024</v>
      </c>
      <c r="L528" s="2">
        <f t="shared" si="43"/>
        <v>1</v>
      </c>
      <c r="M528" s="2">
        <v>8</v>
      </c>
      <c r="N528" s="2" t="s">
        <v>1575</v>
      </c>
      <c r="O528" s="2" t="s">
        <v>62</v>
      </c>
      <c r="P528" s="3">
        <v>640315</v>
      </c>
      <c r="Q528" s="2"/>
      <c r="R528" s="2"/>
      <c r="S528" s="2" t="s">
        <v>28</v>
      </c>
      <c r="T528" s="2">
        <v>11.8</v>
      </c>
      <c r="U528" s="2" t="s">
        <v>47</v>
      </c>
      <c r="V528" s="2" t="s">
        <v>77</v>
      </c>
      <c r="W528" s="67" t="str">
        <f t="shared" si="44"/>
        <v>-</v>
      </c>
    </row>
    <row r="529" spans="1:23" x14ac:dyDescent="0.3">
      <c r="A529" s="6" t="s">
        <v>1630</v>
      </c>
      <c r="B529" s="6" t="s">
        <v>1631</v>
      </c>
      <c r="C529" s="6">
        <v>9306476061</v>
      </c>
      <c r="D529" s="6" t="s">
        <v>20</v>
      </c>
      <c r="E529" s="6" t="s">
        <v>1632</v>
      </c>
      <c r="F529" s="6" t="s">
        <v>1633</v>
      </c>
      <c r="G529" s="6" t="s">
        <v>643</v>
      </c>
      <c r="H529" s="6" t="s">
        <v>1511</v>
      </c>
      <c r="I529" s="2" t="str">
        <f t="shared" si="40"/>
        <v>Jan</v>
      </c>
      <c r="J529" s="2">
        <f t="shared" si="41"/>
        <v>1</v>
      </c>
      <c r="K529" s="2">
        <f t="shared" si="42"/>
        <v>2024</v>
      </c>
      <c r="L529" s="2">
        <f t="shared" si="43"/>
        <v>1</v>
      </c>
      <c r="M529" s="6">
        <v>3</v>
      </c>
      <c r="N529" s="6" t="s">
        <v>1634</v>
      </c>
      <c r="O529" s="6" t="s">
        <v>97</v>
      </c>
      <c r="P529" s="7">
        <v>887060</v>
      </c>
      <c r="Q529" s="7">
        <v>894768</v>
      </c>
      <c r="R529" s="6" t="s">
        <v>1635</v>
      </c>
      <c r="S529" s="6" t="s">
        <v>5819</v>
      </c>
      <c r="T529" s="6">
        <v>24.1</v>
      </c>
      <c r="U529" s="6" t="s">
        <v>63</v>
      </c>
      <c r="V529" s="6" t="s">
        <v>170</v>
      </c>
      <c r="W529" s="67" t="str">
        <f t="shared" si="44"/>
        <v>Customer</v>
      </c>
    </row>
    <row r="530" spans="1:23" x14ac:dyDescent="0.3">
      <c r="A530" s="6" t="s">
        <v>1636</v>
      </c>
      <c r="B530" s="6" t="s">
        <v>1637</v>
      </c>
      <c r="C530" s="6">
        <v>9487611538</v>
      </c>
      <c r="D530" s="6" t="s">
        <v>59</v>
      </c>
      <c r="E530" s="6" t="s">
        <v>648</v>
      </c>
      <c r="F530" s="6" t="s">
        <v>822</v>
      </c>
      <c r="G530" s="6" t="s">
        <v>643</v>
      </c>
      <c r="H530" s="6" t="s">
        <v>1511</v>
      </c>
      <c r="I530" s="2" t="str">
        <f t="shared" si="40"/>
        <v>Jan</v>
      </c>
      <c r="J530" s="2">
        <f t="shared" si="41"/>
        <v>1</v>
      </c>
      <c r="K530" s="2">
        <f t="shared" si="42"/>
        <v>2024</v>
      </c>
      <c r="L530" s="2">
        <f t="shared" si="43"/>
        <v>1</v>
      </c>
      <c r="M530" s="6">
        <v>8</v>
      </c>
      <c r="N530" s="6" t="s">
        <v>1575</v>
      </c>
      <c r="O530" s="6" t="s">
        <v>97</v>
      </c>
      <c r="P530" s="7">
        <v>993376</v>
      </c>
      <c r="Q530" s="7">
        <v>964931</v>
      </c>
      <c r="R530" s="6" t="s">
        <v>1638</v>
      </c>
      <c r="S530" s="6" t="s">
        <v>5819</v>
      </c>
      <c r="T530" s="6">
        <v>20.9</v>
      </c>
      <c r="U530" s="6" t="s">
        <v>63</v>
      </c>
      <c r="V530" s="6" t="s">
        <v>465</v>
      </c>
      <c r="W530" s="67" t="str">
        <f t="shared" si="44"/>
        <v>Customer</v>
      </c>
    </row>
    <row r="531" spans="1:23" x14ac:dyDescent="0.3">
      <c r="A531" s="4" t="s">
        <v>1639</v>
      </c>
      <c r="B531" s="4" t="s">
        <v>1367</v>
      </c>
      <c r="C531" s="4"/>
      <c r="D531" s="4" t="s">
        <v>20</v>
      </c>
      <c r="E531" s="4" t="s">
        <v>67</v>
      </c>
      <c r="F531" s="4" t="s">
        <v>68</v>
      </c>
      <c r="G531" s="4" t="s">
        <v>35</v>
      </c>
      <c r="H531" s="4" t="s">
        <v>1511</v>
      </c>
      <c r="I531" s="2" t="str">
        <f t="shared" si="40"/>
        <v>Jan</v>
      </c>
      <c r="J531" s="2">
        <f t="shared" si="41"/>
        <v>1</v>
      </c>
      <c r="K531" s="2">
        <f t="shared" si="42"/>
        <v>2024</v>
      </c>
      <c r="L531" s="2">
        <f t="shared" si="43"/>
        <v>1</v>
      </c>
      <c r="M531" s="4">
        <v>7</v>
      </c>
      <c r="N531" s="4" t="s">
        <v>1555</v>
      </c>
      <c r="O531" s="4" t="s">
        <v>27</v>
      </c>
      <c r="P531" s="5">
        <v>364783</v>
      </c>
      <c r="Q531" s="4"/>
      <c r="R531" s="4"/>
      <c r="S531" s="4" t="s">
        <v>5819</v>
      </c>
      <c r="T531" s="4">
        <v>10.3</v>
      </c>
      <c r="U531" s="4" t="s">
        <v>29</v>
      </c>
      <c r="V531" s="4" t="s">
        <v>439</v>
      </c>
      <c r="W531" s="67" t="str">
        <f t="shared" si="44"/>
        <v>-</v>
      </c>
    </row>
    <row r="532" spans="1:23" x14ac:dyDescent="0.3">
      <c r="A532" s="2" t="s">
        <v>1640</v>
      </c>
      <c r="B532" s="2" t="s">
        <v>579</v>
      </c>
      <c r="C532" s="2">
        <v>9100038346</v>
      </c>
      <c r="D532" s="2" t="s">
        <v>20</v>
      </c>
      <c r="E532" s="2" t="s">
        <v>109</v>
      </c>
      <c r="F532" s="2" t="s">
        <v>331</v>
      </c>
      <c r="G532" s="2" t="s">
        <v>1609</v>
      </c>
      <c r="H532" s="2" t="s">
        <v>1477</v>
      </c>
      <c r="I532" s="2" t="str">
        <f t="shared" si="40"/>
        <v>Jan</v>
      </c>
      <c r="J532" s="2">
        <f t="shared" si="41"/>
        <v>1</v>
      </c>
      <c r="K532" s="2">
        <f t="shared" si="42"/>
        <v>2024</v>
      </c>
      <c r="L532" s="2">
        <f t="shared" si="43"/>
        <v>1</v>
      </c>
      <c r="M532" s="2">
        <v>9</v>
      </c>
      <c r="N532" s="2" t="s">
        <v>1641</v>
      </c>
      <c r="O532" s="2" t="s">
        <v>62</v>
      </c>
      <c r="P532" s="3">
        <v>190140</v>
      </c>
      <c r="Q532" s="2"/>
      <c r="R532" s="2"/>
      <c r="S532" s="2" t="s">
        <v>28</v>
      </c>
      <c r="T532" s="2">
        <v>1.3</v>
      </c>
      <c r="U532" s="2" t="s">
        <v>29</v>
      </c>
      <c r="V532" s="2" t="s">
        <v>613</v>
      </c>
      <c r="W532" s="67" t="str">
        <f t="shared" si="44"/>
        <v>-</v>
      </c>
    </row>
    <row r="533" spans="1:23" x14ac:dyDescent="0.3">
      <c r="A533" s="4" t="s">
        <v>1642</v>
      </c>
      <c r="B533" s="4" t="s">
        <v>1643</v>
      </c>
      <c r="C533" s="4">
        <v>9839805543</v>
      </c>
      <c r="D533" s="4" t="s">
        <v>121</v>
      </c>
      <c r="E533" s="4" t="s">
        <v>41</v>
      </c>
      <c r="F533" s="4" t="s">
        <v>42</v>
      </c>
      <c r="G533" s="4" t="s">
        <v>1621</v>
      </c>
      <c r="H533" s="4" t="s">
        <v>1477</v>
      </c>
      <c r="I533" s="2" t="str">
        <f t="shared" si="40"/>
        <v>Jan</v>
      </c>
      <c r="J533" s="2">
        <f t="shared" si="41"/>
        <v>1</v>
      </c>
      <c r="K533" s="2">
        <f t="shared" si="42"/>
        <v>2024</v>
      </c>
      <c r="L533" s="2">
        <f t="shared" si="43"/>
        <v>1</v>
      </c>
      <c r="M533" s="4">
        <v>11</v>
      </c>
      <c r="N533" s="4" t="s">
        <v>1627</v>
      </c>
      <c r="O533" s="4" t="s">
        <v>27</v>
      </c>
      <c r="P533" s="5">
        <v>348260</v>
      </c>
      <c r="Q533" s="4"/>
      <c r="R533" s="4"/>
      <c r="S533" s="4" t="s">
        <v>28</v>
      </c>
      <c r="T533" s="4">
        <v>12.8</v>
      </c>
      <c r="U533" s="4" t="s">
        <v>29</v>
      </c>
      <c r="V533" s="4"/>
      <c r="W533" s="67" t="str">
        <f t="shared" si="44"/>
        <v>-</v>
      </c>
    </row>
    <row r="534" spans="1:23" x14ac:dyDescent="0.3">
      <c r="A534" s="6" t="s">
        <v>1644</v>
      </c>
      <c r="B534" s="6" t="s">
        <v>1076</v>
      </c>
      <c r="C534" s="6">
        <v>9507365179</v>
      </c>
      <c r="D534" s="6" t="s">
        <v>108</v>
      </c>
      <c r="E534" s="6" t="s">
        <v>41</v>
      </c>
      <c r="F534" s="6" t="s">
        <v>92</v>
      </c>
      <c r="G534" s="6" t="s">
        <v>1623</v>
      </c>
      <c r="H534" s="6" t="s">
        <v>1477</v>
      </c>
      <c r="I534" s="2" t="str">
        <f t="shared" si="40"/>
        <v>Jan</v>
      </c>
      <c r="J534" s="2">
        <f t="shared" si="41"/>
        <v>1</v>
      </c>
      <c r="K534" s="2">
        <f t="shared" si="42"/>
        <v>2024</v>
      </c>
      <c r="L534" s="2">
        <f t="shared" si="43"/>
        <v>1</v>
      </c>
      <c r="M534" s="6">
        <v>0</v>
      </c>
      <c r="N534" s="6" t="s">
        <v>1565</v>
      </c>
      <c r="O534" s="6" t="s">
        <v>97</v>
      </c>
      <c r="P534" s="7">
        <v>387852</v>
      </c>
      <c r="Q534" s="7">
        <v>386439</v>
      </c>
      <c r="R534" s="6" t="s">
        <v>1566</v>
      </c>
      <c r="S534" s="6" t="s">
        <v>28</v>
      </c>
      <c r="T534" s="6">
        <v>23.4</v>
      </c>
      <c r="U534" s="6" t="s">
        <v>63</v>
      </c>
      <c r="V534" s="6" t="s">
        <v>99</v>
      </c>
      <c r="W534" s="67" t="str">
        <f t="shared" si="44"/>
        <v>Customer</v>
      </c>
    </row>
    <row r="535" spans="1:23" x14ac:dyDescent="0.3">
      <c r="A535" s="4" t="s">
        <v>1645</v>
      </c>
      <c r="B535" s="4" t="s">
        <v>1646</v>
      </c>
      <c r="C535" s="4">
        <v>9867812836</v>
      </c>
      <c r="D535" s="4" t="s">
        <v>20</v>
      </c>
      <c r="E535" s="4" t="s">
        <v>73</v>
      </c>
      <c r="F535" s="4" t="s">
        <v>74</v>
      </c>
      <c r="G535" s="4" t="s">
        <v>87</v>
      </c>
      <c r="H535" s="4" t="s">
        <v>1480</v>
      </c>
      <c r="I535" s="2" t="str">
        <f t="shared" si="40"/>
        <v>Jan</v>
      </c>
      <c r="J535" s="2">
        <f t="shared" si="41"/>
        <v>1</v>
      </c>
      <c r="K535" s="2">
        <f t="shared" si="42"/>
        <v>2024</v>
      </c>
      <c r="L535" s="2">
        <f t="shared" si="43"/>
        <v>1</v>
      </c>
      <c r="M535" s="4">
        <v>11</v>
      </c>
      <c r="N535" s="4" t="s">
        <v>1647</v>
      </c>
      <c r="O535" s="4" t="s">
        <v>62</v>
      </c>
      <c r="P535" s="5">
        <v>261628</v>
      </c>
      <c r="Q535" s="4"/>
      <c r="R535" s="4"/>
      <c r="S535" s="4" t="s">
        <v>5819</v>
      </c>
      <c r="T535" s="4">
        <v>22.8</v>
      </c>
      <c r="U535" s="4" t="s">
        <v>63</v>
      </c>
      <c r="V535" s="4" t="s">
        <v>668</v>
      </c>
      <c r="W535" s="67" t="str">
        <f t="shared" si="44"/>
        <v>-</v>
      </c>
    </row>
    <row r="536" spans="1:23" x14ac:dyDescent="0.3">
      <c r="A536" s="2" t="s">
        <v>1648</v>
      </c>
      <c r="B536" s="2" t="s">
        <v>1649</v>
      </c>
      <c r="C536" s="2">
        <v>9552836541</v>
      </c>
      <c r="D536" s="2" t="s">
        <v>20</v>
      </c>
      <c r="E536" s="2" t="s">
        <v>33</v>
      </c>
      <c r="F536" s="2" t="s">
        <v>34</v>
      </c>
      <c r="G536" s="2" t="s">
        <v>60</v>
      </c>
      <c r="H536" s="2" t="s">
        <v>1565</v>
      </c>
      <c r="I536" s="2" t="str">
        <f t="shared" si="40"/>
        <v>Jan</v>
      </c>
      <c r="J536" s="2">
        <f t="shared" si="41"/>
        <v>1</v>
      </c>
      <c r="K536" s="2">
        <f t="shared" si="42"/>
        <v>2024</v>
      </c>
      <c r="L536" s="2">
        <f t="shared" si="43"/>
        <v>1</v>
      </c>
      <c r="M536" s="2">
        <v>10</v>
      </c>
      <c r="N536" s="2" t="s">
        <v>1650</v>
      </c>
      <c r="O536" s="2" t="s">
        <v>27</v>
      </c>
      <c r="P536" s="3">
        <v>140534</v>
      </c>
      <c r="Q536" s="2"/>
      <c r="R536" s="2"/>
      <c r="S536" s="2" t="s">
        <v>5819</v>
      </c>
      <c r="T536" s="2">
        <v>14.4</v>
      </c>
      <c r="U536" s="2" t="s">
        <v>29</v>
      </c>
      <c r="V536" s="2" t="s">
        <v>118</v>
      </c>
      <c r="W536" s="67" t="str">
        <f t="shared" si="44"/>
        <v>-</v>
      </c>
    </row>
    <row r="537" spans="1:23" x14ac:dyDescent="0.3">
      <c r="A537" s="6" t="s">
        <v>1651</v>
      </c>
      <c r="B537" s="6" t="s">
        <v>1652</v>
      </c>
      <c r="C537" s="6">
        <v>9577626860</v>
      </c>
      <c r="D537" s="6" t="s">
        <v>20</v>
      </c>
      <c r="E537" s="6" t="s">
        <v>648</v>
      </c>
      <c r="F537" s="6" t="s">
        <v>649</v>
      </c>
      <c r="G537" s="6" t="s">
        <v>616</v>
      </c>
      <c r="H537" s="6" t="s">
        <v>1565</v>
      </c>
      <c r="I537" s="2" t="str">
        <f t="shared" si="40"/>
        <v>Jan</v>
      </c>
      <c r="J537" s="2">
        <f t="shared" si="41"/>
        <v>1</v>
      </c>
      <c r="K537" s="2">
        <f t="shared" si="42"/>
        <v>2024</v>
      </c>
      <c r="L537" s="2">
        <f t="shared" si="43"/>
        <v>1</v>
      </c>
      <c r="M537" s="6">
        <v>5</v>
      </c>
      <c r="N537" s="6" t="s">
        <v>1611</v>
      </c>
      <c r="O537" s="6" t="s">
        <v>97</v>
      </c>
      <c r="P537" s="7">
        <v>211984</v>
      </c>
      <c r="Q537" s="7">
        <v>199698</v>
      </c>
      <c r="R537" s="6" t="s">
        <v>1538</v>
      </c>
      <c r="S537" s="6" t="s">
        <v>5819</v>
      </c>
      <c r="T537" s="6">
        <v>24</v>
      </c>
      <c r="U537" s="6" t="s">
        <v>63</v>
      </c>
      <c r="V537" s="6" t="s">
        <v>295</v>
      </c>
      <c r="W537" s="67" t="str">
        <f t="shared" si="44"/>
        <v>Customer</v>
      </c>
    </row>
    <row r="538" spans="1:23" x14ac:dyDescent="0.3">
      <c r="A538" s="2" t="s">
        <v>1653</v>
      </c>
      <c r="B538" s="2" t="s">
        <v>1487</v>
      </c>
      <c r="C538" s="2">
        <v>9712425712</v>
      </c>
      <c r="D538" s="2" t="s">
        <v>108</v>
      </c>
      <c r="E538" s="2" t="s">
        <v>33</v>
      </c>
      <c r="F538" s="2" t="s">
        <v>34</v>
      </c>
      <c r="G538" s="2" t="s">
        <v>1609</v>
      </c>
      <c r="H538" s="2" t="s">
        <v>1583</v>
      </c>
      <c r="I538" s="2" t="str">
        <f t="shared" si="40"/>
        <v>Jan</v>
      </c>
      <c r="J538" s="2">
        <f t="shared" si="41"/>
        <v>1</v>
      </c>
      <c r="K538" s="2">
        <f t="shared" si="42"/>
        <v>2024</v>
      </c>
      <c r="L538" s="2">
        <f t="shared" si="43"/>
        <v>1</v>
      </c>
      <c r="M538" s="2">
        <v>8</v>
      </c>
      <c r="N538" s="2" t="s">
        <v>1537</v>
      </c>
      <c r="O538" s="2" t="s">
        <v>27</v>
      </c>
      <c r="P538" s="3">
        <v>288498</v>
      </c>
      <c r="Q538" s="2"/>
      <c r="R538" s="2"/>
      <c r="S538" s="2" t="s">
        <v>28</v>
      </c>
      <c r="T538" s="2">
        <v>24.8</v>
      </c>
      <c r="U538" s="2" t="s">
        <v>47</v>
      </c>
      <c r="V538" s="2" t="s">
        <v>105</v>
      </c>
      <c r="W538" s="67" t="str">
        <f t="shared" si="44"/>
        <v>-</v>
      </c>
    </row>
    <row r="539" spans="1:23" x14ac:dyDescent="0.3">
      <c r="A539" s="4" t="s">
        <v>1654</v>
      </c>
      <c r="B539" s="4" t="s">
        <v>1655</v>
      </c>
      <c r="C539" s="4">
        <v>9929326555</v>
      </c>
      <c r="D539" s="4" t="s">
        <v>20</v>
      </c>
      <c r="E539" s="4" t="s">
        <v>67</v>
      </c>
      <c r="F539" s="4" t="s">
        <v>68</v>
      </c>
      <c r="G539" s="4" t="s">
        <v>1599</v>
      </c>
      <c r="H539" s="4" t="s">
        <v>1583</v>
      </c>
      <c r="I539" s="2" t="str">
        <f t="shared" si="40"/>
        <v>Jan</v>
      </c>
      <c r="J539" s="2">
        <f t="shared" si="41"/>
        <v>1</v>
      </c>
      <c r="K539" s="2">
        <f t="shared" si="42"/>
        <v>2024</v>
      </c>
      <c r="L539" s="2">
        <f t="shared" si="43"/>
        <v>1</v>
      </c>
      <c r="M539" s="4">
        <v>4</v>
      </c>
      <c r="N539" s="4" t="s">
        <v>1656</v>
      </c>
      <c r="O539" s="4" t="s">
        <v>27</v>
      </c>
      <c r="P539" s="5">
        <v>548319</v>
      </c>
      <c r="Q539" s="4"/>
      <c r="R539" s="4"/>
      <c r="S539" s="4" t="s">
        <v>1063</v>
      </c>
      <c r="T539" s="4">
        <v>14.9</v>
      </c>
      <c r="U539" s="4" t="s">
        <v>47</v>
      </c>
      <c r="V539" s="4" t="s">
        <v>157</v>
      </c>
      <c r="W539" s="67" t="str">
        <f t="shared" si="44"/>
        <v>-</v>
      </c>
    </row>
    <row r="540" spans="1:23" x14ac:dyDescent="0.3">
      <c r="A540" s="2" t="s">
        <v>1657</v>
      </c>
      <c r="B540" s="2" t="s">
        <v>1658</v>
      </c>
      <c r="C540" s="2">
        <v>9100265072</v>
      </c>
      <c r="D540" s="2" t="s">
        <v>51</v>
      </c>
      <c r="E540" s="2" t="s">
        <v>1632</v>
      </c>
      <c r="F540" s="2" t="s">
        <v>1659</v>
      </c>
      <c r="G540" s="2" t="s">
        <v>1621</v>
      </c>
      <c r="H540" s="2" t="s">
        <v>1583</v>
      </c>
      <c r="I540" s="2" t="str">
        <f t="shared" si="40"/>
        <v>Jan</v>
      </c>
      <c r="J540" s="2">
        <f t="shared" si="41"/>
        <v>1</v>
      </c>
      <c r="K540" s="2">
        <f t="shared" si="42"/>
        <v>2024</v>
      </c>
      <c r="L540" s="2">
        <f t="shared" si="43"/>
        <v>1</v>
      </c>
      <c r="M540" s="2">
        <v>2</v>
      </c>
      <c r="N540" s="2" t="s">
        <v>1656</v>
      </c>
      <c r="O540" s="2" t="s">
        <v>62</v>
      </c>
      <c r="P540" s="3">
        <v>490062</v>
      </c>
      <c r="Q540" s="2"/>
      <c r="R540" s="2"/>
      <c r="S540" s="2" t="s">
        <v>28</v>
      </c>
      <c r="T540" s="2">
        <v>11.2</v>
      </c>
      <c r="U540" s="2" t="s">
        <v>63</v>
      </c>
      <c r="V540" s="2" t="s">
        <v>668</v>
      </c>
      <c r="W540" s="67" t="str">
        <f t="shared" si="44"/>
        <v>-</v>
      </c>
    </row>
    <row r="541" spans="1:23" x14ac:dyDescent="0.3">
      <c r="A541" s="4" t="s">
        <v>1660</v>
      </c>
      <c r="B541" s="4" t="s">
        <v>236</v>
      </c>
      <c r="C541" s="4"/>
      <c r="D541" s="4" t="s">
        <v>51</v>
      </c>
      <c r="E541" s="4" t="s">
        <v>73</v>
      </c>
      <c r="F541" s="4" t="s">
        <v>126</v>
      </c>
      <c r="G541" s="4" t="s">
        <v>35</v>
      </c>
      <c r="H541" s="4" t="s">
        <v>1566</v>
      </c>
      <c r="I541" s="2" t="str">
        <f t="shared" si="40"/>
        <v>Jan</v>
      </c>
      <c r="J541" s="2">
        <f t="shared" si="41"/>
        <v>1</v>
      </c>
      <c r="K541" s="2">
        <f t="shared" si="42"/>
        <v>2024</v>
      </c>
      <c r="L541" s="2">
        <f t="shared" si="43"/>
        <v>1</v>
      </c>
      <c r="M541" s="4">
        <v>8</v>
      </c>
      <c r="N541" s="4" t="s">
        <v>1627</v>
      </c>
      <c r="O541" s="4" t="s">
        <v>27</v>
      </c>
      <c r="P541" s="5">
        <v>91433</v>
      </c>
      <c r="Q541" s="4"/>
      <c r="R541" s="4"/>
      <c r="S541" s="4" t="s">
        <v>28</v>
      </c>
      <c r="T541" s="4">
        <v>45.2</v>
      </c>
      <c r="U541" s="4" t="s">
        <v>47</v>
      </c>
      <c r="V541" s="4" t="s">
        <v>1661</v>
      </c>
      <c r="W541" s="67" t="str">
        <f t="shared" si="44"/>
        <v>-</v>
      </c>
    </row>
    <row r="542" spans="1:23" x14ac:dyDescent="0.3">
      <c r="A542" s="2" t="s">
        <v>1662</v>
      </c>
      <c r="B542" s="2" t="s">
        <v>1663</v>
      </c>
      <c r="C542" s="2">
        <v>9745256477</v>
      </c>
      <c r="D542" s="2" t="s">
        <v>59</v>
      </c>
      <c r="E542" s="2" t="s">
        <v>73</v>
      </c>
      <c r="F542" s="2" t="s">
        <v>74</v>
      </c>
      <c r="G542" s="2" t="s">
        <v>643</v>
      </c>
      <c r="H542" s="2" t="s">
        <v>1566</v>
      </c>
      <c r="I542" s="2" t="str">
        <f t="shared" si="40"/>
        <v>Jan</v>
      </c>
      <c r="J542" s="2">
        <f t="shared" si="41"/>
        <v>1</v>
      </c>
      <c r="K542" s="2">
        <f t="shared" si="42"/>
        <v>2024</v>
      </c>
      <c r="L542" s="2">
        <f t="shared" si="43"/>
        <v>1</v>
      </c>
      <c r="M542" s="2">
        <v>7</v>
      </c>
      <c r="N542" s="2" t="s">
        <v>1562</v>
      </c>
      <c r="O542" s="2" t="s">
        <v>45</v>
      </c>
      <c r="P542" s="3">
        <v>1196253</v>
      </c>
      <c r="Q542" s="2"/>
      <c r="R542" s="2"/>
      <c r="S542" s="2" t="s">
        <v>5819</v>
      </c>
      <c r="T542" s="2">
        <v>33.6</v>
      </c>
      <c r="U542" s="2" t="s">
        <v>47</v>
      </c>
      <c r="V542" s="2" t="s">
        <v>381</v>
      </c>
      <c r="W542" s="67" t="str">
        <f t="shared" si="44"/>
        <v>-</v>
      </c>
    </row>
    <row r="543" spans="1:23" x14ac:dyDescent="0.3">
      <c r="A543" s="4" t="s">
        <v>1664</v>
      </c>
      <c r="B543" s="4" t="s">
        <v>1360</v>
      </c>
      <c r="C543" s="4">
        <v>9341698434</v>
      </c>
      <c r="D543" s="4" t="s">
        <v>121</v>
      </c>
      <c r="E543" s="4" t="s">
        <v>73</v>
      </c>
      <c r="F543" s="4" t="s">
        <v>126</v>
      </c>
      <c r="G543" s="4" t="s">
        <v>52</v>
      </c>
      <c r="H543" s="4" t="s">
        <v>1566</v>
      </c>
      <c r="I543" s="2" t="str">
        <f t="shared" si="40"/>
        <v>Jan</v>
      </c>
      <c r="J543" s="2">
        <f t="shared" si="41"/>
        <v>1</v>
      </c>
      <c r="K543" s="2">
        <f t="shared" si="42"/>
        <v>2024</v>
      </c>
      <c r="L543" s="2">
        <f t="shared" si="43"/>
        <v>1</v>
      </c>
      <c r="M543" s="4">
        <v>10</v>
      </c>
      <c r="N543" s="4" t="s">
        <v>1483</v>
      </c>
      <c r="O543" s="4" t="s">
        <v>27</v>
      </c>
      <c r="P543" s="5">
        <v>247342</v>
      </c>
      <c r="Q543" s="4"/>
      <c r="R543" s="4"/>
      <c r="S543" s="4" t="s">
        <v>28</v>
      </c>
      <c r="T543" s="4">
        <v>14.1</v>
      </c>
      <c r="U543" s="4" t="s">
        <v>29</v>
      </c>
      <c r="V543" s="4" t="s">
        <v>238</v>
      </c>
      <c r="W543" s="67" t="str">
        <f t="shared" si="44"/>
        <v>-</v>
      </c>
    </row>
    <row r="544" spans="1:23" x14ac:dyDescent="0.3">
      <c r="A544" s="6" t="s">
        <v>1665</v>
      </c>
      <c r="B544" s="6" t="s">
        <v>928</v>
      </c>
      <c r="C544" s="6">
        <v>9780505229</v>
      </c>
      <c r="D544" s="6" t="s">
        <v>108</v>
      </c>
      <c r="E544" s="6" t="s">
        <v>41</v>
      </c>
      <c r="F544" s="6" t="s">
        <v>92</v>
      </c>
      <c r="G544" s="6" t="s">
        <v>643</v>
      </c>
      <c r="H544" s="6" t="s">
        <v>1610</v>
      </c>
      <c r="I544" s="2" t="str">
        <f t="shared" si="40"/>
        <v>Jan</v>
      </c>
      <c r="J544" s="2">
        <f t="shared" si="41"/>
        <v>1</v>
      </c>
      <c r="K544" s="2">
        <f t="shared" si="42"/>
        <v>2024</v>
      </c>
      <c r="L544" s="2">
        <f t="shared" si="43"/>
        <v>1</v>
      </c>
      <c r="M544" s="6">
        <v>5</v>
      </c>
      <c r="N544" s="6" t="s">
        <v>1666</v>
      </c>
      <c r="O544" s="6" t="s">
        <v>97</v>
      </c>
      <c r="P544" s="7">
        <v>892028</v>
      </c>
      <c r="Q544" s="7">
        <v>804249</v>
      </c>
      <c r="R544" s="6" t="s">
        <v>1606</v>
      </c>
      <c r="S544" s="6" t="s">
        <v>5819</v>
      </c>
      <c r="T544" s="6">
        <v>17.7</v>
      </c>
      <c r="U544" s="6" t="s">
        <v>63</v>
      </c>
      <c r="V544" s="6" t="s">
        <v>99</v>
      </c>
      <c r="W544" s="67" t="str">
        <f t="shared" si="44"/>
        <v>Customer</v>
      </c>
    </row>
    <row r="545" spans="1:23" x14ac:dyDescent="0.3">
      <c r="A545" s="4" t="s">
        <v>1667</v>
      </c>
      <c r="B545" s="4" t="s">
        <v>1668</v>
      </c>
      <c r="C545" s="4">
        <v>9558154399</v>
      </c>
      <c r="D545" s="4" t="s">
        <v>121</v>
      </c>
      <c r="E545" s="4" t="s">
        <v>21</v>
      </c>
      <c r="F545" s="4" t="s">
        <v>22</v>
      </c>
      <c r="G545" s="4" t="s">
        <v>52</v>
      </c>
      <c r="H545" s="4" t="s">
        <v>1610</v>
      </c>
      <c r="I545" s="2" t="str">
        <f t="shared" si="40"/>
        <v>Jan</v>
      </c>
      <c r="J545" s="2">
        <f t="shared" si="41"/>
        <v>1</v>
      </c>
      <c r="K545" s="2">
        <f t="shared" si="42"/>
        <v>2024</v>
      </c>
      <c r="L545" s="2">
        <f t="shared" si="43"/>
        <v>1</v>
      </c>
      <c r="M545" s="4">
        <v>8</v>
      </c>
      <c r="N545" s="4" t="s">
        <v>1595</v>
      </c>
      <c r="O545" s="4" t="s">
        <v>45</v>
      </c>
      <c r="P545" s="5">
        <v>276183</v>
      </c>
      <c r="Q545" s="4"/>
      <c r="R545" s="4"/>
      <c r="S545" s="4" t="s">
        <v>28</v>
      </c>
      <c r="T545" s="4">
        <v>17</v>
      </c>
      <c r="U545" s="4" t="s">
        <v>63</v>
      </c>
      <c r="V545" s="4" t="s">
        <v>260</v>
      </c>
      <c r="W545" s="67" t="str">
        <f t="shared" si="44"/>
        <v>-</v>
      </c>
    </row>
    <row r="546" spans="1:23" x14ac:dyDescent="0.3">
      <c r="A546" s="6" t="s">
        <v>1669</v>
      </c>
      <c r="B546" s="6" t="s">
        <v>1670</v>
      </c>
      <c r="C546" s="6">
        <v>9618992599</v>
      </c>
      <c r="D546" s="6" t="s">
        <v>20</v>
      </c>
      <c r="E546" s="6" t="s">
        <v>21</v>
      </c>
      <c r="F546" s="6" t="s">
        <v>22</v>
      </c>
      <c r="G546" s="6" t="s">
        <v>616</v>
      </c>
      <c r="H546" s="6" t="s">
        <v>1610</v>
      </c>
      <c r="I546" s="2" t="str">
        <f t="shared" si="40"/>
        <v>Jan</v>
      </c>
      <c r="J546" s="2">
        <f t="shared" si="41"/>
        <v>1</v>
      </c>
      <c r="K546" s="2">
        <f t="shared" si="42"/>
        <v>2024</v>
      </c>
      <c r="L546" s="2">
        <f t="shared" si="43"/>
        <v>1</v>
      </c>
      <c r="M546" s="6">
        <v>6</v>
      </c>
      <c r="N546" s="6" t="s">
        <v>1606</v>
      </c>
      <c r="O546" s="6" t="s">
        <v>97</v>
      </c>
      <c r="P546" s="7">
        <v>167097</v>
      </c>
      <c r="Q546" s="7">
        <v>162466</v>
      </c>
      <c r="R546" s="6" t="s">
        <v>1671</v>
      </c>
      <c r="S546" s="6" t="s">
        <v>28</v>
      </c>
      <c r="T546" s="6">
        <v>31.8</v>
      </c>
      <c r="U546" s="6" t="s">
        <v>63</v>
      </c>
      <c r="V546" s="6" t="s">
        <v>243</v>
      </c>
      <c r="W546" s="67" t="str">
        <f t="shared" si="44"/>
        <v>Customer</v>
      </c>
    </row>
    <row r="547" spans="1:23" x14ac:dyDescent="0.3">
      <c r="A547" s="4" t="s">
        <v>1672</v>
      </c>
      <c r="B547" s="4" t="s">
        <v>1673</v>
      </c>
      <c r="C547" s="4">
        <v>9278815751</v>
      </c>
      <c r="D547" s="4" t="s">
        <v>121</v>
      </c>
      <c r="E547" s="4" t="s">
        <v>41</v>
      </c>
      <c r="F547" s="4" t="s">
        <v>42</v>
      </c>
      <c r="G547" s="4" t="s">
        <v>35</v>
      </c>
      <c r="H547" s="4" t="s">
        <v>1610</v>
      </c>
      <c r="I547" s="2" t="str">
        <f t="shared" si="40"/>
        <v>Jan</v>
      </c>
      <c r="J547" s="2">
        <f t="shared" si="41"/>
        <v>1</v>
      </c>
      <c r="K547" s="2">
        <f t="shared" si="42"/>
        <v>2024</v>
      </c>
      <c r="L547" s="2">
        <f t="shared" si="43"/>
        <v>1</v>
      </c>
      <c r="M547" s="4">
        <v>4</v>
      </c>
      <c r="N547" s="4" t="s">
        <v>1674</v>
      </c>
      <c r="O547" s="4" t="s">
        <v>27</v>
      </c>
      <c r="P547" s="5">
        <v>90694</v>
      </c>
      <c r="Q547" s="4"/>
      <c r="R547" s="4"/>
      <c r="S547" s="4" t="s">
        <v>28</v>
      </c>
      <c r="T547" s="4">
        <v>17</v>
      </c>
      <c r="U547" s="4" t="s">
        <v>29</v>
      </c>
      <c r="V547" s="4" t="s">
        <v>202</v>
      </c>
      <c r="W547" s="67" t="str">
        <f t="shared" si="44"/>
        <v>-</v>
      </c>
    </row>
    <row r="548" spans="1:23" x14ac:dyDescent="0.3">
      <c r="A548" s="6" t="s">
        <v>1675</v>
      </c>
      <c r="B548" s="6" t="s">
        <v>1676</v>
      </c>
      <c r="C548" s="6">
        <v>9674195660</v>
      </c>
      <c r="D548" s="6" t="s">
        <v>121</v>
      </c>
      <c r="E548" s="6" t="s">
        <v>109</v>
      </c>
      <c r="F548" s="6" t="s">
        <v>331</v>
      </c>
      <c r="G548" s="6" t="s">
        <v>1677</v>
      </c>
      <c r="H548" s="6" t="s">
        <v>1610</v>
      </c>
      <c r="I548" s="2" t="str">
        <f t="shared" si="40"/>
        <v>Jan</v>
      </c>
      <c r="J548" s="2">
        <f t="shared" si="41"/>
        <v>1</v>
      </c>
      <c r="K548" s="2">
        <f t="shared" si="42"/>
        <v>2024</v>
      </c>
      <c r="L548" s="2">
        <f t="shared" si="43"/>
        <v>1</v>
      </c>
      <c r="M548" s="6">
        <v>12</v>
      </c>
      <c r="N548" s="6" t="s">
        <v>1666</v>
      </c>
      <c r="O548" s="6" t="s">
        <v>97</v>
      </c>
      <c r="P548" s="7">
        <v>1610596</v>
      </c>
      <c r="Q548" s="7">
        <v>1527930</v>
      </c>
      <c r="R548" s="6" t="s">
        <v>1671</v>
      </c>
      <c r="S548" s="6" t="s">
        <v>5819</v>
      </c>
      <c r="T548" s="6">
        <v>41.7</v>
      </c>
      <c r="U548" s="6" t="s">
        <v>63</v>
      </c>
      <c r="V548" s="6" t="s">
        <v>483</v>
      </c>
      <c r="W548" s="67" t="str">
        <f t="shared" si="44"/>
        <v>Customer</v>
      </c>
    </row>
    <row r="549" spans="1:23" x14ac:dyDescent="0.3">
      <c r="A549" s="4" t="s">
        <v>1678</v>
      </c>
      <c r="B549" s="4" t="s">
        <v>1679</v>
      </c>
      <c r="C549" s="4">
        <v>9219354239</v>
      </c>
      <c r="D549" s="4" t="s">
        <v>51</v>
      </c>
      <c r="E549" s="4" t="s">
        <v>67</v>
      </c>
      <c r="F549" s="4" t="s">
        <v>80</v>
      </c>
      <c r="G549" s="4" t="s">
        <v>87</v>
      </c>
      <c r="H549" s="4" t="s">
        <v>1610</v>
      </c>
      <c r="I549" s="2" t="str">
        <f t="shared" si="40"/>
        <v>Jan</v>
      </c>
      <c r="J549" s="2">
        <f t="shared" si="41"/>
        <v>1</v>
      </c>
      <c r="K549" s="2">
        <f t="shared" si="42"/>
        <v>2024</v>
      </c>
      <c r="L549" s="2">
        <f t="shared" si="43"/>
        <v>1</v>
      </c>
      <c r="M549" s="4">
        <v>12</v>
      </c>
      <c r="N549" s="4" t="s">
        <v>1573</v>
      </c>
      <c r="O549" s="4" t="s">
        <v>62</v>
      </c>
      <c r="P549" s="5">
        <v>237178</v>
      </c>
      <c r="Q549" s="4"/>
      <c r="R549" s="4"/>
      <c r="S549" s="4" t="s">
        <v>5819</v>
      </c>
      <c r="T549" s="4">
        <v>29.4</v>
      </c>
      <c r="U549" s="4" t="s">
        <v>63</v>
      </c>
      <c r="V549" s="4" t="s">
        <v>559</v>
      </c>
      <c r="W549" s="67" t="str">
        <f t="shared" si="44"/>
        <v>-</v>
      </c>
    </row>
    <row r="550" spans="1:23" x14ac:dyDescent="0.3">
      <c r="A550" s="2" t="s">
        <v>1680</v>
      </c>
      <c r="B550" s="2" t="s">
        <v>1681</v>
      </c>
      <c r="C550" s="2">
        <v>9839799487</v>
      </c>
      <c r="D550" s="2" t="s">
        <v>121</v>
      </c>
      <c r="E550" s="2" t="s">
        <v>1632</v>
      </c>
      <c r="F550" s="2" t="s">
        <v>1682</v>
      </c>
      <c r="G550" s="2" t="s">
        <v>23</v>
      </c>
      <c r="H550" s="2" t="s">
        <v>1552</v>
      </c>
      <c r="I550" s="2" t="str">
        <f t="shared" si="40"/>
        <v>Jan</v>
      </c>
      <c r="J550" s="2">
        <f t="shared" si="41"/>
        <v>1</v>
      </c>
      <c r="K550" s="2">
        <f t="shared" si="42"/>
        <v>2024</v>
      </c>
      <c r="L550" s="2">
        <f t="shared" si="43"/>
        <v>1</v>
      </c>
      <c r="M550" s="2">
        <v>6</v>
      </c>
      <c r="N550" s="2" t="s">
        <v>1683</v>
      </c>
      <c r="O550" s="2" t="s">
        <v>45</v>
      </c>
      <c r="P550" s="3">
        <v>400811</v>
      </c>
      <c r="Q550" s="2"/>
      <c r="R550" s="2"/>
      <c r="S550" s="2" t="s">
        <v>28</v>
      </c>
      <c r="T550" s="2">
        <v>35.200000000000003</v>
      </c>
      <c r="U550" s="2" t="s">
        <v>63</v>
      </c>
      <c r="V550" s="2" t="s">
        <v>678</v>
      </c>
      <c r="W550" s="67" t="str">
        <f t="shared" si="44"/>
        <v>-</v>
      </c>
    </row>
    <row r="551" spans="1:23" x14ac:dyDescent="0.3">
      <c r="A551" s="4" t="s">
        <v>1684</v>
      </c>
      <c r="B551" s="4" t="s">
        <v>150</v>
      </c>
      <c r="C551" s="4"/>
      <c r="D551" s="4" t="s">
        <v>20</v>
      </c>
      <c r="E551" s="4" t="s">
        <v>1632</v>
      </c>
      <c r="F551" s="4" t="s">
        <v>1682</v>
      </c>
      <c r="G551" s="4" t="s">
        <v>35</v>
      </c>
      <c r="H551" s="4" t="s">
        <v>1552</v>
      </c>
      <c r="I551" s="2" t="str">
        <f t="shared" si="40"/>
        <v>Jan</v>
      </c>
      <c r="J551" s="2">
        <f t="shared" si="41"/>
        <v>1</v>
      </c>
      <c r="K551" s="2">
        <f t="shared" si="42"/>
        <v>2024</v>
      </c>
      <c r="L551" s="2">
        <f t="shared" si="43"/>
        <v>1</v>
      </c>
      <c r="M551" s="4">
        <v>7</v>
      </c>
      <c r="N551" s="4" t="s">
        <v>1562</v>
      </c>
      <c r="O551" s="4" t="s">
        <v>27</v>
      </c>
      <c r="P551" s="5">
        <v>159201</v>
      </c>
      <c r="Q551" s="4"/>
      <c r="R551" s="4"/>
      <c r="S551" s="4" t="s">
        <v>28</v>
      </c>
      <c r="T551" s="4">
        <v>43.8</v>
      </c>
      <c r="U551" s="4" t="s">
        <v>29</v>
      </c>
      <c r="V551" s="4" t="s">
        <v>1685</v>
      </c>
      <c r="W551" s="67" t="str">
        <f t="shared" si="44"/>
        <v>-</v>
      </c>
    </row>
    <row r="552" spans="1:23" x14ac:dyDescent="0.3">
      <c r="A552" s="2" t="s">
        <v>1686</v>
      </c>
      <c r="B552" s="2" t="s">
        <v>985</v>
      </c>
      <c r="C552" s="2">
        <v>9335074866</v>
      </c>
      <c r="D552" s="2" t="s">
        <v>108</v>
      </c>
      <c r="E552" s="2" t="s">
        <v>641</v>
      </c>
      <c r="F552" s="2" t="s">
        <v>681</v>
      </c>
      <c r="G552" s="2" t="s">
        <v>616</v>
      </c>
      <c r="H552" s="2" t="s">
        <v>1552</v>
      </c>
      <c r="I552" s="2" t="str">
        <f t="shared" si="40"/>
        <v>Jan</v>
      </c>
      <c r="J552" s="2">
        <f t="shared" si="41"/>
        <v>1</v>
      </c>
      <c r="K552" s="2">
        <f t="shared" si="42"/>
        <v>2024</v>
      </c>
      <c r="L552" s="2">
        <f t="shared" si="43"/>
        <v>1</v>
      </c>
      <c r="M552" s="2">
        <v>5</v>
      </c>
      <c r="N552" s="2" t="s">
        <v>1562</v>
      </c>
      <c r="O552" s="2" t="s">
        <v>62</v>
      </c>
      <c r="P552" s="3">
        <v>331403</v>
      </c>
      <c r="Q552" s="2"/>
      <c r="R552" s="2"/>
      <c r="S552" s="2" t="s">
        <v>5819</v>
      </c>
      <c r="T552" s="2">
        <v>30.6</v>
      </c>
      <c r="U552" s="2" t="s">
        <v>47</v>
      </c>
      <c r="V552" s="2" t="s">
        <v>89</v>
      </c>
      <c r="W552" s="67" t="str">
        <f t="shared" si="44"/>
        <v>-</v>
      </c>
    </row>
    <row r="553" spans="1:23" x14ac:dyDescent="0.3">
      <c r="A553" s="4" t="s">
        <v>1687</v>
      </c>
      <c r="B553" s="4" t="s">
        <v>1688</v>
      </c>
      <c r="C553" s="4">
        <v>9307371948</v>
      </c>
      <c r="D553" s="4" t="s">
        <v>108</v>
      </c>
      <c r="E553" s="4" t="s">
        <v>641</v>
      </c>
      <c r="F553" s="4" t="s">
        <v>642</v>
      </c>
      <c r="G553" s="4" t="s">
        <v>23</v>
      </c>
      <c r="H553" s="4" t="s">
        <v>1405</v>
      </c>
      <c r="I553" s="2" t="str">
        <f t="shared" si="40"/>
        <v>Jan</v>
      </c>
      <c r="J553" s="2">
        <f t="shared" si="41"/>
        <v>1</v>
      </c>
      <c r="K553" s="2">
        <f t="shared" si="42"/>
        <v>2024</v>
      </c>
      <c r="L553" s="2">
        <f t="shared" si="43"/>
        <v>1</v>
      </c>
      <c r="M553" s="4">
        <v>5</v>
      </c>
      <c r="N553" s="4" t="s">
        <v>1575</v>
      </c>
      <c r="O553" s="4" t="s">
        <v>27</v>
      </c>
      <c r="P553" s="5">
        <v>667846</v>
      </c>
      <c r="Q553" s="4"/>
      <c r="R553" s="4"/>
      <c r="S553" s="4" t="s">
        <v>28</v>
      </c>
      <c r="T553" s="4">
        <v>9.4</v>
      </c>
      <c r="U553" s="4" t="s">
        <v>29</v>
      </c>
      <c r="V553" s="4" t="s">
        <v>238</v>
      </c>
      <c r="W553" s="67" t="str">
        <f t="shared" si="44"/>
        <v>-</v>
      </c>
    </row>
    <row r="554" spans="1:23" x14ac:dyDescent="0.3">
      <c r="A554" s="2" t="s">
        <v>1689</v>
      </c>
      <c r="B554" s="2" t="s">
        <v>1690</v>
      </c>
      <c r="C554" s="2">
        <v>9776364820</v>
      </c>
      <c r="D554" s="2" t="s">
        <v>20</v>
      </c>
      <c r="E554" s="2" t="s">
        <v>41</v>
      </c>
      <c r="F554" s="2" t="s">
        <v>92</v>
      </c>
      <c r="G554" s="2" t="s">
        <v>1677</v>
      </c>
      <c r="H554" s="2" t="s">
        <v>1405</v>
      </c>
      <c r="I554" s="2" t="str">
        <f t="shared" si="40"/>
        <v>Jan</v>
      </c>
      <c r="J554" s="2">
        <f t="shared" si="41"/>
        <v>1</v>
      </c>
      <c r="K554" s="2">
        <f t="shared" si="42"/>
        <v>2024</v>
      </c>
      <c r="L554" s="2">
        <f t="shared" si="43"/>
        <v>1</v>
      </c>
      <c r="M554" s="2">
        <v>10</v>
      </c>
      <c r="N554" s="2" t="s">
        <v>1691</v>
      </c>
      <c r="O554" s="2" t="s">
        <v>27</v>
      </c>
      <c r="P554" s="3">
        <v>1531702</v>
      </c>
      <c r="Q554" s="2"/>
      <c r="R554" s="2"/>
      <c r="S554" s="2" t="s">
        <v>5819</v>
      </c>
      <c r="T554" s="2">
        <v>23.4</v>
      </c>
      <c r="U554" s="2" t="s">
        <v>29</v>
      </c>
      <c r="V554" s="2" t="s">
        <v>238</v>
      </c>
      <c r="W554" s="67" t="str">
        <f t="shared" si="44"/>
        <v>-</v>
      </c>
    </row>
    <row r="555" spans="1:23" x14ac:dyDescent="0.3">
      <c r="A555" s="4" t="s">
        <v>1692</v>
      </c>
      <c r="B555" s="4" t="s">
        <v>1693</v>
      </c>
      <c r="C555" s="4">
        <v>9749476211</v>
      </c>
      <c r="D555" s="4" t="s">
        <v>51</v>
      </c>
      <c r="E555" s="4" t="s">
        <v>1632</v>
      </c>
      <c r="F555" s="4" t="s">
        <v>1694</v>
      </c>
      <c r="G555" s="4" t="s">
        <v>35</v>
      </c>
      <c r="H555" s="4" t="s">
        <v>1405</v>
      </c>
      <c r="I555" s="2" t="str">
        <f t="shared" si="40"/>
        <v>Jan</v>
      </c>
      <c r="J555" s="2">
        <f t="shared" si="41"/>
        <v>1</v>
      </c>
      <c r="K555" s="2">
        <f t="shared" si="42"/>
        <v>2024</v>
      </c>
      <c r="L555" s="2">
        <f t="shared" si="43"/>
        <v>1</v>
      </c>
      <c r="M555" s="4">
        <v>0</v>
      </c>
      <c r="N555" s="4" t="s">
        <v>1462</v>
      </c>
      <c r="O555" s="4" t="s">
        <v>62</v>
      </c>
      <c r="P555" s="5">
        <v>247907</v>
      </c>
      <c r="Q555" s="4"/>
      <c r="R555" s="4"/>
      <c r="S555" s="4" t="s">
        <v>28</v>
      </c>
      <c r="T555" s="4">
        <v>34.1</v>
      </c>
      <c r="U555" s="4" t="s">
        <v>47</v>
      </c>
      <c r="V555" s="4" t="s">
        <v>256</v>
      </c>
      <c r="W555" s="67" t="str">
        <f t="shared" si="44"/>
        <v>-</v>
      </c>
    </row>
    <row r="556" spans="1:23" x14ac:dyDescent="0.3">
      <c r="A556" s="2" t="s">
        <v>1695</v>
      </c>
      <c r="B556" s="2" t="s">
        <v>1696</v>
      </c>
      <c r="C556" s="2"/>
      <c r="D556" s="2" t="s">
        <v>59</v>
      </c>
      <c r="E556" s="2" t="s">
        <v>1632</v>
      </c>
      <c r="F556" s="2" t="s">
        <v>1694</v>
      </c>
      <c r="G556" s="2" t="s">
        <v>643</v>
      </c>
      <c r="H556" s="2" t="s">
        <v>1425</v>
      </c>
      <c r="I556" s="2" t="str">
        <f t="shared" si="40"/>
        <v>Jan</v>
      </c>
      <c r="J556" s="2">
        <f t="shared" si="41"/>
        <v>1</v>
      </c>
      <c r="K556" s="2">
        <f t="shared" si="42"/>
        <v>2024</v>
      </c>
      <c r="L556" s="2">
        <f t="shared" si="43"/>
        <v>1</v>
      </c>
      <c r="M556" s="2">
        <v>1</v>
      </c>
      <c r="N556" s="2" t="s">
        <v>1588</v>
      </c>
      <c r="O556" s="2" t="s">
        <v>27</v>
      </c>
      <c r="P556" s="3">
        <v>869185</v>
      </c>
      <c r="Q556" s="2"/>
      <c r="R556" s="2"/>
      <c r="S556" s="2" t="s">
        <v>5819</v>
      </c>
      <c r="T556" s="2">
        <v>32.1</v>
      </c>
      <c r="U556" s="2" t="s">
        <v>29</v>
      </c>
      <c r="V556" s="2" t="s">
        <v>1697</v>
      </c>
      <c r="W556" s="67" t="str">
        <f t="shared" si="44"/>
        <v>-</v>
      </c>
    </row>
    <row r="557" spans="1:23" x14ac:dyDescent="0.3">
      <c r="A557" s="4" t="s">
        <v>1698</v>
      </c>
      <c r="B557" s="4" t="s">
        <v>1699</v>
      </c>
      <c r="C557" s="4">
        <v>9677235776</v>
      </c>
      <c r="D557" s="4" t="s">
        <v>59</v>
      </c>
      <c r="E557" s="4" t="s">
        <v>33</v>
      </c>
      <c r="F557" s="4" t="s">
        <v>102</v>
      </c>
      <c r="G557" s="4" t="s">
        <v>52</v>
      </c>
      <c r="H557" s="4" t="s">
        <v>1425</v>
      </c>
      <c r="I557" s="2" t="str">
        <f t="shared" si="40"/>
        <v>Jan</v>
      </c>
      <c r="J557" s="2">
        <f t="shared" si="41"/>
        <v>1</v>
      </c>
      <c r="K557" s="2">
        <f t="shared" si="42"/>
        <v>2024</v>
      </c>
      <c r="L557" s="2">
        <f t="shared" si="43"/>
        <v>1</v>
      </c>
      <c r="M557" s="4">
        <v>8</v>
      </c>
      <c r="N557" s="4" t="s">
        <v>1595</v>
      </c>
      <c r="O557" s="4" t="s">
        <v>27</v>
      </c>
      <c r="P557" s="5">
        <v>488534</v>
      </c>
      <c r="Q557" s="4"/>
      <c r="R557" s="4"/>
      <c r="S557" s="4" t="s">
        <v>5819</v>
      </c>
      <c r="T557" s="4">
        <v>37</v>
      </c>
      <c r="U557" s="4" t="s">
        <v>29</v>
      </c>
      <c r="V557" s="4" t="s">
        <v>105</v>
      </c>
      <c r="W557" s="67" t="str">
        <f t="shared" si="44"/>
        <v>-</v>
      </c>
    </row>
    <row r="558" spans="1:23" x14ac:dyDescent="0.3">
      <c r="A558" s="2" t="s">
        <v>1700</v>
      </c>
      <c r="B558" s="2" t="s">
        <v>1701</v>
      </c>
      <c r="C558" s="2">
        <v>9131098297</v>
      </c>
      <c r="D558" s="2" t="s">
        <v>59</v>
      </c>
      <c r="E558" s="2" t="s">
        <v>67</v>
      </c>
      <c r="F558" s="2" t="s">
        <v>68</v>
      </c>
      <c r="G558" s="2" t="s">
        <v>52</v>
      </c>
      <c r="H558" s="2" t="s">
        <v>1425</v>
      </c>
      <c r="I558" s="2" t="str">
        <f t="shared" si="40"/>
        <v>Jan</v>
      </c>
      <c r="J558" s="2">
        <f t="shared" si="41"/>
        <v>1</v>
      </c>
      <c r="K558" s="2">
        <f t="shared" si="42"/>
        <v>2024</v>
      </c>
      <c r="L558" s="2">
        <f t="shared" si="43"/>
        <v>1</v>
      </c>
      <c r="M558" s="2">
        <v>12</v>
      </c>
      <c r="N558" s="2" t="s">
        <v>1702</v>
      </c>
      <c r="O558" s="2" t="s">
        <v>55</v>
      </c>
      <c r="P558" s="3">
        <v>154697</v>
      </c>
      <c r="Q558" s="2"/>
      <c r="R558" s="2"/>
      <c r="S558" s="2" t="s">
        <v>5819</v>
      </c>
      <c r="T558" s="2">
        <v>37.4</v>
      </c>
      <c r="U558" s="2" t="s">
        <v>29</v>
      </c>
      <c r="V558" s="2" t="s">
        <v>206</v>
      </c>
      <c r="W558" s="67" t="str">
        <f t="shared" si="44"/>
        <v>-</v>
      </c>
    </row>
    <row r="559" spans="1:23" x14ac:dyDescent="0.3">
      <c r="A559" s="6" t="s">
        <v>1703</v>
      </c>
      <c r="B559" s="6" t="s">
        <v>1579</v>
      </c>
      <c r="C559" s="6">
        <v>9893885429</v>
      </c>
      <c r="D559" s="6" t="s">
        <v>20</v>
      </c>
      <c r="E559" s="6" t="s">
        <v>641</v>
      </c>
      <c r="F559" s="6" t="s">
        <v>717</v>
      </c>
      <c r="G559" s="6" t="s">
        <v>23</v>
      </c>
      <c r="H559" s="6" t="s">
        <v>1462</v>
      </c>
      <c r="I559" s="2" t="str">
        <f t="shared" si="40"/>
        <v>Jan</v>
      </c>
      <c r="J559" s="2">
        <f t="shared" si="41"/>
        <v>1</v>
      </c>
      <c r="K559" s="2">
        <f t="shared" si="42"/>
        <v>2024</v>
      </c>
      <c r="L559" s="2">
        <f t="shared" si="43"/>
        <v>1</v>
      </c>
      <c r="M559" s="6">
        <v>7</v>
      </c>
      <c r="N559" s="6" t="s">
        <v>1704</v>
      </c>
      <c r="O559" s="6" t="s">
        <v>97</v>
      </c>
      <c r="P559" s="7">
        <v>672921</v>
      </c>
      <c r="Q559" s="7">
        <v>596675</v>
      </c>
      <c r="R559" s="6" t="s">
        <v>1671</v>
      </c>
      <c r="S559" s="6" t="s">
        <v>28</v>
      </c>
      <c r="T559" s="6">
        <v>39.6</v>
      </c>
      <c r="U559" s="6" t="s">
        <v>63</v>
      </c>
      <c r="V559" s="6" t="s">
        <v>295</v>
      </c>
      <c r="W559" s="67" t="str">
        <f t="shared" si="44"/>
        <v>Customer</v>
      </c>
    </row>
    <row r="560" spans="1:23" x14ac:dyDescent="0.3">
      <c r="A560" s="2" t="s">
        <v>1705</v>
      </c>
      <c r="B560" s="2" t="s">
        <v>959</v>
      </c>
      <c r="C560" s="2">
        <v>9108480736</v>
      </c>
      <c r="D560" s="2" t="s">
        <v>59</v>
      </c>
      <c r="E560" s="2" t="s">
        <v>1632</v>
      </c>
      <c r="F560" s="2" t="s">
        <v>1694</v>
      </c>
      <c r="G560" s="2" t="s">
        <v>1621</v>
      </c>
      <c r="H560" s="2" t="s">
        <v>1462</v>
      </c>
      <c r="I560" s="2" t="str">
        <f t="shared" si="40"/>
        <v>Jan</v>
      </c>
      <c r="J560" s="2">
        <f t="shared" si="41"/>
        <v>1</v>
      </c>
      <c r="K560" s="2">
        <f t="shared" si="42"/>
        <v>2024</v>
      </c>
      <c r="L560" s="2">
        <f t="shared" si="43"/>
        <v>1</v>
      </c>
      <c r="M560" s="2">
        <v>5</v>
      </c>
      <c r="N560" s="2" t="s">
        <v>1638</v>
      </c>
      <c r="O560" s="2" t="s">
        <v>27</v>
      </c>
      <c r="P560" s="3">
        <v>414796</v>
      </c>
      <c r="Q560" s="2"/>
      <c r="R560" s="2"/>
      <c r="S560" s="2" t="s">
        <v>28</v>
      </c>
      <c r="T560" s="2">
        <v>31.9</v>
      </c>
      <c r="U560" s="2" t="s">
        <v>29</v>
      </c>
      <c r="V560" s="2" t="s">
        <v>38</v>
      </c>
      <c r="W560" s="67" t="str">
        <f t="shared" si="44"/>
        <v>-</v>
      </c>
    </row>
    <row r="561" spans="1:23" x14ac:dyDescent="0.3">
      <c r="A561" s="4" t="s">
        <v>1706</v>
      </c>
      <c r="B561" s="4" t="s">
        <v>1707</v>
      </c>
      <c r="C561" s="4">
        <v>9598177231</v>
      </c>
      <c r="D561" s="4" t="s">
        <v>121</v>
      </c>
      <c r="E561" s="4" t="s">
        <v>1632</v>
      </c>
      <c r="F561" s="4" t="s">
        <v>1682</v>
      </c>
      <c r="G561" s="4" t="s">
        <v>1609</v>
      </c>
      <c r="H561" s="4" t="s">
        <v>1462</v>
      </c>
      <c r="I561" s="2" t="str">
        <f t="shared" si="40"/>
        <v>Jan</v>
      </c>
      <c r="J561" s="2">
        <f t="shared" si="41"/>
        <v>1</v>
      </c>
      <c r="K561" s="2">
        <f t="shared" si="42"/>
        <v>2024</v>
      </c>
      <c r="L561" s="2">
        <f t="shared" si="43"/>
        <v>1</v>
      </c>
      <c r="M561" s="4">
        <v>10</v>
      </c>
      <c r="N561" s="4" t="s">
        <v>1704</v>
      </c>
      <c r="O561" s="4" t="s">
        <v>27</v>
      </c>
      <c r="P561" s="5">
        <v>280701</v>
      </c>
      <c r="Q561" s="4"/>
      <c r="R561" s="4"/>
      <c r="S561" s="4" t="s">
        <v>28</v>
      </c>
      <c r="T561" s="4">
        <v>28.7</v>
      </c>
      <c r="U561" s="4" t="s">
        <v>47</v>
      </c>
      <c r="V561" s="4" t="s">
        <v>202</v>
      </c>
      <c r="W561" s="67" t="str">
        <f t="shared" si="44"/>
        <v>-</v>
      </c>
    </row>
    <row r="562" spans="1:23" x14ac:dyDescent="0.3">
      <c r="A562" s="2" t="s">
        <v>1708</v>
      </c>
      <c r="B562" s="2" t="s">
        <v>1709</v>
      </c>
      <c r="C562" s="2">
        <v>9274046155</v>
      </c>
      <c r="D562" s="2" t="s">
        <v>20</v>
      </c>
      <c r="E562" s="2" t="s">
        <v>641</v>
      </c>
      <c r="F562" s="2" t="s">
        <v>727</v>
      </c>
      <c r="G562" s="2" t="s">
        <v>616</v>
      </c>
      <c r="H562" s="2" t="s">
        <v>1634</v>
      </c>
      <c r="I562" s="2" t="str">
        <f t="shared" si="40"/>
        <v>Jan</v>
      </c>
      <c r="J562" s="2">
        <f t="shared" si="41"/>
        <v>1</v>
      </c>
      <c r="K562" s="2">
        <f t="shared" si="42"/>
        <v>2024</v>
      </c>
      <c r="L562" s="2">
        <f t="shared" si="43"/>
        <v>1</v>
      </c>
      <c r="M562" s="2">
        <v>1</v>
      </c>
      <c r="N562" s="2" t="s">
        <v>1710</v>
      </c>
      <c r="O562" s="2" t="s">
        <v>27</v>
      </c>
      <c r="P562" s="3">
        <v>335871</v>
      </c>
      <c r="Q562" s="2"/>
      <c r="R562" s="2"/>
      <c r="S562" s="2" t="s">
        <v>5819</v>
      </c>
      <c r="T562" s="2">
        <v>27.1</v>
      </c>
      <c r="U562" s="2" t="s">
        <v>29</v>
      </c>
      <c r="V562" s="2" t="s">
        <v>38</v>
      </c>
      <c r="W562" s="67" t="str">
        <f t="shared" si="44"/>
        <v>-</v>
      </c>
    </row>
    <row r="563" spans="1:23" x14ac:dyDescent="0.3">
      <c r="A563" s="4" t="s">
        <v>1711</v>
      </c>
      <c r="B563" s="4" t="s">
        <v>1712</v>
      </c>
      <c r="C563" s="4">
        <v>9362255365</v>
      </c>
      <c r="D563" s="4" t="s">
        <v>20</v>
      </c>
      <c r="E563" s="4" t="s">
        <v>648</v>
      </c>
      <c r="F563" s="4" t="s">
        <v>656</v>
      </c>
      <c r="G563" s="4" t="s">
        <v>23</v>
      </c>
      <c r="H563" s="4" t="s">
        <v>1634</v>
      </c>
      <c r="I563" s="2" t="str">
        <f t="shared" si="40"/>
        <v>Jan</v>
      </c>
      <c r="J563" s="2">
        <f t="shared" si="41"/>
        <v>1</v>
      </c>
      <c r="K563" s="2">
        <f t="shared" si="42"/>
        <v>2024</v>
      </c>
      <c r="L563" s="2">
        <f t="shared" si="43"/>
        <v>1</v>
      </c>
      <c r="M563" s="4">
        <v>5</v>
      </c>
      <c r="N563" s="4" t="s">
        <v>1602</v>
      </c>
      <c r="O563" s="4" t="s">
        <v>62</v>
      </c>
      <c r="P563" s="5">
        <v>509338</v>
      </c>
      <c r="Q563" s="4"/>
      <c r="R563" s="4"/>
      <c r="S563" s="4" t="s">
        <v>28</v>
      </c>
      <c r="T563" s="4">
        <v>9.5</v>
      </c>
      <c r="U563" s="4" t="s">
        <v>63</v>
      </c>
      <c r="V563" s="4" t="s">
        <v>260</v>
      </c>
      <c r="W563" s="67" t="str">
        <f t="shared" si="44"/>
        <v>-</v>
      </c>
    </row>
    <row r="564" spans="1:23" x14ac:dyDescent="0.3">
      <c r="A564" s="6" t="s">
        <v>1713</v>
      </c>
      <c r="B564" s="6" t="s">
        <v>1714</v>
      </c>
      <c r="C564" s="6">
        <v>9809101742</v>
      </c>
      <c r="D564" s="6" t="s">
        <v>59</v>
      </c>
      <c r="E564" s="6" t="s">
        <v>41</v>
      </c>
      <c r="F564" s="6" t="s">
        <v>92</v>
      </c>
      <c r="G564" s="6" t="s">
        <v>87</v>
      </c>
      <c r="H564" s="6" t="s">
        <v>1555</v>
      </c>
      <c r="I564" s="2" t="str">
        <f t="shared" si="40"/>
        <v>Jan</v>
      </c>
      <c r="J564" s="2">
        <f t="shared" si="41"/>
        <v>1</v>
      </c>
      <c r="K564" s="2">
        <f t="shared" si="42"/>
        <v>2024</v>
      </c>
      <c r="L564" s="2">
        <f t="shared" si="43"/>
        <v>1</v>
      </c>
      <c r="M564" s="6">
        <v>0</v>
      </c>
      <c r="N564" s="6" t="s">
        <v>1710</v>
      </c>
      <c r="O564" s="6" t="s">
        <v>97</v>
      </c>
      <c r="P564" s="7">
        <v>215803</v>
      </c>
      <c r="Q564" s="7">
        <v>215389</v>
      </c>
      <c r="R564" s="6" t="s">
        <v>1572</v>
      </c>
      <c r="S564" s="6" t="s">
        <v>28</v>
      </c>
      <c r="T564" s="6">
        <v>19</v>
      </c>
      <c r="U564" s="6" t="s">
        <v>63</v>
      </c>
      <c r="V564" s="6" t="s">
        <v>243</v>
      </c>
      <c r="W564" s="67" t="str">
        <f t="shared" si="44"/>
        <v>Customer</v>
      </c>
    </row>
    <row r="565" spans="1:23" x14ac:dyDescent="0.3">
      <c r="A565" s="4" t="s">
        <v>1715</v>
      </c>
      <c r="B565" s="4" t="s">
        <v>1716</v>
      </c>
      <c r="C565" s="4">
        <v>9273279673</v>
      </c>
      <c r="D565" s="4" t="s">
        <v>59</v>
      </c>
      <c r="E565" s="4" t="s">
        <v>1632</v>
      </c>
      <c r="F565" s="4" t="s">
        <v>1717</v>
      </c>
      <c r="G565" s="4" t="s">
        <v>35</v>
      </c>
      <c r="H565" s="4" t="s">
        <v>1555</v>
      </c>
      <c r="I565" s="2" t="str">
        <f t="shared" si="40"/>
        <v>Jan</v>
      </c>
      <c r="J565" s="2">
        <f t="shared" si="41"/>
        <v>1</v>
      </c>
      <c r="K565" s="2">
        <f t="shared" si="42"/>
        <v>2024</v>
      </c>
      <c r="L565" s="2">
        <f t="shared" si="43"/>
        <v>1</v>
      </c>
      <c r="M565" s="4">
        <v>0</v>
      </c>
      <c r="N565" s="4" t="s">
        <v>1463</v>
      </c>
      <c r="O565" s="4" t="s">
        <v>27</v>
      </c>
      <c r="P565" s="5">
        <v>324613</v>
      </c>
      <c r="Q565" s="4"/>
      <c r="R565" s="4"/>
      <c r="S565" s="4" t="s">
        <v>5819</v>
      </c>
      <c r="T565" s="4">
        <v>5.3</v>
      </c>
      <c r="U565" s="4" t="s">
        <v>29</v>
      </c>
      <c r="V565" s="4" t="s">
        <v>202</v>
      </c>
      <c r="W565" s="67" t="str">
        <f t="shared" si="44"/>
        <v>-</v>
      </c>
    </row>
    <row r="566" spans="1:23" x14ac:dyDescent="0.3">
      <c r="A566" s="6" t="s">
        <v>1718</v>
      </c>
      <c r="B566" s="6" t="s">
        <v>1719</v>
      </c>
      <c r="C566" s="6">
        <v>9797833491</v>
      </c>
      <c r="D566" s="6" t="s">
        <v>121</v>
      </c>
      <c r="E566" s="6" t="s">
        <v>641</v>
      </c>
      <c r="F566" s="6" t="s">
        <v>717</v>
      </c>
      <c r="G566" s="6" t="s">
        <v>87</v>
      </c>
      <c r="H566" s="6" t="s">
        <v>1430</v>
      </c>
      <c r="I566" s="2" t="str">
        <f t="shared" si="40"/>
        <v>Jan</v>
      </c>
      <c r="J566" s="2">
        <f t="shared" si="41"/>
        <v>1</v>
      </c>
      <c r="K566" s="2">
        <f t="shared" si="42"/>
        <v>2024</v>
      </c>
      <c r="L566" s="2">
        <f t="shared" si="43"/>
        <v>1</v>
      </c>
      <c r="M566" s="6">
        <v>11</v>
      </c>
      <c r="N566" s="6" t="s">
        <v>1720</v>
      </c>
      <c r="O566" s="6" t="s">
        <v>97</v>
      </c>
      <c r="P566" s="7">
        <v>177149</v>
      </c>
      <c r="Q566" s="7">
        <v>182215</v>
      </c>
      <c r="R566" s="6" t="s">
        <v>1721</v>
      </c>
      <c r="S566" s="6" t="s">
        <v>28</v>
      </c>
      <c r="T566" s="6">
        <v>10.9</v>
      </c>
      <c r="U566" s="6" t="s">
        <v>63</v>
      </c>
      <c r="V566" s="6" t="s">
        <v>99</v>
      </c>
      <c r="W566" s="67" t="str">
        <f t="shared" si="44"/>
        <v>Customer</v>
      </c>
    </row>
    <row r="567" spans="1:23" x14ac:dyDescent="0.3">
      <c r="A567" s="4" t="s">
        <v>1722</v>
      </c>
      <c r="B567" s="4" t="s">
        <v>1723</v>
      </c>
      <c r="C567" s="4">
        <v>9488799500</v>
      </c>
      <c r="D567" s="4" t="s">
        <v>59</v>
      </c>
      <c r="E567" s="4" t="s">
        <v>641</v>
      </c>
      <c r="F567" s="4" t="s">
        <v>717</v>
      </c>
      <c r="G567" s="4" t="s">
        <v>23</v>
      </c>
      <c r="H567" s="4" t="s">
        <v>1430</v>
      </c>
      <c r="I567" s="2" t="str">
        <f t="shared" si="40"/>
        <v>Jan</v>
      </c>
      <c r="J567" s="2">
        <f t="shared" si="41"/>
        <v>1</v>
      </c>
      <c r="K567" s="2">
        <f t="shared" si="42"/>
        <v>2024</v>
      </c>
      <c r="L567" s="2">
        <f t="shared" si="43"/>
        <v>1</v>
      </c>
      <c r="M567" s="4">
        <v>1</v>
      </c>
      <c r="N567" s="4" t="s">
        <v>1575</v>
      </c>
      <c r="O567" s="4" t="s">
        <v>62</v>
      </c>
      <c r="P567" s="5">
        <v>691985</v>
      </c>
      <c r="Q567" s="4"/>
      <c r="R567" s="4"/>
      <c r="S567" s="4" t="s">
        <v>5819</v>
      </c>
      <c r="T567" s="4">
        <v>37</v>
      </c>
      <c r="U567" s="4" t="s">
        <v>29</v>
      </c>
      <c r="V567" s="4" t="s">
        <v>389</v>
      </c>
      <c r="W567" s="67" t="str">
        <f t="shared" si="44"/>
        <v>-</v>
      </c>
    </row>
    <row r="568" spans="1:23" x14ac:dyDescent="0.3">
      <c r="A568" s="2" t="s">
        <v>1724</v>
      </c>
      <c r="B568" s="2" t="s">
        <v>1725</v>
      </c>
      <c r="C568" s="2">
        <v>9531325735</v>
      </c>
      <c r="D568" s="2" t="s">
        <v>20</v>
      </c>
      <c r="E568" s="2" t="s">
        <v>1632</v>
      </c>
      <c r="F568" s="2" t="s">
        <v>1659</v>
      </c>
      <c r="G568" s="2" t="s">
        <v>52</v>
      </c>
      <c r="H568" s="2" t="s">
        <v>1656</v>
      </c>
      <c r="I568" s="2" t="str">
        <f t="shared" si="40"/>
        <v>Jan</v>
      </c>
      <c r="J568" s="2">
        <f t="shared" si="41"/>
        <v>1</v>
      </c>
      <c r="K568" s="2">
        <f t="shared" si="42"/>
        <v>2024</v>
      </c>
      <c r="L568" s="2">
        <f t="shared" si="43"/>
        <v>1</v>
      </c>
      <c r="M568" s="2">
        <v>0</v>
      </c>
      <c r="N568" s="2" t="s">
        <v>1674</v>
      </c>
      <c r="O568" s="2" t="s">
        <v>62</v>
      </c>
      <c r="P568" s="3">
        <v>428264</v>
      </c>
      <c r="Q568" s="2"/>
      <c r="R568" s="2"/>
      <c r="S568" s="2" t="s">
        <v>28</v>
      </c>
      <c r="T568" s="2">
        <v>19</v>
      </c>
      <c r="U568" s="2" t="s">
        <v>47</v>
      </c>
      <c r="V568" s="2" t="s">
        <v>487</v>
      </c>
      <c r="W568" s="67" t="str">
        <f t="shared" si="44"/>
        <v>-</v>
      </c>
    </row>
    <row r="569" spans="1:23" x14ac:dyDescent="0.3">
      <c r="A569" s="4" t="s">
        <v>1726</v>
      </c>
      <c r="B569" s="4" t="s">
        <v>1727</v>
      </c>
      <c r="C569" s="4">
        <v>9243372740</v>
      </c>
      <c r="D569" s="4" t="s">
        <v>51</v>
      </c>
      <c r="E569" s="4" t="s">
        <v>41</v>
      </c>
      <c r="F569" s="4" t="s">
        <v>151</v>
      </c>
      <c r="G569" s="4" t="s">
        <v>1609</v>
      </c>
      <c r="H569" s="4" t="s">
        <v>1656</v>
      </c>
      <c r="I569" s="2" t="str">
        <f t="shared" si="40"/>
        <v>Jan</v>
      </c>
      <c r="J569" s="2">
        <f t="shared" si="41"/>
        <v>1</v>
      </c>
      <c r="K569" s="2">
        <f t="shared" si="42"/>
        <v>2024</v>
      </c>
      <c r="L569" s="2">
        <f t="shared" si="43"/>
        <v>1</v>
      </c>
      <c r="M569" s="4">
        <v>6</v>
      </c>
      <c r="N569" s="4" t="s">
        <v>1562</v>
      </c>
      <c r="O569" s="4" t="s">
        <v>62</v>
      </c>
      <c r="P569" s="5">
        <v>280719</v>
      </c>
      <c r="Q569" s="4"/>
      <c r="R569" s="4"/>
      <c r="S569" s="4" t="s">
        <v>1063</v>
      </c>
      <c r="T569" s="4">
        <v>36.9</v>
      </c>
      <c r="U569" s="4" t="s">
        <v>47</v>
      </c>
      <c r="V569" s="4" t="s">
        <v>212</v>
      </c>
      <c r="W569" s="67" t="str">
        <f t="shared" si="44"/>
        <v>-</v>
      </c>
    </row>
    <row r="570" spans="1:23" x14ac:dyDescent="0.3">
      <c r="A570" s="2" t="s">
        <v>1728</v>
      </c>
      <c r="B570" s="2" t="s">
        <v>1729</v>
      </c>
      <c r="C570" s="2">
        <v>9198774376</v>
      </c>
      <c r="D570" s="2" t="s">
        <v>121</v>
      </c>
      <c r="E570" s="2" t="s">
        <v>67</v>
      </c>
      <c r="F570" s="2" t="s">
        <v>68</v>
      </c>
      <c r="G570" s="2" t="s">
        <v>643</v>
      </c>
      <c r="H570" s="2" t="s">
        <v>1466</v>
      </c>
      <c r="I570" s="2" t="str">
        <f t="shared" si="40"/>
        <v>Jan</v>
      </c>
      <c r="J570" s="2">
        <f t="shared" si="41"/>
        <v>1</v>
      </c>
      <c r="K570" s="2">
        <f t="shared" si="42"/>
        <v>2024</v>
      </c>
      <c r="L570" s="2">
        <f t="shared" si="43"/>
        <v>1</v>
      </c>
      <c r="M570" s="2">
        <v>3</v>
      </c>
      <c r="N570" s="2" t="s">
        <v>1666</v>
      </c>
      <c r="O570" s="2" t="s">
        <v>27</v>
      </c>
      <c r="P570" s="3">
        <v>878013</v>
      </c>
      <c r="Q570" s="2"/>
      <c r="R570" s="2"/>
      <c r="S570" s="2" t="s">
        <v>28</v>
      </c>
      <c r="T570" s="2">
        <v>43.5</v>
      </c>
      <c r="U570" s="2" t="s">
        <v>29</v>
      </c>
      <c r="V570" s="2" t="s">
        <v>202</v>
      </c>
      <c r="W570" s="67" t="str">
        <f t="shared" si="44"/>
        <v>-</v>
      </c>
    </row>
    <row r="571" spans="1:23" x14ac:dyDescent="0.3">
      <c r="A571" s="4" t="s">
        <v>1730</v>
      </c>
      <c r="B571" s="4" t="s">
        <v>974</v>
      </c>
      <c r="C571" s="4">
        <v>9461464967</v>
      </c>
      <c r="D571" s="4" t="s">
        <v>59</v>
      </c>
      <c r="E571" s="4" t="s">
        <v>73</v>
      </c>
      <c r="F571" s="4" t="s">
        <v>74</v>
      </c>
      <c r="G571" s="4" t="s">
        <v>23</v>
      </c>
      <c r="H571" s="4" t="s">
        <v>1466</v>
      </c>
      <c r="I571" s="2" t="str">
        <f t="shared" si="40"/>
        <v>Jan</v>
      </c>
      <c r="J571" s="2">
        <f t="shared" si="41"/>
        <v>1</v>
      </c>
      <c r="K571" s="2">
        <f t="shared" si="42"/>
        <v>2024</v>
      </c>
      <c r="L571" s="2">
        <f t="shared" si="43"/>
        <v>1</v>
      </c>
      <c r="M571" s="4">
        <v>3</v>
      </c>
      <c r="N571" s="4" t="s">
        <v>1732</v>
      </c>
      <c r="O571" s="4" t="s">
        <v>27</v>
      </c>
      <c r="P571" s="5">
        <v>370835</v>
      </c>
      <c r="Q571" s="4"/>
      <c r="R571" s="4"/>
      <c r="S571" s="4" t="s">
        <v>1063</v>
      </c>
      <c r="T571" s="4">
        <v>19.899999999999999</v>
      </c>
      <c r="U571" s="4" t="s">
        <v>29</v>
      </c>
      <c r="V571" s="4" t="s">
        <v>153</v>
      </c>
      <c r="W571" s="67" t="str">
        <f t="shared" si="44"/>
        <v>-</v>
      </c>
    </row>
    <row r="572" spans="1:23" x14ac:dyDescent="0.3">
      <c r="A572" s="6" t="s">
        <v>1733</v>
      </c>
      <c r="B572" s="6" t="s">
        <v>1734</v>
      </c>
      <c r="C572" s="6">
        <v>9814318528</v>
      </c>
      <c r="D572" s="6" t="s">
        <v>51</v>
      </c>
      <c r="E572" s="6" t="s">
        <v>641</v>
      </c>
      <c r="F572" s="6" t="s">
        <v>642</v>
      </c>
      <c r="G572" s="6" t="s">
        <v>1735</v>
      </c>
      <c r="H572" s="6" t="s">
        <v>1466</v>
      </c>
      <c r="I572" s="2" t="str">
        <f t="shared" si="40"/>
        <v>Jan</v>
      </c>
      <c r="J572" s="2">
        <f t="shared" si="41"/>
        <v>1</v>
      </c>
      <c r="K572" s="2">
        <f t="shared" si="42"/>
        <v>2024</v>
      </c>
      <c r="L572" s="2">
        <f t="shared" si="43"/>
        <v>1</v>
      </c>
      <c r="M572" s="6">
        <v>1</v>
      </c>
      <c r="N572" s="6" t="s">
        <v>1537</v>
      </c>
      <c r="O572" s="6" t="s">
        <v>97</v>
      </c>
      <c r="P572" s="7">
        <v>1330142</v>
      </c>
      <c r="Q572" s="7">
        <v>1190327</v>
      </c>
      <c r="R572" s="6" t="s">
        <v>1588</v>
      </c>
      <c r="S572" s="6" t="s">
        <v>1063</v>
      </c>
      <c r="T572" s="6">
        <v>30</v>
      </c>
      <c r="U572" s="6" t="s">
        <v>63</v>
      </c>
      <c r="V572" s="6" t="s">
        <v>113</v>
      </c>
      <c r="W572" s="67" t="str">
        <f t="shared" si="44"/>
        <v>Customer</v>
      </c>
    </row>
    <row r="573" spans="1:23" x14ac:dyDescent="0.3">
      <c r="A573" s="4" t="s">
        <v>1736</v>
      </c>
      <c r="B573" s="4" t="s">
        <v>1737</v>
      </c>
      <c r="C573" s="4">
        <v>9716799441</v>
      </c>
      <c r="D573" s="4" t="s">
        <v>20</v>
      </c>
      <c r="E573" s="4" t="s">
        <v>41</v>
      </c>
      <c r="F573" s="4" t="s">
        <v>42</v>
      </c>
      <c r="G573" s="4" t="s">
        <v>60</v>
      </c>
      <c r="H573" s="4" t="s">
        <v>1466</v>
      </c>
      <c r="I573" s="2" t="str">
        <f t="shared" si="40"/>
        <v>Jan</v>
      </c>
      <c r="J573" s="2">
        <f t="shared" si="41"/>
        <v>1</v>
      </c>
      <c r="K573" s="2">
        <f t="shared" si="42"/>
        <v>2024</v>
      </c>
      <c r="L573" s="2">
        <f t="shared" si="43"/>
        <v>1</v>
      </c>
      <c r="M573" s="4">
        <v>1</v>
      </c>
      <c r="N573" s="4" t="s">
        <v>1602</v>
      </c>
      <c r="O573" s="4" t="s">
        <v>62</v>
      </c>
      <c r="P573" s="5">
        <v>57970</v>
      </c>
      <c r="Q573" s="4"/>
      <c r="R573" s="4"/>
      <c r="S573" s="4" t="s">
        <v>5819</v>
      </c>
      <c r="T573" s="4">
        <v>47.9</v>
      </c>
      <c r="U573" s="4" t="s">
        <v>47</v>
      </c>
      <c r="V573" s="4" t="s">
        <v>310</v>
      </c>
      <c r="W573" s="67" t="str">
        <f t="shared" si="44"/>
        <v>-</v>
      </c>
    </row>
    <row r="574" spans="1:23" x14ac:dyDescent="0.3">
      <c r="A574" s="2" t="s">
        <v>1738</v>
      </c>
      <c r="B574" s="2" t="s">
        <v>1739</v>
      </c>
      <c r="C574" s="2">
        <v>9466631819</v>
      </c>
      <c r="D574" s="2" t="s">
        <v>20</v>
      </c>
      <c r="E574" s="2" t="s">
        <v>41</v>
      </c>
      <c r="F574" s="2" t="s">
        <v>151</v>
      </c>
      <c r="G574" s="2" t="s">
        <v>23</v>
      </c>
      <c r="H574" s="2" t="s">
        <v>1611</v>
      </c>
      <c r="I574" s="2" t="str">
        <f t="shared" si="40"/>
        <v>Jan</v>
      </c>
      <c r="J574" s="2">
        <f t="shared" si="41"/>
        <v>1</v>
      </c>
      <c r="K574" s="2">
        <f t="shared" si="42"/>
        <v>2024</v>
      </c>
      <c r="L574" s="2">
        <f t="shared" si="43"/>
        <v>1</v>
      </c>
      <c r="M574" s="2">
        <v>4</v>
      </c>
      <c r="N574" s="2" t="s">
        <v>1740</v>
      </c>
      <c r="O574" s="2" t="s">
        <v>27</v>
      </c>
      <c r="P574" s="3">
        <v>739030</v>
      </c>
      <c r="Q574" s="2"/>
      <c r="R574" s="2"/>
      <c r="S574" s="2" t="s">
        <v>28</v>
      </c>
      <c r="T574" s="2">
        <v>9.1</v>
      </c>
      <c r="U574" s="2" t="s">
        <v>29</v>
      </c>
      <c r="V574" s="2" t="s">
        <v>163</v>
      </c>
      <c r="W574" s="67" t="str">
        <f t="shared" si="44"/>
        <v>-</v>
      </c>
    </row>
    <row r="575" spans="1:23" x14ac:dyDescent="0.3">
      <c r="A575" s="6" t="s">
        <v>1741</v>
      </c>
      <c r="B575" s="6" t="s">
        <v>1742</v>
      </c>
      <c r="C575" s="6">
        <v>9141674854</v>
      </c>
      <c r="D575" s="6" t="s">
        <v>108</v>
      </c>
      <c r="E575" s="6" t="s">
        <v>641</v>
      </c>
      <c r="F575" s="6" t="s">
        <v>681</v>
      </c>
      <c r="G575" s="6" t="s">
        <v>87</v>
      </c>
      <c r="H575" s="6" t="s">
        <v>1611</v>
      </c>
      <c r="I575" s="2" t="str">
        <f t="shared" si="40"/>
        <v>Jan</v>
      </c>
      <c r="J575" s="2">
        <f t="shared" si="41"/>
        <v>1</v>
      </c>
      <c r="K575" s="2">
        <f t="shared" si="42"/>
        <v>2024</v>
      </c>
      <c r="L575" s="2">
        <f t="shared" si="43"/>
        <v>1</v>
      </c>
      <c r="M575" s="6">
        <v>6</v>
      </c>
      <c r="N575" s="6" t="s">
        <v>1740</v>
      </c>
      <c r="O575" s="6" t="s">
        <v>97</v>
      </c>
      <c r="P575" s="7">
        <v>230700</v>
      </c>
      <c r="Q575" s="7">
        <v>207903</v>
      </c>
      <c r="R575" s="6" t="s">
        <v>1704</v>
      </c>
      <c r="S575" s="6" t="s">
        <v>1063</v>
      </c>
      <c r="T575" s="6">
        <v>36.200000000000003</v>
      </c>
      <c r="U575" s="6" t="s">
        <v>47</v>
      </c>
      <c r="V575" s="6" t="s">
        <v>99</v>
      </c>
      <c r="W575" s="67" t="str">
        <f t="shared" si="44"/>
        <v>Customer</v>
      </c>
    </row>
    <row r="576" spans="1:23" x14ac:dyDescent="0.3">
      <c r="A576" s="2" t="s">
        <v>1743</v>
      </c>
      <c r="B576" s="2" t="s">
        <v>1744</v>
      </c>
      <c r="C576" s="2">
        <v>9392787282</v>
      </c>
      <c r="D576" s="2" t="s">
        <v>59</v>
      </c>
      <c r="E576" s="2" t="s">
        <v>33</v>
      </c>
      <c r="F576" s="2" t="s">
        <v>102</v>
      </c>
      <c r="G576" s="2" t="s">
        <v>35</v>
      </c>
      <c r="H576" s="2" t="s">
        <v>1710</v>
      </c>
      <c r="I576" s="2" t="str">
        <f t="shared" si="40"/>
        <v>Jan</v>
      </c>
      <c r="J576" s="2">
        <f t="shared" si="41"/>
        <v>1</v>
      </c>
      <c r="K576" s="2">
        <f t="shared" si="42"/>
        <v>2024</v>
      </c>
      <c r="L576" s="2">
        <f t="shared" si="43"/>
        <v>1</v>
      </c>
      <c r="M576" s="2">
        <v>9</v>
      </c>
      <c r="N576" s="2" t="s">
        <v>1745</v>
      </c>
      <c r="O576" s="2" t="s">
        <v>27</v>
      </c>
      <c r="P576" s="3">
        <v>227676</v>
      </c>
      <c r="Q576" s="2"/>
      <c r="R576" s="2"/>
      <c r="S576" s="2" t="s">
        <v>5819</v>
      </c>
      <c r="T576" s="2">
        <v>14</v>
      </c>
      <c r="U576" s="2" t="s">
        <v>29</v>
      </c>
      <c r="V576" s="2" t="s">
        <v>123</v>
      </c>
      <c r="W576" s="67" t="str">
        <f t="shared" si="44"/>
        <v>-</v>
      </c>
    </row>
    <row r="577" spans="1:23" x14ac:dyDescent="0.3">
      <c r="A577" s="6" t="s">
        <v>1746</v>
      </c>
      <c r="B577" s="6" t="s">
        <v>437</v>
      </c>
      <c r="C577" s="6">
        <v>9610674706</v>
      </c>
      <c r="D577" s="6" t="s">
        <v>121</v>
      </c>
      <c r="E577" s="6" t="s">
        <v>648</v>
      </c>
      <c r="F577" s="6" t="s">
        <v>656</v>
      </c>
      <c r="G577" s="6" t="s">
        <v>69</v>
      </c>
      <c r="H577" s="6" t="s">
        <v>1710</v>
      </c>
      <c r="I577" s="2" t="str">
        <f t="shared" si="40"/>
        <v>Jan</v>
      </c>
      <c r="J577" s="2">
        <f t="shared" si="41"/>
        <v>1</v>
      </c>
      <c r="K577" s="2">
        <f t="shared" si="42"/>
        <v>2024</v>
      </c>
      <c r="L577" s="2">
        <f t="shared" si="43"/>
        <v>1</v>
      </c>
      <c r="M577" s="6">
        <v>7</v>
      </c>
      <c r="N577" s="6" t="s">
        <v>1748</v>
      </c>
      <c r="O577" s="6" t="s">
        <v>97</v>
      </c>
      <c r="P577" s="7">
        <v>363665</v>
      </c>
      <c r="Q577" s="7">
        <v>363635</v>
      </c>
      <c r="R577" s="6" t="s">
        <v>1720</v>
      </c>
      <c r="S577" s="6" t="s">
        <v>28</v>
      </c>
      <c r="T577" s="6">
        <v>14.5</v>
      </c>
      <c r="U577" s="6" t="s">
        <v>63</v>
      </c>
      <c r="V577" s="6" t="s">
        <v>907</v>
      </c>
      <c r="W577" s="67" t="str">
        <f t="shared" si="44"/>
        <v>Customer</v>
      </c>
    </row>
    <row r="578" spans="1:23" x14ac:dyDescent="0.3">
      <c r="A578" s="2" t="s">
        <v>1749</v>
      </c>
      <c r="B578" s="2" t="s">
        <v>1750</v>
      </c>
      <c r="C578" s="2">
        <v>9438031505</v>
      </c>
      <c r="D578" s="2" t="s">
        <v>20</v>
      </c>
      <c r="E578" s="2" t="s">
        <v>33</v>
      </c>
      <c r="F578" s="2" t="s">
        <v>34</v>
      </c>
      <c r="G578" s="2" t="s">
        <v>1599</v>
      </c>
      <c r="H578" s="2" t="s">
        <v>1710</v>
      </c>
      <c r="I578" s="2" t="str">
        <f t="shared" ref="I578:I641" si="45">TEXT(H578,"mmm")</f>
        <v>Jan</v>
      </c>
      <c r="J578" s="2">
        <f t="shared" ref="J578:J641" si="46">MONTH(H578)</f>
        <v>1</v>
      </c>
      <c r="K578" s="2">
        <f t="shared" ref="K578:K641" si="47">YEAR(H578)</f>
        <v>2024</v>
      </c>
      <c r="L578" s="2">
        <f t="shared" ref="L578:L641" si="48">ROUNDUP(MONTH(H578)/3,0)</f>
        <v>1</v>
      </c>
      <c r="M578" s="2">
        <v>5</v>
      </c>
      <c r="N578" s="2" t="s">
        <v>1683</v>
      </c>
      <c r="O578" s="2" t="s">
        <v>45</v>
      </c>
      <c r="P578" s="3">
        <v>685328</v>
      </c>
      <c r="Q578" s="2"/>
      <c r="R578" s="2"/>
      <c r="S578" s="2" t="s">
        <v>28</v>
      </c>
      <c r="T578" s="2">
        <v>28</v>
      </c>
      <c r="U578" s="2" t="s">
        <v>63</v>
      </c>
      <c r="V578" s="2" t="s">
        <v>678</v>
      </c>
      <c r="W578" s="67" t="str">
        <f t="shared" ref="W578:W641" si="49">IF($O578&lt;&gt;"Converted","-",IF(ISNUMBER(SEARCH("Architect",$F578)),"Architect","Customer"))</f>
        <v>-</v>
      </c>
    </row>
    <row r="579" spans="1:23" x14ac:dyDescent="0.3">
      <c r="A579" s="4" t="s">
        <v>1751</v>
      </c>
      <c r="B579" s="4" t="s">
        <v>1752</v>
      </c>
      <c r="C579" s="4">
        <v>9185909132</v>
      </c>
      <c r="D579" s="4" t="s">
        <v>20</v>
      </c>
      <c r="E579" s="4" t="s">
        <v>21</v>
      </c>
      <c r="F579" s="4" t="s">
        <v>160</v>
      </c>
      <c r="G579" s="4" t="s">
        <v>643</v>
      </c>
      <c r="H579" s="4" t="s">
        <v>1710</v>
      </c>
      <c r="I579" s="2" t="str">
        <f t="shared" si="45"/>
        <v>Jan</v>
      </c>
      <c r="J579" s="2">
        <f t="shared" si="46"/>
        <v>1</v>
      </c>
      <c r="K579" s="2">
        <f t="shared" si="47"/>
        <v>2024</v>
      </c>
      <c r="L579" s="2">
        <f t="shared" si="48"/>
        <v>1</v>
      </c>
      <c r="M579" s="4">
        <v>6</v>
      </c>
      <c r="N579" s="4" t="s">
        <v>1753</v>
      </c>
      <c r="O579" s="4" t="s">
        <v>45</v>
      </c>
      <c r="P579" s="5">
        <v>1269880</v>
      </c>
      <c r="Q579" s="4"/>
      <c r="R579" s="4"/>
      <c r="S579" s="4" t="s">
        <v>1063</v>
      </c>
      <c r="T579" s="4">
        <v>6.2</v>
      </c>
      <c r="U579" s="4" t="s">
        <v>29</v>
      </c>
      <c r="V579" s="4" t="s">
        <v>589</v>
      </c>
      <c r="W579" s="67" t="str">
        <f t="shared" si="49"/>
        <v>-</v>
      </c>
    </row>
    <row r="580" spans="1:23" x14ac:dyDescent="0.3">
      <c r="A580" s="6" t="s">
        <v>1754</v>
      </c>
      <c r="B580" s="6" t="s">
        <v>1755</v>
      </c>
      <c r="C580" s="6">
        <v>9696300619</v>
      </c>
      <c r="D580" s="6" t="s">
        <v>108</v>
      </c>
      <c r="E580" s="6" t="s">
        <v>41</v>
      </c>
      <c r="F580" s="6" t="s">
        <v>42</v>
      </c>
      <c r="G580" s="6" t="s">
        <v>643</v>
      </c>
      <c r="H580" s="6" t="s">
        <v>1710</v>
      </c>
      <c r="I580" s="2" t="str">
        <f t="shared" si="45"/>
        <v>Jan</v>
      </c>
      <c r="J580" s="2">
        <f t="shared" si="46"/>
        <v>1</v>
      </c>
      <c r="K580" s="2">
        <f t="shared" si="47"/>
        <v>2024</v>
      </c>
      <c r="L580" s="2">
        <f t="shared" si="48"/>
        <v>1</v>
      </c>
      <c r="M580" s="6">
        <v>2</v>
      </c>
      <c r="N580" s="6" t="s">
        <v>1614</v>
      </c>
      <c r="O580" s="6" t="s">
        <v>97</v>
      </c>
      <c r="P580" s="7">
        <v>865279</v>
      </c>
      <c r="Q580" s="7">
        <v>878629</v>
      </c>
      <c r="R580" s="6" t="s">
        <v>1606</v>
      </c>
      <c r="S580" s="6" t="s">
        <v>28</v>
      </c>
      <c r="T580" s="6">
        <v>15.2</v>
      </c>
      <c r="U580" s="6" t="s">
        <v>47</v>
      </c>
      <c r="V580" s="6" t="s">
        <v>99</v>
      </c>
      <c r="W580" s="67" t="str">
        <f t="shared" si="49"/>
        <v>Customer</v>
      </c>
    </row>
    <row r="581" spans="1:23" x14ac:dyDescent="0.3">
      <c r="A581" s="6" t="s">
        <v>1756</v>
      </c>
      <c r="B581" s="6" t="s">
        <v>1757</v>
      </c>
      <c r="C581" s="6">
        <v>9145049471</v>
      </c>
      <c r="D581" s="6" t="s">
        <v>59</v>
      </c>
      <c r="E581" s="6" t="s">
        <v>41</v>
      </c>
      <c r="F581" s="6" t="s">
        <v>42</v>
      </c>
      <c r="G581" s="6" t="s">
        <v>87</v>
      </c>
      <c r="H581" s="6" t="s">
        <v>1710</v>
      </c>
      <c r="I581" s="2" t="str">
        <f t="shared" si="45"/>
        <v>Jan</v>
      </c>
      <c r="J581" s="2">
        <f t="shared" si="46"/>
        <v>1</v>
      </c>
      <c r="K581" s="2">
        <f t="shared" si="47"/>
        <v>2024</v>
      </c>
      <c r="L581" s="2">
        <f t="shared" si="48"/>
        <v>1</v>
      </c>
      <c r="M581" s="6">
        <v>10</v>
      </c>
      <c r="N581" s="6" t="s">
        <v>1580</v>
      </c>
      <c r="O581" s="6" t="s">
        <v>97</v>
      </c>
      <c r="P581" s="7">
        <v>275873</v>
      </c>
      <c r="Q581" s="7">
        <v>243629</v>
      </c>
      <c r="R581" s="6" t="s">
        <v>1732</v>
      </c>
      <c r="S581" s="6" t="s">
        <v>28</v>
      </c>
      <c r="T581" s="6">
        <v>3.3</v>
      </c>
      <c r="U581" s="6" t="s">
        <v>63</v>
      </c>
      <c r="V581" s="6" t="s">
        <v>286</v>
      </c>
      <c r="W581" s="67" t="str">
        <f t="shared" si="49"/>
        <v>Customer</v>
      </c>
    </row>
    <row r="582" spans="1:23" x14ac:dyDescent="0.3">
      <c r="A582" s="2" t="s">
        <v>1758</v>
      </c>
      <c r="B582" s="2" t="s">
        <v>974</v>
      </c>
      <c r="C582" s="2">
        <v>9175981291</v>
      </c>
      <c r="D582" s="2" t="s">
        <v>108</v>
      </c>
      <c r="E582" s="2" t="s">
        <v>1632</v>
      </c>
      <c r="F582" s="2" t="s">
        <v>1659</v>
      </c>
      <c r="G582" s="2" t="s">
        <v>69</v>
      </c>
      <c r="H582" s="2" t="s">
        <v>1731</v>
      </c>
      <c r="I582" s="2" t="str">
        <f t="shared" si="45"/>
        <v>Jan</v>
      </c>
      <c r="J582" s="2">
        <f t="shared" si="46"/>
        <v>1</v>
      </c>
      <c r="K582" s="2">
        <f t="shared" si="47"/>
        <v>2024</v>
      </c>
      <c r="L582" s="2">
        <f t="shared" si="48"/>
        <v>1</v>
      </c>
      <c r="M582" s="2">
        <v>11</v>
      </c>
      <c r="N582" s="2" t="s">
        <v>1759</v>
      </c>
      <c r="O582" s="2" t="s">
        <v>62</v>
      </c>
      <c r="P582" s="3">
        <v>217073</v>
      </c>
      <c r="Q582" s="2"/>
      <c r="R582" s="2"/>
      <c r="S582" s="2" t="s">
        <v>5819</v>
      </c>
      <c r="T582" s="2">
        <v>27.5</v>
      </c>
      <c r="U582" s="2" t="s">
        <v>29</v>
      </c>
      <c r="V582" s="2" t="s">
        <v>389</v>
      </c>
      <c r="W582" s="67" t="str">
        <f t="shared" si="49"/>
        <v>-</v>
      </c>
    </row>
    <row r="583" spans="1:23" x14ac:dyDescent="0.3">
      <c r="A583" s="4" t="s">
        <v>1760</v>
      </c>
      <c r="B583" s="4" t="s">
        <v>1761</v>
      </c>
      <c r="C583" s="4">
        <v>9185412831</v>
      </c>
      <c r="D583" s="4" t="s">
        <v>20</v>
      </c>
      <c r="E583" s="4" t="s">
        <v>109</v>
      </c>
      <c r="F583" s="4" t="s">
        <v>217</v>
      </c>
      <c r="G583" s="4" t="s">
        <v>52</v>
      </c>
      <c r="H583" s="4" t="s">
        <v>1731</v>
      </c>
      <c r="I583" s="2" t="str">
        <f t="shared" si="45"/>
        <v>Jan</v>
      </c>
      <c r="J583" s="2">
        <f t="shared" si="46"/>
        <v>1</v>
      </c>
      <c r="K583" s="2">
        <f t="shared" si="47"/>
        <v>2024</v>
      </c>
      <c r="L583" s="2">
        <f t="shared" si="48"/>
        <v>1</v>
      </c>
      <c r="M583" s="4">
        <v>3</v>
      </c>
      <c r="N583" s="4" t="s">
        <v>1638</v>
      </c>
      <c r="O583" s="4" t="s">
        <v>27</v>
      </c>
      <c r="P583" s="5">
        <v>409971</v>
      </c>
      <c r="Q583" s="4"/>
      <c r="R583" s="4"/>
      <c r="S583" s="4" t="s">
        <v>5819</v>
      </c>
      <c r="T583" s="4">
        <v>23.6</v>
      </c>
      <c r="U583" s="4" t="s">
        <v>29</v>
      </c>
      <c r="V583" s="4" t="s">
        <v>118</v>
      </c>
      <c r="W583" s="67" t="str">
        <f t="shared" si="49"/>
        <v>-</v>
      </c>
    </row>
    <row r="584" spans="1:23" x14ac:dyDescent="0.3">
      <c r="A584" s="6" t="s">
        <v>1762</v>
      </c>
      <c r="B584" s="6" t="s">
        <v>120</v>
      </c>
      <c r="C584" s="6">
        <v>9257030842</v>
      </c>
      <c r="D584" s="6" t="s">
        <v>108</v>
      </c>
      <c r="E584" s="6" t="s">
        <v>641</v>
      </c>
      <c r="F584" s="6" t="s">
        <v>727</v>
      </c>
      <c r="G584" s="6" t="s">
        <v>643</v>
      </c>
      <c r="H584" s="6" t="s">
        <v>1731</v>
      </c>
      <c r="I584" s="2" t="str">
        <f t="shared" si="45"/>
        <v>Jan</v>
      </c>
      <c r="J584" s="2">
        <f t="shared" si="46"/>
        <v>1</v>
      </c>
      <c r="K584" s="2">
        <f t="shared" si="47"/>
        <v>2024</v>
      </c>
      <c r="L584" s="2">
        <f t="shared" si="48"/>
        <v>1</v>
      </c>
      <c r="M584" s="6">
        <v>4</v>
      </c>
      <c r="N584" s="6" t="s">
        <v>1763</v>
      </c>
      <c r="O584" s="6" t="s">
        <v>97</v>
      </c>
      <c r="P584" s="7">
        <v>886274</v>
      </c>
      <c r="Q584" s="7">
        <v>866992</v>
      </c>
      <c r="R584" s="6" t="s">
        <v>1764</v>
      </c>
      <c r="S584" s="6" t="s">
        <v>5819</v>
      </c>
      <c r="T584" s="6">
        <v>39.6</v>
      </c>
      <c r="U584" s="6" t="s">
        <v>47</v>
      </c>
      <c r="V584" s="6" t="s">
        <v>295</v>
      </c>
      <c r="W584" s="67" t="str">
        <f t="shared" si="49"/>
        <v>Customer</v>
      </c>
    </row>
    <row r="585" spans="1:23" x14ac:dyDescent="0.3">
      <c r="A585" s="4" t="s">
        <v>1765</v>
      </c>
      <c r="B585" s="4" t="s">
        <v>1766</v>
      </c>
      <c r="C585" s="4">
        <v>9228233515</v>
      </c>
      <c r="D585" s="4" t="s">
        <v>59</v>
      </c>
      <c r="E585" s="4" t="s">
        <v>1632</v>
      </c>
      <c r="F585" s="4" t="s">
        <v>1682</v>
      </c>
      <c r="G585" s="4" t="s">
        <v>1677</v>
      </c>
      <c r="H585" s="4" t="s">
        <v>1537</v>
      </c>
      <c r="I585" s="2" t="str">
        <f t="shared" si="45"/>
        <v>Jan</v>
      </c>
      <c r="J585" s="2">
        <f t="shared" si="46"/>
        <v>1</v>
      </c>
      <c r="K585" s="2">
        <f t="shared" si="47"/>
        <v>2024</v>
      </c>
      <c r="L585" s="2">
        <f t="shared" si="48"/>
        <v>1</v>
      </c>
      <c r="M585" s="4">
        <v>2</v>
      </c>
      <c r="N585" s="4" t="s">
        <v>1575</v>
      </c>
      <c r="O585" s="4" t="s">
        <v>62</v>
      </c>
      <c r="P585" s="5">
        <v>946009</v>
      </c>
      <c r="Q585" s="4"/>
      <c r="R585" s="4"/>
      <c r="S585" s="4" t="s">
        <v>28</v>
      </c>
      <c r="T585" s="4">
        <v>8.1999999999999993</v>
      </c>
      <c r="U585" s="4" t="s">
        <v>29</v>
      </c>
      <c r="V585" s="4" t="s">
        <v>589</v>
      </c>
      <c r="W585" s="67" t="str">
        <f t="shared" si="49"/>
        <v>-</v>
      </c>
    </row>
    <row r="586" spans="1:23" x14ac:dyDescent="0.3">
      <c r="A586" s="6" t="s">
        <v>1767</v>
      </c>
      <c r="B586" s="6" t="s">
        <v>1557</v>
      </c>
      <c r="C586" s="6">
        <v>9369919207</v>
      </c>
      <c r="D586" s="6" t="s">
        <v>59</v>
      </c>
      <c r="E586" s="6" t="s">
        <v>33</v>
      </c>
      <c r="F586" s="6" t="s">
        <v>201</v>
      </c>
      <c r="G586" s="6" t="s">
        <v>1599</v>
      </c>
      <c r="H586" s="6" t="s">
        <v>1537</v>
      </c>
      <c r="I586" s="2" t="str">
        <f t="shared" si="45"/>
        <v>Jan</v>
      </c>
      <c r="J586" s="2">
        <f t="shared" si="46"/>
        <v>1</v>
      </c>
      <c r="K586" s="2">
        <f t="shared" si="47"/>
        <v>2024</v>
      </c>
      <c r="L586" s="2">
        <f t="shared" si="48"/>
        <v>1</v>
      </c>
      <c r="M586" s="6">
        <v>5</v>
      </c>
      <c r="N586" s="6" t="s">
        <v>1562</v>
      </c>
      <c r="O586" s="6" t="s">
        <v>97</v>
      </c>
      <c r="P586" s="7">
        <v>491669</v>
      </c>
      <c r="Q586" s="7">
        <v>473011</v>
      </c>
      <c r="R586" s="6" t="s">
        <v>1691</v>
      </c>
      <c r="S586" s="6" t="s">
        <v>28</v>
      </c>
      <c r="T586" s="6">
        <v>3.4</v>
      </c>
      <c r="U586" s="6" t="s">
        <v>63</v>
      </c>
      <c r="V586" s="6" t="s">
        <v>483</v>
      </c>
      <c r="W586" s="67" t="str">
        <f t="shared" si="49"/>
        <v>Customer</v>
      </c>
    </row>
    <row r="587" spans="1:23" x14ac:dyDescent="0.3">
      <c r="A587" s="4" t="s">
        <v>1768</v>
      </c>
      <c r="B587" s="4" t="s">
        <v>1769</v>
      </c>
      <c r="C587" s="4">
        <v>9729581402</v>
      </c>
      <c r="D587" s="4" t="s">
        <v>59</v>
      </c>
      <c r="E587" s="4" t="s">
        <v>33</v>
      </c>
      <c r="F587" s="4" t="s">
        <v>201</v>
      </c>
      <c r="G587" s="4" t="s">
        <v>643</v>
      </c>
      <c r="H587" s="4" t="s">
        <v>1537</v>
      </c>
      <c r="I587" s="2" t="str">
        <f t="shared" si="45"/>
        <v>Jan</v>
      </c>
      <c r="J587" s="2">
        <f t="shared" si="46"/>
        <v>1</v>
      </c>
      <c r="K587" s="2">
        <f t="shared" si="47"/>
        <v>2024</v>
      </c>
      <c r="L587" s="2">
        <f t="shared" si="48"/>
        <v>1</v>
      </c>
      <c r="M587" s="4">
        <v>10</v>
      </c>
      <c r="N587" s="4" t="s">
        <v>1770</v>
      </c>
      <c r="O587" s="4" t="s">
        <v>62</v>
      </c>
      <c r="P587" s="5">
        <v>1039951</v>
      </c>
      <c r="Q587" s="4"/>
      <c r="R587" s="4"/>
      <c r="S587" s="4" t="s">
        <v>28</v>
      </c>
      <c r="T587" s="4">
        <v>32.1</v>
      </c>
      <c r="U587" s="4" t="s">
        <v>29</v>
      </c>
      <c r="V587" s="4" t="s">
        <v>389</v>
      </c>
      <c r="W587" s="67" t="str">
        <f t="shared" si="49"/>
        <v>-</v>
      </c>
    </row>
    <row r="588" spans="1:23" x14ac:dyDescent="0.3">
      <c r="A588" s="2" t="s">
        <v>1771</v>
      </c>
      <c r="B588" s="2" t="s">
        <v>1772</v>
      </c>
      <c r="C588" s="2">
        <v>9644451715</v>
      </c>
      <c r="D588" s="2" t="s">
        <v>59</v>
      </c>
      <c r="E588" s="2" t="s">
        <v>67</v>
      </c>
      <c r="F588" s="2" t="s">
        <v>68</v>
      </c>
      <c r="G588" s="2" t="s">
        <v>643</v>
      </c>
      <c r="H588" s="2" t="s">
        <v>1537</v>
      </c>
      <c r="I588" s="2" t="str">
        <f t="shared" si="45"/>
        <v>Jan</v>
      </c>
      <c r="J588" s="2">
        <f t="shared" si="46"/>
        <v>1</v>
      </c>
      <c r="K588" s="2">
        <f t="shared" si="47"/>
        <v>2024</v>
      </c>
      <c r="L588" s="2">
        <f t="shared" si="48"/>
        <v>1</v>
      </c>
      <c r="M588" s="2">
        <v>12</v>
      </c>
      <c r="N588" s="2" t="s">
        <v>1671</v>
      </c>
      <c r="O588" s="2" t="s">
        <v>27</v>
      </c>
      <c r="P588" s="3">
        <v>1305816</v>
      </c>
      <c r="Q588" s="2"/>
      <c r="R588" s="2"/>
      <c r="S588" s="2" t="s">
        <v>1063</v>
      </c>
      <c r="T588" s="2">
        <v>6.5</v>
      </c>
      <c r="U588" s="2" t="s">
        <v>29</v>
      </c>
      <c r="V588" s="2" t="s">
        <v>105</v>
      </c>
      <c r="W588" s="67" t="str">
        <f t="shared" si="49"/>
        <v>-</v>
      </c>
    </row>
    <row r="589" spans="1:23" x14ac:dyDescent="0.3">
      <c r="A589" s="4" t="s">
        <v>1773</v>
      </c>
      <c r="B589" s="4" t="s">
        <v>1774</v>
      </c>
      <c r="C589" s="4"/>
      <c r="D589" s="4" t="s">
        <v>59</v>
      </c>
      <c r="E589" s="4" t="s">
        <v>1632</v>
      </c>
      <c r="F589" s="4" t="s">
        <v>1633</v>
      </c>
      <c r="G589" s="4" t="s">
        <v>60</v>
      </c>
      <c r="H589" s="4" t="s">
        <v>1537</v>
      </c>
      <c r="I589" s="2" t="str">
        <f t="shared" si="45"/>
        <v>Jan</v>
      </c>
      <c r="J589" s="2">
        <f t="shared" si="46"/>
        <v>1</v>
      </c>
      <c r="K589" s="2">
        <f t="shared" si="47"/>
        <v>2024</v>
      </c>
      <c r="L589" s="2">
        <f t="shared" si="48"/>
        <v>1</v>
      </c>
      <c r="M589" s="4">
        <v>4</v>
      </c>
      <c r="N589" s="4" t="s">
        <v>1775</v>
      </c>
      <c r="O589" s="4" t="s">
        <v>27</v>
      </c>
      <c r="P589" s="5">
        <v>200007</v>
      </c>
      <c r="Q589" s="4"/>
      <c r="R589" s="4"/>
      <c r="S589" s="4" t="s">
        <v>28</v>
      </c>
      <c r="T589" s="4">
        <v>8.8000000000000007</v>
      </c>
      <c r="U589" s="4" t="s">
        <v>29</v>
      </c>
      <c r="V589" s="4" t="s">
        <v>1776</v>
      </c>
      <c r="W589" s="67" t="str">
        <f t="shared" si="49"/>
        <v>-</v>
      </c>
    </row>
    <row r="590" spans="1:23" x14ac:dyDescent="0.3">
      <c r="A590" s="6" t="s">
        <v>1777</v>
      </c>
      <c r="B590" s="6" t="s">
        <v>1778</v>
      </c>
      <c r="C590" s="6">
        <v>9131182529</v>
      </c>
      <c r="D590" s="6" t="s">
        <v>20</v>
      </c>
      <c r="E590" s="6" t="s">
        <v>73</v>
      </c>
      <c r="F590" s="6" t="s">
        <v>126</v>
      </c>
      <c r="G590" s="6" t="s">
        <v>35</v>
      </c>
      <c r="H590" s="6" t="s">
        <v>1537</v>
      </c>
      <c r="I590" s="2" t="str">
        <f t="shared" si="45"/>
        <v>Jan</v>
      </c>
      <c r="J590" s="2">
        <f t="shared" si="46"/>
        <v>1</v>
      </c>
      <c r="K590" s="2">
        <f t="shared" si="47"/>
        <v>2024</v>
      </c>
      <c r="L590" s="2">
        <f t="shared" si="48"/>
        <v>1</v>
      </c>
      <c r="M590" s="6">
        <v>9</v>
      </c>
      <c r="N590" s="6" t="s">
        <v>1779</v>
      </c>
      <c r="O590" s="6" t="s">
        <v>97</v>
      </c>
      <c r="P590" s="7">
        <v>75749</v>
      </c>
      <c r="Q590" s="7">
        <v>74619</v>
      </c>
      <c r="R590" s="6" t="s">
        <v>1780</v>
      </c>
      <c r="S590" s="6" t="s">
        <v>5819</v>
      </c>
      <c r="T590" s="6">
        <v>43.6</v>
      </c>
      <c r="U590" s="6" t="s">
        <v>63</v>
      </c>
      <c r="V590" s="6" t="s">
        <v>243</v>
      </c>
      <c r="W590" s="67" t="str">
        <f t="shared" si="49"/>
        <v>Customer</v>
      </c>
    </row>
    <row r="591" spans="1:23" x14ac:dyDescent="0.3">
      <c r="A591" s="4" t="s">
        <v>1781</v>
      </c>
      <c r="B591" s="4" t="s">
        <v>1782</v>
      </c>
      <c r="C591" s="4">
        <v>9813496434</v>
      </c>
      <c r="D591" s="4" t="s">
        <v>108</v>
      </c>
      <c r="E591" s="4" t="s">
        <v>109</v>
      </c>
      <c r="F591" s="4" t="s">
        <v>331</v>
      </c>
      <c r="G591" s="4" t="s">
        <v>1621</v>
      </c>
      <c r="H591" s="4" t="s">
        <v>1537</v>
      </c>
      <c r="I591" s="2" t="str">
        <f t="shared" si="45"/>
        <v>Jan</v>
      </c>
      <c r="J591" s="2">
        <f t="shared" si="46"/>
        <v>1</v>
      </c>
      <c r="K591" s="2">
        <f t="shared" si="47"/>
        <v>2024</v>
      </c>
      <c r="L591" s="2">
        <f t="shared" si="48"/>
        <v>1</v>
      </c>
      <c r="M591" s="4">
        <v>11</v>
      </c>
      <c r="N591" s="4" t="s">
        <v>1596</v>
      </c>
      <c r="O591" s="4" t="s">
        <v>45</v>
      </c>
      <c r="P591" s="5">
        <v>379119</v>
      </c>
      <c r="Q591" s="4"/>
      <c r="R591" s="4"/>
      <c r="S591" s="4" t="s">
        <v>1063</v>
      </c>
      <c r="T591" s="4">
        <v>34.299999999999997</v>
      </c>
      <c r="U591" s="4" t="s">
        <v>63</v>
      </c>
      <c r="V591" s="4"/>
      <c r="W591" s="67" t="str">
        <f t="shared" si="49"/>
        <v>-</v>
      </c>
    </row>
    <row r="592" spans="1:23" x14ac:dyDescent="0.3">
      <c r="A592" s="2" t="s">
        <v>1783</v>
      </c>
      <c r="B592" s="2" t="s">
        <v>1784</v>
      </c>
      <c r="C592" s="2">
        <v>9984039248</v>
      </c>
      <c r="D592" s="2" t="s">
        <v>51</v>
      </c>
      <c r="E592" s="2" t="s">
        <v>109</v>
      </c>
      <c r="F592" s="2" t="s">
        <v>110</v>
      </c>
      <c r="G592" s="2" t="s">
        <v>643</v>
      </c>
      <c r="H592" s="2" t="s">
        <v>1747</v>
      </c>
      <c r="I592" s="2" t="str">
        <f t="shared" si="45"/>
        <v>Jan</v>
      </c>
      <c r="J592" s="2">
        <f t="shared" si="46"/>
        <v>1</v>
      </c>
      <c r="K592" s="2">
        <f t="shared" si="47"/>
        <v>2024</v>
      </c>
      <c r="L592" s="2">
        <f t="shared" si="48"/>
        <v>1</v>
      </c>
      <c r="M592" s="2">
        <v>4</v>
      </c>
      <c r="N592" s="2" t="s">
        <v>1671</v>
      </c>
      <c r="O592" s="2" t="s">
        <v>45</v>
      </c>
      <c r="P592" s="3">
        <v>932987</v>
      </c>
      <c r="Q592" s="2"/>
      <c r="R592" s="2"/>
      <c r="S592" s="2" t="s">
        <v>28</v>
      </c>
      <c r="T592" s="2">
        <v>3.1</v>
      </c>
      <c r="U592" s="2" t="s">
        <v>47</v>
      </c>
      <c r="V592" s="2" t="s">
        <v>302</v>
      </c>
      <c r="W592" s="67" t="str">
        <f t="shared" si="49"/>
        <v>-</v>
      </c>
    </row>
    <row r="593" spans="1:23" x14ac:dyDescent="0.3">
      <c r="A593" s="4" t="s">
        <v>1785</v>
      </c>
      <c r="B593" s="4" t="s">
        <v>1786</v>
      </c>
      <c r="C593" s="4">
        <v>9660834469</v>
      </c>
      <c r="D593" s="4" t="s">
        <v>59</v>
      </c>
      <c r="E593" s="4" t="s">
        <v>109</v>
      </c>
      <c r="F593" s="4" t="s">
        <v>331</v>
      </c>
      <c r="G593" s="4" t="s">
        <v>1599</v>
      </c>
      <c r="H593" s="4" t="s">
        <v>1747</v>
      </c>
      <c r="I593" s="2" t="str">
        <f t="shared" si="45"/>
        <v>Jan</v>
      </c>
      <c r="J593" s="2">
        <f t="shared" si="46"/>
        <v>1</v>
      </c>
      <c r="K593" s="2">
        <f t="shared" si="47"/>
        <v>2024</v>
      </c>
      <c r="L593" s="2">
        <f t="shared" si="48"/>
        <v>1</v>
      </c>
      <c r="M593" s="4">
        <v>4</v>
      </c>
      <c r="N593" s="4" t="s">
        <v>1704</v>
      </c>
      <c r="O593" s="4" t="s">
        <v>45</v>
      </c>
      <c r="P593" s="5">
        <v>979202</v>
      </c>
      <c r="Q593" s="4"/>
      <c r="R593" s="4"/>
      <c r="S593" s="4" t="s">
        <v>5819</v>
      </c>
      <c r="T593" s="4">
        <v>11.2</v>
      </c>
      <c r="U593" s="4" t="s">
        <v>63</v>
      </c>
      <c r="V593" s="4" t="s">
        <v>621</v>
      </c>
      <c r="W593" s="67" t="str">
        <f t="shared" si="49"/>
        <v>-</v>
      </c>
    </row>
    <row r="594" spans="1:23" x14ac:dyDescent="0.3">
      <c r="A594" s="2" t="s">
        <v>1787</v>
      </c>
      <c r="B594" s="2" t="s">
        <v>1788</v>
      </c>
      <c r="C594" s="2">
        <v>9646936159</v>
      </c>
      <c r="D594" s="2" t="s">
        <v>59</v>
      </c>
      <c r="E594" s="2" t="s">
        <v>41</v>
      </c>
      <c r="F594" s="2" t="s">
        <v>42</v>
      </c>
      <c r="G594" s="2" t="s">
        <v>643</v>
      </c>
      <c r="H594" s="2" t="s">
        <v>1747</v>
      </c>
      <c r="I594" s="2" t="str">
        <f t="shared" si="45"/>
        <v>Jan</v>
      </c>
      <c r="J594" s="2">
        <f t="shared" si="46"/>
        <v>1</v>
      </c>
      <c r="K594" s="2">
        <f t="shared" si="47"/>
        <v>2024</v>
      </c>
      <c r="L594" s="2">
        <f t="shared" si="48"/>
        <v>1</v>
      </c>
      <c r="M594" s="2">
        <v>11</v>
      </c>
      <c r="N594" s="2" t="s">
        <v>1721</v>
      </c>
      <c r="O594" s="2" t="s">
        <v>45</v>
      </c>
      <c r="P594" s="3">
        <v>752800</v>
      </c>
      <c r="Q594" s="2"/>
      <c r="R594" s="2"/>
      <c r="S594" s="2" t="s">
        <v>28</v>
      </c>
      <c r="T594" s="2">
        <v>7.3</v>
      </c>
      <c r="U594" s="2" t="s">
        <v>47</v>
      </c>
      <c r="V594" s="2" t="s">
        <v>174</v>
      </c>
      <c r="W594" s="67" t="str">
        <f t="shared" si="49"/>
        <v>-</v>
      </c>
    </row>
    <row r="595" spans="1:23" x14ac:dyDescent="0.3">
      <c r="A595" s="4" t="s">
        <v>1789</v>
      </c>
      <c r="B595" s="4" t="s">
        <v>1790</v>
      </c>
      <c r="C595" s="4">
        <v>9905236512</v>
      </c>
      <c r="D595" s="4" t="s">
        <v>20</v>
      </c>
      <c r="E595" s="4" t="s">
        <v>1632</v>
      </c>
      <c r="F595" s="4" t="s">
        <v>1717</v>
      </c>
      <c r="G595" s="4" t="s">
        <v>60</v>
      </c>
      <c r="H595" s="4" t="s">
        <v>1747</v>
      </c>
      <c r="I595" s="2" t="str">
        <f t="shared" si="45"/>
        <v>Jan</v>
      </c>
      <c r="J595" s="2">
        <f t="shared" si="46"/>
        <v>1</v>
      </c>
      <c r="K595" s="2">
        <f t="shared" si="47"/>
        <v>2024</v>
      </c>
      <c r="L595" s="2">
        <f t="shared" si="48"/>
        <v>1</v>
      </c>
      <c r="M595" s="4">
        <v>0</v>
      </c>
      <c r="N595" s="4" t="s">
        <v>1740</v>
      </c>
      <c r="O595" s="4" t="s">
        <v>62</v>
      </c>
      <c r="P595" s="5">
        <v>176666</v>
      </c>
      <c r="Q595" s="4"/>
      <c r="R595" s="4"/>
      <c r="S595" s="4" t="s">
        <v>1063</v>
      </c>
      <c r="T595" s="4">
        <v>20.7</v>
      </c>
      <c r="U595" s="4" t="s">
        <v>47</v>
      </c>
      <c r="V595" s="4" t="s">
        <v>381</v>
      </c>
      <c r="W595" s="67" t="str">
        <f t="shared" si="49"/>
        <v>-</v>
      </c>
    </row>
    <row r="596" spans="1:23" x14ac:dyDescent="0.3">
      <c r="A596" s="2" t="s">
        <v>1791</v>
      </c>
      <c r="B596" s="2" t="s">
        <v>1792</v>
      </c>
      <c r="C596" s="2">
        <v>9907292889</v>
      </c>
      <c r="D596" s="2" t="s">
        <v>108</v>
      </c>
      <c r="E596" s="2" t="s">
        <v>641</v>
      </c>
      <c r="F596" s="2" t="s">
        <v>727</v>
      </c>
      <c r="G596" s="2" t="s">
        <v>52</v>
      </c>
      <c r="H596" s="2" t="s">
        <v>1747</v>
      </c>
      <c r="I596" s="2" t="str">
        <f t="shared" si="45"/>
        <v>Jan</v>
      </c>
      <c r="J596" s="2">
        <f t="shared" si="46"/>
        <v>1</v>
      </c>
      <c r="K596" s="2">
        <f t="shared" si="47"/>
        <v>2024</v>
      </c>
      <c r="L596" s="2">
        <f t="shared" si="48"/>
        <v>1</v>
      </c>
      <c r="M596" s="2">
        <v>9</v>
      </c>
      <c r="N596" s="2" t="s">
        <v>1793</v>
      </c>
      <c r="O596" s="2" t="s">
        <v>27</v>
      </c>
      <c r="P596" s="3">
        <v>214407</v>
      </c>
      <c r="Q596" s="2"/>
      <c r="R596" s="2"/>
      <c r="S596" s="2" t="s">
        <v>5819</v>
      </c>
      <c r="T596" s="2">
        <v>25.1</v>
      </c>
      <c r="U596" s="2" t="s">
        <v>47</v>
      </c>
      <c r="V596" s="2" t="s">
        <v>163</v>
      </c>
      <c r="W596" s="67" t="str">
        <f t="shared" si="49"/>
        <v>-</v>
      </c>
    </row>
    <row r="597" spans="1:23" x14ac:dyDescent="0.3">
      <c r="A597" s="6" t="s">
        <v>1794</v>
      </c>
      <c r="B597" s="6" t="s">
        <v>1795</v>
      </c>
      <c r="C597" s="6">
        <v>9394495044</v>
      </c>
      <c r="D597" s="6" t="s">
        <v>121</v>
      </c>
      <c r="E597" s="6" t="s">
        <v>41</v>
      </c>
      <c r="F597" s="6" t="s">
        <v>151</v>
      </c>
      <c r="G597" s="6" t="s">
        <v>643</v>
      </c>
      <c r="H597" s="6" t="s">
        <v>1588</v>
      </c>
      <c r="I597" s="2" t="str">
        <f t="shared" si="45"/>
        <v>Jan</v>
      </c>
      <c r="J597" s="2">
        <f t="shared" si="46"/>
        <v>1</v>
      </c>
      <c r="K597" s="2">
        <f t="shared" si="47"/>
        <v>2024</v>
      </c>
      <c r="L597" s="2">
        <f t="shared" si="48"/>
        <v>1</v>
      </c>
      <c r="M597" s="6">
        <v>12</v>
      </c>
      <c r="N597" s="6" t="s">
        <v>1796</v>
      </c>
      <c r="O597" s="6" t="s">
        <v>97</v>
      </c>
      <c r="P597" s="7">
        <v>797943</v>
      </c>
      <c r="Q597" s="7">
        <v>705553</v>
      </c>
      <c r="R597" s="6" t="s">
        <v>1797</v>
      </c>
      <c r="S597" s="6" t="s">
        <v>1063</v>
      </c>
      <c r="T597" s="6">
        <v>5</v>
      </c>
      <c r="U597" s="6" t="s">
        <v>47</v>
      </c>
      <c r="V597" s="6"/>
      <c r="W597" s="67" t="str">
        <f t="shared" si="49"/>
        <v>Architect</v>
      </c>
    </row>
    <row r="598" spans="1:23" x14ac:dyDescent="0.3">
      <c r="A598" s="2" t="s">
        <v>1798</v>
      </c>
      <c r="B598" s="2" t="s">
        <v>1799</v>
      </c>
      <c r="C598" s="2">
        <v>9387263790</v>
      </c>
      <c r="D598" s="2" t="s">
        <v>20</v>
      </c>
      <c r="E598" s="2" t="s">
        <v>641</v>
      </c>
      <c r="F598" s="2" t="s">
        <v>727</v>
      </c>
      <c r="G598" s="2" t="s">
        <v>60</v>
      </c>
      <c r="H598" s="2" t="s">
        <v>1588</v>
      </c>
      <c r="I598" s="2" t="str">
        <f t="shared" si="45"/>
        <v>Jan</v>
      </c>
      <c r="J598" s="2">
        <f t="shared" si="46"/>
        <v>1</v>
      </c>
      <c r="K598" s="2">
        <f t="shared" si="47"/>
        <v>2024</v>
      </c>
      <c r="L598" s="2">
        <f t="shared" si="48"/>
        <v>1</v>
      </c>
      <c r="M598" s="2">
        <v>4</v>
      </c>
      <c r="N598" s="2" t="s">
        <v>1595</v>
      </c>
      <c r="O598" s="2" t="s">
        <v>45</v>
      </c>
      <c r="P598" s="3">
        <v>178231</v>
      </c>
      <c r="Q598" s="2"/>
      <c r="R598" s="2"/>
      <c r="S598" s="2" t="s">
        <v>5819</v>
      </c>
      <c r="T598" s="2">
        <v>18.2</v>
      </c>
      <c r="U598" s="2" t="s">
        <v>63</v>
      </c>
      <c r="V598" s="2" t="s">
        <v>335</v>
      </c>
      <c r="W598" s="67" t="str">
        <f t="shared" si="49"/>
        <v>-</v>
      </c>
    </row>
    <row r="599" spans="1:23" x14ac:dyDescent="0.3">
      <c r="A599" s="4" t="s">
        <v>1800</v>
      </c>
      <c r="B599" s="4" t="s">
        <v>1801</v>
      </c>
      <c r="C599" s="4">
        <v>9388782987</v>
      </c>
      <c r="D599" s="4" t="s">
        <v>59</v>
      </c>
      <c r="E599" s="4" t="s">
        <v>648</v>
      </c>
      <c r="F599" s="4" t="s">
        <v>649</v>
      </c>
      <c r="G599" s="4" t="s">
        <v>35</v>
      </c>
      <c r="H599" s="4" t="s">
        <v>1588</v>
      </c>
      <c r="I599" s="2" t="str">
        <f t="shared" si="45"/>
        <v>Jan</v>
      </c>
      <c r="J599" s="2">
        <f t="shared" si="46"/>
        <v>1</v>
      </c>
      <c r="K599" s="2">
        <f t="shared" si="47"/>
        <v>2024</v>
      </c>
      <c r="L599" s="2">
        <f t="shared" si="48"/>
        <v>1</v>
      </c>
      <c r="M599" s="4">
        <v>3</v>
      </c>
      <c r="N599" s="4" t="s">
        <v>1638</v>
      </c>
      <c r="O599" s="4" t="s">
        <v>27</v>
      </c>
      <c r="P599" s="5">
        <v>172657</v>
      </c>
      <c r="Q599" s="4"/>
      <c r="R599" s="4"/>
      <c r="S599" s="4" t="s">
        <v>5819</v>
      </c>
      <c r="T599" s="4">
        <v>33.1</v>
      </c>
      <c r="U599" s="4" t="s">
        <v>29</v>
      </c>
      <c r="V599" s="4" t="s">
        <v>163</v>
      </c>
      <c r="W599" s="67" t="str">
        <f t="shared" si="49"/>
        <v>-</v>
      </c>
    </row>
    <row r="600" spans="1:23" x14ac:dyDescent="0.3">
      <c r="A600" s="8" t="s">
        <v>1802</v>
      </c>
      <c r="B600" s="8" t="s">
        <v>1803</v>
      </c>
      <c r="C600" s="8">
        <v>9555571081</v>
      </c>
      <c r="D600" s="8" t="s">
        <v>59</v>
      </c>
      <c r="E600" s="8" t="s">
        <v>641</v>
      </c>
      <c r="F600" s="8" t="s">
        <v>717</v>
      </c>
      <c r="G600" s="8" t="s">
        <v>1599</v>
      </c>
      <c r="H600" s="8" t="s">
        <v>1463</v>
      </c>
      <c r="I600" s="2" t="str">
        <f t="shared" si="45"/>
        <v>Feb</v>
      </c>
      <c r="J600" s="2">
        <f t="shared" si="46"/>
        <v>2</v>
      </c>
      <c r="K600" s="2">
        <f t="shared" si="47"/>
        <v>2024</v>
      </c>
      <c r="L600" s="2">
        <f t="shared" si="48"/>
        <v>1</v>
      </c>
      <c r="M600" s="8">
        <v>10</v>
      </c>
      <c r="N600" s="8" t="s">
        <v>1804</v>
      </c>
      <c r="O600" s="8" t="s">
        <v>45</v>
      </c>
      <c r="P600" s="9">
        <v>677056</v>
      </c>
      <c r="Q600" s="8"/>
      <c r="R600" s="8"/>
      <c r="S600" s="8" t="s">
        <v>1805</v>
      </c>
      <c r="T600" s="8">
        <v>15.8</v>
      </c>
      <c r="U600" s="8" t="s">
        <v>63</v>
      </c>
      <c r="V600" s="8" t="s">
        <v>335</v>
      </c>
      <c r="W600" s="67" t="str">
        <f t="shared" si="49"/>
        <v>-</v>
      </c>
    </row>
    <row r="601" spans="1:23" x14ac:dyDescent="0.3">
      <c r="A601" s="4" t="s">
        <v>1806</v>
      </c>
      <c r="B601" s="4" t="s">
        <v>1807</v>
      </c>
      <c r="C601" s="4">
        <v>9827827896</v>
      </c>
      <c r="D601" s="4" t="s">
        <v>121</v>
      </c>
      <c r="E601" s="4" t="s">
        <v>109</v>
      </c>
      <c r="F601" s="4" t="s">
        <v>217</v>
      </c>
      <c r="G601" s="4" t="s">
        <v>1677</v>
      </c>
      <c r="H601" s="4" t="s">
        <v>1463</v>
      </c>
      <c r="I601" s="2" t="str">
        <f t="shared" si="45"/>
        <v>Feb</v>
      </c>
      <c r="J601" s="2">
        <f t="shared" si="46"/>
        <v>2</v>
      </c>
      <c r="K601" s="2">
        <f t="shared" si="47"/>
        <v>2024</v>
      </c>
      <c r="L601" s="2">
        <f t="shared" si="48"/>
        <v>1</v>
      </c>
      <c r="M601" s="4">
        <v>4</v>
      </c>
      <c r="N601" s="4" t="s">
        <v>1808</v>
      </c>
      <c r="O601" s="4" t="s">
        <v>45</v>
      </c>
      <c r="P601" s="5">
        <v>998575</v>
      </c>
      <c r="Q601" s="4"/>
      <c r="R601" s="4"/>
      <c r="S601" s="4" t="s">
        <v>28</v>
      </c>
      <c r="T601" s="4">
        <v>25.2</v>
      </c>
      <c r="U601" s="4" t="s">
        <v>47</v>
      </c>
      <c r="V601" s="4" t="s">
        <v>310</v>
      </c>
      <c r="W601" s="67" t="str">
        <f t="shared" si="49"/>
        <v>-</v>
      </c>
    </row>
    <row r="602" spans="1:23" x14ac:dyDescent="0.3">
      <c r="A602" s="2" t="s">
        <v>1809</v>
      </c>
      <c r="B602" s="2" t="s">
        <v>509</v>
      </c>
      <c r="C602" s="2">
        <v>9505851578</v>
      </c>
      <c r="D602" s="2" t="s">
        <v>59</v>
      </c>
      <c r="E602" s="2" t="s">
        <v>109</v>
      </c>
      <c r="F602" s="2" t="s">
        <v>331</v>
      </c>
      <c r="G602" s="2" t="s">
        <v>69</v>
      </c>
      <c r="H602" s="2" t="s">
        <v>1463</v>
      </c>
      <c r="I602" s="2" t="str">
        <f t="shared" si="45"/>
        <v>Feb</v>
      </c>
      <c r="J602" s="2">
        <f t="shared" si="46"/>
        <v>2</v>
      </c>
      <c r="K602" s="2">
        <f t="shared" si="47"/>
        <v>2024</v>
      </c>
      <c r="L602" s="2">
        <f t="shared" si="48"/>
        <v>1</v>
      </c>
      <c r="M602" s="2">
        <v>9</v>
      </c>
      <c r="N602" s="2" t="s">
        <v>1810</v>
      </c>
      <c r="O602" s="2" t="s">
        <v>27</v>
      </c>
      <c r="P602" s="3">
        <v>157266</v>
      </c>
      <c r="Q602" s="2"/>
      <c r="R602" s="2"/>
      <c r="S602" s="2" t="s">
        <v>5819</v>
      </c>
      <c r="T602" s="2">
        <v>46.7</v>
      </c>
      <c r="U602" s="2" t="s">
        <v>29</v>
      </c>
      <c r="V602" s="2" t="s">
        <v>238</v>
      </c>
      <c r="W602" s="67" t="str">
        <f t="shared" si="49"/>
        <v>-</v>
      </c>
    </row>
    <row r="603" spans="1:23" x14ac:dyDescent="0.3">
      <c r="A603" s="4" t="s">
        <v>1811</v>
      </c>
      <c r="B603" s="4" t="s">
        <v>1812</v>
      </c>
      <c r="C603" s="4">
        <v>9989331508</v>
      </c>
      <c r="D603" s="4" t="s">
        <v>121</v>
      </c>
      <c r="E603" s="4" t="s">
        <v>33</v>
      </c>
      <c r="F603" s="4" t="s">
        <v>201</v>
      </c>
      <c r="G603" s="4" t="s">
        <v>69</v>
      </c>
      <c r="H603" s="4" t="s">
        <v>1463</v>
      </c>
      <c r="I603" s="2" t="str">
        <f t="shared" si="45"/>
        <v>Feb</v>
      </c>
      <c r="J603" s="2">
        <f t="shared" si="46"/>
        <v>2</v>
      </c>
      <c r="K603" s="2">
        <f t="shared" si="47"/>
        <v>2024</v>
      </c>
      <c r="L603" s="2">
        <f t="shared" si="48"/>
        <v>1</v>
      </c>
      <c r="M603" s="4">
        <v>5</v>
      </c>
      <c r="N603" s="4" t="s">
        <v>1650</v>
      </c>
      <c r="O603" s="4" t="s">
        <v>27</v>
      </c>
      <c r="P603" s="5">
        <v>167440</v>
      </c>
      <c r="Q603" s="4"/>
      <c r="R603" s="4"/>
      <c r="S603" s="4" t="s">
        <v>1063</v>
      </c>
      <c r="T603" s="4">
        <v>15.5</v>
      </c>
      <c r="U603" s="4" t="s">
        <v>29</v>
      </c>
      <c r="V603" s="4" t="s">
        <v>238</v>
      </c>
      <c r="W603" s="67" t="str">
        <f t="shared" si="49"/>
        <v>-</v>
      </c>
    </row>
    <row r="604" spans="1:23" x14ac:dyDescent="0.3">
      <c r="A604" s="2" t="s">
        <v>1813</v>
      </c>
      <c r="B604" s="2" t="s">
        <v>1468</v>
      </c>
      <c r="C604" s="2">
        <v>9817976597</v>
      </c>
      <c r="D604" s="2" t="s">
        <v>20</v>
      </c>
      <c r="E604" s="2" t="s">
        <v>33</v>
      </c>
      <c r="F604" s="2" t="s">
        <v>201</v>
      </c>
      <c r="G604" s="2" t="s">
        <v>1599</v>
      </c>
      <c r="H604" s="2" t="s">
        <v>1674</v>
      </c>
      <c r="I604" s="2" t="str">
        <f t="shared" si="45"/>
        <v>Feb</v>
      </c>
      <c r="J604" s="2">
        <f t="shared" si="46"/>
        <v>2</v>
      </c>
      <c r="K604" s="2">
        <f t="shared" si="47"/>
        <v>2024</v>
      </c>
      <c r="L604" s="2">
        <f t="shared" si="48"/>
        <v>1</v>
      </c>
      <c r="M604" s="2">
        <v>8</v>
      </c>
      <c r="N604" s="2" t="s">
        <v>1808</v>
      </c>
      <c r="O604" s="2" t="s">
        <v>62</v>
      </c>
      <c r="P604" s="3">
        <v>910658</v>
      </c>
      <c r="Q604" s="2"/>
      <c r="R604" s="2"/>
      <c r="S604" s="2" t="s">
        <v>5819</v>
      </c>
      <c r="T604" s="2">
        <v>20.7</v>
      </c>
      <c r="U604" s="2" t="s">
        <v>29</v>
      </c>
      <c r="V604" s="2" t="s">
        <v>442</v>
      </c>
      <c r="W604" s="67" t="str">
        <f t="shared" si="49"/>
        <v>-</v>
      </c>
    </row>
    <row r="605" spans="1:23" x14ac:dyDescent="0.3">
      <c r="A605" s="4" t="s">
        <v>1814</v>
      </c>
      <c r="B605" s="4" t="s">
        <v>1815</v>
      </c>
      <c r="C605" s="4">
        <v>9661511992</v>
      </c>
      <c r="D605" s="4" t="s">
        <v>20</v>
      </c>
      <c r="E605" s="4" t="s">
        <v>41</v>
      </c>
      <c r="F605" s="4" t="s">
        <v>92</v>
      </c>
      <c r="G605" s="4" t="s">
        <v>1621</v>
      </c>
      <c r="H605" s="4" t="s">
        <v>1674</v>
      </c>
      <c r="I605" s="2" t="str">
        <f t="shared" si="45"/>
        <v>Feb</v>
      </c>
      <c r="J605" s="2">
        <f t="shared" si="46"/>
        <v>2</v>
      </c>
      <c r="K605" s="2">
        <f t="shared" si="47"/>
        <v>2024</v>
      </c>
      <c r="L605" s="2">
        <f t="shared" si="48"/>
        <v>1</v>
      </c>
      <c r="M605" s="4">
        <v>1</v>
      </c>
      <c r="N605" s="4" t="s">
        <v>1627</v>
      </c>
      <c r="O605" s="4" t="s">
        <v>55</v>
      </c>
      <c r="P605" s="5">
        <v>255154</v>
      </c>
      <c r="Q605" s="4"/>
      <c r="R605" s="4"/>
      <c r="S605" s="4" t="s">
        <v>28</v>
      </c>
      <c r="T605" s="4">
        <v>40.799999999999997</v>
      </c>
      <c r="U605" s="4" t="s">
        <v>29</v>
      </c>
      <c r="V605" s="4" t="s">
        <v>389</v>
      </c>
      <c r="W605" s="67" t="str">
        <f t="shared" si="49"/>
        <v>-</v>
      </c>
    </row>
    <row r="606" spans="1:23" x14ac:dyDescent="0.3">
      <c r="A606" s="2" t="s">
        <v>1816</v>
      </c>
      <c r="B606" s="2" t="s">
        <v>181</v>
      </c>
      <c r="C606" s="2">
        <v>9570432459</v>
      </c>
      <c r="D606" s="2" t="s">
        <v>59</v>
      </c>
      <c r="E606" s="2" t="s">
        <v>1632</v>
      </c>
      <c r="F606" s="2" t="s">
        <v>1633</v>
      </c>
      <c r="G606" s="2" t="s">
        <v>1609</v>
      </c>
      <c r="H606" s="2" t="s">
        <v>1674</v>
      </c>
      <c r="I606" s="2" t="str">
        <f t="shared" si="45"/>
        <v>Feb</v>
      </c>
      <c r="J606" s="2">
        <f t="shared" si="46"/>
        <v>2</v>
      </c>
      <c r="K606" s="2">
        <f t="shared" si="47"/>
        <v>2024</v>
      </c>
      <c r="L606" s="2">
        <f t="shared" si="48"/>
        <v>1</v>
      </c>
      <c r="M606" s="2">
        <v>0</v>
      </c>
      <c r="N606" s="2" t="s">
        <v>1602</v>
      </c>
      <c r="O606" s="2" t="s">
        <v>45</v>
      </c>
      <c r="P606" s="3">
        <v>392361</v>
      </c>
      <c r="Q606" s="2"/>
      <c r="R606" s="2"/>
      <c r="S606" s="2" t="s">
        <v>28</v>
      </c>
      <c r="T606" s="2">
        <v>18.600000000000001</v>
      </c>
      <c r="U606" s="2" t="s">
        <v>47</v>
      </c>
      <c r="V606" s="2" t="s">
        <v>381</v>
      </c>
      <c r="W606" s="67" t="str">
        <f t="shared" si="49"/>
        <v>-</v>
      </c>
    </row>
    <row r="607" spans="1:23" x14ac:dyDescent="0.3">
      <c r="A607" s="4" t="s">
        <v>1817</v>
      </c>
      <c r="B607" s="4" t="s">
        <v>1613</v>
      </c>
      <c r="C607" s="4">
        <v>9673561540</v>
      </c>
      <c r="D607" s="4" t="s">
        <v>59</v>
      </c>
      <c r="E607" s="4" t="s">
        <v>1632</v>
      </c>
      <c r="F607" s="4" t="s">
        <v>1633</v>
      </c>
      <c r="G607" s="4" t="s">
        <v>1609</v>
      </c>
      <c r="H607" s="4" t="s">
        <v>1674</v>
      </c>
      <c r="I607" s="2" t="str">
        <f t="shared" si="45"/>
        <v>Feb</v>
      </c>
      <c r="J607" s="2">
        <f t="shared" si="46"/>
        <v>2</v>
      </c>
      <c r="K607" s="2">
        <f t="shared" si="47"/>
        <v>2024</v>
      </c>
      <c r="L607" s="2">
        <f t="shared" si="48"/>
        <v>1</v>
      </c>
      <c r="M607" s="4">
        <v>1</v>
      </c>
      <c r="N607" s="4" t="s">
        <v>1638</v>
      </c>
      <c r="O607" s="4" t="s">
        <v>62</v>
      </c>
      <c r="P607" s="5">
        <v>375527</v>
      </c>
      <c r="Q607" s="4"/>
      <c r="R607" s="4"/>
      <c r="S607" s="4" t="s">
        <v>28</v>
      </c>
      <c r="T607" s="4">
        <v>13.2</v>
      </c>
      <c r="U607" s="4" t="s">
        <v>47</v>
      </c>
      <c r="V607" s="4" t="s">
        <v>77</v>
      </c>
      <c r="W607" s="67" t="str">
        <f t="shared" si="49"/>
        <v>-</v>
      </c>
    </row>
    <row r="608" spans="1:23" x14ac:dyDescent="0.3">
      <c r="A608" s="6" t="s">
        <v>1818</v>
      </c>
      <c r="B608" s="6" t="s">
        <v>1819</v>
      </c>
      <c r="C608" s="6">
        <v>9974413971</v>
      </c>
      <c r="D608" s="6" t="s">
        <v>121</v>
      </c>
      <c r="E608" s="6" t="s">
        <v>73</v>
      </c>
      <c r="F608" s="6" t="s">
        <v>126</v>
      </c>
      <c r="G608" s="6" t="s">
        <v>60</v>
      </c>
      <c r="H608" s="6" t="s">
        <v>1572</v>
      </c>
      <c r="I608" s="2" t="str">
        <f t="shared" si="45"/>
        <v>Feb</v>
      </c>
      <c r="J608" s="2">
        <f t="shared" si="46"/>
        <v>2</v>
      </c>
      <c r="K608" s="2">
        <f t="shared" si="47"/>
        <v>2024</v>
      </c>
      <c r="L608" s="2">
        <f t="shared" si="48"/>
        <v>1</v>
      </c>
      <c r="M608" s="6">
        <v>9</v>
      </c>
      <c r="N608" s="6" t="s">
        <v>1763</v>
      </c>
      <c r="O608" s="6" t="s">
        <v>97</v>
      </c>
      <c r="P608" s="7">
        <v>194404</v>
      </c>
      <c r="Q608" s="7">
        <v>178701</v>
      </c>
      <c r="R608" s="6" t="s">
        <v>1748</v>
      </c>
      <c r="S608" s="6" t="s">
        <v>28</v>
      </c>
      <c r="T608" s="6">
        <v>8.3000000000000007</v>
      </c>
      <c r="U608" s="6" t="s">
        <v>63</v>
      </c>
      <c r="V608" s="6" t="s">
        <v>113</v>
      </c>
      <c r="W608" s="67" t="str">
        <f t="shared" si="49"/>
        <v>Customer</v>
      </c>
    </row>
    <row r="609" spans="1:23" x14ac:dyDescent="0.3">
      <c r="A609" s="4" t="s">
        <v>1820</v>
      </c>
      <c r="B609" s="4" t="s">
        <v>1821</v>
      </c>
      <c r="C609" s="4">
        <v>9354418108</v>
      </c>
      <c r="D609" s="4" t="s">
        <v>59</v>
      </c>
      <c r="E609" s="4" t="s">
        <v>1632</v>
      </c>
      <c r="F609" s="4" t="s">
        <v>1682</v>
      </c>
      <c r="G609" s="4" t="s">
        <v>69</v>
      </c>
      <c r="H609" s="4" t="s">
        <v>1572</v>
      </c>
      <c r="I609" s="2" t="str">
        <f t="shared" si="45"/>
        <v>Feb</v>
      </c>
      <c r="J609" s="2">
        <f t="shared" si="46"/>
        <v>2</v>
      </c>
      <c r="K609" s="2">
        <f t="shared" si="47"/>
        <v>2024</v>
      </c>
      <c r="L609" s="2">
        <f t="shared" si="48"/>
        <v>1</v>
      </c>
      <c r="M609" s="4"/>
      <c r="N609" s="4" t="s">
        <v>1580</v>
      </c>
      <c r="O609" s="4" t="s">
        <v>62</v>
      </c>
      <c r="P609" s="5">
        <v>149334</v>
      </c>
      <c r="Q609" s="4"/>
      <c r="R609" s="4"/>
      <c r="S609" s="4" t="s">
        <v>28</v>
      </c>
      <c r="T609" s="4">
        <v>12.4</v>
      </c>
      <c r="U609" s="4" t="s">
        <v>47</v>
      </c>
      <c r="V609" s="4" t="s">
        <v>183</v>
      </c>
      <c r="W609" s="67" t="str">
        <f t="shared" si="49"/>
        <v>-</v>
      </c>
    </row>
    <row r="610" spans="1:23" x14ac:dyDescent="0.3">
      <c r="A610" s="2" t="s">
        <v>1822</v>
      </c>
      <c r="B610" s="2" t="s">
        <v>1823</v>
      </c>
      <c r="C610" s="2">
        <v>9920975401</v>
      </c>
      <c r="D610" s="2" t="s">
        <v>108</v>
      </c>
      <c r="E610" s="2" t="s">
        <v>109</v>
      </c>
      <c r="F610" s="2" t="s">
        <v>331</v>
      </c>
      <c r="G610" s="2" t="s">
        <v>1623</v>
      </c>
      <c r="H610" s="2" t="s">
        <v>1572</v>
      </c>
      <c r="I610" s="2" t="str">
        <f t="shared" si="45"/>
        <v>Feb</v>
      </c>
      <c r="J610" s="2">
        <f t="shared" si="46"/>
        <v>2</v>
      </c>
      <c r="K610" s="2">
        <f t="shared" si="47"/>
        <v>2024</v>
      </c>
      <c r="L610" s="2">
        <f t="shared" si="48"/>
        <v>1</v>
      </c>
      <c r="M610" s="2">
        <v>2</v>
      </c>
      <c r="N610" s="2" t="s">
        <v>1606</v>
      </c>
      <c r="O610" s="2" t="s">
        <v>45</v>
      </c>
      <c r="P610" s="3">
        <v>310429</v>
      </c>
      <c r="Q610" s="2"/>
      <c r="R610" s="2"/>
      <c r="S610" s="2" t="s">
        <v>5819</v>
      </c>
      <c r="T610" s="2">
        <v>3.8</v>
      </c>
      <c r="U610" s="2" t="s">
        <v>29</v>
      </c>
      <c r="V610" s="2" t="s">
        <v>206</v>
      </c>
      <c r="W610" s="67" t="str">
        <f t="shared" si="49"/>
        <v>-</v>
      </c>
    </row>
    <row r="611" spans="1:23" x14ac:dyDescent="0.3">
      <c r="A611" s="4" t="s">
        <v>1824</v>
      </c>
      <c r="B611" s="4" t="s">
        <v>1825</v>
      </c>
      <c r="C611" s="4">
        <v>9225941338</v>
      </c>
      <c r="D611" s="4" t="s">
        <v>121</v>
      </c>
      <c r="E611" s="4" t="s">
        <v>109</v>
      </c>
      <c r="F611" s="4" t="s">
        <v>110</v>
      </c>
      <c r="G611" s="4" t="s">
        <v>87</v>
      </c>
      <c r="H611" s="4" t="s">
        <v>1572</v>
      </c>
      <c r="I611" s="2" t="str">
        <f t="shared" si="45"/>
        <v>Feb</v>
      </c>
      <c r="J611" s="2">
        <f t="shared" si="46"/>
        <v>2</v>
      </c>
      <c r="K611" s="2">
        <f t="shared" si="47"/>
        <v>2024</v>
      </c>
      <c r="L611" s="2">
        <f t="shared" si="48"/>
        <v>1</v>
      </c>
      <c r="M611" s="4">
        <v>2</v>
      </c>
      <c r="N611" s="4" t="s">
        <v>1638</v>
      </c>
      <c r="O611" s="4" t="s">
        <v>62</v>
      </c>
      <c r="P611" s="5">
        <v>80411</v>
      </c>
      <c r="Q611" s="4"/>
      <c r="R611" s="4"/>
      <c r="S611" s="4" t="s">
        <v>1063</v>
      </c>
      <c r="T611" s="4">
        <v>8.1</v>
      </c>
      <c r="U611" s="4" t="s">
        <v>29</v>
      </c>
      <c r="V611" s="4"/>
      <c r="W611" s="67" t="str">
        <f t="shared" si="49"/>
        <v>-</v>
      </c>
    </row>
    <row r="612" spans="1:23" x14ac:dyDescent="0.3">
      <c r="A612" s="8" t="s">
        <v>1826</v>
      </c>
      <c r="B612" s="8" t="s">
        <v>752</v>
      </c>
      <c r="C612" s="8">
        <v>9364326419</v>
      </c>
      <c r="D612" s="8" t="s">
        <v>20</v>
      </c>
      <c r="E612" s="8" t="s">
        <v>41</v>
      </c>
      <c r="F612" s="8" t="s">
        <v>151</v>
      </c>
      <c r="G612" s="8" t="s">
        <v>23</v>
      </c>
      <c r="H612" s="8" t="s">
        <v>1575</v>
      </c>
      <c r="I612" s="2" t="str">
        <f t="shared" si="45"/>
        <v>Feb</v>
      </c>
      <c r="J612" s="2">
        <f t="shared" si="46"/>
        <v>2</v>
      </c>
      <c r="K612" s="2">
        <f t="shared" si="47"/>
        <v>2024</v>
      </c>
      <c r="L612" s="2">
        <f t="shared" si="48"/>
        <v>1</v>
      </c>
      <c r="M612" s="8">
        <v>6</v>
      </c>
      <c r="N612" s="8" t="s">
        <v>1691</v>
      </c>
      <c r="O612" s="8" t="s">
        <v>45</v>
      </c>
      <c r="P612" s="9">
        <v>504731</v>
      </c>
      <c r="Q612" s="8"/>
      <c r="R612" s="8"/>
      <c r="S612" s="8" t="s">
        <v>1805</v>
      </c>
      <c r="T612" s="8">
        <v>39.799999999999997</v>
      </c>
      <c r="U612" s="8" t="s">
        <v>29</v>
      </c>
      <c r="V612" s="8" t="s">
        <v>805</v>
      </c>
      <c r="W612" s="67" t="str">
        <f t="shared" si="49"/>
        <v>-</v>
      </c>
    </row>
    <row r="613" spans="1:23" x14ac:dyDescent="0.3">
      <c r="A613" s="4" t="s">
        <v>1827</v>
      </c>
      <c r="B613" s="4" t="s">
        <v>1752</v>
      </c>
      <c r="C613" s="4"/>
      <c r="D613" s="4" t="s">
        <v>20</v>
      </c>
      <c r="E613" s="4" t="s">
        <v>67</v>
      </c>
      <c r="F613" s="4" t="s">
        <v>80</v>
      </c>
      <c r="G613" s="4" t="s">
        <v>1609</v>
      </c>
      <c r="H613" s="4" t="s">
        <v>1575</v>
      </c>
      <c r="I613" s="2" t="str">
        <f t="shared" si="45"/>
        <v>Feb</v>
      </c>
      <c r="J613" s="2">
        <f t="shared" si="46"/>
        <v>2</v>
      </c>
      <c r="K613" s="2">
        <f t="shared" si="47"/>
        <v>2024</v>
      </c>
      <c r="L613" s="2">
        <f t="shared" si="48"/>
        <v>1</v>
      </c>
      <c r="M613" s="4">
        <v>12</v>
      </c>
      <c r="N613" s="4" t="s">
        <v>1828</v>
      </c>
      <c r="O613" s="4" t="s">
        <v>55</v>
      </c>
      <c r="P613" s="5">
        <v>375898</v>
      </c>
      <c r="Q613" s="4"/>
      <c r="R613" s="4"/>
      <c r="S613" s="4" t="s">
        <v>1063</v>
      </c>
      <c r="T613" s="4">
        <v>4.9000000000000004</v>
      </c>
      <c r="U613" s="4" t="s">
        <v>29</v>
      </c>
      <c r="V613" s="4" t="s">
        <v>1363</v>
      </c>
      <c r="W613" s="67" t="str">
        <f t="shared" si="49"/>
        <v>-</v>
      </c>
    </row>
    <row r="614" spans="1:23" x14ac:dyDescent="0.3">
      <c r="A614" s="6" t="s">
        <v>1829</v>
      </c>
      <c r="B614" s="6" t="s">
        <v>1830</v>
      </c>
      <c r="C614" s="6">
        <v>9941880862</v>
      </c>
      <c r="D614" s="6" t="s">
        <v>121</v>
      </c>
      <c r="E614" s="6" t="s">
        <v>41</v>
      </c>
      <c r="F614" s="6" t="s">
        <v>92</v>
      </c>
      <c r="G614" s="6" t="s">
        <v>87</v>
      </c>
      <c r="H614" s="6" t="s">
        <v>1575</v>
      </c>
      <c r="I614" s="2" t="str">
        <f t="shared" si="45"/>
        <v>Feb</v>
      </c>
      <c r="J614" s="2">
        <f t="shared" si="46"/>
        <v>2</v>
      </c>
      <c r="K614" s="2">
        <f t="shared" si="47"/>
        <v>2024</v>
      </c>
      <c r="L614" s="2">
        <f t="shared" si="48"/>
        <v>1</v>
      </c>
      <c r="M614" s="6">
        <v>2</v>
      </c>
      <c r="N614" s="6" t="s">
        <v>1775</v>
      </c>
      <c r="O614" s="6" t="s">
        <v>97</v>
      </c>
      <c r="P614" s="7">
        <v>219230</v>
      </c>
      <c r="Q614" s="7">
        <v>194165</v>
      </c>
      <c r="R614" s="6" t="s">
        <v>1831</v>
      </c>
      <c r="S614" s="6" t="s">
        <v>5819</v>
      </c>
      <c r="T614" s="6">
        <v>24.4</v>
      </c>
      <c r="U614" s="6" t="s">
        <v>47</v>
      </c>
      <c r="V614" s="6" t="s">
        <v>170</v>
      </c>
      <c r="W614" s="67" t="str">
        <f t="shared" si="49"/>
        <v>Customer</v>
      </c>
    </row>
    <row r="615" spans="1:23" x14ac:dyDescent="0.3">
      <c r="A615" s="4" t="s">
        <v>1832</v>
      </c>
      <c r="B615" s="4" t="s">
        <v>1833</v>
      </c>
      <c r="C615" s="4">
        <v>9199698872</v>
      </c>
      <c r="D615" s="4" t="s">
        <v>59</v>
      </c>
      <c r="E615" s="4" t="s">
        <v>41</v>
      </c>
      <c r="F615" s="4" t="s">
        <v>42</v>
      </c>
      <c r="G615" s="4" t="s">
        <v>23</v>
      </c>
      <c r="H615" s="4" t="s">
        <v>1575</v>
      </c>
      <c r="I615" s="2" t="str">
        <f t="shared" si="45"/>
        <v>Feb</v>
      </c>
      <c r="J615" s="2">
        <f t="shared" si="46"/>
        <v>2</v>
      </c>
      <c r="K615" s="2">
        <f t="shared" si="47"/>
        <v>2024</v>
      </c>
      <c r="L615" s="2">
        <f t="shared" si="48"/>
        <v>1</v>
      </c>
      <c r="M615" s="4">
        <v>3</v>
      </c>
      <c r="N615" s="4" t="s">
        <v>1732</v>
      </c>
      <c r="O615" s="4" t="s">
        <v>62</v>
      </c>
      <c r="P615" s="5">
        <v>795314</v>
      </c>
      <c r="Q615" s="4"/>
      <c r="R615" s="4"/>
      <c r="S615" s="4" t="s">
        <v>28</v>
      </c>
      <c r="T615" s="4">
        <v>21.6</v>
      </c>
      <c r="U615" s="4" t="s">
        <v>63</v>
      </c>
      <c r="V615" s="4" t="s">
        <v>260</v>
      </c>
      <c r="W615" s="67" t="str">
        <f t="shared" si="49"/>
        <v>-</v>
      </c>
    </row>
    <row r="616" spans="1:23" x14ac:dyDescent="0.3">
      <c r="A616" s="2" t="s">
        <v>1834</v>
      </c>
      <c r="B616" s="2" t="s">
        <v>1835</v>
      </c>
      <c r="C616" s="2">
        <v>9919686587</v>
      </c>
      <c r="D616" s="2" t="s">
        <v>20</v>
      </c>
      <c r="E616" s="2" t="s">
        <v>1632</v>
      </c>
      <c r="F616" s="2" t="s">
        <v>1682</v>
      </c>
      <c r="G616" s="2" t="s">
        <v>35</v>
      </c>
      <c r="H616" s="2" t="s">
        <v>1575</v>
      </c>
      <c r="I616" s="2" t="str">
        <f t="shared" si="45"/>
        <v>Feb</v>
      </c>
      <c r="J616" s="2">
        <f t="shared" si="46"/>
        <v>2</v>
      </c>
      <c r="K616" s="2">
        <f t="shared" si="47"/>
        <v>2024</v>
      </c>
      <c r="L616" s="2">
        <f t="shared" si="48"/>
        <v>1</v>
      </c>
      <c r="M616" s="2">
        <v>12</v>
      </c>
      <c r="N616" s="2" t="s">
        <v>1779</v>
      </c>
      <c r="O616" s="2" t="s">
        <v>45</v>
      </c>
      <c r="P616" s="3">
        <v>112076</v>
      </c>
      <c r="Q616" s="2"/>
      <c r="R616" s="2"/>
      <c r="S616" s="2" t="s">
        <v>5819</v>
      </c>
      <c r="T616" s="2">
        <v>41.8</v>
      </c>
      <c r="U616" s="2" t="s">
        <v>47</v>
      </c>
      <c r="V616" s="2" t="s">
        <v>212</v>
      </c>
      <c r="W616" s="67" t="str">
        <f t="shared" si="49"/>
        <v>-</v>
      </c>
    </row>
    <row r="617" spans="1:23" x14ac:dyDescent="0.3">
      <c r="A617" s="4" t="s">
        <v>1836</v>
      </c>
      <c r="B617" s="4" t="s">
        <v>1837</v>
      </c>
      <c r="C617" s="4">
        <v>9710133596</v>
      </c>
      <c r="D617" s="4" t="s">
        <v>51</v>
      </c>
      <c r="E617" s="4" t="s">
        <v>41</v>
      </c>
      <c r="F617" s="4" t="s">
        <v>92</v>
      </c>
      <c r="G617" s="4" t="s">
        <v>1621</v>
      </c>
      <c r="H617" s="4" t="s">
        <v>1575</v>
      </c>
      <c r="I617" s="2" t="str">
        <f t="shared" si="45"/>
        <v>Feb</v>
      </c>
      <c r="J617" s="2">
        <f t="shared" si="46"/>
        <v>2</v>
      </c>
      <c r="K617" s="2">
        <f t="shared" si="47"/>
        <v>2024</v>
      </c>
      <c r="L617" s="2">
        <f t="shared" si="48"/>
        <v>1</v>
      </c>
      <c r="M617" s="4">
        <v>5</v>
      </c>
      <c r="N617" s="4" t="s">
        <v>1838</v>
      </c>
      <c r="O617" s="4" t="s">
        <v>27</v>
      </c>
      <c r="P617" s="5">
        <v>310192</v>
      </c>
      <c r="Q617" s="4"/>
      <c r="R617" s="4"/>
      <c r="S617" s="4" t="s">
        <v>1063</v>
      </c>
      <c r="T617" s="4">
        <v>17.100000000000001</v>
      </c>
      <c r="U617" s="4" t="s">
        <v>29</v>
      </c>
      <c r="V617" s="4" t="s">
        <v>157</v>
      </c>
      <c r="W617" s="67" t="str">
        <f t="shared" si="49"/>
        <v>-</v>
      </c>
    </row>
    <row r="618" spans="1:23" x14ac:dyDescent="0.3">
      <c r="A618" s="8" t="s">
        <v>1839</v>
      </c>
      <c r="B618" s="8" t="s">
        <v>1833</v>
      </c>
      <c r="C618" s="8">
        <v>9596228880</v>
      </c>
      <c r="D618" s="8" t="s">
        <v>59</v>
      </c>
      <c r="E618" s="8" t="s">
        <v>109</v>
      </c>
      <c r="F618" s="8" t="s">
        <v>110</v>
      </c>
      <c r="G618" s="8" t="s">
        <v>1609</v>
      </c>
      <c r="H618" s="8" t="s">
        <v>1575</v>
      </c>
      <c r="I618" s="2" t="str">
        <f t="shared" si="45"/>
        <v>Feb</v>
      </c>
      <c r="J618" s="2">
        <f t="shared" si="46"/>
        <v>2</v>
      </c>
      <c r="K618" s="2">
        <f t="shared" si="47"/>
        <v>2024</v>
      </c>
      <c r="L618" s="2">
        <f t="shared" si="48"/>
        <v>1</v>
      </c>
      <c r="M618" s="8">
        <v>11</v>
      </c>
      <c r="N618" s="8" t="s">
        <v>1797</v>
      </c>
      <c r="O618" s="8" t="s">
        <v>45</v>
      </c>
      <c r="P618" s="9">
        <v>214400</v>
      </c>
      <c r="Q618" s="8"/>
      <c r="R618" s="8"/>
      <c r="S618" s="8" t="s">
        <v>1805</v>
      </c>
      <c r="T618" s="8">
        <v>11.6</v>
      </c>
      <c r="U618" s="8" t="s">
        <v>63</v>
      </c>
      <c r="V618" s="8" t="s">
        <v>535</v>
      </c>
      <c r="W618" s="67" t="str">
        <f t="shared" si="49"/>
        <v>-</v>
      </c>
    </row>
    <row r="619" spans="1:23" x14ac:dyDescent="0.3">
      <c r="A619" s="4" t="s">
        <v>1840</v>
      </c>
      <c r="B619" s="4" t="s">
        <v>1841</v>
      </c>
      <c r="C619" s="4">
        <v>9926680147</v>
      </c>
      <c r="D619" s="4" t="s">
        <v>108</v>
      </c>
      <c r="E619" s="4" t="s">
        <v>73</v>
      </c>
      <c r="F619" s="4" t="s">
        <v>126</v>
      </c>
      <c r="G619" s="4" t="s">
        <v>1599</v>
      </c>
      <c r="H619" s="4" t="s">
        <v>1575</v>
      </c>
      <c r="I619" s="2" t="str">
        <f t="shared" si="45"/>
        <v>Feb</v>
      </c>
      <c r="J619" s="2">
        <f t="shared" si="46"/>
        <v>2</v>
      </c>
      <c r="K619" s="2">
        <f t="shared" si="47"/>
        <v>2024</v>
      </c>
      <c r="L619" s="2">
        <f t="shared" si="48"/>
        <v>1</v>
      </c>
      <c r="M619" s="4">
        <v>8</v>
      </c>
      <c r="N619" s="4" t="s">
        <v>1842</v>
      </c>
      <c r="O619" s="4" t="s">
        <v>27</v>
      </c>
      <c r="P619" s="5">
        <v>662255</v>
      </c>
      <c r="Q619" s="4"/>
      <c r="R619" s="4"/>
      <c r="S619" s="4" t="s">
        <v>5819</v>
      </c>
      <c r="T619" s="4">
        <v>26.7</v>
      </c>
      <c r="U619" s="4" t="s">
        <v>29</v>
      </c>
      <c r="V619" s="4" t="s">
        <v>153</v>
      </c>
      <c r="W619" s="67" t="str">
        <f t="shared" si="49"/>
        <v>-</v>
      </c>
    </row>
    <row r="620" spans="1:23" x14ac:dyDescent="0.3">
      <c r="A620" s="2" t="s">
        <v>1843</v>
      </c>
      <c r="B620" s="2" t="s">
        <v>1835</v>
      </c>
      <c r="C620" s="2">
        <v>9594718999</v>
      </c>
      <c r="D620" s="2" t="s">
        <v>59</v>
      </c>
      <c r="E620" s="2" t="s">
        <v>648</v>
      </c>
      <c r="F620" s="2" t="s">
        <v>656</v>
      </c>
      <c r="G620" s="2" t="s">
        <v>52</v>
      </c>
      <c r="H620" s="2" t="s">
        <v>1575</v>
      </c>
      <c r="I620" s="2" t="str">
        <f t="shared" si="45"/>
        <v>Feb</v>
      </c>
      <c r="J620" s="2">
        <f t="shared" si="46"/>
        <v>2</v>
      </c>
      <c r="K620" s="2">
        <f t="shared" si="47"/>
        <v>2024</v>
      </c>
      <c r="L620" s="2">
        <f t="shared" si="48"/>
        <v>1</v>
      </c>
      <c r="M620" s="2">
        <v>11</v>
      </c>
      <c r="N620" s="2" t="s">
        <v>1844</v>
      </c>
      <c r="O620" s="2" t="s">
        <v>55</v>
      </c>
      <c r="P620" s="3">
        <v>256805</v>
      </c>
      <c r="Q620" s="2"/>
      <c r="R620" s="2"/>
      <c r="S620" s="2" t="s">
        <v>5819</v>
      </c>
      <c r="T620" s="2">
        <v>29.4</v>
      </c>
      <c r="U620" s="2" t="s">
        <v>29</v>
      </c>
      <c r="V620" s="2" t="s">
        <v>389</v>
      </c>
      <c r="W620" s="67" t="str">
        <f t="shared" si="49"/>
        <v>-</v>
      </c>
    </row>
    <row r="621" spans="1:23" x14ac:dyDescent="0.3">
      <c r="A621" s="8" t="s">
        <v>1845</v>
      </c>
      <c r="B621" s="8" t="s">
        <v>294</v>
      </c>
      <c r="C621" s="8">
        <v>9191279339</v>
      </c>
      <c r="D621" s="8" t="s">
        <v>20</v>
      </c>
      <c r="E621" s="8" t="s">
        <v>1632</v>
      </c>
      <c r="F621" s="8" t="s">
        <v>1682</v>
      </c>
      <c r="G621" s="8" t="s">
        <v>23</v>
      </c>
      <c r="H621" s="8" t="s">
        <v>1614</v>
      </c>
      <c r="I621" s="2" t="str">
        <f t="shared" si="45"/>
        <v>Feb</v>
      </c>
      <c r="J621" s="2">
        <f t="shared" si="46"/>
        <v>2</v>
      </c>
      <c r="K621" s="2">
        <f t="shared" si="47"/>
        <v>2024</v>
      </c>
      <c r="L621" s="2">
        <f t="shared" si="48"/>
        <v>1</v>
      </c>
      <c r="M621" s="8">
        <v>7</v>
      </c>
      <c r="N621" s="8" t="s">
        <v>1842</v>
      </c>
      <c r="O621" s="8" t="s">
        <v>45</v>
      </c>
      <c r="P621" s="9">
        <v>750432</v>
      </c>
      <c r="Q621" s="8"/>
      <c r="R621" s="8"/>
      <c r="S621" s="8" t="s">
        <v>1805</v>
      </c>
      <c r="T621" s="8">
        <v>9.5</v>
      </c>
      <c r="U621" s="8" t="s">
        <v>47</v>
      </c>
      <c r="V621" s="8" t="s">
        <v>212</v>
      </c>
      <c r="W621" s="67" t="str">
        <f t="shared" si="49"/>
        <v>-</v>
      </c>
    </row>
    <row r="622" spans="1:23" x14ac:dyDescent="0.3">
      <c r="A622" s="2" t="s">
        <v>1846</v>
      </c>
      <c r="B622" s="2" t="s">
        <v>265</v>
      </c>
      <c r="C622" s="2">
        <v>9837616532</v>
      </c>
      <c r="D622" s="2" t="s">
        <v>20</v>
      </c>
      <c r="E622" s="2" t="s">
        <v>641</v>
      </c>
      <c r="F622" s="2" t="s">
        <v>642</v>
      </c>
      <c r="G622" s="2" t="s">
        <v>23</v>
      </c>
      <c r="H622" s="2" t="s">
        <v>1614</v>
      </c>
      <c r="I622" s="2" t="str">
        <f t="shared" si="45"/>
        <v>Feb</v>
      </c>
      <c r="J622" s="2">
        <f t="shared" si="46"/>
        <v>2</v>
      </c>
      <c r="K622" s="2">
        <f t="shared" si="47"/>
        <v>2024</v>
      </c>
      <c r="L622" s="2">
        <f t="shared" si="48"/>
        <v>1</v>
      </c>
      <c r="M622" s="2">
        <v>1</v>
      </c>
      <c r="N622" s="2" t="s">
        <v>1732</v>
      </c>
      <c r="O622" s="2" t="s">
        <v>62</v>
      </c>
      <c r="P622" s="3">
        <v>583134</v>
      </c>
      <c r="Q622" s="2"/>
      <c r="R622" s="2"/>
      <c r="S622" s="2" t="s">
        <v>5819</v>
      </c>
      <c r="T622" s="2">
        <v>36.700000000000003</v>
      </c>
      <c r="U622" s="2" t="s">
        <v>63</v>
      </c>
      <c r="V622" s="2" t="s">
        <v>559</v>
      </c>
      <c r="W622" s="67" t="str">
        <f t="shared" si="49"/>
        <v>-</v>
      </c>
    </row>
    <row r="623" spans="1:23" x14ac:dyDescent="0.3">
      <c r="A623" s="4" t="s">
        <v>1847</v>
      </c>
      <c r="B623" s="4" t="s">
        <v>1848</v>
      </c>
      <c r="C623" s="4">
        <v>9394165554</v>
      </c>
      <c r="D623" s="4" t="s">
        <v>20</v>
      </c>
      <c r="E623" s="4" t="s">
        <v>1632</v>
      </c>
      <c r="F623" s="4" t="s">
        <v>1849</v>
      </c>
      <c r="G623" s="4" t="s">
        <v>1623</v>
      </c>
      <c r="H623" s="4" t="s">
        <v>1483</v>
      </c>
      <c r="I623" s="2" t="str">
        <f t="shared" si="45"/>
        <v>Feb</v>
      </c>
      <c r="J623" s="2">
        <f t="shared" si="46"/>
        <v>2</v>
      </c>
      <c r="K623" s="2">
        <f t="shared" si="47"/>
        <v>2024</v>
      </c>
      <c r="L623" s="2">
        <f t="shared" si="48"/>
        <v>1</v>
      </c>
      <c r="M623" s="4">
        <v>11</v>
      </c>
      <c r="N623" s="4" t="s">
        <v>1596</v>
      </c>
      <c r="O623" s="4" t="s">
        <v>27</v>
      </c>
      <c r="P623" s="5">
        <v>372060</v>
      </c>
      <c r="Q623" s="4"/>
      <c r="R623" s="4"/>
      <c r="S623" s="4" t="s">
        <v>28</v>
      </c>
      <c r="T623" s="4">
        <v>16.3</v>
      </c>
      <c r="U623" s="4" t="s">
        <v>29</v>
      </c>
      <c r="V623" s="4" t="s">
        <v>105</v>
      </c>
      <c r="W623" s="67" t="str">
        <f t="shared" si="49"/>
        <v>-</v>
      </c>
    </row>
    <row r="624" spans="1:23" x14ac:dyDescent="0.3">
      <c r="A624" s="2" t="s">
        <v>1850</v>
      </c>
      <c r="B624" s="2" t="s">
        <v>501</v>
      </c>
      <c r="C624" s="2">
        <v>9984761546</v>
      </c>
      <c r="D624" s="2" t="s">
        <v>20</v>
      </c>
      <c r="E624" s="2" t="s">
        <v>33</v>
      </c>
      <c r="F624" s="2" t="s">
        <v>201</v>
      </c>
      <c r="G624" s="2" t="s">
        <v>35</v>
      </c>
      <c r="H624" s="2" t="s">
        <v>1602</v>
      </c>
      <c r="I624" s="2" t="str">
        <f t="shared" si="45"/>
        <v>Feb</v>
      </c>
      <c r="J624" s="2">
        <f t="shared" si="46"/>
        <v>2</v>
      </c>
      <c r="K624" s="2">
        <f t="shared" si="47"/>
        <v>2024</v>
      </c>
      <c r="L624" s="2">
        <f t="shared" si="48"/>
        <v>1</v>
      </c>
      <c r="M624" s="2">
        <v>9</v>
      </c>
      <c r="N624" s="2" t="s">
        <v>1779</v>
      </c>
      <c r="O624" s="2" t="s">
        <v>27</v>
      </c>
      <c r="P624" s="3">
        <v>229813</v>
      </c>
      <c r="Q624" s="2"/>
      <c r="R624" s="2"/>
      <c r="S624" s="2" t="s">
        <v>5819</v>
      </c>
      <c r="T624" s="2">
        <v>36.799999999999997</v>
      </c>
      <c r="U624" s="2" t="s">
        <v>29</v>
      </c>
      <c r="V624" s="2"/>
      <c r="W624" s="67" t="str">
        <f t="shared" si="49"/>
        <v>-</v>
      </c>
    </row>
    <row r="625" spans="1:23" x14ac:dyDescent="0.3">
      <c r="A625" s="6" t="s">
        <v>1851</v>
      </c>
      <c r="B625" s="6" t="s">
        <v>1852</v>
      </c>
      <c r="C625" s="6">
        <v>9712149161</v>
      </c>
      <c r="D625" s="6" t="s">
        <v>121</v>
      </c>
      <c r="E625" s="6" t="s">
        <v>33</v>
      </c>
      <c r="F625" s="6" t="s">
        <v>201</v>
      </c>
      <c r="G625" s="6" t="s">
        <v>1621</v>
      </c>
      <c r="H625" s="6" t="s">
        <v>1602</v>
      </c>
      <c r="I625" s="2" t="str">
        <f t="shared" si="45"/>
        <v>Feb</v>
      </c>
      <c r="J625" s="2">
        <f t="shared" si="46"/>
        <v>2</v>
      </c>
      <c r="K625" s="2">
        <f t="shared" si="47"/>
        <v>2024</v>
      </c>
      <c r="L625" s="2">
        <f t="shared" si="48"/>
        <v>1</v>
      </c>
      <c r="M625" s="6">
        <v>10</v>
      </c>
      <c r="N625" s="6" t="s">
        <v>1759</v>
      </c>
      <c r="O625" s="6" t="s">
        <v>97</v>
      </c>
      <c r="P625" s="7">
        <v>481242</v>
      </c>
      <c r="Q625" s="7">
        <v>424871</v>
      </c>
      <c r="R625" s="6" t="s">
        <v>1853</v>
      </c>
      <c r="S625" s="6" t="s">
        <v>28</v>
      </c>
      <c r="T625" s="6">
        <v>8.9</v>
      </c>
      <c r="U625" s="6" t="s">
        <v>63</v>
      </c>
      <c r="V625" s="6" t="s">
        <v>483</v>
      </c>
      <c r="W625" s="67" t="str">
        <f t="shared" si="49"/>
        <v>Customer</v>
      </c>
    </row>
    <row r="626" spans="1:23" x14ac:dyDescent="0.3">
      <c r="A626" s="2" t="s">
        <v>1854</v>
      </c>
      <c r="B626" s="2" t="s">
        <v>1855</v>
      </c>
      <c r="C626" s="2">
        <v>9611773745</v>
      </c>
      <c r="D626" s="2" t="s">
        <v>121</v>
      </c>
      <c r="E626" s="2" t="s">
        <v>641</v>
      </c>
      <c r="F626" s="2" t="s">
        <v>717</v>
      </c>
      <c r="G626" s="2" t="s">
        <v>87</v>
      </c>
      <c r="H626" s="2" t="s">
        <v>1602</v>
      </c>
      <c r="I626" s="2" t="str">
        <f t="shared" si="45"/>
        <v>Feb</v>
      </c>
      <c r="J626" s="2">
        <f t="shared" si="46"/>
        <v>2</v>
      </c>
      <c r="K626" s="2">
        <f t="shared" si="47"/>
        <v>2024</v>
      </c>
      <c r="L626" s="2">
        <f t="shared" si="48"/>
        <v>1</v>
      </c>
      <c r="M626" s="2">
        <v>8</v>
      </c>
      <c r="N626" s="2" t="s">
        <v>1810</v>
      </c>
      <c r="O626" s="2" t="s">
        <v>27</v>
      </c>
      <c r="P626" s="3">
        <v>232443</v>
      </c>
      <c r="Q626" s="2"/>
      <c r="R626" s="2"/>
      <c r="S626" s="2" t="s">
        <v>5819</v>
      </c>
      <c r="T626" s="2">
        <v>47.8</v>
      </c>
      <c r="U626" s="2" t="s">
        <v>47</v>
      </c>
      <c r="V626" s="2" t="s">
        <v>163</v>
      </c>
      <c r="W626" s="67" t="str">
        <f t="shared" si="49"/>
        <v>-</v>
      </c>
    </row>
    <row r="627" spans="1:23" x14ac:dyDescent="0.3">
      <c r="A627" s="4" t="s">
        <v>1856</v>
      </c>
      <c r="B627" s="4" t="s">
        <v>1819</v>
      </c>
      <c r="C627" s="4">
        <v>9331893977</v>
      </c>
      <c r="D627" s="4" t="s">
        <v>20</v>
      </c>
      <c r="E627" s="4" t="s">
        <v>21</v>
      </c>
      <c r="F627" s="4" t="s">
        <v>230</v>
      </c>
      <c r="G627" s="4" t="s">
        <v>23</v>
      </c>
      <c r="H627" s="4" t="s">
        <v>1602</v>
      </c>
      <c r="I627" s="2" t="str">
        <f t="shared" si="45"/>
        <v>Feb</v>
      </c>
      <c r="J627" s="2">
        <f t="shared" si="46"/>
        <v>2</v>
      </c>
      <c r="K627" s="2">
        <f t="shared" si="47"/>
        <v>2024</v>
      </c>
      <c r="L627" s="2">
        <f t="shared" si="48"/>
        <v>1</v>
      </c>
      <c r="M627" s="4">
        <v>3</v>
      </c>
      <c r="N627" s="4" t="s">
        <v>1548</v>
      </c>
      <c r="O627" s="4" t="s">
        <v>27</v>
      </c>
      <c r="P627" s="5">
        <v>789031</v>
      </c>
      <c r="Q627" s="4"/>
      <c r="R627" s="4"/>
      <c r="S627" s="4" t="s">
        <v>28</v>
      </c>
      <c r="T627" s="4">
        <v>33.700000000000003</v>
      </c>
      <c r="U627" s="4" t="s">
        <v>29</v>
      </c>
      <c r="V627" s="4" t="s">
        <v>157</v>
      </c>
      <c r="W627" s="67" t="str">
        <f t="shared" si="49"/>
        <v>-</v>
      </c>
    </row>
    <row r="628" spans="1:23" x14ac:dyDescent="0.3">
      <c r="A628" s="6" t="s">
        <v>1857</v>
      </c>
      <c r="B628" s="6" t="s">
        <v>1652</v>
      </c>
      <c r="C628" s="6">
        <v>9538932531</v>
      </c>
      <c r="D628" s="6" t="s">
        <v>20</v>
      </c>
      <c r="E628" s="6" t="s">
        <v>641</v>
      </c>
      <c r="F628" s="6" t="s">
        <v>642</v>
      </c>
      <c r="G628" s="6" t="s">
        <v>87</v>
      </c>
      <c r="H628" s="6" t="s">
        <v>1740</v>
      </c>
      <c r="I628" s="2" t="str">
        <f t="shared" si="45"/>
        <v>Feb</v>
      </c>
      <c r="J628" s="2">
        <f t="shared" si="46"/>
        <v>2</v>
      </c>
      <c r="K628" s="2">
        <f t="shared" si="47"/>
        <v>2024</v>
      </c>
      <c r="L628" s="2">
        <f t="shared" si="48"/>
        <v>1</v>
      </c>
      <c r="M628" s="6">
        <v>9</v>
      </c>
      <c r="N628" s="6" t="s">
        <v>1764</v>
      </c>
      <c r="O628" s="6" t="s">
        <v>97</v>
      </c>
      <c r="P628" s="7">
        <v>194069</v>
      </c>
      <c r="Q628" s="7">
        <v>195607</v>
      </c>
      <c r="R628" s="6" t="s">
        <v>1797</v>
      </c>
      <c r="S628" s="6" t="s">
        <v>5819</v>
      </c>
      <c r="T628" s="6">
        <v>22.1</v>
      </c>
      <c r="U628" s="6" t="s">
        <v>63</v>
      </c>
      <c r="V628" s="6"/>
      <c r="W628" s="67" t="str">
        <f t="shared" si="49"/>
        <v>Customer</v>
      </c>
    </row>
    <row r="629" spans="1:23" x14ac:dyDescent="0.3">
      <c r="A629" s="4" t="s">
        <v>1858</v>
      </c>
      <c r="B629" s="4" t="s">
        <v>1859</v>
      </c>
      <c r="C629" s="4">
        <v>9754620914</v>
      </c>
      <c r="D629" s="4" t="s">
        <v>20</v>
      </c>
      <c r="E629" s="4" t="s">
        <v>41</v>
      </c>
      <c r="F629" s="4" t="s">
        <v>42</v>
      </c>
      <c r="G629" s="4" t="s">
        <v>52</v>
      </c>
      <c r="H629" s="4" t="s">
        <v>1666</v>
      </c>
      <c r="I629" s="2" t="str">
        <f t="shared" si="45"/>
        <v>Feb</v>
      </c>
      <c r="J629" s="2">
        <f t="shared" si="46"/>
        <v>2</v>
      </c>
      <c r="K629" s="2">
        <f t="shared" si="47"/>
        <v>2024</v>
      </c>
      <c r="L629" s="2">
        <f t="shared" si="48"/>
        <v>1</v>
      </c>
      <c r="M629" s="4">
        <v>7</v>
      </c>
      <c r="N629" s="4" t="s">
        <v>1650</v>
      </c>
      <c r="O629" s="4" t="s">
        <v>45</v>
      </c>
      <c r="P629" s="5">
        <v>316877</v>
      </c>
      <c r="Q629" s="4"/>
      <c r="R629" s="4"/>
      <c r="S629" s="4" t="s">
        <v>5819</v>
      </c>
      <c r="T629" s="4">
        <v>4.9000000000000004</v>
      </c>
      <c r="U629" s="4" t="s">
        <v>47</v>
      </c>
      <c r="V629" s="4" t="s">
        <v>212</v>
      </c>
      <c r="W629" s="67" t="str">
        <f t="shared" si="49"/>
        <v>-</v>
      </c>
    </row>
    <row r="630" spans="1:23" x14ac:dyDescent="0.3">
      <c r="A630" s="6" t="s">
        <v>1860</v>
      </c>
      <c r="B630" s="6" t="s">
        <v>1257</v>
      </c>
      <c r="C630" s="6">
        <v>9282257190</v>
      </c>
      <c r="D630" s="6" t="s">
        <v>59</v>
      </c>
      <c r="E630" s="6" t="s">
        <v>109</v>
      </c>
      <c r="F630" s="6" t="s">
        <v>217</v>
      </c>
      <c r="G630" s="6" t="s">
        <v>1621</v>
      </c>
      <c r="H630" s="6" t="s">
        <v>1562</v>
      </c>
      <c r="I630" s="2" t="str">
        <f t="shared" si="45"/>
        <v>Feb</v>
      </c>
      <c r="J630" s="2">
        <f t="shared" si="46"/>
        <v>2</v>
      </c>
      <c r="K630" s="2">
        <f t="shared" si="47"/>
        <v>2024</v>
      </c>
      <c r="L630" s="2">
        <f t="shared" si="48"/>
        <v>1</v>
      </c>
      <c r="M630" s="6">
        <v>6</v>
      </c>
      <c r="N630" s="6" t="s">
        <v>1861</v>
      </c>
      <c r="O630" s="6" t="s">
        <v>97</v>
      </c>
      <c r="P630" s="7">
        <v>350690</v>
      </c>
      <c r="Q630" s="7">
        <v>358800</v>
      </c>
      <c r="R630" s="6" t="s">
        <v>1862</v>
      </c>
      <c r="S630" s="6" t="s">
        <v>28</v>
      </c>
      <c r="T630" s="6">
        <v>35.5</v>
      </c>
      <c r="U630" s="6" t="s">
        <v>63</v>
      </c>
      <c r="V630" s="6" t="s">
        <v>295</v>
      </c>
      <c r="W630" s="67" t="str">
        <f t="shared" si="49"/>
        <v>Customer</v>
      </c>
    </row>
    <row r="631" spans="1:23" x14ac:dyDescent="0.3">
      <c r="A631" s="4" t="s">
        <v>1863</v>
      </c>
      <c r="B631" s="4" t="s">
        <v>1864</v>
      </c>
      <c r="C631" s="4">
        <v>9376279955</v>
      </c>
      <c r="D631" s="4" t="s">
        <v>108</v>
      </c>
      <c r="E631" s="4" t="s">
        <v>648</v>
      </c>
      <c r="F631" s="4" t="s">
        <v>822</v>
      </c>
      <c r="G631" s="4" t="s">
        <v>69</v>
      </c>
      <c r="H631" s="4" t="s">
        <v>1562</v>
      </c>
      <c r="I631" s="2" t="str">
        <f t="shared" si="45"/>
        <v>Feb</v>
      </c>
      <c r="J631" s="2">
        <f t="shared" si="46"/>
        <v>2</v>
      </c>
      <c r="K631" s="2">
        <f t="shared" si="47"/>
        <v>2024</v>
      </c>
      <c r="L631" s="2">
        <f t="shared" si="48"/>
        <v>1</v>
      </c>
      <c r="M631" s="4">
        <v>2</v>
      </c>
      <c r="N631" s="4" t="s">
        <v>1548</v>
      </c>
      <c r="O631" s="4" t="s">
        <v>27</v>
      </c>
      <c r="P631" s="5">
        <v>253234</v>
      </c>
      <c r="Q631" s="4"/>
      <c r="R631" s="4"/>
      <c r="S631" s="4" t="s">
        <v>5819</v>
      </c>
      <c r="T631" s="4">
        <v>21.7</v>
      </c>
      <c r="U631" s="4" t="s">
        <v>29</v>
      </c>
      <c r="V631" s="4" t="s">
        <v>123</v>
      </c>
      <c r="W631" s="67" t="str">
        <f t="shared" si="49"/>
        <v>-</v>
      </c>
    </row>
    <row r="632" spans="1:23" x14ac:dyDescent="0.3">
      <c r="A632" s="6" t="s">
        <v>1865</v>
      </c>
      <c r="B632" s="6" t="s">
        <v>1848</v>
      </c>
      <c r="C632" s="6">
        <v>9673672094</v>
      </c>
      <c r="D632" s="6" t="s">
        <v>20</v>
      </c>
      <c r="E632" s="6" t="s">
        <v>1632</v>
      </c>
      <c r="F632" s="6" t="s">
        <v>1633</v>
      </c>
      <c r="G632" s="6" t="s">
        <v>1623</v>
      </c>
      <c r="H632" s="6" t="s">
        <v>1562</v>
      </c>
      <c r="I632" s="2" t="str">
        <f t="shared" si="45"/>
        <v>Feb</v>
      </c>
      <c r="J632" s="2">
        <f t="shared" si="46"/>
        <v>2</v>
      </c>
      <c r="K632" s="2">
        <f t="shared" si="47"/>
        <v>2024</v>
      </c>
      <c r="L632" s="2">
        <f t="shared" si="48"/>
        <v>1</v>
      </c>
      <c r="M632" s="6">
        <v>2</v>
      </c>
      <c r="N632" s="6" t="s">
        <v>1763</v>
      </c>
      <c r="O632" s="6" t="s">
        <v>97</v>
      </c>
      <c r="P632" s="7">
        <v>202240</v>
      </c>
      <c r="Q632" s="7">
        <v>179326</v>
      </c>
      <c r="R632" s="6" t="s">
        <v>1862</v>
      </c>
      <c r="S632" s="6" t="s">
        <v>1063</v>
      </c>
      <c r="T632" s="6">
        <v>14.5</v>
      </c>
      <c r="U632" s="6" t="s">
        <v>63</v>
      </c>
      <c r="V632" s="6" t="s">
        <v>341</v>
      </c>
      <c r="W632" s="67" t="str">
        <f t="shared" si="49"/>
        <v>Customer</v>
      </c>
    </row>
    <row r="633" spans="1:23" x14ac:dyDescent="0.3">
      <c r="A633" s="4" t="s">
        <v>1866</v>
      </c>
      <c r="B633" s="4" t="s">
        <v>422</v>
      </c>
      <c r="C633" s="4"/>
      <c r="D633" s="4" t="s">
        <v>20</v>
      </c>
      <c r="E633" s="4" t="s">
        <v>1632</v>
      </c>
      <c r="F633" s="4" t="s">
        <v>1717</v>
      </c>
      <c r="G633" s="4" t="s">
        <v>1621</v>
      </c>
      <c r="H633" s="4" t="s">
        <v>1562</v>
      </c>
      <c r="I633" s="2" t="str">
        <f t="shared" si="45"/>
        <v>Feb</v>
      </c>
      <c r="J633" s="2">
        <f t="shared" si="46"/>
        <v>2</v>
      </c>
      <c r="K633" s="2">
        <f t="shared" si="47"/>
        <v>2024</v>
      </c>
      <c r="L633" s="2">
        <f t="shared" si="48"/>
        <v>1</v>
      </c>
      <c r="M633" s="4">
        <v>0</v>
      </c>
      <c r="N633" s="4" t="s">
        <v>1548</v>
      </c>
      <c r="O633" s="4" t="s">
        <v>27</v>
      </c>
      <c r="P633" s="5">
        <v>301971</v>
      </c>
      <c r="Q633" s="4"/>
      <c r="R633" s="4"/>
      <c r="S633" s="4" t="s">
        <v>5819</v>
      </c>
      <c r="T633" s="4">
        <v>29.5</v>
      </c>
      <c r="U633" s="4" t="s">
        <v>47</v>
      </c>
      <c r="V633" s="4" t="s">
        <v>1685</v>
      </c>
      <c r="W633" s="67" t="str">
        <f t="shared" si="49"/>
        <v>-</v>
      </c>
    </row>
    <row r="634" spans="1:23" x14ac:dyDescent="0.3">
      <c r="A634" s="2" t="s">
        <v>1867</v>
      </c>
      <c r="B634" s="2" t="s">
        <v>366</v>
      </c>
      <c r="C634" s="2">
        <v>9966781918</v>
      </c>
      <c r="D634" s="2" t="s">
        <v>59</v>
      </c>
      <c r="E634" s="2" t="s">
        <v>33</v>
      </c>
      <c r="F634" s="2" t="s">
        <v>201</v>
      </c>
      <c r="G634" s="2" t="s">
        <v>1609</v>
      </c>
      <c r="H634" s="2" t="s">
        <v>1562</v>
      </c>
      <c r="I634" s="2" t="str">
        <f t="shared" si="45"/>
        <v>Feb</v>
      </c>
      <c r="J634" s="2">
        <f t="shared" si="46"/>
        <v>2</v>
      </c>
      <c r="K634" s="2">
        <f t="shared" si="47"/>
        <v>2024</v>
      </c>
      <c r="L634" s="2">
        <f t="shared" si="48"/>
        <v>1</v>
      </c>
      <c r="M634" s="2">
        <v>11</v>
      </c>
      <c r="N634" s="2" t="s">
        <v>1868</v>
      </c>
      <c r="O634" s="2" t="s">
        <v>27</v>
      </c>
      <c r="P634" s="3">
        <v>270243</v>
      </c>
      <c r="Q634" s="2"/>
      <c r="R634" s="2"/>
      <c r="S634" s="2" t="s">
        <v>1063</v>
      </c>
      <c r="T634" s="2">
        <v>5.5</v>
      </c>
      <c r="U634" s="2" t="s">
        <v>29</v>
      </c>
      <c r="V634" s="2" t="s">
        <v>163</v>
      </c>
      <c r="W634" s="67" t="str">
        <f t="shared" si="49"/>
        <v>-</v>
      </c>
    </row>
    <row r="635" spans="1:23" x14ac:dyDescent="0.3">
      <c r="A635" s="4" t="s">
        <v>1869</v>
      </c>
      <c r="B635" s="4" t="s">
        <v>1870</v>
      </c>
      <c r="C635" s="4">
        <v>9711397169</v>
      </c>
      <c r="D635" s="4" t="s">
        <v>121</v>
      </c>
      <c r="E635" s="4" t="s">
        <v>33</v>
      </c>
      <c r="F635" s="4" t="s">
        <v>201</v>
      </c>
      <c r="G635" s="4" t="s">
        <v>1609</v>
      </c>
      <c r="H635" s="4" t="s">
        <v>1683</v>
      </c>
      <c r="I635" s="2" t="str">
        <f t="shared" si="45"/>
        <v>Feb</v>
      </c>
      <c r="J635" s="2">
        <f t="shared" si="46"/>
        <v>2</v>
      </c>
      <c r="K635" s="2">
        <f t="shared" si="47"/>
        <v>2024</v>
      </c>
      <c r="L635" s="2">
        <f t="shared" si="48"/>
        <v>1</v>
      </c>
      <c r="M635" s="4">
        <v>10</v>
      </c>
      <c r="N635" s="4" t="s">
        <v>1647</v>
      </c>
      <c r="O635" s="4" t="s">
        <v>27</v>
      </c>
      <c r="P635" s="5">
        <v>279015</v>
      </c>
      <c r="Q635" s="4"/>
      <c r="R635" s="4"/>
      <c r="S635" s="4" t="s">
        <v>28</v>
      </c>
      <c r="T635" s="4">
        <v>37.6</v>
      </c>
      <c r="U635" s="4" t="s">
        <v>29</v>
      </c>
      <c r="V635" s="4" t="s">
        <v>238</v>
      </c>
      <c r="W635" s="67" t="str">
        <f t="shared" si="49"/>
        <v>-</v>
      </c>
    </row>
    <row r="636" spans="1:23" x14ac:dyDescent="0.3">
      <c r="A636" s="2" t="s">
        <v>1871</v>
      </c>
      <c r="B636" s="2" t="s">
        <v>1872</v>
      </c>
      <c r="C636" s="2">
        <v>9281412406</v>
      </c>
      <c r="D636" s="2" t="s">
        <v>20</v>
      </c>
      <c r="E636" s="2" t="s">
        <v>1632</v>
      </c>
      <c r="F636" s="2" t="s">
        <v>1717</v>
      </c>
      <c r="G636" s="2" t="s">
        <v>1735</v>
      </c>
      <c r="H636" s="2" t="s">
        <v>1683</v>
      </c>
      <c r="I636" s="2" t="str">
        <f t="shared" si="45"/>
        <v>Feb</v>
      </c>
      <c r="J636" s="2">
        <f t="shared" si="46"/>
        <v>2</v>
      </c>
      <c r="K636" s="2">
        <f t="shared" si="47"/>
        <v>2024</v>
      </c>
      <c r="L636" s="2">
        <f t="shared" si="48"/>
        <v>1</v>
      </c>
      <c r="M636" s="2">
        <v>2</v>
      </c>
      <c r="N636" s="2" t="s">
        <v>1704</v>
      </c>
      <c r="O636" s="2" t="s">
        <v>27</v>
      </c>
      <c r="P636" s="3">
        <v>1615253</v>
      </c>
      <c r="Q636" s="2"/>
      <c r="R636" s="2"/>
      <c r="S636" s="2" t="s">
        <v>5819</v>
      </c>
      <c r="T636" s="2">
        <v>38</v>
      </c>
      <c r="U636" s="2" t="s">
        <v>29</v>
      </c>
      <c r="V636" s="2" t="s">
        <v>30</v>
      </c>
      <c r="W636" s="67" t="str">
        <f t="shared" si="49"/>
        <v>-</v>
      </c>
    </row>
    <row r="637" spans="1:23" x14ac:dyDescent="0.3">
      <c r="A637" s="4" t="s">
        <v>1873</v>
      </c>
      <c r="B637" s="4" t="s">
        <v>1874</v>
      </c>
      <c r="C637" s="4">
        <v>9872146119</v>
      </c>
      <c r="D637" s="4" t="s">
        <v>20</v>
      </c>
      <c r="E637" s="4" t="s">
        <v>41</v>
      </c>
      <c r="F637" s="4" t="s">
        <v>86</v>
      </c>
      <c r="G637" s="4" t="s">
        <v>23</v>
      </c>
      <c r="H637" s="4" t="s">
        <v>1683</v>
      </c>
      <c r="I637" s="2" t="str">
        <f t="shared" si="45"/>
        <v>Feb</v>
      </c>
      <c r="J637" s="2">
        <f t="shared" si="46"/>
        <v>2</v>
      </c>
      <c r="K637" s="2">
        <f t="shared" si="47"/>
        <v>2024</v>
      </c>
      <c r="L637" s="2">
        <f t="shared" si="48"/>
        <v>1</v>
      </c>
      <c r="M637" s="4">
        <v>11</v>
      </c>
      <c r="N637" s="4" t="s">
        <v>1796</v>
      </c>
      <c r="O637" s="4" t="s">
        <v>45</v>
      </c>
      <c r="P637" s="5">
        <v>745224</v>
      </c>
      <c r="Q637" s="4"/>
      <c r="R637" s="4"/>
      <c r="S637" s="4" t="s">
        <v>1063</v>
      </c>
      <c r="T637" s="4">
        <v>37.9</v>
      </c>
      <c r="U637" s="4" t="s">
        <v>29</v>
      </c>
      <c r="V637" s="4" t="s">
        <v>805</v>
      </c>
      <c r="W637" s="67" t="str">
        <f t="shared" si="49"/>
        <v>-</v>
      </c>
    </row>
    <row r="638" spans="1:23" x14ac:dyDescent="0.3">
      <c r="A638" s="2" t="s">
        <v>1875</v>
      </c>
      <c r="B638" s="2" t="s">
        <v>185</v>
      </c>
      <c r="C638" s="2">
        <v>9290437112</v>
      </c>
      <c r="D638" s="2" t="s">
        <v>108</v>
      </c>
      <c r="E638" s="2" t="s">
        <v>1632</v>
      </c>
      <c r="F638" s="2" t="s">
        <v>1694</v>
      </c>
      <c r="G638" s="2" t="s">
        <v>87</v>
      </c>
      <c r="H638" s="2" t="s">
        <v>1606</v>
      </c>
      <c r="I638" s="2" t="str">
        <f t="shared" si="45"/>
        <v>Feb</v>
      </c>
      <c r="J638" s="2">
        <f t="shared" si="46"/>
        <v>2</v>
      </c>
      <c r="K638" s="2">
        <f t="shared" si="47"/>
        <v>2024</v>
      </c>
      <c r="L638" s="2">
        <f t="shared" si="48"/>
        <v>1</v>
      </c>
      <c r="M638" s="2">
        <v>11</v>
      </c>
      <c r="N638" s="2" t="s">
        <v>1876</v>
      </c>
      <c r="O638" s="2" t="s">
        <v>55</v>
      </c>
      <c r="P638" s="3">
        <v>184526</v>
      </c>
      <c r="Q638" s="2"/>
      <c r="R638" s="2"/>
      <c r="S638" s="2" t="s">
        <v>5819</v>
      </c>
      <c r="T638" s="2">
        <v>23.2</v>
      </c>
      <c r="U638" s="2" t="s">
        <v>29</v>
      </c>
      <c r="V638" s="2"/>
      <c r="W638" s="67" t="str">
        <f t="shared" si="49"/>
        <v>-</v>
      </c>
    </row>
    <row r="639" spans="1:23" x14ac:dyDescent="0.3">
      <c r="A639" s="4" t="s">
        <v>1877</v>
      </c>
      <c r="B639" s="4" t="s">
        <v>1878</v>
      </c>
      <c r="C639" s="4">
        <v>9240284211</v>
      </c>
      <c r="D639" s="4" t="s">
        <v>20</v>
      </c>
      <c r="E639" s="4" t="s">
        <v>41</v>
      </c>
      <c r="F639" s="4" t="s">
        <v>92</v>
      </c>
      <c r="G639" s="4" t="s">
        <v>52</v>
      </c>
      <c r="H639" s="4" t="s">
        <v>1573</v>
      </c>
      <c r="I639" s="2" t="str">
        <f t="shared" si="45"/>
        <v>Feb</v>
      </c>
      <c r="J639" s="2">
        <f t="shared" si="46"/>
        <v>2</v>
      </c>
      <c r="K639" s="2">
        <f t="shared" si="47"/>
        <v>2024</v>
      </c>
      <c r="L639" s="2">
        <f t="shared" si="48"/>
        <v>1</v>
      </c>
      <c r="M639" s="4">
        <v>10</v>
      </c>
      <c r="N639" s="4" t="s">
        <v>1879</v>
      </c>
      <c r="O639" s="4" t="s">
        <v>45</v>
      </c>
      <c r="P639" s="5">
        <v>330307</v>
      </c>
      <c r="Q639" s="4"/>
      <c r="R639" s="4"/>
      <c r="S639" s="4" t="s">
        <v>5819</v>
      </c>
      <c r="T639" s="4">
        <v>2.9</v>
      </c>
      <c r="U639" s="4" t="s">
        <v>47</v>
      </c>
      <c r="V639" s="4" t="s">
        <v>212</v>
      </c>
      <c r="W639" s="67" t="str">
        <f t="shared" si="49"/>
        <v>-</v>
      </c>
    </row>
    <row r="640" spans="1:23" x14ac:dyDescent="0.3">
      <c r="A640" s="2" t="s">
        <v>1880</v>
      </c>
      <c r="B640" s="2" t="s">
        <v>1881</v>
      </c>
      <c r="C640" s="2">
        <v>9590650359</v>
      </c>
      <c r="D640" s="2" t="s">
        <v>59</v>
      </c>
      <c r="E640" s="2" t="s">
        <v>1632</v>
      </c>
      <c r="F640" s="2" t="s">
        <v>1849</v>
      </c>
      <c r="G640" s="2" t="s">
        <v>1599</v>
      </c>
      <c r="H640" s="2" t="s">
        <v>1573</v>
      </c>
      <c r="I640" s="2" t="str">
        <f t="shared" si="45"/>
        <v>Feb</v>
      </c>
      <c r="J640" s="2">
        <f t="shared" si="46"/>
        <v>2</v>
      </c>
      <c r="K640" s="2">
        <f t="shared" si="47"/>
        <v>2024</v>
      </c>
      <c r="L640" s="2">
        <f t="shared" si="48"/>
        <v>1</v>
      </c>
      <c r="M640" s="2">
        <v>7</v>
      </c>
      <c r="N640" s="2" t="s">
        <v>1882</v>
      </c>
      <c r="O640" s="2" t="s">
        <v>45</v>
      </c>
      <c r="P640" s="3">
        <v>817760</v>
      </c>
      <c r="Q640" s="2"/>
      <c r="R640" s="2"/>
      <c r="S640" s="2" t="s">
        <v>28</v>
      </c>
      <c r="T640" s="2">
        <v>38.6</v>
      </c>
      <c r="U640" s="2" t="s">
        <v>29</v>
      </c>
      <c r="V640" s="2" t="s">
        <v>454</v>
      </c>
      <c r="W640" s="67" t="str">
        <f t="shared" si="49"/>
        <v>-</v>
      </c>
    </row>
    <row r="641" spans="1:23" x14ac:dyDescent="0.3">
      <c r="A641" s="6" t="s">
        <v>1883</v>
      </c>
      <c r="B641" s="6" t="s">
        <v>1884</v>
      </c>
      <c r="C641" s="6">
        <v>9203506874</v>
      </c>
      <c r="D641" s="6" t="s">
        <v>121</v>
      </c>
      <c r="E641" s="6" t="s">
        <v>641</v>
      </c>
      <c r="F641" s="6" t="s">
        <v>727</v>
      </c>
      <c r="G641" s="6" t="s">
        <v>643</v>
      </c>
      <c r="H641" s="6" t="s">
        <v>1573</v>
      </c>
      <c r="I641" s="2" t="str">
        <f t="shared" si="45"/>
        <v>Feb</v>
      </c>
      <c r="J641" s="2">
        <f t="shared" si="46"/>
        <v>2</v>
      </c>
      <c r="K641" s="2">
        <f t="shared" si="47"/>
        <v>2024</v>
      </c>
      <c r="L641" s="2">
        <f t="shared" si="48"/>
        <v>1</v>
      </c>
      <c r="M641" s="6">
        <v>2</v>
      </c>
      <c r="N641" s="6" t="s">
        <v>1595</v>
      </c>
      <c r="O641" s="6" t="s">
        <v>97</v>
      </c>
      <c r="P641" s="7">
        <v>1375018</v>
      </c>
      <c r="Q641" s="7">
        <v>1383492</v>
      </c>
      <c r="R641" s="6" t="s">
        <v>1810</v>
      </c>
      <c r="S641" s="6" t="s">
        <v>5819</v>
      </c>
      <c r="T641" s="6">
        <v>23.1</v>
      </c>
      <c r="U641" s="6" t="s">
        <v>63</v>
      </c>
      <c r="V641" s="6" t="s">
        <v>295</v>
      </c>
      <c r="W641" s="67" t="str">
        <f t="shared" si="49"/>
        <v>Customer</v>
      </c>
    </row>
    <row r="642" spans="1:23" x14ac:dyDescent="0.3">
      <c r="A642" s="2" t="s">
        <v>1885</v>
      </c>
      <c r="B642" s="2" t="s">
        <v>755</v>
      </c>
      <c r="C642" s="2">
        <v>9926722781</v>
      </c>
      <c r="D642" s="2" t="s">
        <v>20</v>
      </c>
      <c r="E642" s="2" t="s">
        <v>1632</v>
      </c>
      <c r="F642" s="2" t="s">
        <v>1694</v>
      </c>
      <c r="G642" s="2" t="s">
        <v>87</v>
      </c>
      <c r="H642" s="2" t="s">
        <v>1573</v>
      </c>
      <c r="I642" s="2" t="str">
        <f t="shared" ref="I642:I705" si="50">TEXT(H642,"mmm")</f>
        <v>Feb</v>
      </c>
      <c r="J642" s="2">
        <f t="shared" ref="J642:J705" si="51">MONTH(H642)</f>
        <v>2</v>
      </c>
      <c r="K642" s="2">
        <f t="shared" ref="K642:K705" si="52">YEAR(H642)</f>
        <v>2024</v>
      </c>
      <c r="L642" s="2">
        <f t="shared" ref="L642:L705" si="53">ROUNDUP(MONTH(H642)/3,0)</f>
        <v>1</v>
      </c>
      <c r="M642" s="2">
        <v>11</v>
      </c>
      <c r="N642" s="2" t="s">
        <v>1868</v>
      </c>
      <c r="O642" s="2" t="s">
        <v>27</v>
      </c>
      <c r="P642" s="3">
        <v>153682</v>
      </c>
      <c r="Q642" s="2"/>
      <c r="R642" s="2"/>
      <c r="S642" s="2" t="s">
        <v>5819</v>
      </c>
      <c r="T642" s="2">
        <v>18</v>
      </c>
      <c r="U642" s="2" t="s">
        <v>29</v>
      </c>
      <c r="V642" s="2"/>
      <c r="W642" s="67" t="str">
        <f t="shared" ref="W642:W705" si="54">IF($O642&lt;&gt;"Converted","-",IF(ISNUMBER(SEARCH("Architect",$F642)),"Architect","Customer"))</f>
        <v>-</v>
      </c>
    </row>
    <row r="643" spans="1:23" x14ac:dyDescent="0.3">
      <c r="A643" s="4" t="s">
        <v>1886</v>
      </c>
      <c r="B643" s="4" t="s">
        <v>1887</v>
      </c>
      <c r="C643" s="4">
        <v>9462124359</v>
      </c>
      <c r="D643" s="4" t="s">
        <v>51</v>
      </c>
      <c r="E643" s="4" t="s">
        <v>41</v>
      </c>
      <c r="F643" s="4" t="s">
        <v>42</v>
      </c>
      <c r="G643" s="4" t="s">
        <v>60</v>
      </c>
      <c r="H643" s="4" t="s">
        <v>1573</v>
      </c>
      <c r="I643" s="2" t="str">
        <f t="shared" si="50"/>
        <v>Feb</v>
      </c>
      <c r="J643" s="2">
        <f t="shared" si="51"/>
        <v>2</v>
      </c>
      <c r="K643" s="2">
        <f t="shared" si="52"/>
        <v>2024</v>
      </c>
      <c r="L643" s="2">
        <f t="shared" si="53"/>
        <v>1</v>
      </c>
      <c r="M643" s="4">
        <v>10</v>
      </c>
      <c r="N643" s="4" t="s">
        <v>1853</v>
      </c>
      <c r="O643" s="4" t="s">
        <v>27</v>
      </c>
      <c r="P643" s="5">
        <v>210502</v>
      </c>
      <c r="Q643" s="4"/>
      <c r="R643" s="4"/>
      <c r="S643" s="4" t="s">
        <v>5819</v>
      </c>
      <c r="T643" s="4">
        <v>6.5</v>
      </c>
      <c r="U643" s="4" t="s">
        <v>29</v>
      </c>
      <c r="V643" s="4" t="s">
        <v>163</v>
      </c>
      <c r="W643" s="67" t="str">
        <f t="shared" si="54"/>
        <v>-</v>
      </c>
    </row>
    <row r="644" spans="1:23" x14ac:dyDescent="0.3">
      <c r="A644" s="6" t="s">
        <v>1888</v>
      </c>
      <c r="B644" s="6" t="s">
        <v>1889</v>
      </c>
      <c r="C644" s="6">
        <v>9672472174</v>
      </c>
      <c r="D644" s="6" t="s">
        <v>108</v>
      </c>
      <c r="E644" s="6" t="s">
        <v>73</v>
      </c>
      <c r="F644" s="6" t="s">
        <v>74</v>
      </c>
      <c r="G644" s="6" t="s">
        <v>35</v>
      </c>
      <c r="H644" s="6" t="s">
        <v>1580</v>
      </c>
      <c r="I644" s="2" t="str">
        <f t="shared" si="50"/>
        <v>Feb</v>
      </c>
      <c r="J644" s="2">
        <f t="shared" si="51"/>
        <v>2</v>
      </c>
      <c r="K644" s="2">
        <f t="shared" si="52"/>
        <v>2024</v>
      </c>
      <c r="L644" s="2">
        <f t="shared" si="53"/>
        <v>1</v>
      </c>
      <c r="M644" s="6">
        <v>12</v>
      </c>
      <c r="N644" s="6" t="s">
        <v>1890</v>
      </c>
      <c r="O644" s="6" t="s">
        <v>97</v>
      </c>
      <c r="P644" s="7">
        <v>336657</v>
      </c>
      <c r="Q644" s="7">
        <v>320308</v>
      </c>
      <c r="R644" s="6" t="s">
        <v>1891</v>
      </c>
      <c r="S644" s="6" t="s">
        <v>28</v>
      </c>
      <c r="T644" s="6">
        <v>17.600000000000001</v>
      </c>
      <c r="U644" s="6" t="s">
        <v>63</v>
      </c>
      <c r="V644" s="6"/>
      <c r="W644" s="67" t="str">
        <f t="shared" si="54"/>
        <v>Customer</v>
      </c>
    </row>
    <row r="645" spans="1:23" x14ac:dyDescent="0.3">
      <c r="A645" s="6" t="s">
        <v>1892</v>
      </c>
      <c r="B645" s="6" t="s">
        <v>1784</v>
      </c>
      <c r="C645" s="6">
        <v>9449697588</v>
      </c>
      <c r="D645" s="6" t="s">
        <v>121</v>
      </c>
      <c r="E645" s="6" t="s">
        <v>41</v>
      </c>
      <c r="F645" s="6" t="s">
        <v>42</v>
      </c>
      <c r="G645" s="6" t="s">
        <v>69</v>
      </c>
      <c r="H645" s="6" t="s">
        <v>1580</v>
      </c>
      <c r="I645" s="2" t="str">
        <f t="shared" si="50"/>
        <v>Feb</v>
      </c>
      <c r="J645" s="2">
        <f t="shared" si="51"/>
        <v>2</v>
      </c>
      <c r="K645" s="2">
        <f t="shared" si="52"/>
        <v>2024</v>
      </c>
      <c r="L645" s="2">
        <f t="shared" si="53"/>
        <v>1</v>
      </c>
      <c r="M645" s="6">
        <v>12</v>
      </c>
      <c r="N645" s="6" t="s">
        <v>1868</v>
      </c>
      <c r="O645" s="6" t="s">
        <v>97</v>
      </c>
      <c r="P645" s="7">
        <v>117562</v>
      </c>
      <c r="Q645" s="7">
        <v>109262</v>
      </c>
      <c r="R645" s="6" t="s">
        <v>1759</v>
      </c>
      <c r="S645" s="6" t="s">
        <v>28</v>
      </c>
      <c r="T645" s="6">
        <v>16.2</v>
      </c>
      <c r="U645" s="6" t="s">
        <v>63</v>
      </c>
      <c r="V645" s="6" t="s">
        <v>295</v>
      </c>
      <c r="W645" s="67" t="str">
        <f t="shared" si="54"/>
        <v>Customer</v>
      </c>
    </row>
    <row r="646" spans="1:23" x14ac:dyDescent="0.3">
      <c r="A646" s="2" t="s">
        <v>1893</v>
      </c>
      <c r="B646" s="2" t="s">
        <v>1307</v>
      </c>
      <c r="C646" s="2">
        <v>9198938348</v>
      </c>
      <c r="D646" s="2" t="s">
        <v>51</v>
      </c>
      <c r="E646" s="2" t="s">
        <v>41</v>
      </c>
      <c r="F646" s="2" t="s">
        <v>42</v>
      </c>
      <c r="G646" s="2" t="s">
        <v>23</v>
      </c>
      <c r="H646" s="2" t="s">
        <v>1580</v>
      </c>
      <c r="I646" s="2" t="str">
        <f t="shared" si="50"/>
        <v>Feb</v>
      </c>
      <c r="J646" s="2">
        <f t="shared" si="51"/>
        <v>2</v>
      </c>
      <c r="K646" s="2">
        <f t="shared" si="52"/>
        <v>2024</v>
      </c>
      <c r="L646" s="2">
        <f t="shared" si="53"/>
        <v>1</v>
      </c>
      <c r="M646" s="2">
        <v>10</v>
      </c>
      <c r="N646" s="2" t="s">
        <v>1838</v>
      </c>
      <c r="O646" s="2" t="s">
        <v>55</v>
      </c>
      <c r="P646" s="3">
        <v>314991</v>
      </c>
      <c r="Q646" s="2"/>
      <c r="R646" s="2"/>
      <c r="S646" s="2" t="s">
        <v>28</v>
      </c>
      <c r="T646" s="2">
        <v>14.3</v>
      </c>
      <c r="U646" s="2" t="s">
        <v>29</v>
      </c>
      <c r="V646" s="2"/>
      <c r="W646" s="67" t="str">
        <f t="shared" si="54"/>
        <v>-</v>
      </c>
    </row>
    <row r="647" spans="1:23" x14ac:dyDescent="0.3">
      <c r="A647" s="4" t="s">
        <v>1894</v>
      </c>
      <c r="B647" s="4" t="s">
        <v>1895</v>
      </c>
      <c r="C647" s="4">
        <v>9713262627</v>
      </c>
      <c r="D647" s="4" t="s">
        <v>108</v>
      </c>
      <c r="E647" s="4" t="s">
        <v>641</v>
      </c>
      <c r="F647" s="4" t="s">
        <v>642</v>
      </c>
      <c r="G647" s="4" t="s">
        <v>52</v>
      </c>
      <c r="H647" s="4" t="s">
        <v>1580</v>
      </c>
      <c r="I647" s="2" t="str">
        <f t="shared" si="50"/>
        <v>Feb</v>
      </c>
      <c r="J647" s="2">
        <f t="shared" si="51"/>
        <v>2</v>
      </c>
      <c r="K647" s="2">
        <f t="shared" si="52"/>
        <v>2024</v>
      </c>
      <c r="L647" s="2">
        <f t="shared" si="53"/>
        <v>1</v>
      </c>
      <c r="M647" s="4">
        <v>1</v>
      </c>
      <c r="N647" s="4" t="s">
        <v>1595</v>
      </c>
      <c r="O647" s="4" t="s">
        <v>45</v>
      </c>
      <c r="P647" s="5">
        <v>499917</v>
      </c>
      <c r="Q647" s="4"/>
      <c r="R647" s="4"/>
      <c r="S647" s="4" t="s">
        <v>28</v>
      </c>
      <c r="T647" s="4">
        <v>42.9</v>
      </c>
      <c r="U647" s="4" t="s">
        <v>29</v>
      </c>
      <c r="V647" s="4" t="s">
        <v>613</v>
      </c>
      <c r="W647" s="67" t="str">
        <f t="shared" si="54"/>
        <v>-</v>
      </c>
    </row>
    <row r="648" spans="1:23" x14ac:dyDescent="0.3">
      <c r="A648" s="2" t="s">
        <v>1896</v>
      </c>
      <c r="B648" s="2" t="s">
        <v>369</v>
      </c>
      <c r="C648" s="2">
        <v>9382992538</v>
      </c>
      <c r="D648" s="2" t="s">
        <v>20</v>
      </c>
      <c r="E648" s="2" t="s">
        <v>109</v>
      </c>
      <c r="F648" s="2" t="s">
        <v>110</v>
      </c>
      <c r="G648" s="2" t="s">
        <v>35</v>
      </c>
      <c r="H648" s="2" t="s">
        <v>1638</v>
      </c>
      <c r="I648" s="2" t="str">
        <f t="shared" si="50"/>
        <v>Feb</v>
      </c>
      <c r="J648" s="2">
        <f t="shared" si="51"/>
        <v>2</v>
      </c>
      <c r="K648" s="2">
        <f t="shared" si="52"/>
        <v>2024</v>
      </c>
      <c r="L648" s="2">
        <f t="shared" si="53"/>
        <v>1</v>
      </c>
      <c r="M648" s="2">
        <v>11</v>
      </c>
      <c r="N648" s="2" t="s">
        <v>1897</v>
      </c>
      <c r="O648" s="2" t="s">
        <v>62</v>
      </c>
      <c r="P648" s="3">
        <v>101357</v>
      </c>
      <c r="Q648" s="2"/>
      <c r="R648" s="2"/>
      <c r="S648" s="2" t="s">
        <v>5819</v>
      </c>
      <c r="T648" s="2">
        <v>19.2</v>
      </c>
      <c r="U648" s="2" t="s">
        <v>29</v>
      </c>
      <c r="V648" s="2" t="s">
        <v>187</v>
      </c>
      <c r="W648" s="67" t="str">
        <f t="shared" si="54"/>
        <v>-</v>
      </c>
    </row>
    <row r="649" spans="1:23" x14ac:dyDescent="0.3">
      <c r="A649" s="4" t="s">
        <v>1898</v>
      </c>
      <c r="B649" s="4" t="s">
        <v>1208</v>
      </c>
      <c r="C649" s="4">
        <v>9570415484</v>
      </c>
      <c r="D649" s="4" t="s">
        <v>20</v>
      </c>
      <c r="E649" s="4" t="s">
        <v>641</v>
      </c>
      <c r="F649" s="4" t="s">
        <v>681</v>
      </c>
      <c r="G649" s="4" t="s">
        <v>60</v>
      </c>
      <c r="H649" s="4" t="s">
        <v>1638</v>
      </c>
      <c r="I649" s="2" t="str">
        <f t="shared" si="50"/>
        <v>Feb</v>
      </c>
      <c r="J649" s="2">
        <f t="shared" si="51"/>
        <v>2</v>
      </c>
      <c r="K649" s="2">
        <f t="shared" si="52"/>
        <v>2024</v>
      </c>
      <c r="L649" s="2">
        <f t="shared" si="53"/>
        <v>1</v>
      </c>
      <c r="M649" s="4">
        <v>2</v>
      </c>
      <c r="N649" s="4" t="s">
        <v>1808</v>
      </c>
      <c r="O649" s="4" t="s">
        <v>27</v>
      </c>
      <c r="P649" s="5">
        <v>142667</v>
      </c>
      <c r="Q649" s="4"/>
      <c r="R649" s="4"/>
      <c r="S649" s="4" t="s">
        <v>5819</v>
      </c>
      <c r="T649" s="4">
        <v>2.8</v>
      </c>
      <c r="U649" s="4" t="s">
        <v>47</v>
      </c>
      <c r="V649" s="4" t="s">
        <v>38</v>
      </c>
      <c r="W649" s="67" t="str">
        <f t="shared" si="54"/>
        <v>-</v>
      </c>
    </row>
    <row r="650" spans="1:23" x14ac:dyDescent="0.3">
      <c r="A650" s="2" t="s">
        <v>1899</v>
      </c>
      <c r="B650" s="2" t="s">
        <v>1900</v>
      </c>
      <c r="C650" s="2">
        <v>9717641820</v>
      </c>
      <c r="D650" s="2" t="s">
        <v>59</v>
      </c>
      <c r="E650" s="2" t="s">
        <v>641</v>
      </c>
      <c r="F650" s="2" t="s">
        <v>681</v>
      </c>
      <c r="G650" s="2" t="s">
        <v>1621</v>
      </c>
      <c r="H650" s="2" t="s">
        <v>1638</v>
      </c>
      <c r="I650" s="2" t="str">
        <f t="shared" si="50"/>
        <v>Feb</v>
      </c>
      <c r="J650" s="2">
        <f t="shared" si="51"/>
        <v>2</v>
      </c>
      <c r="K650" s="2">
        <f t="shared" si="52"/>
        <v>2024</v>
      </c>
      <c r="L650" s="2">
        <f t="shared" si="53"/>
        <v>1</v>
      </c>
      <c r="M650" s="2">
        <v>10</v>
      </c>
      <c r="N650" s="2" t="s">
        <v>1779</v>
      </c>
      <c r="O650" s="2" t="s">
        <v>45</v>
      </c>
      <c r="P650" s="3">
        <v>203485</v>
      </c>
      <c r="Q650" s="2"/>
      <c r="R650" s="2"/>
      <c r="S650" s="2" t="s">
        <v>5819</v>
      </c>
      <c r="T650" s="2">
        <v>22.2</v>
      </c>
      <c r="U650" s="2" t="s">
        <v>63</v>
      </c>
      <c r="V650" s="2" t="s">
        <v>621</v>
      </c>
      <c r="W650" s="67" t="str">
        <f t="shared" si="54"/>
        <v>-</v>
      </c>
    </row>
    <row r="651" spans="1:23" x14ac:dyDescent="0.3">
      <c r="A651" s="4" t="s">
        <v>1901</v>
      </c>
      <c r="B651" s="4" t="s">
        <v>1902</v>
      </c>
      <c r="C651" s="4">
        <v>9824418845</v>
      </c>
      <c r="D651" s="4" t="s">
        <v>20</v>
      </c>
      <c r="E651" s="4" t="s">
        <v>109</v>
      </c>
      <c r="F651" s="4" t="s">
        <v>110</v>
      </c>
      <c r="G651" s="4" t="s">
        <v>1623</v>
      </c>
      <c r="H651" s="4" t="s">
        <v>1638</v>
      </c>
      <c r="I651" s="2" t="str">
        <f t="shared" si="50"/>
        <v>Feb</v>
      </c>
      <c r="J651" s="2">
        <f t="shared" si="51"/>
        <v>2</v>
      </c>
      <c r="K651" s="2">
        <f t="shared" si="52"/>
        <v>2024</v>
      </c>
      <c r="L651" s="2">
        <f t="shared" si="53"/>
        <v>1</v>
      </c>
      <c r="M651" s="4">
        <v>10</v>
      </c>
      <c r="N651" s="4" t="s">
        <v>1868</v>
      </c>
      <c r="O651" s="4" t="s">
        <v>45</v>
      </c>
      <c r="P651" s="5">
        <v>271522</v>
      </c>
      <c r="Q651" s="4"/>
      <c r="R651" s="4"/>
      <c r="S651" s="4" t="s">
        <v>1063</v>
      </c>
      <c r="T651" s="4">
        <v>47.4</v>
      </c>
      <c r="U651" s="4" t="s">
        <v>29</v>
      </c>
      <c r="V651" s="4" t="s">
        <v>247</v>
      </c>
      <c r="W651" s="67" t="str">
        <f t="shared" si="54"/>
        <v>-</v>
      </c>
    </row>
    <row r="652" spans="1:23" x14ac:dyDescent="0.3">
      <c r="A652" s="2" t="s">
        <v>1903</v>
      </c>
      <c r="B652" s="2" t="s">
        <v>1904</v>
      </c>
      <c r="C652" s="2">
        <v>9257460250</v>
      </c>
      <c r="D652" s="2" t="s">
        <v>121</v>
      </c>
      <c r="E652" s="2" t="s">
        <v>73</v>
      </c>
      <c r="F652" s="2" t="s">
        <v>74</v>
      </c>
      <c r="G652" s="2" t="s">
        <v>52</v>
      </c>
      <c r="H652" s="2" t="s">
        <v>1638</v>
      </c>
      <c r="I652" s="2" t="str">
        <f t="shared" si="50"/>
        <v>Feb</v>
      </c>
      <c r="J652" s="2">
        <f t="shared" si="51"/>
        <v>2</v>
      </c>
      <c r="K652" s="2">
        <f t="shared" si="52"/>
        <v>2024</v>
      </c>
      <c r="L652" s="2">
        <f t="shared" si="53"/>
        <v>1</v>
      </c>
      <c r="M652" s="2">
        <v>11</v>
      </c>
      <c r="N652" s="2" t="s">
        <v>1905</v>
      </c>
      <c r="O652" s="2" t="s">
        <v>27</v>
      </c>
      <c r="P652" s="3">
        <v>469673</v>
      </c>
      <c r="Q652" s="2"/>
      <c r="R652" s="2"/>
      <c r="S652" s="2" t="s">
        <v>5819</v>
      </c>
      <c r="T652" s="2">
        <v>30.5</v>
      </c>
      <c r="U652" s="2" t="s">
        <v>29</v>
      </c>
      <c r="V652" s="2" t="s">
        <v>105</v>
      </c>
      <c r="W652" s="67" t="str">
        <f t="shared" si="54"/>
        <v>-</v>
      </c>
    </row>
    <row r="653" spans="1:23" x14ac:dyDescent="0.3">
      <c r="A653" s="4" t="s">
        <v>1906</v>
      </c>
      <c r="B653" s="4" t="s">
        <v>1907</v>
      </c>
      <c r="C653" s="4">
        <v>9446560674</v>
      </c>
      <c r="D653" s="4" t="s">
        <v>121</v>
      </c>
      <c r="E653" s="4" t="s">
        <v>641</v>
      </c>
      <c r="F653" s="4" t="s">
        <v>681</v>
      </c>
      <c r="G653" s="4" t="s">
        <v>1621</v>
      </c>
      <c r="H653" s="4" t="s">
        <v>1627</v>
      </c>
      <c r="I653" s="2" t="str">
        <f t="shared" si="50"/>
        <v>Feb</v>
      </c>
      <c r="J653" s="2">
        <f t="shared" si="51"/>
        <v>2</v>
      </c>
      <c r="K653" s="2">
        <f t="shared" si="52"/>
        <v>2024</v>
      </c>
      <c r="L653" s="2">
        <f t="shared" si="53"/>
        <v>1</v>
      </c>
      <c r="M653" s="4">
        <v>5</v>
      </c>
      <c r="N653" s="4" t="s">
        <v>1908</v>
      </c>
      <c r="O653" s="4" t="s">
        <v>45</v>
      </c>
      <c r="P653" s="5">
        <v>589326</v>
      </c>
      <c r="Q653" s="4"/>
      <c r="R653" s="4"/>
      <c r="S653" s="4" t="s">
        <v>1063</v>
      </c>
      <c r="T653" s="4">
        <v>16.8</v>
      </c>
      <c r="U653" s="4" t="s">
        <v>47</v>
      </c>
      <c r="V653" s="4" t="s">
        <v>183</v>
      </c>
      <c r="W653" s="67" t="str">
        <f t="shared" si="54"/>
        <v>-</v>
      </c>
    </row>
    <row r="654" spans="1:23" x14ac:dyDescent="0.3">
      <c r="A654" s="6" t="s">
        <v>1909</v>
      </c>
      <c r="B654" s="6" t="s">
        <v>952</v>
      </c>
      <c r="C654" s="6">
        <v>9867622823</v>
      </c>
      <c r="D654" s="6" t="s">
        <v>59</v>
      </c>
      <c r="E654" s="6" t="s">
        <v>41</v>
      </c>
      <c r="F654" s="6" t="s">
        <v>92</v>
      </c>
      <c r="G654" s="6" t="s">
        <v>23</v>
      </c>
      <c r="H654" s="6" t="s">
        <v>1627</v>
      </c>
      <c r="I654" s="2" t="str">
        <f t="shared" si="50"/>
        <v>Feb</v>
      </c>
      <c r="J654" s="2">
        <f t="shared" si="51"/>
        <v>2</v>
      </c>
      <c r="K654" s="2">
        <f t="shared" si="52"/>
        <v>2024</v>
      </c>
      <c r="L654" s="2">
        <f t="shared" si="53"/>
        <v>1</v>
      </c>
      <c r="M654" s="6">
        <v>8</v>
      </c>
      <c r="N654" s="6" t="s">
        <v>1868</v>
      </c>
      <c r="O654" s="6" t="s">
        <v>97</v>
      </c>
      <c r="P654" s="7">
        <v>759674</v>
      </c>
      <c r="Q654" s="7">
        <v>717419</v>
      </c>
      <c r="R654" s="6" t="s">
        <v>1780</v>
      </c>
      <c r="S654" s="6" t="s">
        <v>28</v>
      </c>
      <c r="T654" s="6">
        <v>32.700000000000003</v>
      </c>
      <c r="U654" s="6" t="s">
        <v>63</v>
      </c>
      <c r="V654" s="6" t="s">
        <v>295</v>
      </c>
      <c r="W654" s="67" t="str">
        <f t="shared" si="54"/>
        <v>Customer</v>
      </c>
    </row>
    <row r="655" spans="1:23" x14ac:dyDescent="0.3">
      <c r="A655" s="4" t="s">
        <v>1910</v>
      </c>
      <c r="B655" s="4" t="s">
        <v>197</v>
      </c>
      <c r="C655" s="4">
        <v>9321677524</v>
      </c>
      <c r="D655" s="4" t="s">
        <v>59</v>
      </c>
      <c r="E655" s="4" t="s">
        <v>21</v>
      </c>
      <c r="F655" s="4" t="s">
        <v>22</v>
      </c>
      <c r="G655" s="4" t="s">
        <v>87</v>
      </c>
      <c r="H655" s="4" t="s">
        <v>1691</v>
      </c>
      <c r="I655" s="2" t="str">
        <f t="shared" si="50"/>
        <v>Feb</v>
      </c>
      <c r="J655" s="2">
        <f t="shared" si="51"/>
        <v>2</v>
      </c>
      <c r="K655" s="2">
        <f t="shared" si="52"/>
        <v>2024</v>
      </c>
      <c r="L655" s="2">
        <f t="shared" si="53"/>
        <v>1</v>
      </c>
      <c r="M655" s="4">
        <v>6</v>
      </c>
      <c r="N655" s="4" t="s">
        <v>1882</v>
      </c>
      <c r="O655" s="4" t="s">
        <v>27</v>
      </c>
      <c r="P655" s="5">
        <v>295568</v>
      </c>
      <c r="Q655" s="4"/>
      <c r="R655" s="4"/>
      <c r="S655" s="4" t="s">
        <v>5819</v>
      </c>
      <c r="T655" s="4">
        <v>32</v>
      </c>
      <c r="U655" s="4" t="s">
        <v>29</v>
      </c>
      <c r="V655" s="4"/>
      <c r="W655" s="67" t="str">
        <f t="shared" si="54"/>
        <v>-</v>
      </c>
    </row>
    <row r="656" spans="1:23" x14ac:dyDescent="0.3">
      <c r="A656" s="2" t="s">
        <v>1911</v>
      </c>
      <c r="B656" s="2" t="s">
        <v>1912</v>
      </c>
      <c r="C656" s="2">
        <v>9660223249</v>
      </c>
      <c r="D656" s="2" t="s">
        <v>51</v>
      </c>
      <c r="E656" s="2" t="s">
        <v>648</v>
      </c>
      <c r="F656" s="2" t="s">
        <v>649</v>
      </c>
      <c r="G656" s="2" t="s">
        <v>1621</v>
      </c>
      <c r="H656" s="2" t="s">
        <v>1691</v>
      </c>
      <c r="I656" s="2" t="str">
        <f t="shared" si="50"/>
        <v>Feb</v>
      </c>
      <c r="J656" s="2">
        <f t="shared" si="51"/>
        <v>2</v>
      </c>
      <c r="K656" s="2">
        <f t="shared" si="52"/>
        <v>2024</v>
      </c>
      <c r="L656" s="2">
        <f t="shared" si="53"/>
        <v>1</v>
      </c>
      <c r="M656" s="2">
        <v>4</v>
      </c>
      <c r="N656" s="2" t="s">
        <v>1913</v>
      </c>
      <c r="O656" s="2" t="s">
        <v>62</v>
      </c>
      <c r="P656" s="3">
        <v>305428</v>
      </c>
      <c r="Q656" s="2"/>
      <c r="R656" s="2"/>
      <c r="S656" s="2" t="s">
        <v>28</v>
      </c>
      <c r="T656" s="2">
        <v>29.7</v>
      </c>
      <c r="U656" s="2" t="s">
        <v>29</v>
      </c>
      <c r="V656" s="2" t="s">
        <v>589</v>
      </c>
      <c r="W656" s="67" t="str">
        <f t="shared" si="54"/>
        <v>-</v>
      </c>
    </row>
    <row r="657" spans="1:23" x14ac:dyDescent="0.3">
      <c r="A657" s="6" t="s">
        <v>1914</v>
      </c>
      <c r="B657" s="6" t="s">
        <v>1915</v>
      </c>
      <c r="C657" s="6">
        <v>9997901191</v>
      </c>
      <c r="D657" s="6" t="s">
        <v>59</v>
      </c>
      <c r="E657" s="6" t="s">
        <v>109</v>
      </c>
      <c r="F657" s="6" t="s">
        <v>110</v>
      </c>
      <c r="G657" s="6" t="s">
        <v>1735</v>
      </c>
      <c r="H657" s="6" t="s">
        <v>1691</v>
      </c>
      <c r="I657" s="2" t="str">
        <f t="shared" si="50"/>
        <v>Feb</v>
      </c>
      <c r="J657" s="2">
        <f t="shared" si="51"/>
        <v>2</v>
      </c>
      <c r="K657" s="2">
        <f t="shared" si="52"/>
        <v>2024</v>
      </c>
      <c r="L657" s="2">
        <f t="shared" si="53"/>
        <v>1</v>
      </c>
      <c r="M657" s="6">
        <v>7</v>
      </c>
      <c r="N657" s="6" t="s">
        <v>1916</v>
      </c>
      <c r="O657" s="6" t="s">
        <v>97</v>
      </c>
      <c r="P657" s="7">
        <v>1731001</v>
      </c>
      <c r="Q657" s="7">
        <v>1532788</v>
      </c>
      <c r="R657" s="6" t="s">
        <v>1917</v>
      </c>
      <c r="S657" s="6" t="s">
        <v>5819</v>
      </c>
      <c r="T657" s="6">
        <v>36.4</v>
      </c>
      <c r="U657" s="6" t="s">
        <v>63</v>
      </c>
      <c r="V657" s="6" t="s">
        <v>170</v>
      </c>
      <c r="W657" s="67" t="str">
        <f t="shared" si="54"/>
        <v>Customer</v>
      </c>
    </row>
    <row r="658" spans="1:23" x14ac:dyDescent="0.3">
      <c r="A658" s="2" t="s">
        <v>1918</v>
      </c>
      <c r="B658" s="2" t="s">
        <v>1608</v>
      </c>
      <c r="C658" s="2">
        <v>9374289896</v>
      </c>
      <c r="D658" s="2" t="s">
        <v>20</v>
      </c>
      <c r="E658" s="2" t="s">
        <v>21</v>
      </c>
      <c r="F658" s="2" t="s">
        <v>230</v>
      </c>
      <c r="G658" s="2" t="s">
        <v>87</v>
      </c>
      <c r="H658" s="2" t="s">
        <v>1548</v>
      </c>
      <c r="I658" s="2" t="str">
        <f t="shared" si="50"/>
        <v>Feb</v>
      </c>
      <c r="J658" s="2">
        <f t="shared" si="51"/>
        <v>2</v>
      </c>
      <c r="K658" s="2">
        <f t="shared" si="52"/>
        <v>2024</v>
      </c>
      <c r="L658" s="2">
        <f t="shared" si="53"/>
        <v>1</v>
      </c>
      <c r="M658" s="2">
        <v>4</v>
      </c>
      <c r="N658" s="2" t="s">
        <v>1595</v>
      </c>
      <c r="O658" s="2" t="s">
        <v>27</v>
      </c>
      <c r="P658" s="3">
        <v>113241</v>
      </c>
      <c r="Q658" s="2"/>
      <c r="R658" s="2"/>
      <c r="S658" s="2" t="s">
        <v>28</v>
      </c>
      <c r="T658" s="2">
        <v>36.4</v>
      </c>
      <c r="U658" s="2" t="s">
        <v>29</v>
      </c>
      <c r="V658" s="2" t="s">
        <v>202</v>
      </c>
      <c r="W658" s="67" t="str">
        <f t="shared" si="54"/>
        <v>-</v>
      </c>
    </row>
    <row r="659" spans="1:23" x14ac:dyDescent="0.3">
      <c r="A659" s="4" t="s">
        <v>1919</v>
      </c>
      <c r="B659" s="4" t="s">
        <v>1920</v>
      </c>
      <c r="C659" s="4">
        <v>9308970522</v>
      </c>
      <c r="D659" s="4" t="s">
        <v>59</v>
      </c>
      <c r="E659" s="4" t="s">
        <v>648</v>
      </c>
      <c r="F659" s="4" t="s">
        <v>656</v>
      </c>
      <c r="G659" s="4" t="s">
        <v>69</v>
      </c>
      <c r="H659" s="4" t="s">
        <v>1548</v>
      </c>
      <c r="I659" s="2" t="str">
        <f t="shared" si="50"/>
        <v>Feb</v>
      </c>
      <c r="J659" s="2">
        <f t="shared" si="51"/>
        <v>2</v>
      </c>
      <c r="K659" s="2">
        <f t="shared" si="52"/>
        <v>2024</v>
      </c>
      <c r="L659" s="2">
        <f t="shared" si="53"/>
        <v>1</v>
      </c>
      <c r="M659" s="4">
        <v>9</v>
      </c>
      <c r="N659" s="4" t="s">
        <v>1879</v>
      </c>
      <c r="O659" s="4" t="s">
        <v>55</v>
      </c>
      <c r="P659" s="5">
        <v>294312</v>
      </c>
      <c r="Q659" s="4"/>
      <c r="R659" s="4"/>
      <c r="S659" s="4" t="s">
        <v>1063</v>
      </c>
      <c r="T659" s="4">
        <v>37.4</v>
      </c>
      <c r="U659" s="4" t="s">
        <v>29</v>
      </c>
      <c r="V659" s="4" t="s">
        <v>454</v>
      </c>
      <c r="W659" s="67" t="str">
        <f t="shared" si="54"/>
        <v>-</v>
      </c>
    </row>
    <row r="660" spans="1:23" x14ac:dyDescent="0.3">
      <c r="A660" s="6" t="s">
        <v>1921</v>
      </c>
      <c r="B660" s="6" t="s">
        <v>1922</v>
      </c>
      <c r="C660" s="6">
        <v>9657236343</v>
      </c>
      <c r="D660" s="6" t="s">
        <v>51</v>
      </c>
      <c r="E660" s="6" t="s">
        <v>109</v>
      </c>
      <c r="F660" s="6" t="s">
        <v>110</v>
      </c>
      <c r="G660" s="6" t="s">
        <v>69</v>
      </c>
      <c r="H660" s="6" t="s">
        <v>1548</v>
      </c>
      <c r="I660" s="2" t="str">
        <f t="shared" si="50"/>
        <v>Feb</v>
      </c>
      <c r="J660" s="2">
        <f t="shared" si="51"/>
        <v>2</v>
      </c>
      <c r="K660" s="2">
        <f t="shared" si="52"/>
        <v>2024</v>
      </c>
      <c r="L660" s="2">
        <f t="shared" si="53"/>
        <v>1</v>
      </c>
      <c r="M660" s="6">
        <v>1</v>
      </c>
      <c r="N660" s="6" t="s">
        <v>1745</v>
      </c>
      <c r="O660" s="6" t="s">
        <v>97</v>
      </c>
      <c r="P660" s="7">
        <v>112408</v>
      </c>
      <c r="Q660" s="7">
        <v>109404</v>
      </c>
      <c r="R660" s="6" t="s">
        <v>1764</v>
      </c>
      <c r="S660" s="6" t="s">
        <v>5819</v>
      </c>
      <c r="T660" s="6">
        <v>21.4</v>
      </c>
      <c r="U660" s="6" t="s">
        <v>63</v>
      </c>
      <c r="V660" s="6" t="s">
        <v>295</v>
      </c>
      <c r="W660" s="67" t="str">
        <f t="shared" si="54"/>
        <v>Customer</v>
      </c>
    </row>
    <row r="661" spans="1:23" x14ac:dyDescent="0.3">
      <c r="A661" s="8" t="s">
        <v>1923</v>
      </c>
      <c r="B661" s="8" t="s">
        <v>95</v>
      </c>
      <c r="C661" s="8">
        <v>9513284726</v>
      </c>
      <c r="D661" s="8" t="s">
        <v>20</v>
      </c>
      <c r="E661" s="8" t="s">
        <v>33</v>
      </c>
      <c r="F661" s="8" t="s">
        <v>201</v>
      </c>
      <c r="G661" s="8" t="s">
        <v>616</v>
      </c>
      <c r="H661" s="8" t="s">
        <v>1775</v>
      </c>
      <c r="I661" s="2" t="str">
        <f t="shared" si="50"/>
        <v>Feb</v>
      </c>
      <c r="J661" s="2">
        <f t="shared" si="51"/>
        <v>2</v>
      </c>
      <c r="K661" s="2">
        <f t="shared" si="52"/>
        <v>2024</v>
      </c>
      <c r="L661" s="2">
        <f t="shared" si="53"/>
        <v>1</v>
      </c>
      <c r="M661" s="8">
        <v>10</v>
      </c>
      <c r="N661" s="8" t="s">
        <v>1828</v>
      </c>
      <c r="O661" s="8" t="s">
        <v>97</v>
      </c>
      <c r="P661" s="9">
        <v>306894</v>
      </c>
      <c r="Q661" s="9">
        <v>307836</v>
      </c>
      <c r="R661" s="8" t="s">
        <v>1924</v>
      </c>
      <c r="S661" s="8" t="s">
        <v>1805</v>
      </c>
      <c r="T661" s="8">
        <v>27.8</v>
      </c>
      <c r="U661" s="8" t="s">
        <v>63</v>
      </c>
      <c r="V661" s="8" t="s">
        <v>465</v>
      </c>
      <c r="W661" s="67" t="str">
        <f t="shared" si="54"/>
        <v>Customer</v>
      </c>
    </row>
    <row r="662" spans="1:23" x14ac:dyDescent="0.3">
      <c r="A662" s="6" t="s">
        <v>1925</v>
      </c>
      <c r="B662" s="6" t="s">
        <v>1912</v>
      </c>
      <c r="C662" s="6">
        <v>9917848203</v>
      </c>
      <c r="D662" s="6" t="s">
        <v>20</v>
      </c>
      <c r="E662" s="6" t="s">
        <v>1632</v>
      </c>
      <c r="F662" s="6" t="s">
        <v>1694</v>
      </c>
      <c r="G662" s="6" t="s">
        <v>643</v>
      </c>
      <c r="H662" s="6" t="s">
        <v>1775</v>
      </c>
      <c r="I662" s="2" t="str">
        <f t="shared" si="50"/>
        <v>Feb</v>
      </c>
      <c r="J662" s="2">
        <f t="shared" si="51"/>
        <v>2</v>
      </c>
      <c r="K662" s="2">
        <f t="shared" si="52"/>
        <v>2024</v>
      </c>
      <c r="L662" s="2">
        <f t="shared" si="53"/>
        <v>1</v>
      </c>
      <c r="M662" s="6">
        <v>2</v>
      </c>
      <c r="N662" s="6" t="s">
        <v>1838</v>
      </c>
      <c r="O662" s="6" t="s">
        <v>97</v>
      </c>
      <c r="P662" s="7">
        <v>974364</v>
      </c>
      <c r="Q662" s="7">
        <v>924228</v>
      </c>
      <c r="R662" s="6" t="s">
        <v>1890</v>
      </c>
      <c r="S662" s="6" t="s">
        <v>5819</v>
      </c>
      <c r="T662" s="6">
        <v>9.9</v>
      </c>
      <c r="U662" s="6" t="s">
        <v>63</v>
      </c>
      <c r="V662" s="6" t="s">
        <v>99</v>
      </c>
      <c r="W662" s="67" t="str">
        <f t="shared" si="54"/>
        <v>Customer</v>
      </c>
    </row>
    <row r="663" spans="1:23" x14ac:dyDescent="0.3">
      <c r="A663" s="4" t="s">
        <v>1926</v>
      </c>
      <c r="B663" s="4" t="s">
        <v>1927</v>
      </c>
      <c r="C663" s="4">
        <v>9538310099</v>
      </c>
      <c r="D663" s="4" t="s">
        <v>20</v>
      </c>
      <c r="E663" s="4" t="s">
        <v>641</v>
      </c>
      <c r="F663" s="4" t="s">
        <v>681</v>
      </c>
      <c r="G663" s="4" t="s">
        <v>60</v>
      </c>
      <c r="H663" s="4" t="s">
        <v>1732</v>
      </c>
      <c r="I663" s="2" t="str">
        <f t="shared" si="50"/>
        <v>Feb</v>
      </c>
      <c r="J663" s="2">
        <f t="shared" si="51"/>
        <v>2</v>
      </c>
      <c r="K663" s="2">
        <f t="shared" si="52"/>
        <v>2024</v>
      </c>
      <c r="L663" s="2">
        <f t="shared" si="53"/>
        <v>1</v>
      </c>
      <c r="M663" s="4">
        <v>5</v>
      </c>
      <c r="N663" s="4" t="s">
        <v>1702</v>
      </c>
      <c r="O663" s="4" t="s">
        <v>27</v>
      </c>
      <c r="P663" s="5">
        <v>92918</v>
      </c>
      <c r="Q663" s="4"/>
      <c r="R663" s="4"/>
      <c r="S663" s="4" t="s">
        <v>28</v>
      </c>
      <c r="T663" s="4">
        <v>32</v>
      </c>
      <c r="U663" s="4" t="s">
        <v>29</v>
      </c>
      <c r="V663" s="4" t="s">
        <v>157</v>
      </c>
      <c r="W663" s="67" t="str">
        <f t="shared" si="54"/>
        <v>-</v>
      </c>
    </row>
    <row r="664" spans="1:23" x14ac:dyDescent="0.3">
      <c r="A664" s="6" t="s">
        <v>1928</v>
      </c>
      <c r="B664" s="6" t="s">
        <v>1929</v>
      </c>
      <c r="C664" s="6">
        <v>9481346877</v>
      </c>
      <c r="D664" s="6" t="s">
        <v>59</v>
      </c>
      <c r="E664" s="6" t="s">
        <v>67</v>
      </c>
      <c r="F664" s="6" t="s">
        <v>80</v>
      </c>
      <c r="G664" s="6" t="s">
        <v>69</v>
      </c>
      <c r="H664" s="6" t="s">
        <v>1732</v>
      </c>
      <c r="I664" s="2" t="str">
        <f t="shared" si="50"/>
        <v>Feb</v>
      </c>
      <c r="J664" s="2">
        <f t="shared" si="51"/>
        <v>2</v>
      </c>
      <c r="K664" s="2">
        <f t="shared" si="52"/>
        <v>2024</v>
      </c>
      <c r="L664" s="2">
        <f t="shared" si="53"/>
        <v>1</v>
      </c>
      <c r="M664" s="6">
        <v>11</v>
      </c>
      <c r="N664" s="6" t="s">
        <v>1876</v>
      </c>
      <c r="O664" s="6" t="s">
        <v>97</v>
      </c>
      <c r="P664" s="7">
        <v>268296</v>
      </c>
      <c r="Q664" s="7">
        <v>249741</v>
      </c>
      <c r="R664" s="6" t="s">
        <v>1930</v>
      </c>
      <c r="S664" s="6" t="s">
        <v>1063</v>
      </c>
      <c r="T664" s="6">
        <v>38.799999999999997</v>
      </c>
      <c r="U664" s="6" t="s">
        <v>63</v>
      </c>
      <c r="V664" s="6"/>
      <c r="W664" s="67" t="str">
        <f t="shared" si="54"/>
        <v>Customer</v>
      </c>
    </row>
    <row r="665" spans="1:23" x14ac:dyDescent="0.3">
      <c r="A665" s="4" t="s">
        <v>1931</v>
      </c>
      <c r="B665" s="4" t="s">
        <v>1195</v>
      </c>
      <c r="C665" s="4">
        <v>9541070542</v>
      </c>
      <c r="D665" s="4" t="s">
        <v>20</v>
      </c>
      <c r="E665" s="4" t="s">
        <v>109</v>
      </c>
      <c r="F665" s="4" t="s">
        <v>217</v>
      </c>
      <c r="G665" s="4" t="s">
        <v>52</v>
      </c>
      <c r="H665" s="4" t="s">
        <v>1732</v>
      </c>
      <c r="I665" s="2" t="str">
        <f t="shared" si="50"/>
        <v>Feb</v>
      </c>
      <c r="J665" s="2">
        <f t="shared" si="51"/>
        <v>2</v>
      </c>
      <c r="K665" s="2">
        <f t="shared" si="52"/>
        <v>2024</v>
      </c>
      <c r="L665" s="2">
        <f t="shared" si="53"/>
        <v>1</v>
      </c>
      <c r="M665" s="4">
        <v>9</v>
      </c>
      <c r="N665" s="4" t="s">
        <v>1647</v>
      </c>
      <c r="O665" s="4" t="s">
        <v>27</v>
      </c>
      <c r="P665" s="5">
        <v>492154</v>
      </c>
      <c r="Q665" s="4"/>
      <c r="R665" s="4"/>
      <c r="S665" s="4" t="s">
        <v>28</v>
      </c>
      <c r="T665" s="4">
        <v>34.1</v>
      </c>
      <c r="U665" s="4" t="s">
        <v>29</v>
      </c>
      <c r="V665" s="4" t="s">
        <v>123</v>
      </c>
      <c r="W665" s="67" t="str">
        <f t="shared" si="54"/>
        <v>-</v>
      </c>
    </row>
    <row r="666" spans="1:23" x14ac:dyDescent="0.3">
      <c r="A666" s="2" t="s">
        <v>1932</v>
      </c>
      <c r="B666" s="2" t="s">
        <v>1465</v>
      </c>
      <c r="C666" s="2">
        <v>9884882225</v>
      </c>
      <c r="D666" s="2" t="s">
        <v>20</v>
      </c>
      <c r="E666" s="2" t="s">
        <v>109</v>
      </c>
      <c r="F666" s="2" t="s">
        <v>217</v>
      </c>
      <c r="G666" s="2" t="s">
        <v>1609</v>
      </c>
      <c r="H666" s="2" t="s">
        <v>1732</v>
      </c>
      <c r="I666" s="2" t="str">
        <f t="shared" si="50"/>
        <v>Feb</v>
      </c>
      <c r="J666" s="2">
        <f t="shared" si="51"/>
        <v>2</v>
      </c>
      <c r="K666" s="2">
        <f t="shared" si="52"/>
        <v>2024</v>
      </c>
      <c r="L666" s="2">
        <f t="shared" si="53"/>
        <v>1</v>
      </c>
      <c r="M666" s="2">
        <v>5</v>
      </c>
      <c r="N666" s="2" t="s">
        <v>1647</v>
      </c>
      <c r="O666" s="2" t="s">
        <v>45</v>
      </c>
      <c r="P666" s="3">
        <v>209986</v>
      </c>
      <c r="Q666" s="2"/>
      <c r="R666" s="2"/>
      <c r="S666" s="2" t="s">
        <v>5819</v>
      </c>
      <c r="T666" s="2">
        <v>8.1999999999999993</v>
      </c>
      <c r="U666" s="2" t="s">
        <v>29</v>
      </c>
      <c r="V666" s="2" t="s">
        <v>805</v>
      </c>
      <c r="W666" s="67" t="str">
        <f t="shared" si="54"/>
        <v>-</v>
      </c>
    </row>
    <row r="667" spans="1:23" x14ac:dyDescent="0.3">
      <c r="A667" s="4" t="s">
        <v>1933</v>
      </c>
      <c r="B667" s="4" t="s">
        <v>1934</v>
      </c>
      <c r="C667" s="4">
        <v>9219747878</v>
      </c>
      <c r="D667" s="4" t="s">
        <v>121</v>
      </c>
      <c r="E667" s="4" t="s">
        <v>648</v>
      </c>
      <c r="F667" s="4" t="s">
        <v>649</v>
      </c>
      <c r="G667" s="4" t="s">
        <v>23</v>
      </c>
      <c r="H667" s="4" t="s">
        <v>1704</v>
      </c>
      <c r="I667" s="2" t="str">
        <f t="shared" si="50"/>
        <v>Feb</v>
      </c>
      <c r="J667" s="2">
        <f t="shared" si="51"/>
        <v>2</v>
      </c>
      <c r="K667" s="2">
        <f t="shared" si="52"/>
        <v>2024</v>
      </c>
      <c r="L667" s="2">
        <f t="shared" si="53"/>
        <v>1</v>
      </c>
      <c r="M667" s="4">
        <v>7</v>
      </c>
      <c r="N667" s="4" t="s">
        <v>1793</v>
      </c>
      <c r="O667" s="4" t="s">
        <v>27</v>
      </c>
      <c r="P667" s="5">
        <v>595515</v>
      </c>
      <c r="Q667" s="4"/>
      <c r="R667" s="4"/>
      <c r="S667" s="4" t="s">
        <v>5819</v>
      </c>
      <c r="T667" s="4">
        <v>28.7</v>
      </c>
      <c r="U667" s="4" t="s">
        <v>47</v>
      </c>
      <c r="V667" s="4"/>
      <c r="W667" s="67" t="str">
        <f t="shared" si="54"/>
        <v>-</v>
      </c>
    </row>
    <row r="668" spans="1:23" x14ac:dyDescent="0.3">
      <c r="A668" s="2" t="s">
        <v>1935</v>
      </c>
      <c r="B668" s="2" t="s">
        <v>928</v>
      </c>
      <c r="C668" s="2">
        <v>9235612785</v>
      </c>
      <c r="D668" s="2" t="s">
        <v>59</v>
      </c>
      <c r="E668" s="2" t="s">
        <v>641</v>
      </c>
      <c r="F668" s="2" t="s">
        <v>717</v>
      </c>
      <c r="G668" s="2" t="s">
        <v>87</v>
      </c>
      <c r="H668" s="2" t="s">
        <v>1704</v>
      </c>
      <c r="I668" s="2" t="str">
        <f t="shared" si="50"/>
        <v>Feb</v>
      </c>
      <c r="J668" s="2">
        <f t="shared" si="51"/>
        <v>2</v>
      </c>
      <c r="K668" s="2">
        <f t="shared" si="52"/>
        <v>2024</v>
      </c>
      <c r="L668" s="2">
        <f t="shared" si="53"/>
        <v>1</v>
      </c>
      <c r="M668" s="2">
        <v>1</v>
      </c>
      <c r="N668" s="2" t="s">
        <v>1595</v>
      </c>
      <c r="O668" s="2" t="s">
        <v>45</v>
      </c>
      <c r="P668" s="3">
        <v>182758</v>
      </c>
      <c r="Q668" s="2"/>
      <c r="R668" s="2"/>
      <c r="S668" s="2" t="s">
        <v>28</v>
      </c>
      <c r="T668" s="2">
        <v>5.4</v>
      </c>
      <c r="U668" s="2" t="s">
        <v>47</v>
      </c>
      <c r="V668" s="2" t="s">
        <v>137</v>
      </c>
      <c r="W668" s="67" t="str">
        <f t="shared" si="54"/>
        <v>-</v>
      </c>
    </row>
    <row r="669" spans="1:23" x14ac:dyDescent="0.3">
      <c r="A669" s="4" t="s">
        <v>1936</v>
      </c>
      <c r="B669" s="4" t="s">
        <v>931</v>
      </c>
      <c r="C669" s="4">
        <v>9791634879</v>
      </c>
      <c r="D669" s="4" t="s">
        <v>20</v>
      </c>
      <c r="E669" s="4" t="s">
        <v>109</v>
      </c>
      <c r="F669" s="4" t="s">
        <v>110</v>
      </c>
      <c r="G669" s="4" t="s">
        <v>1735</v>
      </c>
      <c r="H669" s="4" t="s">
        <v>1704</v>
      </c>
      <c r="I669" s="2" t="str">
        <f t="shared" si="50"/>
        <v>Feb</v>
      </c>
      <c r="J669" s="2">
        <f t="shared" si="51"/>
        <v>2</v>
      </c>
      <c r="K669" s="2">
        <f t="shared" si="52"/>
        <v>2024</v>
      </c>
      <c r="L669" s="2">
        <f t="shared" si="53"/>
        <v>1</v>
      </c>
      <c r="M669" s="4">
        <v>2</v>
      </c>
      <c r="N669" s="4" t="s">
        <v>1838</v>
      </c>
      <c r="O669" s="4" t="s">
        <v>45</v>
      </c>
      <c r="P669" s="5">
        <v>1332942</v>
      </c>
      <c r="Q669" s="4"/>
      <c r="R669" s="4"/>
      <c r="S669" s="4" t="s">
        <v>28</v>
      </c>
      <c r="T669" s="4">
        <v>41.4</v>
      </c>
      <c r="U669" s="4" t="s">
        <v>63</v>
      </c>
      <c r="V669" s="4" t="s">
        <v>559</v>
      </c>
      <c r="W669" s="67" t="str">
        <f t="shared" si="54"/>
        <v>-</v>
      </c>
    </row>
    <row r="670" spans="1:23" x14ac:dyDescent="0.3">
      <c r="A670" s="6" t="s">
        <v>1937</v>
      </c>
      <c r="B670" s="6" t="s">
        <v>1938</v>
      </c>
      <c r="C670" s="6">
        <v>9833378225</v>
      </c>
      <c r="D670" s="6" t="s">
        <v>20</v>
      </c>
      <c r="E670" s="6" t="s">
        <v>21</v>
      </c>
      <c r="F670" s="6" t="s">
        <v>230</v>
      </c>
      <c r="G670" s="6" t="s">
        <v>1609</v>
      </c>
      <c r="H670" s="6" t="s">
        <v>1704</v>
      </c>
      <c r="I670" s="2" t="str">
        <f t="shared" si="50"/>
        <v>Feb</v>
      </c>
      <c r="J670" s="2">
        <f t="shared" si="51"/>
        <v>2</v>
      </c>
      <c r="K670" s="2">
        <f t="shared" si="52"/>
        <v>2024</v>
      </c>
      <c r="L670" s="2">
        <f t="shared" si="53"/>
        <v>1</v>
      </c>
      <c r="M670" s="6">
        <v>12</v>
      </c>
      <c r="N670" s="6" t="s">
        <v>1890</v>
      </c>
      <c r="O670" s="6" t="s">
        <v>97</v>
      </c>
      <c r="P670" s="7">
        <v>256947</v>
      </c>
      <c r="Q670" s="7">
        <v>229925</v>
      </c>
      <c r="R670" s="6" t="s">
        <v>1797</v>
      </c>
      <c r="S670" s="6" t="s">
        <v>5819</v>
      </c>
      <c r="T670" s="6">
        <v>14.7</v>
      </c>
      <c r="U670" s="6" t="s">
        <v>63</v>
      </c>
      <c r="V670" s="6" t="s">
        <v>483</v>
      </c>
      <c r="W670" s="67" t="str">
        <f t="shared" si="54"/>
        <v>Customer</v>
      </c>
    </row>
    <row r="671" spans="1:23" x14ac:dyDescent="0.3">
      <c r="A671" s="4" t="s">
        <v>1939</v>
      </c>
      <c r="B671" s="4" t="s">
        <v>387</v>
      </c>
      <c r="C671" s="4">
        <v>9513648472</v>
      </c>
      <c r="D671" s="4" t="s">
        <v>20</v>
      </c>
      <c r="E671" s="4" t="s">
        <v>648</v>
      </c>
      <c r="F671" s="4" t="s">
        <v>649</v>
      </c>
      <c r="G671" s="4" t="s">
        <v>616</v>
      </c>
      <c r="H671" s="4" t="s">
        <v>1704</v>
      </c>
      <c r="I671" s="2" t="str">
        <f t="shared" si="50"/>
        <v>Feb</v>
      </c>
      <c r="J671" s="2">
        <f t="shared" si="51"/>
        <v>2</v>
      </c>
      <c r="K671" s="2">
        <f t="shared" si="52"/>
        <v>2024</v>
      </c>
      <c r="L671" s="2">
        <f t="shared" si="53"/>
        <v>1</v>
      </c>
      <c r="M671" s="4">
        <v>4</v>
      </c>
      <c r="N671" s="4" t="s">
        <v>1916</v>
      </c>
      <c r="O671" s="4" t="s">
        <v>27</v>
      </c>
      <c r="P671" s="5">
        <v>277233</v>
      </c>
      <c r="Q671" s="4"/>
      <c r="R671" s="4"/>
      <c r="S671" s="4" t="s">
        <v>28</v>
      </c>
      <c r="T671" s="4">
        <v>44</v>
      </c>
      <c r="U671" s="4" t="s">
        <v>29</v>
      </c>
      <c r="V671" s="4" t="s">
        <v>238</v>
      </c>
      <c r="W671" s="67" t="str">
        <f t="shared" si="54"/>
        <v>-</v>
      </c>
    </row>
    <row r="672" spans="1:23" x14ac:dyDescent="0.3">
      <c r="A672" s="8" t="s">
        <v>1940</v>
      </c>
      <c r="B672" s="8" t="s">
        <v>1941</v>
      </c>
      <c r="C672" s="8">
        <v>9585666104</v>
      </c>
      <c r="D672" s="8" t="s">
        <v>20</v>
      </c>
      <c r="E672" s="8" t="s">
        <v>41</v>
      </c>
      <c r="F672" s="8" t="s">
        <v>92</v>
      </c>
      <c r="G672" s="8" t="s">
        <v>52</v>
      </c>
      <c r="H672" s="8" t="s">
        <v>1704</v>
      </c>
      <c r="I672" s="2" t="str">
        <f t="shared" si="50"/>
        <v>Feb</v>
      </c>
      <c r="J672" s="2">
        <f t="shared" si="51"/>
        <v>2</v>
      </c>
      <c r="K672" s="2">
        <f t="shared" si="52"/>
        <v>2024</v>
      </c>
      <c r="L672" s="2">
        <f t="shared" si="53"/>
        <v>1</v>
      </c>
      <c r="M672" s="8">
        <v>6</v>
      </c>
      <c r="N672" s="8" t="s">
        <v>1720</v>
      </c>
      <c r="O672" s="8" t="s">
        <v>27</v>
      </c>
      <c r="P672" s="9">
        <v>205365</v>
      </c>
      <c r="Q672" s="8"/>
      <c r="R672" s="8"/>
      <c r="S672" s="8" t="s">
        <v>1805</v>
      </c>
      <c r="T672" s="8">
        <v>30.4</v>
      </c>
      <c r="U672" s="8" t="s">
        <v>47</v>
      </c>
      <c r="V672" s="8" t="s">
        <v>202</v>
      </c>
      <c r="W672" s="67" t="str">
        <f t="shared" si="54"/>
        <v>-</v>
      </c>
    </row>
    <row r="673" spans="1:23" x14ac:dyDescent="0.3">
      <c r="A673" s="6" t="s">
        <v>1942</v>
      </c>
      <c r="B673" s="6" t="s">
        <v>1254</v>
      </c>
      <c r="C673" s="6">
        <v>9704513096</v>
      </c>
      <c r="D673" s="6" t="s">
        <v>20</v>
      </c>
      <c r="E673" s="6" t="s">
        <v>641</v>
      </c>
      <c r="F673" s="6" t="s">
        <v>727</v>
      </c>
      <c r="G673" s="6" t="s">
        <v>60</v>
      </c>
      <c r="H673" s="6" t="s">
        <v>1861</v>
      </c>
      <c r="I673" s="2" t="str">
        <f t="shared" si="50"/>
        <v>Feb</v>
      </c>
      <c r="J673" s="2">
        <f t="shared" si="51"/>
        <v>2</v>
      </c>
      <c r="K673" s="2">
        <f t="shared" si="52"/>
        <v>2024</v>
      </c>
      <c r="L673" s="2">
        <f t="shared" si="53"/>
        <v>1</v>
      </c>
      <c r="M673" s="6">
        <v>1</v>
      </c>
      <c r="N673" s="6" t="s">
        <v>1596</v>
      </c>
      <c r="O673" s="6" t="s">
        <v>97</v>
      </c>
      <c r="P673" s="7">
        <v>200634</v>
      </c>
      <c r="Q673" s="7">
        <v>202645</v>
      </c>
      <c r="R673" s="6" t="s">
        <v>1720</v>
      </c>
      <c r="S673" s="6" t="s">
        <v>1063</v>
      </c>
      <c r="T673" s="6">
        <v>34.299999999999997</v>
      </c>
      <c r="U673" s="6" t="s">
        <v>47</v>
      </c>
      <c r="V673" s="6" t="s">
        <v>907</v>
      </c>
      <c r="W673" s="67" t="str">
        <f t="shared" si="54"/>
        <v>Customer</v>
      </c>
    </row>
    <row r="674" spans="1:23" x14ac:dyDescent="0.3">
      <c r="A674" s="8" t="s">
        <v>1943</v>
      </c>
      <c r="B674" s="8" t="s">
        <v>1944</v>
      </c>
      <c r="C674" s="8">
        <v>9744384283</v>
      </c>
      <c r="D674" s="8" t="s">
        <v>20</v>
      </c>
      <c r="E674" s="8" t="s">
        <v>648</v>
      </c>
      <c r="F674" s="8" t="s">
        <v>649</v>
      </c>
      <c r="G674" s="8" t="s">
        <v>87</v>
      </c>
      <c r="H674" s="8" t="s">
        <v>1808</v>
      </c>
      <c r="I674" s="2" t="str">
        <f t="shared" si="50"/>
        <v>Feb</v>
      </c>
      <c r="J674" s="2">
        <f t="shared" si="51"/>
        <v>2</v>
      </c>
      <c r="K674" s="2">
        <f t="shared" si="52"/>
        <v>2024</v>
      </c>
      <c r="L674" s="2">
        <f t="shared" si="53"/>
        <v>1</v>
      </c>
      <c r="M674" s="8">
        <v>6</v>
      </c>
      <c r="N674" s="8" t="s">
        <v>1779</v>
      </c>
      <c r="O674" s="8" t="s">
        <v>55</v>
      </c>
      <c r="P674" s="9">
        <v>241566</v>
      </c>
      <c r="Q674" s="8"/>
      <c r="R674" s="8"/>
      <c r="S674" s="8" t="s">
        <v>1805</v>
      </c>
      <c r="T674" s="8">
        <v>1.5</v>
      </c>
      <c r="U674" s="8" t="s">
        <v>29</v>
      </c>
      <c r="V674" s="8" t="s">
        <v>613</v>
      </c>
      <c r="W674" s="67" t="str">
        <f t="shared" si="54"/>
        <v>-</v>
      </c>
    </row>
    <row r="675" spans="1:23" x14ac:dyDescent="0.3">
      <c r="A675" s="4" t="s">
        <v>1945</v>
      </c>
      <c r="B675" s="4" t="s">
        <v>911</v>
      </c>
      <c r="C675" s="4"/>
      <c r="D675" s="4" t="s">
        <v>108</v>
      </c>
      <c r="E675" s="4" t="s">
        <v>67</v>
      </c>
      <c r="F675" s="4" t="s">
        <v>68</v>
      </c>
      <c r="G675" s="4" t="s">
        <v>69</v>
      </c>
      <c r="H675" s="4" t="s">
        <v>1671</v>
      </c>
      <c r="I675" s="2" t="str">
        <f t="shared" si="50"/>
        <v>Feb</v>
      </c>
      <c r="J675" s="2">
        <f t="shared" si="51"/>
        <v>2</v>
      </c>
      <c r="K675" s="2">
        <f t="shared" si="52"/>
        <v>2024</v>
      </c>
      <c r="L675" s="2">
        <f t="shared" si="53"/>
        <v>1</v>
      </c>
      <c r="M675" s="4">
        <v>10</v>
      </c>
      <c r="N675" s="4" t="s">
        <v>1842</v>
      </c>
      <c r="O675" s="4" t="s">
        <v>27</v>
      </c>
      <c r="P675" s="5">
        <v>297727</v>
      </c>
      <c r="Q675" s="4"/>
      <c r="R675" s="4"/>
      <c r="S675" s="4" t="s">
        <v>1063</v>
      </c>
      <c r="T675" s="4">
        <v>36.200000000000003</v>
      </c>
      <c r="U675" s="4" t="s">
        <v>29</v>
      </c>
      <c r="V675" s="4" t="s">
        <v>439</v>
      </c>
      <c r="W675" s="67" t="str">
        <f t="shared" si="54"/>
        <v>-</v>
      </c>
    </row>
    <row r="676" spans="1:23" x14ac:dyDescent="0.3">
      <c r="A676" s="2" t="s">
        <v>1946</v>
      </c>
      <c r="B676" s="2" t="s">
        <v>1947</v>
      </c>
      <c r="C676" s="2">
        <v>9232850821</v>
      </c>
      <c r="D676" s="2" t="s">
        <v>51</v>
      </c>
      <c r="E676" s="2" t="s">
        <v>41</v>
      </c>
      <c r="F676" s="2" t="s">
        <v>151</v>
      </c>
      <c r="G676" s="2" t="s">
        <v>69</v>
      </c>
      <c r="H676" s="2" t="s">
        <v>1650</v>
      </c>
      <c r="I676" s="2" t="str">
        <f t="shared" si="50"/>
        <v>Mar</v>
      </c>
      <c r="J676" s="2">
        <f t="shared" si="51"/>
        <v>3</v>
      </c>
      <c r="K676" s="2">
        <f t="shared" si="52"/>
        <v>2024</v>
      </c>
      <c r="L676" s="2">
        <f t="shared" si="53"/>
        <v>1</v>
      </c>
      <c r="M676" s="2">
        <v>4</v>
      </c>
      <c r="N676" s="2" t="s">
        <v>1948</v>
      </c>
      <c r="O676" s="2" t="s">
        <v>45</v>
      </c>
      <c r="P676" s="3">
        <v>262355</v>
      </c>
      <c r="Q676" s="2"/>
      <c r="R676" s="2"/>
      <c r="S676" s="2" t="s">
        <v>5819</v>
      </c>
      <c r="T676" s="2">
        <v>18</v>
      </c>
      <c r="U676" s="2" t="s">
        <v>29</v>
      </c>
      <c r="V676" s="2" t="s">
        <v>187</v>
      </c>
      <c r="W676" s="67" t="str">
        <f t="shared" si="54"/>
        <v>-</v>
      </c>
    </row>
    <row r="677" spans="1:23" x14ac:dyDescent="0.3">
      <c r="A677" s="4" t="s">
        <v>1949</v>
      </c>
      <c r="B677" s="4" t="s">
        <v>1950</v>
      </c>
      <c r="C677" s="4">
        <v>9916614487</v>
      </c>
      <c r="D677" s="4" t="s">
        <v>51</v>
      </c>
      <c r="E677" s="4" t="s">
        <v>67</v>
      </c>
      <c r="F677" s="4" t="s">
        <v>68</v>
      </c>
      <c r="G677" s="4" t="s">
        <v>23</v>
      </c>
      <c r="H677" s="4" t="s">
        <v>1650</v>
      </c>
      <c r="I677" s="2" t="str">
        <f t="shared" si="50"/>
        <v>Mar</v>
      </c>
      <c r="J677" s="2">
        <f t="shared" si="51"/>
        <v>3</v>
      </c>
      <c r="K677" s="2">
        <f t="shared" si="52"/>
        <v>2024</v>
      </c>
      <c r="L677" s="2">
        <f t="shared" si="53"/>
        <v>1</v>
      </c>
      <c r="M677" s="4">
        <v>10</v>
      </c>
      <c r="N677" s="4" t="s">
        <v>1951</v>
      </c>
      <c r="O677" s="4" t="s">
        <v>27</v>
      </c>
      <c r="P677" s="5">
        <v>679758</v>
      </c>
      <c r="Q677" s="4"/>
      <c r="R677" s="4"/>
      <c r="S677" s="4" t="s">
        <v>28</v>
      </c>
      <c r="T677" s="4">
        <v>26.9</v>
      </c>
      <c r="U677" s="4" t="s">
        <v>29</v>
      </c>
      <c r="V677" s="4" t="s">
        <v>202</v>
      </c>
      <c r="W677" s="67" t="str">
        <f t="shared" si="54"/>
        <v>-</v>
      </c>
    </row>
    <row r="678" spans="1:23" x14ac:dyDescent="0.3">
      <c r="A678" s="2" t="s">
        <v>1952</v>
      </c>
      <c r="B678" s="2" t="s">
        <v>304</v>
      </c>
      <c r="C678" s="2">
        <v>9428784175</v>
      </c>
      <c r="D678" s="2" t="s">
        <v>121</v>
      </c>
      <c r="E678" s="2" t="s">
        <v>21</v>
      </c>
      <c r="F678" s="2" t="s">
        <v>230</v>
      </c>
      <c r="G678" s="2" t="s">
        <v>23</v>
      </c>
      <c r="H678" s="2" t="s">
        <v>1650</v>
      </c>
      <c r="I678" s="2" t="str">
        <f t="shared" si="50"/>
        <v>Mar</v>
      </c>
      <c r="J678" s="2">
        <f t="shared" si="51"/>
        <v>3</v>
      </c>
      <c r="K678" s="2">
        <f t="shared" si="52"/>
        <v>2024</v>
      </c>
      <c r="L678" s="2">
        <f t="shared" si="53"/>
        <v>1</v>
      </c>
      <c r="M678" s="2">
        <v>11</v>
      </c>
      <c r="N678" s="2" t="s">
        <v>1953</v>
      </c>
      <c r="O678" s="2" t="s">
        <v>62</v>
      </c>
      <c r="P678" s="3">
        <v>784519</v>
      </c>
      <c r="Q678" s="2"/>
      <c r="R678" s="2"/>
      <c r="S678" s="2" t="s">
        <v>1063</v>
      </c>
      <c r="T678" s="2">
        <v>20.6</v>
      </c>
      <c r="U678" s="2" t="s">
        <v>47</v>
      </c>
      <c r="V678" s="2" t="s">
        <v>77</v>
      </c>
      <c r="W678" s="67" t="str">
        <f t="shared" si="54"/>
        <v>-</v>
      </c>
    </row>
    <row r="679" spans="1:23" x14ac:dyDescent="0.3">
      <c r="A679" s="8" t="s">
        <v>1954</v>
      </c>
      <c r="B679" s="8" t="s">
        <v>935</v>
      </c>
      <c r="C679" s="8">
        <v>9312365395</v>
      </c>
      <c r="D679" s="8" t="s">
        <v>20</v>
      </c>
      <c r="E679" s="8" t="s">
        <v>1632</v>
      </c>
      <c r="F679" s="8" t="s">
        <v>1633</v>
      </c>
      <c r="G679" s="8" t="s">
        <v>1621</v>
      </c>
      <c r="H679" s="8" t="s">
        <v>1650</v>
      </c>
      <c r="I679" s="2" t="str">
        <f t="shared" si="50"/>
        <v>Mar</v>
      </c>
      <c r="J679" s="2">
        <f t="shared" si="51"/>
        <v>3</v>
      </c>
      <c r="K679" s="2">
        <f t="shared" si="52"/>
        <v>2024</v>
      </c>
      <c r="L679" s="2">
        <f t="shared" si="53"/>
        <v>1</v>
      </c>
      <c r="M679" s="8">
        <v>2</v>
      </c>
      <c r="N679" s="8" t="s">
        <v>1810</v>
      </c>
      <c r="O679" s="8" t="s">
        <v>97</v>
      </c>
      <c r="P679" s="9">
        <v>547460</v>
      </c>
      <c r="Q679" s="9">
        <v>494823</v>
      </c>
      <c r="R679" s="8" t="s">
        <v>1828</v>
      </c>
      <c r="S679" s="8" t="s">
        <v>1805</v>
      </c>
      <c r="T679" s="8">
        <v>30.4</v>
      </c>
      <c r="U679" s="8" t="s">
        <v>63</v>
      </c>
      <c r="V679" s="8" t="s">
        <v>483</v>
      </c>
      <c r="W679" s="67" t="str">
        <f t="shared" si="54"/>
        <v>Customer</v>
      </c>
    </row>
    <row r="680" spans="1:23" x14ac:dyDescent="0.3">
      <c r="A680" s="2" t="s">
        <v>1955</v>
      </c>
      <c r="B680" s="2" t="s">
        <v>1956</v>
      </c>
      <c r="C680" s="2">
        <v>9208753775</v>
      </c>
      <c r="D680" s="2" t="s">
        <v>121</v>
      </c>
      <c r="E680" s="2" t="s">
        <v>109</v>
      </c>
      <c r="F680" s="2" t="s">
        <v>217</v>
      </c>
      <c r="G680" s="2" t="s">
        <v>643</v>
      </c>
      <c r="H680" s="2" t="s">
        <v>1650</v>
      </c>
      <c r="I680" s="2" t="str">
        <f t="shared" si="50"/>
        <v>Mar</v>
      </c>
      <c r="J680" s="2">
        <f t="shared" si="51"/>
        <v>3</v>
      </c>
      <c r="K680" s="2">
        <f t="shared" si="52"/>
        <v>2024</v>
      </c>
      <c r="L680" s="2">
        <f t="shared" si="53"/>
        <v>1</v>
      </c>
      <c r="M680" s="2">
        <v>0</v>
      </c>
      <c r="N680" s="2" t="s">
        <v>1957</v>
      </c>
      <c r="O680" s="2" t="s">
        <v>27</v>
      </c>
      <c r="P680" s="3">
        <v>1244757</v>
      </c>
      <c r="Q680" s="2"/>
      <c r="R680" s="2"/>
      <c r="S680" s="2" t="s">
        <v>5819</v>
      </c>
      <c r="T680" s="2">
        <v>22.8</v>
      </c>
      <c r="U680" s="2" t="s">
        <v>29</v>
      </c>
      <c r="V680" s="2" t="s">
        <v>123</v>
      </c>
      <c r="W680" s="67" t="str">
        <f t="shared" si="54"/>
        <v>-</v>
      </c>
    </row>
    <row r="681" spans="1:23" x14ac:dyDescent="0.3">
      <c r="A681" s="4" t="s">
        <v>1958</v>
      </c>
      <c r="B681" s="4" t="s">
        <v>928</v>
      </c>
      <c r="C681" s="4">
        <v>9798127845</v>
      </c>
      <c r="D681" s="4" t="s">
        <v>59</v>
      </c>
      <c r="E681" s="4" t="s">
        <v>1632</v>
      </c>
      <c r="F681" s="4" t="s">
        <v>1849</v>
      </c>
      <c r="G681" s="4" t="s">
        <v>23</v>
      </c>
      <c r="H681" s="4" t="s">
        <v>1913</v>
      </c>
      <c r="I681" s="2" t="str">
        <f t="shared" si="50"/>
        <v>Mar</v>
      </c>
      <c r="J681" s="2">
        <f t="shared" si="51"/>
        <v>3</v>
      </c>
      <c r="K681" s="2">
        <f t="shared" si="52"/>
        <v>2024</v>
      </c>
      <c r="L681" s="2">
        <f t="shared" si="53"/>
        <v>1</v>
      </c>
      <c r="M681" s="4">
        <v>3</v>
      </c>
      <c r="N681" s="4" t="s">
        <v>1779</v>
      </c>
      <c r="O681" s="4" t="s">
        <v>45</v>
      </c>
      <c r="P681" s="5">
        <v>717496</v>
      </c>
      <c r="Q681" s="4"/>
      <c r="R681" s="4"/>
      <c r="S681" s="4" t="s">
        <v>28</v>
      </c>
      <c r="T681" s="4">
        <v>32.5</v>
      </c>
      <c r="U681" s="4" t="s">
        <v>63</v>
      </c>
      <c r="V681" s="4" t="s">
        <v>559</v>
      </c>
      <c r="W681" s="67" t="str">
        <f t="shared" si="54"/>
        <v>-</v>
      </c>
    </row>
    <row r="682" spans="1:23" x14ac:dyDescent="0.3">
      <c r="A682" s="2" t="s">
        <v>1959</v>
      </c>
      <c r="B682" s="2" t="s">
        <v>1960</v>
      </c>
      <c r="C682" s="2">
        <v>9145390869</v>
      </c>
      <c r="D682" s="2" t="s">
        <v>108</v>
      </c>
      <c r="E682" s="2" t="s">
        <v>641</v>
      </c>
      <c r="F682" s="2" t="s">
        <v>681</v>
      </c>
      <c r="G682" s="2" t="s">
        <v>52</v>
      </c>
      <c r="H682" s="2" t="s">
        <v>1913</v>
      </c>
      <c r="I682" s="2" t="str">
        <f t="shared" si="50"/>
        <v>Mar</v>
      </c>
      <c r="J682" s="2">
        <f t="shared" si="51"/>
        <v>3</v>
      </c>
      <c r="K682" s="2">
        <f t="shared" si="52"/>
        <v>2024</v>
      </c>
      <c r="L682" s="2">
        <f t="shared" si="53"/>
        <v>1</v>
      </c>
      <c r="M682" s="2">
        <v>11</v>
      </c>
      <c r="N682" s="2" t="s">
        <v>1948</v>
      </c>
      <c r="O682" s="2" t="s">
        <v>27</v>
      </c>
      <c r="P682" s="3">
        <v>427681</v>
      </c>
      <c r="Q682" s="2"/>
      <c r="R682" s="2"/>
      <c r="S682" s="2" t="s">
        <v>5819</v>
      </c>
      <c r="T682" s="2">
        <v>12.6</v>
      </c>
      <c r="U682" s="2" t="s">
        <v>29</v>
      </c>
      <c r="V682" s="2" t="s">
        <v>105</v>
      </c>
      <c r="W682" s="67" t="str">
        <f t="shared" si="54"/>
        <v>-</v>
      </c>
    </row>
    <row r="683" spans="1:23" x14ac:dyDescent="0.3">
      <c r="A683" s="4" t="s">
        <v>1961</v>
      </c>
      <c r="B683" s="4" t="s">
        <v>1962</v>
      </c>
      <c r="C683" s="4">
        <v>9405420337</v>
      </c>
      <c r="D683" s="4" t="s">
        <v>20</v>
      </c>
      <c r="E683" s="4" t="s">
        <v>648</v>
      </c>
      <c r="F683" s="4" t="s">
        <v>649</v>
      </c>
      <c r="G683" s="4" t="s">
        <v>23</v>
      </c>
      <c r="H683" s="4" t="s">
        <v>1913</v>
      </c>
      <c r="I683" s="2" t="str">
        <f t="shared" si="50"/>
        <v>Mar</v>
      </c>
      <c r="J683" s="2">
        <f t="shared" si="51"/>
        <v>3</v>
      </c>
      <c r="K683" s="2">
        <f t="shared" si="52"/>
        <v>2024</v>
      </c>
      <c r="L683" s="2">
        <f t="shared" si="53"/>
        <v>1</v>
      </c>
      <c r="M683" s="4">
        <v>9</v>
      </c>
      <c r="N683" s="4" t="s">
        <v>1963</v>
      </c>
      <c r="O683" s="4" t="s">
        <v>45</v>
      </c>
      <c r="P683" s="5">
        <v>760267</v>
      </c>
      <c r="Q683" s="4"/>
      <c r="R683" s="4"/>
      <c r="S683" s="4" t="s">
        <v>1063</v>
      </c>
      <c r="T683" s="4">
        <v>13.6</v>
      </c>
      <c r="U683" s="4" t="s">
        <v>47</v>
      </c>
      <c r="V683" s="4" t="s">
        <v>48</v>
      </c>
      <c r="W683" s="67" t="str">
        <f t="shared" si="54"/>
        <v>-</v>
      </c>
    </row>
    <row r="684" spans="1:23" x14ac:dyDescent="0.3">
      <c r="A684" s="2" t="s">
        <v>1964</v>
      </c>
      <c r="B684" s="2" t="s">
        <v>1618</v>
      </c>
      <c r="C684" s="2">
        <v>9778077202</v>
      </c>
      <c r="D684" s="2" t="s">
        <v>108</v>
      </c>
      <c r="E684" s="2" t="s">
        <v>41</v>
      </c>
      <c r="F684" s="2" t="s">
        <v>92</v>
      </c>
      <c r="G684" s="2" t="s">
        <v>52</v>
      </c>
      <c r="H684" s="2" t="s">
        <v>1913</v>
      </c>
      <c r="I684" s="2" t="str">
        <f t="shared" si="50"/>
        <v>Mar</v>
      </c>
      <c r="J684" s="2">
        <f t="shared" si="51"/>
        <v>3</v>
      </c>
      <c r="K684" s="2">
        <f t="shared" si="52"/>
        <v>2024</v>
      </c>
      <c r="L684" s="2">
        <f t="shared" si="53"/>
        <v>1</v>
      </c>
      <c r="M684" s="2">
        <v>6</v>
      </c>
      <c r="N684" s="2" t="s">
        <v>1780</v>
      </c>
      <c r="O684" s="2" t="s">
        <v>55</v>
      </c>
      <c r="P684" s="3">
        <v>432159</v>
      </c>
      <c r="Q684" s="2"/>
      <c r="R684" s="2"/>
      <c r="S684" s="2" t="s">
        <v>28</v>
      </c>
      <c r="T684" s="2">
        <v>45.3</v>
      </c>
      <c r="U684" s="2" t="s">
        <v>29</v>
      </c>
      <c r="V684" s="2" t="s">
        <v>389</v>
      </c>
      <c r="W684" s="67" t="str">
        <f t="shared" si="54"/>
        <v>-</v>
      </c>
    </row>
    <row r="685" spans="1:23" x14ac:dyDescent="0.3">
      <c r="A685" s="4" t="s">
        <v>1965</v>
      </c>
      <c r="B685" s="4" t="s">
        <v>193</v>
      </c>
      <c r="C685" s="4">
        <v>9542413659</v>
      </c>
      <c r="D685" s="4" t="s">
        <v>20</v>
      </c>
      <c r="E685" s="4" t="s">
        <v>648</v>
      </c>
      <c r="F685" s="4" t="s">
        <v>649</v>
      </c>
      <c r="G685" s="4" t="s">
        <v>69</v>
      </c>
      <c r="H685" s="4" t="s">
        <v>1913</v>
      </c>
      <c r="I685" s="2" t="str">
        <f t="shared" si="50"/>
        <v>Mar</v>
      </c>
      <c r="J685" s="2">
        <f t="shared" si="51"/>
        <v>3</v>
      </c>
      <c r="K685" s="2">
        <f t="shared" si="52"/>
        <v>2024</v>
      </c>
      <c r="L685" s="2">
        <f t="shared" si="53"/>
        <v>1</v>
      </c>
      <c r="M685" s="4">
        <v>11</v>
      </c>
      <c r="N685" s="4" t="s">
        <v>1721</v>
      </c>
      <c r="O685" s="4" t="s">
        <v>27</v>
      </c>
      <c r="P685" s="5">
        <v>315425</v>
      </c>
      <c r="Q685" s="4"/>
      <c r="R685" s="4"/>
      <c r="S685" s="4" t="s">
        <v>28</v>
      </c>
      <c r="T685" s="4">
        <v>45.1</v>
      </c>
      <c r="U685" s="4" t="s">
        <v>47</v>
      </c>
      <c r="V685" s="4" t="s">
        <v>202</v>
      </c>
      <c r="W685" s="67" t="str">
        <f t="shared" si="54"/>
        <v>-</v>
      </c>
    </row>
    <row r="686" spans="1:23" x14ac:dyDescent="0.3">
      <c r="A686" s="6" t="s">
        <v>1966</v>
      </c>
      <c r="B686" s="6" t="s">
        <v>1967</v>
      </c>
      <c r="C686" s="6">
        <v>9466529273</v>
      </c>
      <c r="D686" s="6" t="s">
        <v>20</v>
      </c>
      <c r="E686" s="6" t="s">
        <v>109</v>
      </c>
      <c r="F686" s="6" t="s">
        <v>331</v>
      </c>
      <c r="G686" s="6" t="s">
        <v>60</v>
      </c>
      <c r="H686" s="6" t="s">
        <v>1913</v>
      </c>
      <c r="I686" s="2" t="str">
        <f t="shared" si="50"/>
        <v>Mar</v>
      </c>
      <c r="J686" s="2">
        <f t="shared" si="51"/>
        <v>3</v>
      </c>
      <c r="K686" s="2">
        <f t="shared" si="52"/>
        <v>2024</v>
      </c>
      <c r="L686" s="2">
        <f t="shared" si="53"/>
        <v>1</v>
      </c>
      <c r="M686" s="6">
        <v>9</v>
      </c>
      <c r="N686" s="6" t="s">
        <v>1882</v>
      </c>
      <c r="O686" s="6" t="s">
        <v>97</v>
      </c>
      <c r="P686" s="7">
        <v>96471</v>
      </c>
      <c r="Q686" s="7">
        <v>85165</v>
      </c>
      <c r="R686" s="6" t="s">
        <v>1908</v>
      </c>
      <c r="S686" s="6" t="s">
        <v>5819</v>
      </c>
      <c r="T686" s="6">
        <v>14</v>
      </c>
      <c r="U686" s="6" t="s">
        <v>47</v>
      </c>
      <c r="V686" s="6" t="s">
        <v>465</v>
      </c>
      <c r="W686" s="67" t="str">
        <f t="shared" si="54"/>
        <v>Customer</v>
      </c>
    </row>
    <row r="687" spans="1:23" x14ac:dyDescent="0.3">
      <c r="A687" s="6" t="s">
        <v>1968</v>
      </c>
      <c r="B687" s="6" t="s">
        <v>1900</v>
      </c>
      <c r="C687" s="6">
        <v>9136009935</v>
      </c>
      <c r="D687" s="6" t="s">
        <v>59</v>
      </c>
      <c r="E687" s="6" t="s">
        <v>67</v>
      </c>
      <c r="F687" s="6" t="s">
        <v>80</v>
      </c>
      <c r="G687" s="6" t="s">
        <v>52</v>
      </c>
      <c r="H687" s="6" t="s">
        <v>1595</v>
      </c>
      <c r="I687" s="2" t="str">
        <f t="shared" si="50"/>
        <v>Mar</v>
      </c>
      <c r="J687" s="2">
        <f t="shared" si="51"/>
        <v>3</v>
      </c>
      <c r="K687" s="2">
        <f t="shared" si="52"/>
        <v>2024</v>
      </c>
      <c r="L687" s="2">
        <f t="shared" si="53"/>
        <v>1</v>
      </c>
      <c r="M687" s="6">
        <v>0</v>
      </c>
      <c r="N687" s="6" t="s">
        <v>1647</v>
      </c>
      <c r="O687" s="6" t="s">
        <v>97</v>
      </c>
      <c r="P687" s="7">
        <v>275677</v>
      </c>
      <c r="Q687" s="7">
        <v>258685</v>
      </c>
      <c r="R687" s="6" t="s">
        <v>1770</v>
      </c>
      <c r="S687" s="6" t="s">
        <v>28</v>
      </c>
      <c r="T687" s="6">
        <v>38.299999999999997</v>
      </c>
      <c r="U687" s="6" t="s">
        <v>63</v>
      </c>
      <c r="V687" s="6" t="s">
        <v>341</v>
      </c>
      <c r="W687" s="67" t="str">
        <f t="shared" si="54"/>
        <v>Customer</v>
      </c>
    </row>
    <row r="688" spans="1:23" x14ac:dyDescent="0.3">
      <c r="A688" s="6" t="s">
        <v>1970</v>
      </c>
      <c r="B688" s="6" t="s">
        <v>1971</v>
      </c>
      <c r="C688" s="6">
        <v>9817548742</v>
      </c>
      <c r="D688" s="6" t="s">
        <v>20</v>
      </c>
      <c r="E688" s="6" t="s">
        <v>33</v>
      </c>
      <c r="F688" s="6" t="s">
        <v>201</v>
      </c>
      <c r="G688" s="6" t="s">
        <v>1599</v>
      </c>
      <c r="H688" s="6" t="s">
        <v>1595</v>
      </c>
      <c r="I688" s="2" t="str">
        <f t="shared" si="50"/>
        <v>Mar</v>
      </c>
      <c r="J688" s="2">
        <f t="shared" si="51"/>
        <v>3</v>
      </c>
      <c r="K688" s="2">
        <f t="shared" si="52"/>
        <v>2024</v>
      </c>
      <c r="L688" s="2">
        <f t="shared" si="53"/>
        <v>1</v>
      </c>
      <c r="M688" s="6">
        <v>9</v>
      </c>
      <c r="N688" s="6" t="s">
        <v>1868</v>
      </c>
      <c r="O688" s="6" t="s">
        <v>97</v>
      </c>
      <c r="P688" s="7">
        <v>927094</v>
      </c>
      <c r="Q688" s="7">
        <v>946561</v>
      </c>
      <c r="R688" s="6" t="s">
        <v>1930</v>
      </c>
      <c r="S688" s="6" t="s">
        <v>28</v>
      </c>
      <c r="T688" s="6">
        <v>37.200000000000003</v>
      </c>
      <c r="U688" s="6" t="s">
        <v>63</v>
      </c>
      <c r="V688" s="6" t="s">
        <v>341</v>
      </c>
      <c r="W688" s="67" t="str">
        <f t="shared" si="54"/>
        <v>Customer</v>
      </c>
    </row>
    <row r="689" spans="1:23" x14ac:dyDescent="0.3">
      <c r="A689" s="4" t="s">
        <v>1972</v>
      </c>
      <c r="B689" s="4" t="s">
        <v>1973</v>
      </c>
      <c r="C689" s="4">
        <v>9505257036</v>
      </c>
      <c r="D689" s="4" t="s">
        <v>121</v>
      </c>
      <c r="E689" s="4" t="s">
        <v>67</v>
      </c>
      <c r="F689" s="4" t="s">
        <v>80</v>
      </c>
      <c r="G689" s="4" t="s">
        <v>1623</v>
      </c>
      <c r="H689" s="4" t="s">
        <v>1595</v>
      </c>
      <c r="I689" s="2" t="str">
        <f t="shared" si="50"/>
        <v>Mar</v>
      </c>
      <c r="J689" s="2">
        <f t="shared" si="51"/>
        <v>3</v>
      </c>
      <c r="K689" s="2">
        <f t="shared" si="52"/>
        <v>2024</v>
      </c>
      <c r="L689" s="2">
        <f t="shared" si="53"/>
        <v>1</v>
      </c>
      <c r="M689" s="4">
        <v>1</v>
      </c>
      <c r="N689" s="4" t="s">
        <v>1882</v>
      </c>
      <c r="O689" s="4" t="s">
        <v>27</v>
      </c>
      <c r="P689" s="5">
        <v>192521</v>
      </c>
      <c r="Q689" s="4"/>
      <c r="R689" s="4"/>
      <c r="S689" s="4" t="s">
        <v>5819</v>
      </c>
      <c r="T689" s="4">
        <v>34</v>
      </c>
      <c r="U689" s="4" t="s">
        <v>29</v>
      </c>
      <c r="V689" s="4" t="s">
        <v>123</v>
      </c>
      <c r="W689" s="67" t="str">
        <f t="shared" si="54"/>
        <v>-</v>
      </c>
    </row>
    <row r="690" spans="1:23" x14ac:dyDescent="0.3">
      <c r="A690" s="2" t="s">
        <v>1974</v>
      </c>
      <c r="B690" s="2" t="s">
        <v>1975</v>
      </c>
      <c r="C690" s="2">
        <v>9388967162</v>
      </c>
      <c r="D690" s="2" t="s">
        <v>121</v>
      </c>
      <c r="E690" s="2" t="s">
        <v>21</v>
      </c>
      <c r="F690" s="2" t="s">
        <v>230</v>
      </c>
      <c r="G690" s="2" t="s">
        <v>1623</v>
      </c>
      <c r="H690" s="2" t="s">
        <v>1595</v>
      </c>
      <c r="I690" s="2" t="str">
        <f t="shared" si="50"/>
        <v>Mar</v>
      </c>
      <c r="J690" s="2">
        <f t="shared" si="51"/>
        <v>3</v>
      </c>
      <c r="K690" s="2">
        <f t="shared" si="52"/>
        <v>2024</v>
      </c>
      <c r="L690" s="2">
        <f t="shared" si="53"/>
        <v>1</v>
      </c>
      <c r="M690" s="2">
        <v>1</v>
      </c>
      <c r="N690" s="2" t="s">
        <v>1879</v>
      </c>
      <c r="O690" s="2" t="s">
        <v>27</v>
      </c>
      <c r="P690" s="3">
        <v>394585</v>
      </c>
      <c r="Q690" s="2"/>
      <c r="R690" s="2"/>
      <c r="S690" s="2" t="s">
        <v>5819</v>
      </c>
      <c r="T690" s="2">
        <v>35</v>
      </c>
      <c r="U690" s="2" t="s">
        <v>29</v>
      </c>
      <c r="V690" s="2" t="s">
        <v>153</v>
      </c>
      <c r="W690" s="67" t="str">
        <f t="shared" si="54"/>
        <v>-</v>
      </c>
    </row>
    <row r="691" spans="1:23" x14ac:dyDescent="0.3">
      <c r="A691" s="4" t="s">
        <v>1976</v>
      </c>
      <c r="B691" s="4" t="s">
        <v>1977</v>
      </c>
      <c r="C691" s="4">
        <v>9909785449</v>
      </c>
      <c r="D691" s="4" t="s">
        <v>121</v>
      </c>
      <c r="E691" s="4" t="s">
        <v>648</v>
      </c>
      <c r="F691" s="4" t="s">
        <v>649</v>
      </c>
      <c r="G691" s="4" t="s">
        <v>35</v>
      </c>
      <c r="H691" s="4" t="s">
        <v>1595</v>
      </c>
      <c r="I691" s="2" t="str">
        <f t="shared" si="50"/>
        <v>Mar</v>
      </c>
      <c r="J691" s="2">
        <f t="shared" si="51"/>
        <v>3</v>
      </c>
      <c r="K691" s="2">
        <f t="shared" si="52"/>
        <v>2024</v>
      </c>
      <c r="L691" s="2">
        <f t="shared" si="53"/>
        <v>1</v>
      </c>
      <c r="M691" s="4">
        <v>8</v>
      </c>
      <c r="N691" s="4" t="s">
        <v>1759</v>
      </c>
      <c r="O691" s="4" t="s">
        <v>27</v>
      </c>
      <c r="P691" s="5">
        <v>336635</v>
      </c>
      <c r="Q691" s="4"/>
      <c r="R691" s="4"/>
      <c r="S691" s="4" t="s">
        <v>28</v>
      </c>
      <c r="T691" s="4">
        <v>30.3</v>
      </c>
      <c r="U691" s="4" t="s">
        <v>29</v>
      </c>
      <c r="V691" s="4" t="s">
        <v>163</v>
      </c>
      <c r="W691" s="67" t="str">
        <f t="shared" si="54"/>
        <v>-</v>
      </c>
    </row>
    <row r="692" spans="1:23" x14ac:dyDescent="0.3">
      <c r="A692" s="6" t="s">
        <v>1978</v>
      </c>
      <c r="B692" s="6" t="s">
        <v>1380</v>
      </c>
      <c r="C692" s="6">
        <v>9280796443</v>
      </c>
      <c r="D692" s="6" t="s">
        <v>20</v>
      </c>
      <c r="E692" s="6" t="s">
        <v>67</v>
      </c>
      <c r="F692" s="6" t="s">
        <v>80</v>
      </c>
      <c r="G692" s="6" t="s">
        <v>1599</v>
      </c>
      <c r="H692" s="6" t="s">
        <v>1595</v>
      </c>
      <c r="I692" s="2" t="str">
        <f t="shared" si="50"/>
        <v>Mar</v>
      </c>
      <c r="J692" s="2">
        <f t="shared" si="51"/>
        <v>3</v>
      </c>
      <c r="K692" s="2">
        <f t="shared" si="52"/>
        <v>2024</v>
      </c>
      <c r="L692" s="2">
        <f t="shared" si="53"/>
        <v>1</v>
      </c>
      <c r="M692" s="6">
        <v>2</v>
      </c>
      <c r="N692" s="6" t="s">
        <v>1908</v>
      </c>
      <c r="O692" s="6" t="s">
        <v>97</v>
      </c>
      <c r="P692" s="7">
        <v>808797</v>
      </c>
      <c r="Q692" s="7">
        <v>714532</v>
      </c>
      <c r="R692" s="6" t="s">
        <v>1780</v>
      </c>
      <c r="S692" s="6" t="s">
        <v>5819</v>
      </c>
      <c r="T692" s="6">
        <v>26.5</v>
      </c>
      <c r="U692" s="6" t="s">
        <v>63</v>
      </c>
      <c r="V692" s="6"/>
      <c r="W692" s="67" t="str">
        <f t="shared" si="54"/>
        <v>Customer</v>
      </c>
    </row>
    <row r="693" spans="1:23" x14ac:dyDescent="0.3">
      <c r="A693" s="4" t="s">
        <v>1979</v>
      </c>
      <c r="B693" s="4" t="s">
        <v>1980</v>
      </c>
      <c r="C693" s="4">
        <v>9644083832</v>
      </c>
      <c r="D693" s="4" t="s">
        <v>59</v>
      </c>
      <c r="E693" s="4" t="s">
        <v>648</v>
      </c>
      <c r="F693" s="4" t="s">
        <v>822</v>
      </c>
      <c r="G693" s="4" t="s">
        <v>87</v>
      </c>
      <c r="H693" s="4" t="s">
        <v>1595</v>
      </c>
      <c r="I693" s="2" t="str">
        <f t="shared" si="50"/>
        <v>Mar</v>
      </c>
      <c r="J693" s="2">
        <f t="shared" si="51"/>
        <v>3</v>
      </c>
      <c r="K693" s="2">
        <f t="shared" si="52"/>
        <v>2024</v>
      </c>
      <c r="L693" s="2">
        <f t="shared" si="53"/>
        <v>1</v>
      </c>
      <c r="M693" s="4">
        <v>5</v>
      </c>
      <c r="N693" s="4" t="s">
        <v>1890</v>
      </c>
      <c r="O693" s="4" t="s">
        <v>62</v>
      </c>
      <c r="P693" s="5">
        <v>289293</v>
      </c>
      <c r="Q693" s="4"/>
      <c r="R693" s="4"/>
      <c r="S693" s="4" t="s">
        <v>28</v>
      </c>
      <c r="T693" s="4">
        <v>40.799999999999997</v>
      </c>
      <c r="U693" s="4" t="s">
        <v>29</v>
      </c>
      <c r="V693" s="4" t="s">
        <v>613</v>
      </c>
      <c r="W693" s="67" t="str">
        <f t="shared" si="54"/>
        <v>-</v>
      </c>
    </row>
    <row r="694" spans="1:23" x14ac:dyDescent="0.3">
      <c r="A694" s="2" t="s">
        <v>1981</v>
      </c>
      <c r="B694" s="2" t="s">
        <v>1982</v>
      </c>
      <c r="C694" s="2">
        <v>9764922971</v>
      </c>
      <c r="D694" s="2" t="s">
        <v>59</v>
      </c>
      <c r="E694" s="2" t="s">
        <v>33</v>
      </c>
      <c r="F694" s="2" t="s">
        <v>34</v>
      </c>
      <c r="G694" s="2" t="s">
        <v>87</v>
      </c>
      <c r="H694" s="2" t="s">
        <v>1595</v>
      </c>
      <c r="I694" s="2" t="str">
        <f t="shared" si="50"/>
        <v>Mar</v>
      </c>
      <c r="J694" s="2">
        <f t="shared" si="51"/>
        <v>3</v>
      </c>
      <c r="K694" s="2">
        <f t="shared" si="52"/>
        <v>2024</v>
      </c>
      <c r="L694" s="2">
        <f t="shared" si="53"/>
        <v>1</v>
      </c>
      <c r="M694" s="2">
        <v>6</v>
      </c>
      <c r="N694" s="2" t="s">
        <v>1797</v>
      </c>
      <c r="O694" s="2" t="s">
        <v>55</v>
      </c>
      <c r="P694" s="3">
        <v>332314</v>
      </c>
      <c r="Q694" s="2"/>
      <c r="R694" s="2"/>
      <c r="S694" s="2" t="s">
        <v>5819</v>
      </c>
      <c r="T694" s="2">
        <v>29.1</v>
      </c>
      <c r="U694" s="2" t="s">
        <v>47</v>
      </c>
      <c r="V694" s="2" t="s">
        <v>310</v>
      </c>
      <c r="W694" s="67" t="str">
        <f t="shared" si="54"/>
        <v>-</v>
      </c>
    </row>
    <row r="695" spans="1:23" x14ac:dyDescent="0.3">
      <c r="A695" s="4" t="s">
        <v>1983</v>
      </c>
      <c r="B695" s="4" t="s">
        <v>1205</v>
      </c>
      <c r="C695" s="4">
        <v>9787833622</v>
      </c>
      <c r="D695" s="4" t="s">
        <v>59</v>
      </c>
      <c r="E695" s="4" t="s">
        <v>641</v>
      </c>
      <c r="F695" s="4" t="s">
        <v>681</v>
      </c>
      <c r="G695" s="4" t="s">
        <v>1599</v>
      </c>
      <c r="H695" s="4" t="s">
        <v>1763</v>
      </c>
      <c r="I695" s="2" t="str">
        <f t="shared" si="50"/>
        <v>Mar</v>
      </c>
      <c r="J695" s="2">
        <f t="shared" si="51"/>
        <v>3</v>
      </c>
      <c r="K695" s="2">
        <f t="shared" si="52"/>
        <v>2024</v>
      </c>
      <c r="L695" s="2">
        <f t="shared" si="53"/>
        <v>1</v>
      </c>
      <c r="M695" s="4">
        <v>6</v>
      </c>
      <c r="N695" s="4" t="s">
        <v>1720</v>
      </c>
      <c r="O695" s="4" t="s">
        <v>45</v>
      </c>
      <c r="P695" s="5">
        <v>769405</v>
      </c>
      <c r="Q695" s="4"/>
      <c r="R695" s="4"/>
      <c r="S695" s="4" t="s">
        <v>28</v>
      </c>
      <c r="T695" s="4">
        <v>47.6</v>
      </c>
      <c r="U695" s="4" t="s">
        <v>63</v>
      </c>
      <c r="V695" s="4" t="s">
        <v>260</v>
      </c>
      <c r="W695" s="67" t="str">
        <f t="shared" si="54"/>
        <v>-</v>
      </c>
    </row>
    <row r="696" spans="1:23" x14ac:dyDescent="0.3">
      <c r="A696" s="2" t="s">
        <v>1984</v>
      </c>
      <c r="B696" s="2" t="s">
        <v>1985</v>
      </c>
      <c r="C696" s="2">
        <v>9808988450</v>
      </c>
      <c r="D696" s="2" t="s">
        <v>108</v>
      </c>
      <c r="E696" s="2" t="s">
        <v>73</v>
      </c>
      <c r="F696" s="2" t="s">
        <v>126</v>
      </c>
      <c r="G696" s="2" t="s">
        <v>52</v>
      </c>
      <c r="H696" s="2" t="s">
        <v>1763</v>
      </c>
      <c r="I696" s="2" t="str">
        <f t="shared" si="50"/>
        <v>Mar</v>
      </c>
      <c r="J696" s="2">
        <f t="shared" si="51"/>
        <v>3</v>
      </c>
      <c r="K696" s="2">
        <f t="shared" si="52"/>
        <v>2024</v>
      </c>
      <c r="L696" s="2">
        <f t="shared" si="53"/>
        <v>1</v>
      </c>
      <c r="M696" s="2">
        <v>2</v>
      </c>
      <c r="N696" s="2" t="s">
        <v>1838</v>
      </c>
      <c r="O696" s="2" t="s">
        <v>45</v>
      </c>
      <c r="P696" s="3">
        <v>428249</v>
      </c>
      <c r="Q696" s="2"/>
      <c r="R696" s="2"/>
      <c r="S696" s="2" t="s">
        <v>1063</v>
      </c>
      <c r="T696" s="2">
        <v>26.8</v>
      </c>
      <c r="U696" s="2" t="s">
        <v>63</v>
      </c>
      <c r="V696" s="2" t="s">
        <v>64</v>
      </c>
      <c r="W696" s="67" t="str">
        <f t="shared" si="54"/>
        <v>-</v>
      </c>
    </row>
    <row r="697" spans="1:23" x14ac:dyDescent="0.3">
      <c r="A697" s="6" t="s">
        <v>1986</v>
      </c>
      <c r="B697" s="6" t="s">
        <v>1987</v>
      </c>
      <c r="C697" s="6">
        <v>9798111347</v>
      </c>
      <c r="D697" s="6" t="s">
        <v>20</v>
      </c>
      <c r="E697" s="6" t="s">
        <v>109</v>
      </c>
      <c r="F697" s="6" t="s">
        <v>331</v>
      </c>
      <c r="G697" s="6" t="s">
        <v>1599</v>
      </c>
      <c r="H697" s="6" t="s">
        <v>1804</v>
      </c>
      <c r="I697" s="2" t="str">
        <f t="shared" si="50"/>
        <v>Mar</v>
      </c>
      <c r="J697" s="2">
        <f t="shared" si="51"/>
        <v>3</v>
      </c>
      <c r="K697" s="2">
        <f t="shared" si="52"/>
        <v>2024</v>
      </c>
      <c r="L697" s="2">
        <f t="shared" si="53"/>
        <v>1</v>
      </c>
      <c r="M697" s="6">
        <v>12</v>
      </c>
      <c r="N697" s="6" t="s">
        <v>1988</v>
      </c>
      <c r="O697" s="6" t="s">
        <v>97</v>
      </c>
      <c r="P697" s="7">
        <v>462019</v>
      </c>
      <c r="Q697" s="7">
        <v>410059</v>
      </c>
      <c r="R697" s="6" t="s">
        <v>1989</v>
      </c>
      <c r="S697" s="6" t="s">
        <v>5819</v>
      </c>
      <c r="T697" s="6">
        <v>27.4</v>
      </c>
      <c r="U697" s="6" t="s">
        <v>63</v>
      </c>
      <c r="V697" s="6" t="s">
        <v>243</v>
      </c>
      <c r="W697" s="67" t="str">
        <f t="shared" si="54"/>
        <v>Customer</v>
      </c>
    </row>
    <row r="698" spans="1:23" x14ac:dyDescent="0.3">
      <c r="A698" s="2" t="s">
        <v>1990</v>
      </c>
      <c r="B698" s="2" t="s">
        <v>1991</v>
      </c>
      <c r="C698" s="2">
        <v>9839091049</v>
      </c>
      <c r="D698" s="2" t="s">
        <v>59</v>
      </c>
      <c r="E698" s="2" t="s">
        <v>41</v>
      </c>
      <c r="F698" s="2" t="s">
        <v>151</v>
      </c>
      <c r="G698" s="2" t="s">
        <v>87</v>
      </c>
      <c r="H698" s="2" t="s">
        <v>1969</v>
      </c>
      <c r="I698" s="2" t="str">
        <f t="shared" si="50"/>
        <v>Mar</v>
      </c>
      <c r="J698" s="2">
        <f t="shared" si="51"/>
        <v>3</v>
      </c>
      <c r="K698" s="2">
        <f t="shared" si="52"/>
        <v>2024</v>
      </c>
      <c r="L698" s="2">
        <f t="shared" si="53"/>
        <v>1</v>
      </c>
      <c r="M698" s="2">
        <v>12</v>
      </c>
      <c r="N698" s="2" t="s">
        <v>1992</v>
      </c>
      <c r="O698" s="2" t="s">
        <v>62</v>
      </c>
      <c r="P698" s="3">
        <v>267181</v>
      </c>
      <c r="Q698" s="2"/>
      <c r="R698" s="2"/>
      <c r="S698" s="2" t="s">
        <v>5819</v>
      </c>
      <c r="T698" s="2">
        <v>20.9</v>
      </c>
      <c r="U698" s="2" t="s">
        <v>63</v>
      </c>
      <c r="V698" s="2" t="s">
        <v>668</v>
      </c>
      <c r="W698" s="67" t="str">
        <f t="shared" si="54"/>
        <v>-</v>
      </c>
    </row>
    <row r="699" spans="1:23" x14ac:dyDescent="0.3">
      <c r="A699" s="4" t="s">
        <v>1993</v>
      </c>
      <c r="B699" s="4" t="s">
        <v>1994</v>
      </c>
      <c r="C699" s="4">
        <v>9425713292</v>
      </c>
      <c r="D699" s="4" t="s">
        <v>20</v>
      </c>
      <c r="E699" s="4" t="s">
        <v>73</v>
      </c>
      <c r="F699" s="4" t="s">
        <v>74</v>
      </c>
      <c r="G699" s="4" t="s">
        <v>87</v>
      </c>
      <c r="H699" s="4" t="s">
        <v>1969</v>
      </c>
      <c r="I699" s="2" t="str">
        <f t="shared" si="50"/>
        <v>Mar</v>
      </c>
      <c r="J699" s="2">
        <f t="shared" si="51"/>
        <v>3</v>
      </c>
      <c r="K699" s="2">
        <f t="shared" si="52"/>
        <v>2024</v>
      </c>
      <c r="L699" s="2">
        <f t="shared" si="53"/>
        <v>1</v>
      </c>
      <c r="M699" s="4">
        <v>10</v>
      </c>
      <c r="N699" s="4" t="s">
        <v>1844</v>
      </c>
      <c r="O699" s="4" t="s">
        <v>45</v>
      </c>
      <c r="P699" s="5">
        <v>163181</v>
      </c>
      <c r="Q699" s="4"/>
      <c r="R699" s="4"/>
      <c r="S699" s="4" t="s">
        <v>5819</v>
      </c>
      <c r="T699" s="4">
        <v>1.6</v>
      </c>
      <c r="U699" s="4" t="s">
        <v>47</v>
      </c>
      <c r="V699" s="4" t="s">
        <v>174</v>
      </c>
      <c r="W699" s="67" t="str">
        <f t="shared" si="54"/>
        <v>-</v>
      </c>
    </row>
    <row r="700" spans="1:23" x14ac:dyDescent="0.3">
      <c r="A700" s="2" t="s">
        <v>1995</v>
      </c>
      <c r="B700" s="2" t="s">
        <v>32</v>
      </c>
      <c r="C700" s="2"/>
      <c r="D700" s="2" t="s">
        <v>59</v>
      </c>
      <c r="E700" s="2" t="s">
        <v>73</v>
      </c>
      <c r="F700" s="2" t="s">
        <v>126</v>
      </c>
      <c r="G700" s="2" t="s">
        <v>52</v>
      </c>
      <c r="H700" s="2" t="s">
        <v>1745</v>
      </c>
      <c r="I700" s="2" t="str">
        <f t="shared" si="50"/>
        <v>Mar</v>
      </c>
      <c r="J700" s="2">
        <f t="shared" si="51"/>
        <v>3</v>
      </c>
      <c r="K700" s="2">
        <f t="shared" si="52"/>
        <v>2024</v>
      </c>
      <c r="L700" s="2">
        <f t="shared" si="53"/>
        <v>1</v>
      </c>
      <c r="M700" s="2">
        <v>10</v>
      </c>
      <c r="N700" s="2" t="s">
        <v>1992</v>
      </c>
      <c r="O700" s="2" t="s">
        <v>27</v>
      </c>
      <c r="P700" s="3">
        <v>526254</v>
      </c>
      <c r="Q700" s="2"/>
      <c r="R700" s="2"/>
      <c r="S700" s="2" t="s">
        <v>1063</v>
      </c>
      <c r="T700" s="2">
        <v>25</v>
      </c>
      <c r="U700" s="2" t="s">
        <v>29</v>
      </c>
      <c r="V700" s="2" t="s">
        <v>1661</v>
      </c>
      <c r="W700" s="67" t="str">
        <f t="shared" si="54"/>
        <v>-</v>
      </c>
    </row>
    <row r="701" spans="1:23" x14ac:dyDescent="0.3">
      <c r="A701" s="4" t="s">
        <v>1996</v>
      </c>
      <c r="B701" s="4" t="s">
        <v>1997</v>
      </c>
      <c r="C701" s="4">
        <v>9839036931</v>
      </c>
      <c r="D701" s="4" t="s">
        <v>59</v>
      </c>
      <c r="E701" s="4" t="s">
        <v>41</v>
      </c>
      <c r="F701" s="4" t="s">
        <v>86</v>
      </c>
      <c r="G701" s="4" t="s">
        <v>1623</v>
      </c>
      <c r="H701" s="4" t="s">
        <v>1641</v>
      </c>
      <c r="I701" s="2" t="str">
        <f t="shared" si="50"/>
        <v>Mar</v>
      </c>
      <c r="J701" s="2">
        <f t="shared" si="51"/>
        <v>3</v>
      </c>
      <c r="K701" s="2">
        <f t="shared" si="52"/>
        <v>2024</v>
      </c>
      <c r="L701" s="2">
        <f t="shared" si="53"/>
        <v>1</v>
      </c>
      <c r="M701" s="4">
        <v>6</v>
      </c>
      <c r="N701" s="4" t="s">
        <v>1998</v>
      </c>
      <c r="O701" s="4" t="s">
        <v>62</v>
      </c>
      <c r="P701" s="5">
        <v>379650</v>
      </c>
      <c r="Q701" s="4"/>
      <c r="R701" s="4"/>
      <c r="S701" s="4" t="s">
        <v>5819</v>
      </c>
      <c r="T701" s="4">
        <v>1.8</v>
      </c>
      <c r="U701" s="4" t="s">
        <v>47</v>
      </c>
      <c r="V701" s="4" t="s">
        <v>310</v>
      </c>
      <c r="W701" s="67" t="str">
        <f t="shared" si="54"/>
        <v>-</v>
      </c>
    </row>
    <row r="702" spans="1:23" x14ac:dyDescent="0.3">
      <c r="A702" s="6" t="s">
        <v>1999</v>
      </c>
      <c r="B702" s="6" t="s">
        <v>2000</v>
      </c>
      <c r="C702" s="6">
        <v>9985965177</v>
      </c>
      <c r="D702" s="6" t="s">
        <v>20</v>
      </c>
      <c r="E702" s="6" t="s">
        <v>21</v>
      </c>
      <c r="F702" s="6" t="s">
        <v>230</v>
      </c>
      <c r="G702" s="6" t="s">
        <v>60</v>
      </c>
      <c r="H702" s="6" t="s">
        <v>1641</v>
      </c>
      <c r="I702" s="2" t="str">
        <f t="shared" si="50"/>
        <v>Mar</v>
      </c>
      <c r="J702" s="2">
        <f t="shared" si="51"/>
        <v>3</v>
      </c>
      <c r="K702" s="2">
        <f t="shared" si="52"/>
        <v>2024</v>
      </c>
      <c r="L702" s="2">
        <f t="shared" si="53"/>
        <v>1</v>
      </c>
      <c r="M702" s="6">
        <v>2</v>
      </c>
      <c r="N702" s="6" t="s">
        <v>1647</v>
      </c>
      <c r="O702" s="6" t="s">
        <v>97</v>
      </c>
      <c r="P702" s="7">
        <v>81549</v>
      </c>
      <c r="Q702" s="7">
        <v>77075</v>
      </c>
      <c r="R702" s="6" t="s">
        <v>1828</v>
      </c>
      <c r="S702" s="6" t="s">
        <v>1063</v>
      </c>
      <c r="T702" s="6">
        <v>17.600000000000001</v>
      </c>
      <c r="U702" s="6" t="s">
        <v>47</v>
      </c>
      <c r="V702" s="6" t="s">
        <v>99</v>
      </c>
      <c r="W702" s="67" t="str">
        <f t="shared" si="54"/>
        <v>Customer</v>
      </c>
    </row>
    <row r="703" spans="1:23" x14ac:dyDescent="0.3">
      <c r="A703" s="4" t="s">
        <v>2001</v>
      </c>
      <c r="B703" s="4" t="s">
        <v>2002</v>
      </c>
      <c r="C703" s="4">
        <v>9503736493</v>
      </c>
      <c r="D703" s="4" t="s">
        <v>59</v>
      </c>
      <c r="E703" s="4" t="s">
        <v>648</v>
      </c>
      <c r="F703" s="4" t="s">
        <v>649</v>
      </c>
      <c r="G703" s="4" t="s">
        <v>616</v>
      </c>
      <c r="H703" s="4" t="s">
        <v>1641</v>
      </c>
      <c r="I703" s="2" t="str">
        <f t="shared" si="50"/>
        <v>Mar</v>
      </c>
      <c r="J703" s="2">
        <f t="shared" si="51"/>
        <v>3</v>
      </c>
      <c r="K703" s="2">
        <f t="shared" si="52"/>
        <v>2024</v>
      </c>
      <c r="L703" s="2">
        <f t="shared" si="53"/>
        <v>1</v>
      </c>
      <c r="M703" s="4">
        <v>8</v>
      </c>
      <c r="N703" s="4" t="s">
        <v>1853</v>
      </c>
      <c r="O703" s="4" t="s">
        <v>62</v>
      </c>
      <c r="P703" s="5">
        <v>120843</v>
      </c>
      <c r="Q703" s="4"/>
      <c r="R703" s="4"/>
      <c r="S703" s="4" t="s">
        <v>5819</v>
      </c>
      <c r="T703" s="4">
        <v>3.8</v>
      </c>
      <c r="U703" s="4" t="s">
        <v>63</v>
      </c>
      <c r="V703" s="4" t="s">
        <v>535</v>
      </c>
      <c r="W703" s="67" t="str">
        <f t="shared" si="54"/>
        <v>-</v>
      </c>
    </row>
    <row r="704" spans="1:23" x14ac:dyDescent="0.3">
      <c r="A704" s="2" t="s">
        <v>2003</v>
      </c>
      <c r="B704" s="2" t="s">
        <v>2004</v>
      </c>
      <c r="C704" s="2">
        <v>9132851685</v>
      </c>
      <c r="D704" s="2" t="s">
        <v>20</v>
      </c>
      <c r="E704" s="2" t="s">
        <v>67</v>
      </c>
      <c r="F704" s="2" t="s">
        <v>80</v>
      </c>
      <c r="G704" s="2" t="s">
        <v>60</v>
      </c>
      <c r="H704" s="2" t="s">
        <v>1641</v>
      </c>
      <c r="I704" s="2" t="str">
        <f t="shared" si="50"/>
        <v>Mar</v>
      </c>
      <c r="J704" s="2">
        <f t="shared" si="51"/>
        <v>3</v>
      </c>
      <c r="K704" s="2">
        <f t="shared" si="52"/>
        <v>2024</v>
      </c>
      <c r="L704" s="2">
        <f t="shared" si="53"/>
        <v>1</v>
      </c>
      <c r="M704" s="2">
        <v>6</v>
      </c>
      <c r="N704" s="2" t="s">
        <v>1828</v>
      </c>
      <c r="O704" s="2" t="s">
        <v>45</v>
      </c>
      <c r="P704" s="3">
        <v>225143</v>
      </c>
      <c r="Q704" s="2"/>
      <c r="R704" s="2"/>
      <c r="S704" s="2" t="s">
        <v>1063</v>
      </c>
      <c r="T704" s="2">
        <v>3.7</v>
      </c>
      <c r="U704" s="2" t="s">
        <v>29</v>
      </c>
      <c r="V704" s="2" t="s">
        <v>589</v>
      </c>
      <c r="W704" s="67" t="str">
        <f t="shared" si="54"/>
        <v>-</v>
      </c>
    </row>
    <row r="705" spans="1:23" x14ac:dyDescent="0.3">
      <c r="A705" s="8" t="s">
        <v>2005</v>
      </c>
      <c r="B705" s="8" t="s">
        <v>1044</v>
      </c>
      <c r="C705" s="8">
        <v>9584009254</v>
      </c>
      <c r="D705" s="8" t="s">
        <v>59</v>
      </c>
      <c r="E705" s="8" t="s">
        <v>73</v>
      </c>
      <c r="F705" s="8" t="s">
        <v>126</v>
      </c>
      <c r="G705" s="8" t="s">
        <v>1609</v>
      </c>
      <c r="H705" s="8" t="s">
        <v>1641</v>
      </c>
      <c r="I705" s="2" t="str">
        <f t="shared" si="50"/>
        <v>Mar</v>
      </c>
      <c r="J705" s="2">
        <f t="shared" si="51"/>
        <v>3</v>
      </c>
      <c r="K705" s="2">
        <f t="shared" si="52"/>
        <v>2024</v>
      </c>
      <c r="L705" s="2">
        <f t="shared" si="53"/>
        <v>1</v>
      </c>
      <c r="M705" s="8">
        <v>5</v>
      </c>
      <c r="N705" s="8" t="s">
        <v>2006</v>
      </c>
      <c r="O705" s="8" t="s">
        <v>45</v>
      </c>
      <c r="P705" s="9">
        <v>304219</v>
      </c>
      <c r="Q705" s="8"/>
      <c r="R705" s="8"/>
      <c r="S705" s="8" t="s">
        <v>1805</v>
      </c>
      <c r="T705" s="8">
        <v>12.9</v>
      </c>
      <c r="U705" s="8" t="s">
        <v>63</v>
      </c>
      <c r="V705" s="8" t="s">
        <v>678</v>
      </c>
      <c r="W705" s="67" t="str">
        <f t="shared" si="54"/>
        <v>-</v>
      </c>
    </row>
    <row r="706" spans="1:23" x14ac:dyDescent="0.3">
      <c r="A706" s="2" t="s">
        <v>2007</v>
      </c>
      <c r="B706" s="2" t="s">
        <v>2008</v>
      </c>
      <c r="C706" s="2">
        <v>9778812108</v>
      </c>
      <c r="D706" s="2" t="s">
        <v>20</v>
      </c>
      <c r="E706" s="2" t="s">
        <v>41</v>
      </c>
      <c r="F706" s="2" t="s">
        <v>42</v>
      </c>
      <c r="G706" s="2" t="s">
        <v>643</v>
      </c>
      <c r="H706" s="2" t="s">
        <v>1641</v>
      </c>
      <c r="I706" s="2" t="str">
        <f t="shared" ref="I706:I769" si="55">TEXT(H706,"mmm")</f>
        <v>Mar</v>
      </c>
      <c r="J706" s="2">
        <f t="shared" ref="J706:J769" si="56">MONTH(H706)</f>
        <v>3</v>
      </c>
      <c r="K706" s="2">
        <f t="shared" ref="K706:K769" si="57">YEAR(H706)</f>
        <v>2024</v>
      </c>
      <c r="L706" s="2">
        <f t="shared" ref="L706:L769" si="58">ROUNDUP(MONTH(H706)/3,0)</f>
        <v>1</v>
      </c>
      <c r="M706" s="2">
        <v>12</v>
      </c>
      <c r="N706" s="2" t="s">
        <v>1930</v>
      </c>
      <c r="O706" s="2" t="s">
        <v>27</v>
      </c>
      <c r="P706" s="3">
        <v>1116363</v>
      </c>
      <c r="Q706" s="2"/>
      <c r="R706" s="2"/>
      <c r="S706" s="2" t="s">
        <v>1063</v>
      </c>
      <c r="T706" s="2">
        <v>2.2000000000000002</v>
      </c>
      <c r="U706" s="2" t="s">
        <v>29</v>
      </c>
      <c r="V706" s="2" t="s">
        <v>202</v>
      </c>
      <c r="W706" s="67" t="str">
        <f t="shared" ref="W706:W769" si="59">IF($O706&lt;&gt;"Converted","-",IF(ISNUMBER(SEARCH("Architect",$F706)),"Architect","Customer"))</f>
        <v>-</v>
      </c>
    </row>
    <row r="707" spans="1:23" x14ac:dyDescent="0.3">
      <c r="A707" s="8" t="s">
        <v>2009</v>
      </c>
      <c r="B707" s="8" t="s">
        <v>2010</v>
      </c>
      <c r="C707" s="8">
        <v>9223547463</v>
      </c>
      <c r="D707" s="8" t="s">
        <v>59</v>
      </c>
      <c r="E707" s="8" t="s">
        <v>1632</v>
      </c>
      <c r="F707" s="8" t="s">
        <v>1694</v>
      </c>
      <c r="G707" s="8" t="s">
        <v>60</v>
      </c>
      <c r="H707" s="8" t="s">
        <v>1641</v>
      </c>
      <c r="I707" s="2" t="str">
        <f t="shared" si="55"/>
        <v>Mar</v>
      </c>
      <c r="J707" s="2">
        <f t="shared" si="56"/>
        <v>3</v>
      </c>
      <c r="K707" s="2">
        <f t="shared" si="57"/>
        <v>2024</v>
      </c>
      <c r="L707" s="2">
        <f t="shared" si="58"/>
        <v>1</v>
      </c>
      <c r="M707" s="8">
        <v>3</v>
      </c>
      <c r="N707" s="8" t="s">
        <v>1948</v>
      </c>
      <c r="O707" s="8" t="s">
        <v>55</v>
      </c>
      <c r="P707" s="9">
        <v>145509</v>
      </c>
      <c r="Q707" s="8"/>
      <c r="R707" s="8"/>
      <c r="S707" s="8" t="s">
        <v>1805</v>
      </c>
      <c r="T707" s="8">
        <v>28.9</v>
      </c>
      <c r="U707" s="8" t="s">
        <v>29</v>
      </c>
      <c r="V707" s="8" t="s">
        <v>56</v>
      </c>
      <c r="W707" s="67" t="str">
        <f t="shared" si="59"/>
        <v>-</v>
      </c>
    </row>
    <row r="708" spans="1:23" x14ac:dyDescent="0.3">
      <c r="A708" s="2" t="s">
        <v>2011</v>
      </c>
      <c r="B708" s="2" t="s">
        <v>2012</v>
      </c>
      <c r="C708" s="2">
        <v>9948819004</v>
      </c>
      <c r="D708" s="2" t="s">
        <v>51</v>
      </c>
      <c r="E708" s="2" t="s">
        <v>41</v>
      </c>
      <c r="F708" s="2" t="s">
        <v>42</v>
      </c>
      <c r="G708" s="2" t="s">
        <v>52</v>
      </c>
      <c r="H708" s="2" t="s">
        <v>1916</v>
      </c>
      <c r="I708" s="2" t="str">
        <f t="shared" si="55"/>
        <v>Mar</v>
      </c>
      <c r="J708" s="2">
        <f t="shared" si="56"/>
        <v>3</v>
      </c>
      <c r="K708" s="2">
        <f t="shared" si="57"/>
        <v>2024</v>
      </c>
      <c r="L708" s="2">
        <f t="shared" si="58"/>
        <v>1</v>
      </c>
      <c r="M708" s="2">
        <v>6</v>
      </c>
      <c r="N708" s="2" t="s">
        <v>1793</v>
      </c>
      <c r="O708" s="2" t="s">
        <v>27</v>
      </c>
      <c r="P708" s="3">
        <v>282423</v>
      </c>
      <c r="Q708" s="2"/>
      <c r="R708" s="2"/>
      <c r="S708" s="2" t="s">
        <v>28</v>
      </c>
      <c r="T708" s="2">
        <v>36.299999999999997</v>
      </c>
      <c r="U708" s="2" t="s">
        <v>29</v>
      </c>
      <c r="V708" s="2" t="s">
        <v>157</v>
      </c>
      <c r="W708" s="67" t="str">
        <f t="shared" si="59"/>
        <v>-</v>
      </c>
    </row>
    <row r="709" spans="1:23" x14ac:dyDescent="0.3">
      <c r="A709" s="8" t="s">
        <v>2013</v>
      </c>
      <c r="B709" s="8" t="s">
        <v>2014</v>
      </c>
      <c r="C709" s="8">
        <v>9608341388</v>
      </c>
      <c r="D709" s="8" t="s">
        <v>108</v>
      </c>
      <c r="E709" s="8" t="s">
        <v>1632</v>
      </c>
      <c r="F709" s="8" t="s">
        <v>1633</v>
      </c>
      <c r="G709" s="8" t="s">
        <v>69</v>
      </c>
      <c r="H709" s="8" t="s">
        <v>1916</v>
      </c>
      <c r="I709" s="2" t="str">
        <f t="shared" si="55"/>
        <v>Mar</v>
      </c>
      <c r="J709" s="2">
        <f t="shared" si="56"/>
        <v>3</v>
      </c>
      <c r="K709" s="2">
        <f t="shared" si="57"/>
        <v>2024</v>
      </c>
      <c r="L709" s="2">
        <f t="shared" si="58"/>
        <v>1</v>
      </c>
      <c r="M709" s="8">
        <v>8</v>
      </c>
      <c r="N709" s="8" t="s">
        <v>2015</v>
      </c>
      <c r="O709" s="8" t="s">
        <v>45</v>
      </c>
      <c r="P709" s="9">
        <v>245831</v>
      </c>
      <c r="Q709" s="8"/>
      <c r="R709" s="8"/>
      <c r="S709" s="8" t="s">
        <v>1805</v>
      </c>
      <c r="T709" s="8">
        <v>40.6</v>
      </c>
      <c r="U709" s="8" t="s">
        <v>63</v>
      </c>
      <c r="V709" s="8" t="s">
        <v>621</v>
      </c>
      <c r="W709" s="67" t="str">
        <f t="shared" si="59"/>
        <v>-</v>
      </c>
    </row>
    <row r="710" spans="1:23" x14ac:dyDescent="0.3">
      <c r="A710" s="2" t="s">
        <v>2016</v>
      </c>
      <c r="B710" s="2" t="s">
        <v>2017</v>
      </c>
      <c r="C710" s="2">
        <v>9126011615</v>
      </c>
      <c r="D710" s="2" t="s">
        <v>20</v>
      </c>
      <c r="E710" s="2" t="s">
        <v>1632</v>
      </c>
      <c r="F710" s="2" t="s">
        <v>1682</v>
      </c>
      <c r="G710" s="2" t="s">
        <v>52</v>
      </c>
      <c r="H710" s="2" t="s">
        <v>1753</v>
      </c>
      <c r="I710" s="2" t="str">
        <f t="shared" si="55"/>
        <v>Mar</v>
      </c>
      <c r="J710" s="2">
        <f t="shared" si="56"/>
        <v>3</v>
      </c>
      <c r="K710" s="2">
        <f t="shared" si="57"/>
        <v>2024</v>
      </c>
      <c r="L710" s="2">
        <f t="shared" si="58"/>
        <v>1</v>
      </c>
      <c r="M710" s="2">
        <v>3</v>
      </c>
      <c r="N710" s="2" t="s">
        <v>1748</v>
      </c>
      <c r="O710" s="2" t="s">
        <v>62</v>
      </c>
      <c r="P710" s="3">
        <v>462106</v>
      </c>
      <c r="Q710" s="2"/>
      <c r="R710" s="2"/>
      <c r="S710" s="2" t="s">
        <v>28</v>
      </c>
      <c r="T710" s="2">
        <v>41.8</v>
      </c>
      <c r="U710" s="2" t="s">
        <v>47</v>
      </c>
      <c r="V710" s="2" t="s">
        <v>487</v>
      </c>
      <c r="W710" s="67" t="str">
        <f t="shared" si="59"/>
        <v>-</v>
      </c>
    </row>
    <row r="711" spans="1:23" x14ac:dyDescent="0.3">
      <c r="A711" s="8" t="s">
        <v>2018</v>
      </c>
      <c r="B711" s="8" t="s">
        <v>2019</v>
      </c>
      <c r="C711" s="8">
        <v>9250689986</v>
      </c>
      <c r="D711" s="8" t="s">
        <v>20</v>
      </c>
      <c r="E711" s="8" t="s">
        <v>1632</v>
      </c>
      <c r="F711" s="8" t="s">
        <v>1682</v>
      </c>
      <c r="G711" s="8" t="s">
        <v>69</v>
      </c>
      <c r="H711" s="8" t="s">
        <v>1838</v>
      </c>
      <c r="I711" s="2" t="str">
        <f t="shared" si="55"/>
        <v>Mar</v>
      </c>
      <c r="J711" s="2">
        <f t="shared" si="56"/>
        <v>3</v>
      </c>
      <c r="K711" s="2">
        <f t="shared" si="57"/>
        <v>2024</v>
      </c>
      <c r="L711" s="2">
        <f t="shared" si="58"/>
        <v>1</v>
      </c>
      <c r="M711" s="8">
        <v>7</v>
      </c>
      <c r="N711" s="8" t="s">
        <v>2020</v>
      </c>
      <c r="O711" s="8" t="s">
        <v>62</v>
      </c>
      <c r="P711" s="9">
        <v>284054</v>
      </c>
      <c r="Q711" s="8"/>
      <c r="R711" s="8"/>
      <c r="S711" s="8" t="s">
        <v>1805</v>
      </c>
      <c r="T711" s="8">
        <v>12.8</v>
      </c>
      <c r="U711" s="8" t="s">
        <v>63</v>
      </c>
      <c r="V711" s="8"/>
      <c r="W711" s="67" t="str">
        <f t="shared" si="59"/>
        <v>-</v>
      </c>
    </row>
    <row r="712" spans="1:23" x14ac:dyDescent="0.3">
      <c r="A712" s="2" t="s">
        <v>2021</v>
      </c>
      <c r="B712" s="2" t="s">
        <v>2022</v>
      </c>
      <c r="C712" s="2">
        <v>9237644075</v>
      </c>
      <c r="D712" s="2" t="s">
        <v>51</v>
      </c>
      <c r="E712" s="2" t="s">
        <v>648</v>
      </c>
      <c r="F712" s="2" t="s">
        <v>822</v>
      </c>
      <c r="G712" s="2" t="s">
        <v>87</v>
      </c>
      <c r="H712" s="2" t="s">
        <v>1838</v>
      </c>
      <c r="I712" s="2" t="str">
        <f t="shared" si="55"/>
        <v>Mar</v>
      </c>
      <c r="J712" s="2">
        <f t="shared" si="56"/>
        <v>3</v>
      </c>
      <c r="K712" s="2">
        <f t="shared" si="57"/>
        <v>2024</v>
      </c>
      <c r="L712" s="2">
        <f t="shared" si="58"/>
        <v>1</v>
      </c>
      <c r="M712" s="2">
        <v>1</v>
      </c>
      <c r="N712" s="2" t="s">
        <v>2023</v>
      </c>
      <c r="O712" s="2" t="s">
        <v>27</v>
      </c>
      <c r="P712" s="3">
        <v>302332</v>
      </c>
      <c r="Q712" s="2"/>
      <c r="R712" s="2"/>
      <c r="S712" s="2" t="s">
        <v>1063</v>
      </c>
      <c r="T712" s="2">
        <v>29.4</v>
      </c>
      <c r="U712" s="2" t="s">
        <v>29</v>
      </c>
      <c r="V712" s="2" t="s">
        <v>30</v>
      </c>
      <c r="W712" s="67" t="str">
        <f t="shared" si="59"/>
        <v>-</v>
      </c>
    </row>
    <row r="713" spans="1:23" x14ac:dyDescent="0.3">
      <c r="A713" s="6" t="s">
        <v>2024</v>
      </c>
      <c r="B713" s="6" t="s">
        <v>2025</v>
      </c>
      <c r="C713" s="6">
        <v>9710088706</v>
      </c>
      <c r="D713" s="6" t="s">
        <v>51</v>
      </c>
      <c r="E713" s="6" t="s">
        <v>648</v>
      </c>
      <c r="F713" s="6" t="s">
        <v>649</v>
      </c>
      <c r="G713" s="6" t="s">
        <v>616</v>
      </c>
      <c r="H713" s="6" t="s">
        <v>1879</v>
      </c>
      <c r="I713" s="2" t="str">
        <f t="shared" si="55"/>
        <v>Mar</v>
      </c>
      <c r="J713" s="2">
        <f t="shared" si="56"/>
        <v>3</v>
      </c>
      <c r="K713" s="2">
        <f t="shared" si="57"/>
        <v>2024</v>
      </c>
      <c r="L713" s="2">
        <f t="shared" si="58"/>
        <v>1</v>
      </c>
      <c r="M713" s="6">
        <v>2</v>
      </c>
      <c r="N713" s="6" t="s">
        <v>1702</v>
      </c>
      <c r="O713" s="6" t="s">
        <v>97</v>
      </c>
      <c r="P713" s="7">
        <v>359886</v>
      </c>
      <c r="Q713" s="7">
        <v>323153</v>
      </c>
      <c r="R713" s="6" t="s">
        <v>1876</v>
      </c>
      <c r="S713" s="6" t="s">
        <v>28</v>
      </c>
      <c r="T713" s="6">
        <v>30.8</v>
      </c>
      <c r="U713" s="6" t="s">
        <v>63</v>
      </c>
      <c r="V713" s="6" t="s">
        <v>286</v>
      </c>
      <c r="W713" s="67" t="str">
        <f t="shared" si="59"/>
        <v>Customer</v>
      </c>
    </row>
    <row r="714" spans="1:23" x14ac:dyDescent="0.3">
      <c r="A714" s="2" t="s">
        <v>2026</v>
      </c>
      <c r="B714" s="2" t="s">
        <v>628</v>
      </c>
      <c r="C714" s="2">
        <v>9627313543</v>
      </c>
      <c r="D714" s="2" t="s">
        <v>121</v>
      </c>
      <c r="E714" s="2" t="s">
        <v>33</v>
      </c>
      <c r="F714" s="2" t="s">
        <v>201</v>
      </c>
      <c r="G714" s="2" t="s">
        <v>643</v>
      </c>
      <c r="H714" s="2" t="s">
        <v>1879</v>
      </c>
      <c r="I714" s="2" t="str">
        <f t="shared" si="55"/>
        <v>Mar</v>
      </c>
      <c r="J714" s="2">
        <f t="shared" si="56"/>
        <v>3</v>
      </c>
      <c r="K714" s="2">
        <f t="shared" si="57"/>
        <v>2024</v>
      </c>
      <c r="L714" s="2">
        <f t="shared" si="58"/>
        <v>1</v>
      </c>
      <c r="M714" s="2">
        <v>4</v>
      </c>
      <c r="N714" s="2" t="s">
        <v>1797</v>
      </c>
      <c r="O714" s="2" t="s">
        <v>27</v>
      </c>
      <c r="P714" s="3">
        <v>1001344</v>
      </c>
      <c r="Q714" s="2"/>
      <c r="R714" s="2"/>
      <c r="S714" s="2" t="s">
        <v>5819</v>
      </c>
      <c r="T714" s="2">
        <v>31.7</v>
      </c>
      <c r="U714" s="2" t="s">
        <v>29</v>
      </c>
      <c r="V714" s="2" t="s">
        <v>38</v>
      </c>
      <c r="W714" s="67" t="str">
        <f t="shared" si="59"/>
        <v>-</v>
      </c>
    </row>
    <row r="715" spans="1:23" x14ac:dyDescent="0.3">
      <c r="A715" s="4" t="s">
        <v>2027</v>
      </c>
      <c r="B715" s="4" t="s">
        <v>2028</v>
      </c>
      <c r="C715" s="4">
        <v>9635831691</v>
      </c>
      <c r="D715" s="4" t="s">
        <v>121</v>
      </c>
      <c r="E715" s="4" t="s">
        <v>21</v>
      </c>
      <c r="F715" s="4" t="s">
        <v>22</v>
      </c>
      <c r="G715" s="4" t="s">
        <v>52</v>
      </c>
      <c r="H715" s="4" t="s">
        <v>1879</v>
      </c>
      <c r="I715" s="2" t="str">
        <f t="shared" si="55"/>
        <v>Mar</v>
      </c>
      <c r="J715" s="2">
        <f t="shared" si="56"/>
        <v>3</v>
      </c>
      <c r="K715" s="2">
        <f t="shared" si="57"/>
        <v>2024</v>
      </c>
      <c r="L715" s="2">
        <f t="shared" si="58"/>
        <v>1</v>
      </c>
      <c r="M715" s="4">
        <v>6</v>
      </c>
      <c r="N715" s="4" t="s">
        <v>2029</v>
      </c>
      <c r="O715" s="4" t="s">
        <v>62</v>
      </c>
      <c r="P715" s="5">
        <v>153349</v>
      </c>
      <c r="Q715" s="4"/>
      <c r="R715" s="4"/>
      <c r="S715" s="4" t="s">
        <v>5819</v>
      </c>
      <c r="T715" s="4">
        <v>13.8</v>
      </c>
      <c r="U715" s="4" t="s">
        <v>47</v>
      </c>
      <c r="V715" s="4" t="s">
        <v>212</v>
      </c>
      <c r="W715" s="67" t="str">
        <f t="shared" si="59"/>
        <v>-</v>
      </c>
    </row>
    <row r="716" spans="1:23" x14ac:dyDescent="0.3">
      <c r="A716" s="6" t="s">
        <v>2030</v>
      </c>
      <c r="B716" s="6" t="s">
        <v>2031</v>
      </c>
      <c r="C716" s="6">
        <v>9432136364</v>
      </c>
      <c r="D716" s="6" t="s">
        <v>59</v>
      </c>
      <c r="E716" s="6" t="s">
        <v>648</v>
      </c>
      <c r="F716" s="6" t="s">
        <v>822</v>
      </c>
      <c r="G716" s="6" t="s">
        <v>60</v>
      </c>
      <c r="H716" s="6" t="s">
        <v>1647</v>
      </c>
      <c r="I716" s="2" t="str">
        <f t="shared" si="55"/>
        <v>Mar</v>
      </c>
      <c r="J716" s="2">
        <f t="shared" si="56"/>
        <v>3</v>
      </c>
      <c r="K716" s="2">
        <f t="shared" si="57"/>
        <v>2024</v>
      </c>
      <c r="L716" s="2">
        <f t="shared" si="58"/>
        <v>1</v>
      </c>
      <c r="M716" s="6">
        <v>4</v>
      </c>
      <c r="N716" s="6" t="s">
        <v>1702</v>
      </c>
      <c r="O716" s="6" t="s">
        <v>97</v>
      </c>
      <c r="P716" s="7">
        <v>70221</v>
      </c>
      <c r="Q716" s="7">
        <v>67900</v>
      </c>
      <c r="R716" s="6" t="s">
        <v>2006</v>
      </c>
      <c r="S716" s="6" t="s">
        <v>28</v>
      </c>
      <c r="T716" s="6">
        <v>22.3</v>
      </c>
      <c r="U716" s="6" t="s">
        <v>63</v>
      </c>
      <c r="V716" s="6" t="s">
        <v>99</v>
      </c>
      <c r="W716" s="67" t="str">
        <f t="shared" si="59"/>
        <v>Customer</v>
      </c>
    </row>
    <row r="717" spans="1:23" x14ac:dyDescent="0.3">
      <c r="A717" s="6" t="s">
        <v>2032</v>
      </c>
      <c r="B717" s="6" t="s">
        <v>2033</v>
      </c>
      <c r="C717" s="6">
        <v>9985661745</v>
      </c>
      <c r="D717" s="6" t="s">
        <v>20</v>
      </c>
      <c r="E717" s="6" t="s">
        <v>641</v>
      </c>
      <c r="F717" s="6" t="s">
        <v>642</v>
      </c>
      <c r="G717" s="6" t="s">
        <v>1599</v>
      </c>
      <c r="H717" s="6" t="s">
        <v>1647</v>
      </c>
      <c r="I717" s="2" t="str">
        <f t="shared" si="55"/>
        <v>Mar</v>
      </c>
      <c r="J717" s="2">
        <f t="shared" si="56"/>
        <v>3</v>
      </c>
      <c r="K717" s="2">
        <f t="shared" si="57"/>
        <v>2024</v>
      </c>
      <c r="L717" s="2">
        <f t="shared" si="58"/>
        <v>1</v>
      </c>
      <c r="M717" s="6">
        <v>12</v>
      </c>
      <c r="N717" s="6" t="s">
        <v>1759</v>
      </c>
      <c r="O717" s="6" t="s">
        <v>97</v>
      </c>
      <c r="P717" s="7">
        <v>645172</v>
      </c>
      <c r="Q717" s="7">
        <v>576089</v>
      </c>
      <c r="R717" s="6" t="s">
        <v>2029</v>
      </c>
      <c r="S717" s="6" t="s">
        <v>28</v>
      </c>
      <c r="T717" s="6">
        <v>34.5</v>
      </c>
      <c r="U717" s="6" t="s">
        <v>63</v>
      </c>
      <c r="V717" s="6" t="s">
        <v>465</v>
      </c>
      <c r="W717" s="67" t="str">
        <f t="shared" si="59"/>
        <v>Customer</v>
      </c>
    </row>
    <row r="718" spans="1:23" x14ac:dyDescent="0.3">
      <c r="A718" s="6" t="s">
        <v>2034</v>
      </c>
      <c r="B718" s="6" t="s">
        <v>2035</v>
      </c>
      <c r="C718" s="6">
        <v>9623393732</v>
      </c>
      <c r="D718" s="6" t="s">
        <v>121</v>
      </c>
      <c r="E718" s="6" t="s">
        <v>41</v>
      </c>
      <c r="F718" s="6" t="s">
        <v>92</v>
      </c>
      <c r="G718" s="6" t="s">
        <v>69</v>
      </c>
      <c r="H718" s="6" t="s">
        <v>1647</v>
      </c>
      <c r="I718" s="2" t="str">
        <f t="shared" si="55"/>
        <v>Mar</v>
      </c>
      <c r="J718" s="2">
        <f t="shared" si="56"/>
        <v>3</v>
      </c>
      <c r="K718" s="2">
        <f t="shared" si="57"/>
        <v>2024</v>
      </c>
      <c r="L718" s="2">
        <f t="shared" si="58"/>
        <v>1</v>
      </c>
      <c r="M718" s="6">
        <v>9</v>
      </c>
      <c r="N718" s="6" t="s">
        <v>1853</v>
      </c>
      <c r="O718" s="6" t="s">
        <v>97</v>
      </c>
      <c r="P718" s="7">
        <v>76483</v>
      </c>
      <c r="Q718" s="7">
        <v>71107</v>
      </c>
      <c r="R718" s="6" t="s">
        <v>1953</v>
      </c>
      <c r="S718" s="6" t="s">
        <v>5819</v>
      </c>
      <c r="T718" s="6">
        <v>5.6</v>
      </c>
      <c r="U718" s="6" t="s">
        <v>63</v>
      </c>
      <c r="V718" s="6"/>
      <c r="W718" s="67" t="str">
        <f t="shared" si="59"/>
        <v>Customer</v>
      </c>
    </row>
    <row r="719" spans="1:23" x14ac:dyDescent="0.3">
      <c r="A719" s="4" t="s">
        <v>2036</v>
      </c>
      <c r="B719" s="4" t="s">
        <v>459</v>
      </c>
      <c r="C719" s="4">
        <v>9177943017</v>
      </c>
      <c r="D719" s="4" t="s">
        <v>108</v>
      </c>
      <c r="E719" s="4" t="s">
        <v>109</v>
      </c>
      <c r="F719" s="4" t="s">
        <v>110</v>
      </c>
      <c r="G719" s="4" t="s">
        <v>52</v>
      </c>
      <c r="H719" s="4" t="s">
        <v>1647</v>
      </c>
      <c r="I719" s="2" t="str">
        <f t="shared" si="55"/>
        <v>Mar</v>
      </c>
      <c r="J719" s="2">
        <f t="shared" si="56"/>
        <v>3</v>
      </c>
      <c r="K719" s="2">
        <f t="shared" si="57"/>
        <v>2024</v>
      </c>
      <c r="L719" s="2">
        <f t="shared" si="58"/>
        <v>1</v>
      </c>
      <c r="M719" s="4">
        <v>8</v>
      </c>
      <c r="N719" s="4" t="s">
        <v>2037</v>
      </c>
      <c r="O719" s="4" t="s">
        <v>27</v>
      </c>
      <c r="P719" s="5">
        <v>366352</v>
      </c>
      <c r="Q719" s="4"/>
      <c r="R719" s="4"/>
      <c r="S719" s="4" t="s">
        <v>5819</v>
      </c>
      <c r="T719" s="4">
        <v>7.9</v>
      </c>
      <c r="U719" s="4" t="s">
        <v>29</v>
      </c>
      <c r="V719" s="4" t="s">
        <v>38</v>
      </c>
      <c r="W719" s="67" t="str">
        <f t="shared" si="59"/>
        <v>-</v>
      </c>
    </row>
    <row r="720" spans="1:23" x14ac:dyDescent="0.3">
      <c r="A720" s="2" t="s">
        <v>2038</v>
      </c>
      <c r="B720" s="2" t="s">
        <v>362</v>
      </c>
      <c r="C720" s="2">
        <v>9185099798</v>
      </c>
      <c r="D720" s="2" t="s">
        <v>59</v>
      </c>
      <c r="E720" s="2" t="s">
        <v>648</v>
      </c>
      <c r="F720" s="2" t="s">
        <v>649</v>
      </c>
      <c r="G720" s="2" t="s">
        <v>616</v>
      </c>
      <c r="H720" s="2" t="s">
        <v>1596</v>
      </c>
      <c r="I720" s="2" t="str">
        <f t="shared" si="55"/>
        <v>Mar</v>
      </c>
      <c r="J720" s="2">
        <f t="shared" si="56"/>
        <v>3</v>
      </c>
      <c r="K720" s="2">
        <f t="shared" si="57"/>
        <v>2024</v>
      </c>
      <c r="L720" s="2">
        <f t="shared" si="58"/>
        <v>1</v>
      </c>
      <c r="M720" s="2">
        <v>1</v>
      </c>
      <c r="N720" s="2" t="s">
        <v>1796</v>
      </c>
      <c r="O720" s="2" t="s">
        <v>62</v>
      </c>
      <c r="P720" s="3">
        <v>262448</v>
      </c>
      <c r="Q720" s="2"/>
      <c r="R720" s="2"/>
      <c r="S720" s="2" t="s">
        <v>28</v>
      </c>
      <c r="T720" s="2">
        <v>34.200000000000003</v>
      </c>
      <c r="U720" s="2" t="s">
        <v>63</v>
      </c>
      <c r="V720" s="2"/>
      <c r="W720" s="67" t="str">
        <f t="shared" si="59"/>
        <v>-</v>
      </c>
    </row>
    <row r="721" spans="1:23" x14ac:dyDescent="0.3">
      <c r="A721" s="4" t="s">
        <v>2040</v>
      </c>
      <c r="B721" s="4" t="s">
        <v>2041</v>
      </c>
      <c r="C721" s="4">
        <v>9363707031</v>
      </c>
      <c r="D721" s="4" t="s">
        <v>20</v>
      </c>
      <c r="E721" s="4" t="s">
        <v>41</v>
      </c>
      <c r="F721" s="4" t="s">
        <v>92</v>
      </c>
      <c r="G721" s="4" t="s">
        <v>1735</v>
      </c>
      <c r="H721" s="4" t="s">
        <v>1596</v>
      </c>
      <c r="I721" s="2" t="str">
        <f t="shared" si="55"/>
        <v>Mar</v>
      </c>
      <c r="J721" s="2">
        <f t="shared" si="56"/>
        <v>3</v>
      </c>
      <c r="K721" s="2">
        <f t="shared" si="57"/>
        <v>2024</v>
      </c>
      <c r="L721" s="2">
        <f t="shared" si="58"/>
        <v>1</v>
      </c>
      <c r="M721" s="4">
        <v>10</v>
      </c>
      <c r="N721" s="4" t="s">
        <v>2042</v>
      </c>
      <c r="O721" s="4" t="s">
        <v>62</v>
      </c>
      <c r="P721" s="5">
        <v>1364894</v>
      </c>
      <c r="Q721" s="4"/>
      <c r="R721" s="4"/>
      <c r="S721" s="4" t="s">
        <v>1063</v>
      </c>
      <c r="T721" s="4">
        <v>31.8</v>
      </c>
      <c r="U721" s="4" t="s">
        <v>63</v>
      </c>
      <c r="V721" s="4" t="s">
        <v>621</v>
      </c>
      <c r="W721" s="67" t="str">
        <f t="shared" si="59"/>
        <v>-</v>
      </c>
    </row>
    <row r="722" spans="1:23" x14ac:dyDescent="0.3">
      <c r="A722" s="2" t="s">
        <v>2043</v>
      </c>
      <c r="B722" s="2" t="s">
        <v>2044</v>
      </c>
      <c r="C722" s="2">
        <v>9738268451</v>
      </c>
      <c r="D722" s="2" t="s">
        <v>20</v>
      </c>
      <c r="E722" s="2" t="s">
        <v>641</v>
      </c>
      <c r="F722" s="2" t="s">
        <v>681</v>
      </c>
      <c r="G722" s="2" t="s">
        <v>35</v>
      </c>
      <c r="H722" s="2" t="s">
        <v>1596</v>
      </c>
      <c r="I722" s="2" t="str">
        <f t="shared" si="55"/>
        <v>Mar</v>
      </c>
      <c r="J722" s="2">
        <f t="shared" si="56"/>
        <v>3</v>
      </c>
      <c r="K722" s="2">
        <f t="shared" si="57"/>
        <v>2024</v>
      </c>
      <c r="L722" s="2">
        <f t="shared" si="58"/>
        <v>1</v>
      </c>
      <c r="M722" s="2">
        <v>4</v>
      </c>
      <c r="N722" s="2" t="s">
        <v>1759</v>
      </c>
      <c r="O722" s="2" t="s">
        <v>27</v>
      </c>
      <c r="P722" s="3">
        <v>267025</v>
      </c>
      <c r="Q722" s="2"/>
      <c r="R722" s="2"/>
      <c r="S722" s="2" t="s">
        <v>5819</v>
      </c>
      <c r="T722" s="2">
        <v>25.3</v>
      </c>
      <c r="U722" s="2" t="s">
        <v>29</v>
      </c>
      <c r="V722" s="2" t="s">
        <v>153</v>
      </c>
      <c r="W722" s="67" t="str">
        <f t="shared" si="59"/>
        <v>-</v>
      </c>
    </row>
    <row r="723" spans="1:23" x14ac:dyDescent="0.3">
      <c r="A723" s="4" t="s">
        <v>2045</v>
      </c>
      <c r="B723" s="4" t="s">
        <v>2046</v>
      </c>
      <c r="C723" s="4">
        <v>9570726097</v>
      </c>
      <c r="D723" s="4" t="s">
        <v>20</v>
      </c>
      <c r="E723" s="4" t="s">
        <v>41</v>
      </c>
      <c r="F723" s="4" t="s">
        <v>42</v>
      </c>
      <c r="G723" s="4" t="s">
        <v>23</v>
      </c>
      <c r="H723" s="4" t="s">
        <v>1596</v>
      </c>
      <c r="I723" s="2" t="str">
        <f t="shared" si="55"/>
        <v>Mar</v>
      </c>
      <c r="J723" s="2">
        <f t="shared" si="56"/>
        <v>3</v>
      </c>
      <c r="K723" s="2">
        <f t="shared" si="57"/>
        <v>2024</v>
      </c>
      <c r="L723" s="2">
        <f t="shared" si="58"/>
        <v>1</v>
      </c>
      <c r="M723" s="4">
        <v>12</v>
      </c>
      <c r="N723" s="4" t="s">
        <v>1989</v>
      </c>
      <c r="O723" s="4" t="s">
        <v>27</v>
      </c>
      <c r="P723" s="5">
        <v>536204</v>
      </c>
      <c r="Q723" s="4"/>
      <c r="R723" s="4"/>
      <c r="S723" s="4" t="s">
        <v>5819</v>
      </c>
      <c r="T723" s="4">
        <v>14.4</v>
      </c>
      <c r="U723" s="4" t="s">
        <v>29</v>
      </c>
      <c r="V723" s="4" t="s">
        <v>30</v>
      </c>
      <c r="W723" s="67" t="str">
        <f t="shared" si="59"/>
        <v>-</v>
      </c>
    </row>
    <row r="724" spans="1:23" x14ac:dyDescent="0.3">
      <c r="A724" s="8" t="s">
        <v>2047</v>
      </c>
      <c r="B724" s="8" t="s">
        <v>444</v>
      </c>
      <c r="C724" s="8">
        <v>9143741483</v>
      </c>
      <c r="D724" s="8" t="s">
        <v>59</v>
      </c>
      <c r="E724" s="8" t="s">
        <v>1632</v>
      </c>
      <c r="F724" s="8" t="s">
        <v>1717</v>
      </c>
      <c r="G724" s="8" t="s">
        <v>616</v>
      </c>
      <c r="H724" s="8" t="s">
        <v>1596</v>
      </c>
      <c r="I724" s="2" t="str">
        <f t="shared" si="55"/>
        <v>Mar</v>
      </c>
      <c r="J724" s="2">
        <f t="shared" si="56"/>
        <v>3</v>
      </c>
      <c r="K724" s="2">
        <f t="shared" si="57"/>
        <v>2024</v>
      </c>
      <c r="L724" s="2">
        <f t="shared" si="58"/>
        <v>1</v>
      </c>
      <c r="M724" s="8">
        <v>1</v>
      </c>
      <c r="N724" s="8" t="s">
        <v>1720</v>
      </c>
      <c r="O724" s="8" t="s">
        <v>62</v>
      </c>
      <c r="P724" s="9">
        <v>230604</v>
      </c>
      <c r="Q724" s="8"/>
      <c r="R724" s="8"/>
      <c r="S724" s="8" t="s">
        <v>1805</v>
      </c>
      <c r="T724" s="8">
        <v>43.6</v>
      </c>
      <c r="U724" s="8" t="s">
        <v>47</v>
      </c>
      <c r="V724" s="8" t="s">
        <v>276</v>
      </c>
      <c r="W724" s="67" t="str">
        <f t="shared" si="59"/>
        <v>-</v>
      </c>
    </row>
    <row r="725" spans="1:23" x14ac:dyDescent="0.3">
      <c r="A725" s="6" t="s">
        <v>2048</v>
      </c>
      <c r="B725" s="6" t="s">
        <v>2049</v>
      </c>
      <c r="C725" s="6">
        <v>9877098316</v>
      </c>
      <c r="D725" s="6" t="s">
        <v>20</v>
      </c>
      <c r="E725" s="6" t="s">
        <v>73</v>
      </c>
      <c r="F725" s="6" t="s">
        <v>74</v>
      </c>
      <c r="G725" s="6" t="s">
        <v>60</v>
      </c>
      <c r="H725" s="6" t="s">
        <v>2039</v>
      </c>
      <c r="I725" s="2" t="str">
        <f t="shared" si="55"/>
        <v>Mar</v>
      </c>
      <c r="J725" s="2">
        <f t="shared" si="56"/>
        <v>3</v>
      </c>
      <c r="K725" s="2">
        <f t="shared" si="57"/>
        <v>2024</v>
      </c>
      <c r="L725" s="2">
        <f t="shared" si="58"/>
        <v>1</v>
      </c>
      <c r="M725" s="6">
        <v>4</v>
      </c>
      <c r="N725" s="6" t="s">
        <v>2050</v>
      </c>
      <c r="O725" s="6" t="s">
        <v>97</v>
      </c>
      <c r="P725" s="7">
        <v>141868</v>
      </c>
      <c r="Q725" s="7">
        <v>128838</v>
      </c>
      <c r="R725" s="6" t="s">
        <v>2051</v>
      </c>
      <c r="S725" s="6" t="s">
        <v>28</v>
      </c>
      <c r="T725" s="6">
        <v>24.4</v>
      </c>
      <c r="U725" s="6" t="s">
        <v>63</v>
      </c>
      <c r="V725" s="6" t="s">
        <v>99</v>
      </c>
      <c r="W725" s="67" t="str">
        <f t="shared" si="59"/>
        <v>Customer</v>
      </c>
    </row>
    <row r="726" spans="1:23" x14ac:dyDescent="0.3">
      <c r="A726" s="2" t="s">
        <v>2052</v>
      </c>
      <c r="B726" s="2" t="s">
        <v>2053</v>
      </c>
      <c r="C726" s="2"/>
      <c r="D726" s="2" t="s">
        <v>108</v>
      </c>
      <c r="E726" s="2" t="s">
        <v>648</v>
      </c>
      <c r="F726" s="2" t="s">
        <v>649</v>
      </c>
      <c r="G726" s="2" t="s">
        <v>1621</v>
      </c>
      <c r="H726" s="2" t="s">
        <v>2039</v>
      </c>
      <c r="I726" s="2" t="str">
        <f t="shared" si="55"/>
        <v>Mar</v>
      </c>
      <c r="J726" s="2">
        <f t="shared" si="56"/>
        <v>3</v>
      </c>
      <c r="K726" s="2">
        <f t="shared" si="57"/>
        <v>2024</v>
      </c>
      <c r="L726" s="2">
        <f t="shared" si="58"/>
        <v>1</v>
      </c>
      <c r="M726" s="2">
        <v>8</v>
      </c>
      <c r="N726" s="2" t="s">
        <v>2015</v>
      </c>
      <c r="O726" s="2" t="s">
        <v>27</v>
      </c>
      <c r="P726" s="3">
        <v>445098</v>
      </c>
      <c r="Q726" s="2"/>
      <c r="R726" s="2"/>
      <c r="S726" s="2" t="s">
        <v>28</v>
      </c>
      <c r="T726" s="2">
        <v>28.8</v>
      </c>
      <c r="U726" s="2" t="s">
        <v>29</v>
      </c>
      <c r="V726" s="2" t="s">
        <v>2054</v>
      </c>
      <c r="W726" s="67" t="str">
        <f t="shared" si="59"/>
        <v>-</v>
      </c>
    </row>
    <row r="727" spans="1:23" x14ac:dyDescent="0.3">
      <c r="A727" s="8" t="s">
        <v>2055</v>
      </c>
      <c r="B727" s="8" t="s">
        <v>1637</v>
      </c>
      <c r="C727" s="8">
        <v>9139062171</v>
      </c>
      <c r="D727" s="8" t="s">
        <v>59</v>
      </c>
      <c r="E727" s="8" t="s">
        <v>1632</v>
      </c>
      <c r="F727" s="8" t="s">
        <v>1717</v>
      </c>
      <c r="G727" s="8" t="s">
        <v>1609</v>
      </c>
      <c r="H727" s="8" t="s">
        <v>2039</v>
      </c>
      <c r="I727" s="2" t="str">
        <f t="shared" si="55"/>
        <v>Mar</v>
      </c>
      <c r="J727" s="2">
        <f t="shared" si="56"/>
        <v>3</v>
      </c>
      <c r="K727" s="2">
        <f t="shared" si="57"/>
        <v>2024</v>
      </c>
      <c r="L727" s="2">
        <f t="shared" si="58"/>
        <v>1</v>
      </c>
      <c r="M727" s="8">
        <v>6</v>
      </c>
      <c r="N727" s="8" t="s">
        <v>2050</v>
      </c>
      <c r="O727" s="8" t="s">
        <v>55</v>
      </c>
      <c r="P727" s="9">
        <v>225766</v>
      </c>
      <c r="Q727" s="8"/>
      <c r="R727" s="8"/>
      <c r="S727" s="8" t="s">
        <v>1805</v>
      </c>
      <c r="T727" s="8">
        <v>27.2</v>
      </c>
      <c r="U727" s="8" t="s">
        <v>29</v>
      </c>
      <c r="V727" s="8" t="s">
        <v>83</v>
      </c>
      <c r="W727" s="67" t="str">
        <f t="shared" si="59"/>
        <v>-</v>
      </c>
    </row>
    <row r="728" spans="1:23" x14ac:dyDescent="0.3">
      <c r="A728" s="6" t="s">
        <v>2056</v>
      </c>
      <c r="B728" s="6" t="s">
        <v>2057</v>
      </c>
      <c r="C728" s="6">
        <v>9650206515</v>
      </c>
      <c r="D728" s="6" t="s">
        <v>59</v>
      </c>
      <c r="E728" s="6" t="s">
        <v>1632</v>
      </c>
      <c r="F728" s="6" t="s">
        <v>1717</v>
      </c>
      <c r="G728" s="6" t="s">
        <v>23</v>
      </c>
      <c r="H728" s="6" t="s">
        <v>1882</v>
      </c>
      <c r="I728" s="2" t="str">
        <f t="shared" si="55"/>
        <v>Mar</v>
      </c>
      <c r="J728" s="2">
        <f t="shared" si="56"/>
        <v>3</v>
      </c>
      <c r="K728" s="2">
        <f t="shared" si="57"/>
        <v>2024</v>
      </c>
      <c r="L728" s="2">
        <f t="shared" si="58"/>
        <v>1</v>
      </c>
      <c r="M728" s="6">
        <v>0</v>
      </c>
      <c r="N728" s="6" t="s">
        <v>1908</v>
      </c>
      <c r="O728" s="6" t="s">
        <v>97</v>
      </c>
      <c r="P728" s="7">
        <v>444497</v>
      </c>
      <c r="Q728" s="7">
        <v>392270</v>
      </c>
      <c r="R728" s="6" t="s">
        <v>1721</v>
      </c>
      <c r="S728" s="6" t="s">
        <v>5819</v>
      </c>
      <c r="T728" s="6">
        <v>10.1</v>
      </c>
      <c r="U728" s="6" t="s">
        <v>63</v>
      </c>
      <c r="V728" s="6"/>
      <c r="W728" s="67" t="str">
        <f t="shared" si="59"/>
        <v>Customer</v>
      </c>
    </row>
    <row r="729" spans="1:23" x14ac:dyDescent="0.3">
      <c r="A729" s="4" t="s">
        <v>2058</v>
      </c>
      <c r="B729" s="4" t="s">
        <v>2059</v>
      </c>
      <c r="C729" s="4">
        <v>9712255073</v>
      </c>
      <c r="D729" s="4" t="s">
        <v>108</v>
      </c>
      <c r="E729" s="4" t="s">
        <v>41</v>
      </c>
      <c r="F729" s="4" t="s">
        <v>92</v>
      </c>
      <c r="G729" s="4" t="s">
        <v>643</v>
      </c>
      <c r="H729" s="4" t="s">
        <v>1748</v>
      </c>
      <c r="I729" s="2" t="str">
        <f t="shared" si="55"/>
        <v>Mar</v>
      </c>
      <c r="J729" s="2">
        <f t="shared" si="56"/>
        <v>3</v>
      </c>
      <c r="K729" s="2">
        <f t="shared" si="57"/>
        <v>2024</v>
      </c>
      <c r="L729" s="2">
        <f t="shared" si="58"/>
        <v>1</v>
      </c>
      <c r="M729" s="4">
        <v>6</v>
      </c>
      <c r="N729" s="4" t="s">
        <v>1868</v>
      </c>
      <c r="O729" s="4" t="s">
        <v>27</v>
      </c>
      <c r="P729" s="5">
        <v>1341272</v>
      </c>
      <c r="Q729" s="4"/>
      <c r="R729" s="4"/>
      <c r="S729" s="4" t="s">
        <v>5819</v>
      </c>
      <c r="T729" s="4">
        <v>9.6999999999999993</v>
      </c>
      <c r="U729" s="4" t="s">
        <v>29</v>
      </c>
      <c r="V729" s="4" t="s">
        <v>105</v>
      </c>
      <c r="W729" s="67" t="str">
        <f t="shared" si="59"/>
        <v>-</v>
      </c>
    </row>
    <row r="730" spans="1:23" x14ac:dyDescent="0.3">
      <c r="A730" s="2" t="s">
        <v>2060</v>
      </c>
      <c r="B730" s="2" t="s">
        <v>1569</v>
      </c>
      <c r="C730" s="2"/>
      <c r="D730" s="2" t="s">
        <v>20</v>
      </c>
      <c r="E730" s="2" t="s">
        <v>73</v>
      </c>
      <c r="F730" s="2" t="s">
        <v>126</v>
      </c>
      <c r="G730" s="2" t="s">
        <v>1599</v>
      </c>
      <c r="H730" s="2" t="s">
        <v>1748</v>
      </c>
      <c r="I730" s="2" t="str">
        <f t="shared" si="55"/>
        <v>Mar</v>
      </c>
      <c r="J730" s="2">
        <f t="shared" si="56"/>
        <v>3</v>
      </c>
      <c r="K730" s="2">
        <f t="shared" si="57"/>
        <v>2024</v>
      </c>
      <c r="L730" s="2">
        <f t="shared" si="58"/>
        <v>1</v>
      </c>
      <c r="M730" s="2">
        <v>1</v>
      </c>
      <c r="N730" s="2" t="s">
        <v>1998</v>
      </c>
      <c r="O730" s="2" t="s">
        <v>27</v>
      </c>
      <c r="P730" s="3">
        <v>484727</v>
      </c>
      <c r="Q730" s="2"/>
      <c r="R730" s="2"/>
      <c r="S730" s="2" t="s">
        <v>5819</v>
      </c>
      <c r="T730" s="2">
        <v>38.200000000000003</v>
      </c>
      <c r="U730" s="2" t="s">
        <v>29</v>
      </c>
      <c r="V730" s="2" t="s">
        <v>140</v>
      </c>
      <c r="W730" s="67" t="str">
        <f t="shared" si="59"/>
        <v>-</v>
      </c>
    </row>
    <row r="731" spans="1:23" x14ac:dyDescent="0.3">
      <c r="A731" s="4" t="s">
        <v>2061</v>
      </c>
      <c r="B731" s="4" t="s">
        <v>2062</v>
      </c>
      <c r="C731" s="4">
        <v>9959591246</v>
      </c>
      <c r="D731" s="4" t="s">
        <v>20</v>
      </c>
      <c r="E731" s="4" t="s">
        <v>109</v>
      </c>
      <c r="F731" s="4" t="s">
        <v>331</v>
      </c>
      <c r="G731" s="4" t="s">
        <v>643</v>
      </c>
      <c r="H731" s="4" t="s">
        <v>1748</v>
      </c>
      <c r="I731" s="2" t="str">
        <f t="shared" si="55"/>
        <v>Mar</v>
      </c>
      <c r="J731" s="2">
        <f t="shared" si="56"/>
        <v>3</v>
      </c>
      <c r="K731" s="2">
        <f t="shared" si="57"/>
        <v>2024</v>
      </c>
      <c r="L731" s="2">
        <f t="shared" si="58"/>
        <v>1</v>
      </c>
      <c r="M731" s="4">
        <v>4</v>
      </c>
      <c r="N731" s="4" t="s">
        <v>1948</v>
      </c>
      <c r="O731" s="4" t="s">
        <v>62</v>
      </c>
      <c r="P731" s="5">
        <v>1329108</v>
      </c>
      <c r="Q731" s="4"/>
      <c r="R731" s="4"/>
      <c r="S731" s="4" t="s">
        <v>5819</v>
      </c>
      <c r="T731" s="4">
        <v>37.200000000000003</v>
      </c>
      <c r="U731" s="4" t="s">
        <v>63</v>
      </c>
      <c r="V731" s="4" t="s">
        <v>535</v>
      </c>
      <c r="W731" s="67" t="str">
        <f t="shared" si="59"/>
        <v>-</v>
      </c>
    </row>
    <row r="732" spans="1:23" x14ac:dyDescent="0.3">
      <c r="A732" s="2" t="s">
        <v>2063</v>
      </c>
      <c r="B732" s="2" t="s">
        <v>2064</v>
      </c>
      <c r="C732" s="2">
        <v>9526801240</v>
      </c>
      <c r="D732" s="2" t="s">
        <v>121</v>
      </c>
      <c r="E732" s="2" t="s">
        <v>33</v>
      </c>
      <c r="F732" s="2" t="s">
        <v>201</v>
      </c>
      <c r="G732" s="2" t="s">
        <v>69</v>
      </c>
      <c r="H732" s="2" t="s">
        <v>1748</v>
      </c>
      <c r="I732" s="2" t="str">
        <f t="shared" si="55"/>
        <v>Mar</v>
      </c>
      <c r="J732" s="2">
        <f t="shared" si="56"/>
        <v>3</v>
      </c>
      <c r="K732" s="2">
        <f t="shared" si="57"/>
        <v>2024</v>
      </c>
      <c r="L732" s="2">
        <f t="shared" si="58"/>
        <v>1</v>
      </c>
      <c r="M732" s="2">
        <v>2</v>
      </c>
      <c r="N732" s="2" t="s">
        <v>1951</v>
      </c>
      <c r="O732" s="2" t="s">
        <v>27</v>
      </c>
      <c r="P732" s="3">
        <v>238535</v>
      </c>
      <c r="Q732" s="2"/>
      <c r="R732" s="2"/>
      <c r="S732" s="2" t="s">
        <v>28</v>
      </c>
      <c r="T732" s="2">
        <v>38.799999999999997</v>
      </c>
      <c r="U732" s="2" t="s">
        <v>29</v>
      </c>
      <c r="V732" s="2" t="s">
        <v>157</v>
      </c>
      <c r="W732" s="67" t="str">
        <f t="shared" si="59"/>
        <v>-</v>
      </c>
    </row>
    <row r="733" spans="1:23" x14ac:dyDescent="0.3">
      <c r="A733" s="4" t="s">
        <v>2065</v>
      </c>
      <c r="B733" s="4" t="s">
        <v>2066</v>
      </c>
      <c r="C733" s="4">
        <v>9181846798</v>
      </c>
      <c r="D733" s="4" t="s">
        <v>20</v>
      </c>
      <c r="E733" s="4" t="s">
        <v>41</v>
      </c>
      <c r="F733" s="4" t="s">
        <v>86</v>
      </c>
      <c r="G733" s="4" t="s">
        <v>1609</v>
      </c>
      <c r="H733" s="4" t="s">
        <v>2023</v>
      </c>
      <c r="I733" s="2" t="str">
        <f t="shared" si="55"/>
        <v>Mar</v>
      </c>
      <c r="J733" s="2">
        <f t="shared" si="56"/>
        <v>3</v>
      </c>
      <c r="K733" s="2">
        <f t="shared" si="57"/>
        <v>2024</v>
      </c>
      <c r="L733" s="2">
        <f t="shared" si="58"/>
        <v>1</v>
      </c>
      <c r="M733" s="4">
        <v>4</v>
      </c>
      <c r="N733" s="4" t="s">
        <v>1876</v>
      </c>
      <c r="O733" s="4" t="s">
        <v>27</v>
      </c>
      <c r="P733" s="5">
        <v>363936</v>
      </c>
      <c r="Q733" s="4"/>
      <c r="R733" s="4"/>
      <c r="S733" s="4" t="s">
        <v>1063</v>
      </c>
      <c r="T733" s="4">
        <v>37</v>
      </c>
      <c r="U733" s="4" t="s">
        <v>29</v>
      </c>
      <c r="V733" s="4" t="s">
        <v>163</v>
      </c>
      <c r="W733" s="67" t="str">
        <f t="shared" si="59"/>
        <v>-</v>
      </c>
    </row>
    <row r="734" spans="1:23" x14ac:dyDescent="0.3">
      <c r="A734" s="2" t="s">
        <v>2067</v>
      </c>
      <c r="B734" s="2" t="s">
        <v>2068</v>
      </c>
      <c r="C734" s="2">
        <v>9613119468</v>
      </c>
      <c r="D734" s="2" t="s">
        <v>59</v>
      </c>
      <c r="E734" s="2" t="s">
        <v>41</v>
      </c>
      <c r="F734" s="2" t="s">
        <v>42</v>
      </c>
      <c r="G734" s="2" t="s">
        <v>643</v>
      </c>
      <c r="H734" s="2" t="s">
        <v>2023</v>
      </c>
      <c r="I734" s="2" t="str">
        <f t="shared" si="55"/>
        <v>Mar</v>
      </c>
      <c r="J734" s="2">
        <f t="shared" si="56"/>
        <v>3</v>
      </c>
      <c r="K734" s="2">
        <f t="shared" si="57"/>
        <v>2024</v>
      </c>
      <c r="L734" s="2">
        <f t="shared" si="58"/>
        <v>1</v>
      </c>
      <c r="M734" s="2">
        <v>7</v>
      </c>
      <c r="N734" s="2" t="s">
        <v>1992</v>
      </c>
      <c r="O734" s="2" t="s">
        <v>27</v>
      </c>
      <c r="P734" s="3">
        <v>676831</v>
      </c>
      <c r="Q734" s="2"/>
      <c r="R734" s="2"/>
      <c r="S734" s="2" t="s">
        <v>28</v>
      </c>
      <c r="T734" s="2">
        <v>27.8</v>
      </c>
      <c r="U734" s="2" t="s">
        <v>47</v>
      </c>
      <c r="V734" s="2" t="s">
        <v>238</v>
      </c>
      <c r="W734" s="67" t="str">
        <f t="shared" si="59"/>
        <v>-</v>
      </c>
    </row>
    <row r="735" spans="1:23" x14ac:dyDescent="0.3">
      <c r="A735" s="4" t="s">
        <v>2069</v>
      </c>
      <c r="B735" s="4" t="s">
        <v>2070</v>
      </c>
      <c r="C735" s="4"/>
      <c r="D735" s="4" t="s">
        <v>59</v>
      </c>
      <c r="E735" s="4" t="s">
        <v>73</v>
      </c>
      <c r="F735" s="4" t="s">
        <v>74</v>
      </c>
      <c r="G735" s="4" t="s">
        <v>23</v>
      </c>
      <c r="H735" s="4" t="s">
        <v>2023</v>
      </c>
      <c r="I735" s="2" t="str">
        <f t="shared" si="55"/>
        <v>Mar</v>
      </c>
      <c r="J735" s="2">
        <f t="shared" si="56"/>
        <v>3</v>
      </c>
      <c r="K735" s="2">
        <f t="shared" si="57"/>
        <v>2024</v>
      </c>
      <c r="L735" s="2">
        <f t="shared" si="58"/>
        <v>1</v>
      </c>
      <c r="M735" s="4">
        <v>12</v>
      </c>
      <c r="N735" s="4" t="s">
        <v>1992</v>
      </c>
      <c r="O735" s="4" t="s">
        <v>27</v>
      </c>
      <c r="P735" s="5">
        <v>787545</v>
      </c>
      <c r="Q735" s="4"/>
      <c r="R735" s="4"/>
      <c r="S735" s="4" t="s">
        <v>5819</v>
      </c>
      <c r="T735" s="4">
        <v>31.7</v>
      </c>
      <c r="U735" s="4" t="s">
        <v>29</v>
      </c>
      <c r="V735" s="4" t="s">
        <v>1661</v>
      </c>
      <c r="W735" s="67" t="str">
        <f t="shared" si="59"/>
        <v>-</v>
      </c>
    </row>
    <row r="736" spans="1:23" x14ac:dyDescent="0.3">
      <c r="A736" s="2" t="s">
        <v>2071</v>
      </c>
      <c r="B736" s="2" t="s">
        <v>2072</v>
      </c>
      <c r="C736" s="2">
        <v>9165784237</v>
      </c>
      <c r="D736" s="2" t="s">
        <v>59</v>
      </c>
      <c r="E736" s="2" t="s">
        <v>67</v>
      </c>
      <c r="F736" s="2" t="s">
        <v>68</v>
      </c>
      <c r="G736" s="2" t="s">
        <v>35</v>
      </c>
      <c r="H736" s="2" t="s">
        <v>1810</v>
      </c>
      <c r="I736" s="2" t="str">
        <f t="shared" si="55"/>
        <v>Mar</v>
      </c>
      <c r="J736" s="2">
        <f t="shared" si="56"/>
        <v>3</v>
      </c>
      <c r="K736" s="2">
        <f t="shared" si="57"/>
        <v>2024</v>
      </c>
      <c r="L736" s="2">
        <f t="shared" si="58"/>
        <v>1</v>
      </c>
      <c r="M736" s="2"/>
      <c r="N736" s="2" t="s">
        <v>2073</v>
      </c>
      <c r="O736" s="2" t="s">
        <v>45</v>
      </c>
      <c r="P736" s="3">
        <v>243674</v>
      </c>
      <c r="Q736" s="2"/>
      <c r="R736" s="2"/>
      <c r="S736" s="2" t="s">
        <v>1063</v>
      </c>
      <c r="T736" s="2">
        <v>24.3</v>
      </c>
      <c r="U736" s="2" t="s">
        <v>47</v>
      </c>
      <c r="V736" s="2" t="s">
        <v>256</v>
      </c>
      <c r="W736" s="67" t="str">
        <f t="shared" si="59"/>
        <v>-</v>
      </c>
    </row>
    <row r="737" spans="1:23" x14ac:dyDescent="0.3">
      <c r="A737" s="4" t="s">
        <v>2074</v>
      </c>
      <c r="B737" s="4" t="s">
        <v>2075</v>
      </c>
      <c r="C737" s="4">
        <v>9816059404</v>
      </c>
      <c r="D737" s="4" t="s">
        <v>20</v>
      </c>
      <c r="E737" s="4" t="s">
        <v>67</v>
      </c>
      <c r="F737" s="4" t="s">
        <v>80</v>
      </c>
      <c r="G737" s="4" t="s">
        <v>52</v>
      </c>
      <c r="H737" s="4" t="s">
        <v>1810</v>
      </c>
      <c r="I737" s="2" t="str">
        <f t="shared" si="55"/>
        <v>Mar</v>
      </c>
      <c r="J737" s="2">
        <f t="shared" si="56"/>
        <v>3</v>
      </c>
      <c r="K737" s="2">
        <f t="shared" si="57"/>
        <v>2024</v>
      </c>
      <c r="L737" s="2">
        <f t="shared" si="58"/>
        <v>1</v>
      </c>
      <c r="M737" s="4">
        <v>7</v>
      </c>
      <c r="N737" s="4" t="s">
        <v>2076</v>
      </c>
      <c r="O737" s="4" t="s">
        <v>55</v>
      </c>
      <c r="P737" s="5">
        <v>329732</v>
      </c>
      <c r="Q737" s="4"/>
      <c r="R737" s="4"/>
      <c r="S737" s="4" t="s">
        <v>5819</v>
      </c>
      <c r="T737" s="4">
        <v>38.299999999999997</v>
      </c>
      <c r="U737" s="4" t="s">
        <v>29</v>
      </c>
      <c r="V737" s="4"/>
      <c r="W737" s="67" t="str">
        <f t="shared" si="59"/>
        <v>-</v>
      </c>
    </row>
    <row r="738" spans="1:23" x14ac:dyDescent="0.3">
      <c r="A738" s="6" t="s">
        <v>2077</v>
      </c>
      <c r="B738" s="6" t="s">
        <v>2078</v>
      </c>
      <c r="C738" s="6">
        <v>9974556653</v>
      </c>
      <c r="D738" s="6" t="s">
        <v>20</v>
      </c>
      <c r="E738" s="6" t="s">
        <v>1632</v>
      </c>
      <c r="F738" s="6" t="s">
        <v>1659</v>
      </c>
      <c r="G738" s="6" t="s">
        <v>60</v>
      </c>
      <c r="H738" s="6" t="s">
        <v>1810</v>
      </c>
      <c r="I738" s="2" t="str">
        <f t="shared" si="55"/>
        <v>Mar</v>
      </c>
      <c r="J738" s="2">
        <f t="shared" si="56"/>
        <v>3</v>
      </c>
      <c r="K738" s="2">
        <f t="shared" si="57"/>
        <v>2024</v>
      </c>
      <c r="L738" s="2">
        <f t="shared" si="58"/>
        <v>1</v>
      </c>
      <c r="M738" s="6">
        <v>3</v>
      </c>
      <c r="N738" s="6" t="s">
        <v>2037</v>
      </c>
      <c r="O738" s="6" t="s">
        <v>97</v>
      </c>
      <c r="P738" s="7">
        <v>239504</v>
      </c>
      <c r="Q738" s="7">
        <v>228210</v>
      </c>
      <c r="R738" s="6" t="s">
        <v>2050</v>
      </c>
      <c r="S738" s="6" t="s">
        <v>28</v>
      </c>
      <c r="T738" s="6">
        <v>4.4000000000000004</v>
      </c>
      <c r="U738" s="6" t="s">
        <v>63</v>
      </c>
      <c r="V738" s="6" t="s">
        <v>170</v>
      </c>
      <c r="W738" s="67" t="str">
        <f t="shared" si="59"/>
        <v>Customer</v>
      </c>
    </row>
    <row r="739" spans="1:23" x14ac:dyDescent="0.3">
      <c r="A739" s="4" t="s">
        <v>2079</v>
      </c>
      <c r="B739" s="4" t="s">
        <v>2080</v>
      </c>
      <c r="C739" s="4">
        <v>9507424954</v>
      </c>
      <c r="D739" s="4" t="s">
        <v>59</v>
      </c>
      <c r="E739" s="4" t="s">
        <v>33</v>
      </c>
      <c r="F739" s="4" t="s">
        <v>102</v>
      </c>
      <c r="G739" s="4" t="s">
        <v>1599</v>
      </c>
      <c r="H739" s="4" t="s">
        <v>1810</v>
      </c>
      <c r="I739" s="2" t="str">
        <f t="shared" si="55"/>
        <v>Mar</v>
      </c>
      <c r="J739" s="2">
        <f t="shared" si="56"/>
        <v>3</v>
      </c>
      <c r="K739" s="2">
        <f t="shared" si="57"/>
        <v>2024</v>
      </c>
      <c r="L739" s="2">
        <f t="shared" si="58"/>
        <v>1</v>
      </c>
      <c r="M739" s="4">
        <v>3</v>
      </c>
      <c r="N739" s="4" t="s">
        <v>2081</v>
      </c>
      <c r="O739" s="4" t="s">
        <v>45</v>
      </c>
      <c r="P739" s="5">
        <v>438597</v>
      </c>
      <c r="Q739" s="4"/>
      <c r="R739" s="4"/>
      <c r="S739" s="4" t="s">
        <v>5819</v>
      </c>
      <c r="T739" s="4">
        <v>17.600000000000001</v>
      </c>
      <c r="U739" s="4" t="s">
        <v>63</v>
      </c>
      <c r="V739" s="4" t="s">
        <v>535</v>
      </c>
      <c r="W739" s="67" t="str">
        <f t="shared" si="59"/>
        <v>-</v>
      </c>
    </row>
    <row r="740" spans="1:23" x14ac:dyDescent="0.3">
      <c r="A740" s="2" t="s">
        <v>2082</v>
      </c>
      <c r="B740" s="2" t="s">
        <v>2083</v>
      </c>
      <c r="C740" s="2">
        <v>9477027645</v>
      </c>
      <c r="D740" s="2" t="s">
        <v>20</v>
      </c>
      <c r="E740" s="2" t="s">
        <v>109</v>
      </c>
      <c r="F740" s="2" t="s">
        <v>331</v>
      </c>
      <c r="G740" s="2" t="s">
        <v>1609</v>
      </c>
      <c r="H740" s="2" t="s">
        <v>1890</v>
      </c>
      <c r="I740" s="2" t="str">
        <f t="shared" si="55"/>
        <v>Mar</v>
      </c>
      <c r="J740" s="2">
        <f t="shared" si="56"/>
        <v>3</v>
      </c>
      <c r="K740" s="2">
        <f t="shared" si="57"/>
        <v>2024</v>
      </c>
      <c r="L740" s="2">
        <f t="shared" si="58"/>
        <v>1</v>
      </c>
      <c r="M740" s="2">
        <v>8</v>
      </c>
      <c r="N740" s="2" t="s">
        <v>2084</v>
      </c>
      <c r="O740" s="2" t="s">
        <v>45</v>
      </c>
      <c r="P740" s="3">
        <v>189954</v>
      </c>
      <c r="Q740" s="2"/>
      <c r="R740" s="2"/>
      <c r="S740" s="2" t="s">
        <v>28</v>
      </c>
      <c r="T740" s="2">
        <v>18.5</v>
      </c>
      <c r="U740" s="2" t="s">
        <v>29</v>
      </c>
      <c r="V740" s="2" t="s">
        <v>589</v>
      </c>
      <c r="W740" s="67" t="str">
        <f t="shared" si="59"/>
        <v>-</v>
      </c>
    </row>
    <row r="741" spans="1:23" x14ac:dyDescent="0.3">
      <c r="A741" s="4" t="s">
        <v>2085</v>
      </c>
      <c r="B741" s="4" t="s">
        <v>2086</v>
      </c>
      <c r="C741" s="4">
        <v>9899904758</v>
      </c>
      <c r="D741" s="4" t="s">
        <v>108</v>
      </c>
      <c r="E741" s="4" t="s">
        <v>41</v>
      </c>
      <c r="F741" s="4" t="s">
        <v>92</v>
      </c>
      <c r="G741" s="4" t="s">
        <v>1609</v>
      </c>
      <c r="H741" s="4" t="s">
        <v>1890</v>
      </c>
      <c r="I741" s="2" t="str">
        <f t="shared" si="55"/>
        <v>Mar</v>
      </c>
      <c r="J741" s="2">
        <f t="shared" si="56"/>
        <v>3</v>
      </c>
      <c r="K741" s="2">
        <f t="shared" si="57"/>
        <v>2024</v>
      </c>
      <c r="L741" s="2">
        <f t="shared" si="58"/>
        <v>1</v>
      </c>
      <c r="M741" s="4">
        <v>12</v>
      </c>
      <c r="N741" s="4" t="s">
        <v>2087</v>
      </c>
      <c r="O741" s="4" t="s">
        <v>27</v>
      </c>
      <c r="P741" s="5">
        <v>417978</v>
      </c>
      <c r="Q741" s="4"/>
      <c r="R741" s="4"/>
      <c r="S741" s="4" t="s">
        <v>5819</v>
      </c>
      <c r="T741" s="4">
        <v>18.399999999999999</v>
      </c>
      <c r="U741" s="4" t="s">
        <v>29</v>
      </c>
      <c r="V741" s="4" t="s">
        <v>238</v>
      </c>
      <c r="W741" s="67" t="str">
        <f t="shared" si="59"/>
        <v>-</v>
      </c>
    </row>
    <row r="742" spans="1:23" x14ac:dyDescent="0.3">
      <c r="A742" s="2" t="s">
        <v>2088</v>
      </c>
      <c r="B742" s="2" t="s">
        <v>2089</v>
      </c>
      <c r="C742" s="2">
        <v>9363385154</v>
      </c>
      <c r="D742" s="2" t="s">
        <v>59</v>
      </c>
      <c r="E742" s="2" t="s">
        <v>41</v>
      </c>
      <c r="F742" s="2" t="s">
        <v>86</v>
      </c>
      <c r="G742" s="2" t="s">
        <v>643</v>
      </c>
      <c r="H742" s="2" t="s">
        <v>1890</v>
      </c>
      <c r="I742" s="2" t="str">
        <f t="shared" si="55"/>
        <v>Mar</v>
      </c>
      <c r="J742" s="2">
        <f t="shared" si="56"/>
        <v>3</v>
      </c>
      <c r="K742" s="2">
        <f t="shared" si="57"/>
        <v>2024</v>
      </c>
      <c r="L742" s="2">
        <f t="shared" si="58"/>
        <v>1</v>
      </c>
      <c r="M742" s="2">
        <v>8</v>
      </c>
      <c r="N742" s="2" t="s">
        <v>2090</v>
      </c>
      <c r="O742" s="2" t="s">
        <v>27</v>
      </c>
      <c r="P742" s="3">
        <v>1055873</v>
      </c>
      <c r="Q742" s="2"/>
      <c r="R742" s="2"/>
      <c r="S742" s="2" t="s">
        <v>28</v>
      </c>
      <c r="T742" s="2">
        <v>25.8</v>
      </c>
      <c r="U742" s="2" t="s">
        <v>29</v>
      </c>
      <c r="V742" s="2" t="s">
        <v>30</v>
      </c>
      <c r="W742" s="67" t="str">
        <f t="shared" si="59"/>
        <v>-</v>
      </c>
    </row>
    <row r="743" spans="1:23" x14ac:dyDescent="0.3">
      <c r="A743" s="4" t="s">
        <v>2091</v>
      </c>
      <c r="B743" s="4" t="s">
        <v>2092</v>
      </c>
      <c r="C743" s="4">
        <v>9848807927</v>
      </c>
      <c r="D743" s="4" t="s">
        <v>108</v>
      </c>
      <c r="E743" s="4" t="s">
        <v>41</v>
      </c>
      <c r="F743" s="4" t="s">
        <v>86</v>
      </c>
      <c r="G743" s="4" t="s">
        <v>23</v>
      </c>
      <c r="H743" s="4" t="s">
        <v>1890</v>
      </c>
      <c r="I743" s="2" t="str">
        <f t="shared" si="55"/>
        <v>Mar</v>
      </c>
      <c r="J743" s="2">
        <f t="shared" si="56"/>
        <v>3</v>
      </c>
      <c r="K743" s="2">
        <f t="shared" si="57"/>
        <v>2024</v>
      </c>
      <c r="L743" s="2">
        <f t="shared" si="58"/>
        <v>1</v>
      </c>
      <c r="M743" s="4">
        <v>3</v>
      </c>
      <c r="N743" s="4" t="s">
        <v>1759</v>
      </c>
      <c r="O743" s="4" t="s">
        <v>62</v>
      </c>
      <c r="P743" s="5">
        <v>337070</v>
      </c>
      <c r="Q743" s="4"/>
      <c r="R743" s="4"/>
      <c r="S743" s="4" t="s">
        <v>1063</v>
      </c>
      <c r="T743" s="4">
        <v>40.700000000000003</v>
      </c>
      <c r="U743" s="4" t="s">
        <v>47</v>
      </c>
      <c r="V743" s="4" t="s">
        <v>183</v>
      </c>
      <c r="W743" s="67" t="str">
        <f t="shared" si="59"/>
        <v>-</v>
      </c>
    </row>
    <row r="744" spans="1:23" x14ac:dyDescent="0.3">
      <c r="A744" s="6" t="s">
        <v>2093</v>
      </c>
      <c r="B744" s="6" t="s">
        <v>185</v>
      </c>
      <c r="C744" s="6">
        <v>9336478266</v>
      </c>
      <c r="D744" s="6" t="s">
        <v>108</v>
      </c>
      <c r="E744" s="6" t="s">
        <v>1632</v>
      </c>
      <c r="F744" s="6" t="s">
        <v>1682</v>
      </c>
      <c r="G744" s="6" t="s">
        <v>1599</v>
      </c>
      <c r="H744" s="6" t="s">
        <v>1890</v>
      </c>
      <c r="I744" s="2" t="str">
        <f t="shared" si="55"/>
        <v>Mar</v>
      </c>
      <c r="J744" s="2">
        <f t="shared" si="56"/>
        <v>3</v>
      </c>
      <c r="K744" s="2">
        <f t="shared" si="57"/>
        <v>2024</v>
      </c>
      <c r="L744" s="2">
        <f t="shared" si="58"/>
        <v>1</v>
      </c>
      <c r="M744" s="6">
        <v>2</v>
      </c>
      <c r="N744" s="6" t="s">
        <v>1828</v>
      </c>
      <c r="O744" s="6" t="s">
        <v>97</v>
      </c>
      <c r="P744" s="7">
        <v>785625</v>
      </c>
      <c r="Q744" s="7">
        <v>703324</v>
      </c>
      <c r="R744" s="6" t="s">
        <v>2037</v>
      </c>
      <c r="S744" s="6" t="s">
        <v>28</v>
      </c>
      <c r="T744" s="6">
        <v>35.4</v>
      </c>
      <c r="U744" s="6" t="s">
        <v>63</v>
      </c>
      <c r="V744" s="6" t="s">
        <v>243</v>
      </c>
      <c r="W744" s="67" t="str">
        <f t="shared" si="59"/>
        <v>Customer</v>
      </c>
    </row>
    <row r="745" spans="1:23" x14ac:dyDescent="0.3">
      <c r="A745" s="4" t="s">
        <v>2094</v>
      </c>
      <c r="B745" s="4" t="s">
        <v>2095</v>
      </c>
      <c r="C745" s="4">
        <v>9543070745</v>
      </c>
      <c r="D745" s="4" t="s">
        <v>59</v>
      </c>
      <c r="E745" s="4" t="s">
        <v>1632</v>
      </c>
      <c r="F745" s="4" t="s">
        <v>1694</v>
      </c>
      <c r="G745" s="4" t="s">
        <v>1623</v>
      </c>
      <c r="H745" s="4" t="s">
        <v>1890</v>
      </c>
      <c r="I745" s="2" t="str">
        <f t="shared" si="55"/>
        <v>Mar</v>
      </c>
      <c r="J745" s="2">
        <f t="shared" si="56"/>
        <v>3</v>
      </c>
      <c r="K745" s="2">
        <f t="shared" si="57"/>
        <v>2024</v>
      </c>
      <c r="L745" s="2">
        <f t="shared" si="58"/>
        <v>1</v>
      </c>
      <c r="M745" s="4">
        <v>1</v>
      </c>
      <c r="N745" s="4" t="s">
        <v>1998</v>
      </c>
      <c r="O745" s="4" t="s">
        <v>27</v>
      </c>
      <c r="P745" s="5">
        <v>455447</v>
      </c>
      <c r="Q745" s="4"/>
      <c r="R745" s="4"/>
      <c r="S745" s="4" t="s">
        <v>28</v>
      </c>
      <c r="T745" s="4">
        <v>45.2</v>
      </c>
      <c r="U745" s="4" t="s">
        <v>29</v>
      </c>
      <c r="V745" s="4" t="s">
        <v>238</v>
      </c>
      <c r="W745" s="67" t="str">
        <f t="shared" si="59"/>
        <v>-</v>
      </c>
    </row>
    <row r="746" spans="1:23" x14ac:dyDescent="0.3">
      <c r="A746" s="2" t="s">
        <v>2096</v>
      </c>
      <c r="B746" s="2" t="s">
        <v>2097</v>
      </c>
      <c r="C746" s="2">
        <v>9807236841</v>
      </c>
      <c r="D746" s="2" t="s">
        <v>51</v>
      </c>
      <c r="E746" s="2" t="s">
        <v>33</v>
      </c>
      <c r="F746" s="2" t="s">
        <v>34</v>
      </c>
      <c r="G746" s="2" t="s">
        <v>1621</v>
      </c>
      <c r="H746" s="2" t="s">
        <v>1890</v>
      </c>
      <c r="I746" s="2" t="str">
        <f t="shared" si="55"/>
        <v>Mar</v>
      </c>
      <c r="J746" s="2">
        <f t="shared" si="56"/>
        <v>3</v>
      </c>
      <c r="K746" s="2">
        <f t="shared" si="57"/>
        <v>2024</v>
      </c>
      <c r="L746" s="2">
        <f t="shared" si="58"/>
        <v>1</v>
      </c>
      <c r="M746" s="2">
        <v>3</v>
      </c>
      <c r="N746" s="2" t="s">
        <v>1797</v>
      </c>
      <c r="O746" s="2" t="s">
        <v>45</v>
      </c>
      <c r="P746" s="3">
        <v>499567</v>
      </c>
      <c r="Q746" s="2"/>
      <c r="R746" s="2"/>
      <c r="S746" s="2" t="s">
        <v>5819</v>
      </c>
      <c r="T746" s="2">
        <v>23.7</v>
      </c>
      <c r="U746" s="2" t="s">
        <v>63</v>
      </c>
      <c r="V746" s="2" t="s">
        <v>668</v>
      </c>
      <c r="W746" s="67" t="str">
        <f t="shared" si="59"/>
        <v>-</v>
      </c>
    </row>
    <row r="747" spans="1:23" x14ac:dyDescent="0.3">
      <c r="A747" s="8" t="s">
        <v>2098</v>
      </c>
      <c r="B747" s="8" t="s">
        <v>2099</v>
      </c>
      <c r="C747" s="8">
        <v>9279202708</v>
      </c>
      <c r="D747" s="8" t="s">
        <v>20</v>
      </c>
      <c r="E747" s="8" t="s">
        <v>41</v>
      </c>
      <c r="F747" s="8" t="s">
        <v>42</v>
      </c>
      <c r="G747" s="8" t="s">
        <v>616</v>
      </c>
      <c r="H747" s="8" t="s">
        <v>1890</v>
      </c>
      <c r="I747" s="2" t="str">
        <f t="shared" si="55"/>
        <v>Mar</v>
      </c>
      <c r="J747" s="2">
        <f t="shared" si="56"/>
        <v>3</v>
      </c>
      <c r="K747" s="2">
        <f t="shared" si="57"/>
        <v>2024</v>
      </c>
      <c r="L747" s="2">
        <f t="shared" si="58"/>
        <v>1</v>
      </c>
      <c r="M747" s="8">
        <v>12</v>
      </c>
      <c r="N747" s="8" t="s">
        <v>1905</v>
      </c>
      <c r="O747" s="8" t="s">
        <v>62</v>
      </c>
      <c r="P747" s="9">
        <v>248339</v>
      </c>
      <c r="Q747" s="8"/>
      <c r="R747" s="8"/>
      <c r="S747" s="8" t="s">
        <v>1805</v>
      </c>
      <c r="T747" s="8">
        <v>29.5</v>
      </c>
      <c r="U747" s="8" t="s">
        <v>47</v>
      </c>
      <c r="V747" s="8" t="s">
        <v>137</v>
      </c>
      <c r="W747" s="67" t="str">
        <f t="shared" si="59"/>
        <v>-</v>
      </c>
    </row>
    <row r="748" spans="1:23" x14ac:dyDescent="0.3">
      <c r="A748" s="6" t="s">
        <v>2100</v>
      </c>
      <c r="B748" s="6" t="s">
        <v>2101</v>
      </c>
      <c r="C748" s="6">
        <v>9743940505</v>
      </c>
      <c r="D748" s="6" t="s">
        <v>108</v>
      </c>
      <c r="E748" s="6" t="s">
        <v>648</v>
      </c>
      <c r="F748" s="6" t="s">
        <v>899</v>
      </c>
      <c r="G748" s="6" t="s">
        <v>87</v>
      </c>
      <c r="H748" s="6" t="s">
        <v>1890</v>
      </c>
      <c r="I748" s="2" t="str">
        <f t="shared" si="55"/>
        <v>Mar</v>
      </c>
      <c r="J748" s="2">
        <f t="shared" si="56"/>
        <v>3</v>
      </c>
      <c r="K748" s="2">
        <f t="shared" si="57"/>
        <v>2024</v>
      </c>
      <c r="L748" s="2">
        <f t="shared" si="58"/>
        <v>1</v>
      </c>
      <c r="M748" s="6">
        <v>3</v>
      </c>
      <c r="N748" s="6" t="s">
        <v>1998</v>
      </c>
      <c r="O748" s="6" t="s">
        <v>97</v>
      </c>
      <c r="P748" s="7">
        <v>252093</v>
      </c>
      <c r="Q748" s="7">
        <v>227769</v>
      </c>
      <c r="R748" s="6" t="s">
        <v>1891</v>
      </c>
      <c r="S748" s="6" t="s">
        <v>28</v>
      </c>
      <c r="T748" s="6">
        <v>8.8000000000000007</v>
      </c>
      <c r="U748" s="6" t="s">
        <v>63</v>
      </c>
      <c r="V748" s="6" t="s">
        <v>483</v>
      </c>
      <c r="W748" s="67" t="str">
        <f t="shared" si="59"/>
        <v>Customer</v>
      </c>
    </row>
    <row r="749" spans="1:23" x14ac:dyDescent="0.3">
      <c r="A749" s="4" t="s">
        <v>2102</v>
      </c>
      <c r="B749" s="4" t="s">
        <v>2103</v>
      </c>
      <c r="C749" s="4">
        <v>9611355336</v>
      </c>
      <c r="D749" s="4" t="s">
        <v>59</v>
      </c>
      <c r="E749" s="4" t="s">
        <v>1632</v>
      </c>
      <c r="F749" s="4" t="s">
        <v>1717</v>
      </c>
      <c r="G749" s="4" t="s">
        <v>1621</v>
      </c>
      <c r="H749" s="4" t="s">
        <v>1842</v>
      </c>
      <c r="I749" s="2" t="str">
        <f t="shared" si="55"/>
        <v>Mar</v>
      </c>
      <c r="J749" s="2">
        <f t="shared" si="56"/>
        <v>3</v>
      </c>
      <c r="K749" s="2">
        <f t="shared" si="57"/>
        <v>2024</v>
      </c>
      <c r="L749" s="2">
        <f t="shared" si="58"/>
        <v>1</v>
      </c>
      <c r="M749" s="4">
        <v>8</v>
      </c>
      <c r="N749" s="4" t="s">
        <v>2076</v>
      </c>
      <c r="O749" s="4" t="s">
        <v>27</v>
      </c>
      <c r="P749" s="5">
        <v>566147</v>
      </c>
      <c r="Q749" s="4"/>
      <c r="R749" s="4"/>
      <c r="S749" s="4" t="s">
        <v>28</v>
      </c>
      <c r="T749" s="4">
        <v>2.6</v>
      </c>
      <c r="U749" s="4" t="s">
        <v>29</v>
      </c>
      <c r="V749" s="4" t="s">
        <v>105</v>
      </c>
      <c r="W749" s="67" t="str">
        <f t="shared" si="59"/>
        <v>-</v>
      </c>
    </row>
    <row r="750" spans="1:23" x14ac:dyDescent="0.3">
      <c r="A750" s="8" t="s">
        <v>2104</v>
      </c>
      <c r="B750" s="8" t="s">
        <v>926</v>
      </c>
      <c r="C750" s="8"/>
      <c r="D750" s="8" t="s">
        <v>20</v>
      </c>
      <c r="E750" s="8" t="s">
        <v>73</v>
      </c>
      <c r="F750" s="8" t="s">
        <v>126</v>
      </c>
      <c r="G750" s="8" t="s">
        <v>643</v>
      </c>
      <c r="H750" s="8" t="s">
        <v>1842</v>
      </c>
      <c r="I750" s="2" t="str">
        <f t="shared" si="55"/>
        <v>Mar</v>
      </c>
      <c r="J750" s="2">
        <f t="shared" si="56"/>
        <v>3</v>
      </c>
      <c r="K750" s="2">
        <f t="shared" si="57"/>
        <v>2024</v>
      </c>
      <c r="L750" s="2">
        <f t="shared" si="58"/>
        <v>1</v>
      </c>
      <c r="M750" s="8">
        <v>12</v>
      </c>
      <c r="N750" s="8" t="s">
        <v>2105</v>
      </c>
      <c r="O750" s="8" t="s">
        <v>55</v>
      </c>
      <c r="P750" s="9">
        <v>813656</v>
      </c>
      <c r="Q750" s="8"/>
      <c r="R750" s="8"/>
      <c r="S750" s="8" t="s">
        <v>1805</v>
      </c>
      <c r="T750" s="8">
        <v>2.8</v>
      </c>
      <c r="U750" s="8" t="s">
        <v>47</v>
      </c>
      <c r="V750" s="8" t="s">
        <v>1661</v>
      </c>
      <c r="W750" s="67" t="str">
        <f t="shared" si="59"/>
        <v>-</v>
      </c>
    </row>
    <row r="751" spans="1:23" x14ac:dyDescent="0.3">
      <c r="A751" s="8" t="s">
        <v>2106</v>
      </c>
      <c r="B751" s="8" t="s">
        <v>2107</v>
      </c>
      <c r="C751" s="8">
        <v>9873031951</v>
      </c>
      <c r="D751" s="8" t="s">
        <v>59</v>
      </c>
      <c r="E751" s="8" t="s">
        <v>41</v>
      </c>
      <c r="F751" s="8" t="s">
        <v>42</v>
      </c>
      <c r="G751" s="8" t="s">
        <v>69</v>
      </c>
      <c r="H751" s="8" t="s">
        <v>1842</v>
      </c>
      <c r="I751" s="2" t="str">
        <f t="shared" si="55"/>
        <v>Mar</v>
      </c>
      <c r="J751" s="2">
        <f t="shared" si="56"/>
        <v>3</v>
      </c>
      <c r="K751" s="2">
        <f t="shared" si="57"/>
        <v>2024</v>
      </c>
      <c r="L751" s="2">
        <f t="shared" si="58"/>
        <v>1</v>
      </c>
      <c r="M751" s="8">
        <v>4</v>
      </c>
      <c r="N751" s="8" t="s">
        <v>1828</v>
      </c>
      <c r="O751" s="8" t="s">
        <v>97</v>
      </c>
      <c r="P751" s="9">
        <v>229456</v>
      </c>
      <c r="Q751" s="9">
        <v>230823</v>
      </c>
      <c r="R751" s="8" t="s">
        <v>2037</v>
      </c>
      <c r="S751" s="8" t="s">
        <v>1805</v>
      </c>
      <c r="T751" s="8">
        <v>11.2</v>
      </c>
      <c r="U751" s="8" t="s">
        <v>47</v>
      </c>
      <c r="V751" s="8" t="s">
        <v>907</v>
      </c>
      <c r="W751" s="67" t="str">
        <f t="shared" si="59"/>
        <v>Customer</v>
      </c>
    </row>
    <row r="752" spans="1:23" x14ac:dyDescent="0.3">
      <c r="A752" s="2" t="s">
        <v>2108</v>
      </c>
      <c r="B752" s="2" t="s">
        <v>2109</v>
      </c>
      <c r="C752" s="2">
        <v>9922861654</v>
      </c>
      <c r="D752" s="2" t="s">
        <v>20</v>
      </c>
      <c r="E752" s="2" t="s">
        <v>73</v>
      </c>
      <c r="F752" s="2" t="s">
        <v>74</v>
      </c>
      <c r="G752" s="2" t="s">
        <v>616</v>
      </c>
      <c r="H752" s="2" t="s">
        <v>1842</v>
      </c>
      <c r="I752" s="2" t="str">
        <f t="shared" si="55"/>
        <v>Mar</v>
      </c>
      <c r="J752" s="2">
        <f t="shared" si="56"/>
        <v>3</v>
      </c>
      <c r="K752" s="2">
        <f t="shared" si="57"/>
        <v>2024</v>
      </c>
      <c r="L752" s="2">
        <f t="shared" si="58"/>
        <v>1</v>
      </c>
      <c r="M752" s="2">
        <v>3</v>
      </c>
      <c r="N752" s="2" t="s">
        <v>1793</v>
      </c>
      <c r="O752" s="2" t="s">
        <v>45</v>
      </c>
      <c r="P752" s="3">
        <v>340037</v>
      </c>
      <c r="Q752" s="2"/>
      <c r="R752" s="2"/>
      <c r="S752" s="2" t="s">
        <v>5819</v>
      </c>
      <c r="T752" s="2">
        <v>26.1</v>
      </c>
      <c r="U752" s="2" t="s">
        <v>63</v>
      </c>
      <c r="V752" s="2" t="s">
        <v>678</v>
      </c>
      <c r="W752" s="67" t="str">
        <f t="shared" si="59"/>
        <v>-</v>
      </c>
    </row>
    <row r="753" spans="1:23" x14ac:dyDescent="0.3">
      <c r="A753" s="4" t="s">
        <v>2110</v>
      </c>
      <c r="B753" s="4" t="s">
        <v>2022</v>
      </c>
      <c r="C753" s="4">
        <v>9472360508</v>
      </c>
      <c r="D753" s="4" t="s">
        <v>20</v>
      </c>
      <c r="E753" s="4" t="s">
        <v>1632</v>
      </c>
      <c r="F753" s="4" t="s">
        <v>1849</v>
      </c>
      <c r="G753" s="4" t="s">
        <v>23</v>
      </c>
      <c r="H753" s="4" t="s">
        <v>1908</v>
      </c>
      <c r="I753" s="2" t="str">
        <f t="shared" si="55"/>
        <v>Mar</v>
      </c>
      <c r="J753" s="2">
        <f t="shared" si="56"/>
        <v>3</v>
      </c>
      <c r="K753" s="2">
        <f t="shared" si="57"/>
        <v>2024</v>
      </c>
      <c r="L753" s="2">
        <f t="shared" si="58"/>
        <v>1</v>
      </c>
      <c r="M753" s="4">
        <v>11</v>
      </c>
      <c r="N753" s="4" t="s">
        <v>2111</v>
      </c>
      <c r="O753" s="4" t="s">
        <v>27</v>
      </c>
      <c r="P753" s="5">
        <v>517747</v>
      </c>
      <c r="Q753" s="4"/>
      <c r="R753" s="4"/>
      <c r="S753" s="4" t="s">
        <v>5819</v>
      </c>
      <c r="T753" s="4">
        <v>8.6999999999999993</v>
      </c>
      <c r="U753" s="4" t="s">
        <v>29</v>
      </c>
      <c r="V753" s="4" t="s">
        <v>163</v>
      </c>
      <c r="W753" s="67" t="str">
        <f t="shared" si="59"/>
        <v>-</v>
      </c>
    </row>
    <row r="754" spans="1:23" x14ac:dyDescent="0.3">
      <c r="A754" s="2" t="s">
        <v>2112</v>
      </c>
      <c r="B754" s="2" t="s">
        <v>1535</v>
      </c>
      <c r="C754" s="2">
        <v>9353666379</v>
      </c>
      <c r="D754" s="2" t="s">
        <v>59</v>
      </c>
      <c r="E754" s="2" t="s">
        <v>73</v>
      </c>
      <c r="F754" s="2" t="s">
        <v>126</v>
      </c>
      <c r="G754" s="2" t="s">
        <v>60</v>
      </c>
      <c r="H754" s="2" t="s">
        <v>1908</v>
      </c>
      <c r="I754" s="2" t="str">
        <f t="shared" si="55"/>
        <v>Mar</v>
      </c>
      <c r="J754" s="2">
        <f t="shared" si="56"/>
        <v>3</v>
      </c>
      <c r="K754" s="2">
        <f t="shared" si="57"/>
        <v>2024</v>
      </c>
      <c r="L754" s="2">
        <f t="shared" si="58"/>
        <v>1</v>
      </c>
      <c r="M754" s="2">
        <v>4</v>
      </c>
      <c r="N754" s="2" t="s">
        <v>2050</v>
      </c>
      <c r="O754" s="2" t="s">
        <v>27</v>
      </c>
      <c r="P754" s="3">
        <v>213887</v>
      </c>
      <c r="Q754" s="2"/>
      <c r="R754" s="2"/>
      <c r="S754" s="2" t="s">
        <v>28</v>
      </c>
      <c r="T754" s="2">
        <v>3.5</v>
      </c>
      <c r="U754" s="2" t="s">
        <v>47</v>
      </c>
      <c r="V754" s="2" t="s">
        <v>157</v>
      </c>
      <c r="W754" s="67" t="str">
        <f t="shared" si="59"/>
        <v>-</v>
      </c>
    </row>
    <row r="755" spans="1:23" x14ac:dyDescent="0.3">
      <c r="A755" s="4" t="s">
        <v>2113</v>
      </c>
      <c r="B755" s="4" t="s">
        <v>2114</v>
      </c>
      <c r="C755" s="4">
        <v>9100010183</v>
      </c>
      <c r="D755" s="4" t="s">
        <v>121</v>
      </c>
      <c r="E755" s="4" t="s">
        <v>641</v>
      </c>
      <c r="F755" s="4" t="s">
        <v>642</v>
      </c>
      <c r="G755" s="4" t="s">
        <v>643</v>
      </c>
      <c r="H755" s="4" t="s">
        <v>1796</v>
      </c>
      <c r="I755" s="2" t="str">
        <f t="shared" si="55"/>
        <v>Mar</v>
      </c>
      <c r="J755" s="2">
        <f t="shared" si="56"/>
        <v>3</v>
      </c>
      <c r="K755" s="2">
        <f t="shared" si="57"/>
        <v>2024</v>
      </c>
      <c r="L755" s="2">
        <f t="shared" si="58"/>
        <v>1</v>
      </c>
      <c r="M755" s="4">
        <v>9</v>
      </c>
      <c r="N755" s="4" t="s">
        <v>2006</v>
      </c>
      <c r="O755" s="4" t="s">
        <v>62</v>
      </c>
      <c r="P755" s="5">
        <v>1153064</v>
      </c>
      <c r="Q755" s="4"/>
      <c r="R755" s="4"/>
      <c r="S755" s="4" t="s">
        <v>28</v>
      </c>
      <c r="T755" s="4">
        <v>1</v>
      </c>
      <c r="U755" s="4" t="s">
        <v>63</v>
      </c>
      <c r="V755" s="4" t="s">
        <v>195</v>
      </c>
      <c r="W755" s="67" t="str">
        <f t="shared" si="59"/>
        <v>-</v>
      </c>
    </row>
    <row r="756" spans="1:23" x14ac:dyDescent="0.3">
      <c r="A756" s="2" t="s">
        <v>2115</v>
      </c>
      <c r="B756" s="2" t="s">
        <v>2116</v>
      </c>
      <c r="C756" s="2">
        <v>9193974088</v>
      </c>
      <c r="D756" s="2" t="s">
        <v>121</v>
      </c>
      <c r="E756" s="2" t="s">
        <v>1632</v>
      </c>
      <c r="F756" s="2" t="s">
        <v>1694</v>
      </c>
      <c r="G756" s="2" t="s">
        <v>1621</v>
      </c>
      <c r="H756" s="2" t="s">
        <v>1796</v>
      </c>
      <c r="I756" s="2" t="str">
        <f t="shared" si="55"/>
        <v>Mar</v>
      </c>
      <c r="J756" s="2">
        <f t="shared" si="56"/>
        <v>3</v>
      </c>
      <c r="K756" s="2">
        <f t="shared" si="57"/>
        <v>2024</v>
      </c>
      <c r="L756" s="2">
        <f t="shared" si="58"/>
        <v>1</v>
      </c>
      <c r="M756" s="2">
        <v>10</v>
      </c>
      <c r="N756" s="2" t="s">
        <v>2117</v>
      </c>
      <c r="O756" s="2" t="s">
        <v>55</v>
      </c>
      <c r="P756" s="3">
        <v>364618</v>
      </c>
      <c r="Q756" s="2"/>
      <c r="R756" s="2"/>
      <c r="S756" s="2" t="s">
        <v>28</v>
      </c>
      <c r="T756" s="2">
        <v>47.2</v>
      </c>
      <c r="U756" s="2" t="s">
        <v>47</v>
      </c>
      <c r="V756" s="2" t="s">
        <v>597</v>
      </c>
      <c r="W756" s="67" t="str">
        <f t="shared" si="59"/>
        <v>-</v>
      </c>
    </row>
    <row r="757" spans="1:23" x14ac:dyDescent="0.3">
      <c r="A757" s="4" t="s">
        <v>2118</v>
      </c>
      <c r="B757" s="4" t="s">
        <v>2119</v>
      </c>
      <c r="C757" s="4">
        <v>9187140166</v>
      </c>
      <c r="D757" s="4" t="s">
        <v>108</v>
      </c>
      <c r="E757" s="4" t="s">
        <v>648</v>
      </c>
      <c r="F757" s="4" t="s">
        <v>649</v>
      </c>
      <c r="G757" s="4" t="s">
        <v>23</v>
      </c>
      <c r="H757" s="4" t="s">
        <v>1796</v>
      </c>
      <c r="I757" s="2" t="str">
        <f t="shared" si="55"/>
        <v>Mar</v>
      </c>
      <c r="J757" s="2">
        <f t="shared" si="56"/>
        <v>3</v>
      </c>
      <c r="K757" s="2">
        <f t="shared" si="57"/>
        <v>2024</v>
      </c>
      <c r="L757" s="2">
        <f t="shared" si="58"/>
        <v>1</v>
      </c>
      <c r="M757" s="4">
        <v>1</v>
      </c>
      <c r="N757" s="4" t="s">
        <v>1720</v>
      </c>
      <c r="O757" s="4" t="s">
        <v>27</v>
      </c>
      <c r="P757" s="5">
        <v>413369</v>
      </c>
      <c r="Q757" s="4"/>
      <c r="R757" s="4"/>
      <c r="S757" s="4" t="s">
        <v>5819</v>
      </c>
      <c r="T757" s="4">
        <v>32.299999999999997</v>
      </c>
      <c r="U757" s="4" t="s">
        <v>29</v>
      </c>
      <c r="V757" s="4" t="s">
        <v>123</v>
      </c>
      <c r="W757" s="67" t="str">
        <f t="shared" si="59"/>
        <v>-</v>
      </c>
    </row>
    <row r="758" spans="1:23" x14ac:dyDescent="0.3">
      <c r="A758" s="2" t="s">
        <v>2120</v>
      </c>
      <c r="B758" s="2" t="s">
        <v>2121</v>
      </c>
      <c r="C758" s="2">
        <v>9104601001</v>
      </c>
      <c r="D758" s="2" t="s">
        <v>20</v>
      </c>
      <c r="E758" s="2" t="s">
        <v>648</v>
      </c>
      <c r="F758" s="2" t="s">
        <v>649</v>
      </c>
      <c r="G758" s="2" t="s">
        <v>1599</v>
      </c>
      <c r="H758" s="2" t="s">
        <v>1796</v>
      </c>
      <c r="I758" s="2" t="str">
        <f t="shared" si="55"/>
        <v>Mar</v>
      </c>
      <c r="J758" s="2">
        <f t="shared" si="56"/>
        <v>3</v>
      </c>
      <c r="K758" s="2">
        <f t="shared" si="57"/>
        <v>2024</v>
      </c>
      <c r="L758" s="2">
        <f t="shared" si="58"/>
        <v>1</v>
      </c>
      <c r="M758" s="2">
        <v>10</v>
      </c>
      <c r="N758" s="2" t="s">
        <v>2122</v>
      </c>
      <c r="O758" s="2" t="s">
        <v>62</v>
      </c>
      <c r="P758" s="3">
        <v>991733</v>
      </c>
      <c r="Q758" s="2"/>
      <c r="R758" s="2"/>
      <c r="S758" s="2" t="s">
        <v>28</v>
      </c>
      <c r="T758" s="2">
        <v>41.1</v>
      </c>
      <c r="U758" s="2" t="s">
        <v>29</v>
      </c>
      <c r="V758" s="2" t="s">
        <v>247</v>
      </c>
      <c r="W758" s="67" t="str">
        <f t="shared" si="59"/>
        <v>-</v>
      </c>
    </row>
    <row r="759" spans="1:23" x14ac:dyDescent="0.3">
      <c r="A759" s="8" t="s">
        <v>2123</v>
      </c>
      <c r="B759" s="8" t="s">
        <v>2124</v>
      </c>
      <c r="C759" s="8">
        <v>9705499264</v>
      </c>
      <c r="D759" s="8" t="s">
        <v>108</v>
      </c>
      <c r="E759" s="8" t="s">
        <v>1632</v>
      </c>
      <c r="F759" s="8" t="s">
        <v>1849</v>
      </c>
      <c r="G759" s="8" t="s">
        <v>643</v>
      </c>
      <c r="H759" s="8" t="s">
        <v>1779</v>
      </c>
      <c r="I759" s="2" t="str">
        <f t="shared" si="55"/>
        <v>Apr</v>
      </c>
      <c r="J759" s="2">
        <f t="shared" si="56"/>
        <v>4</v>
      </c>
      <c r="K759" s="2">
        <f t="shared" si="57"/>
        <v>2024</v>
      </c>
      <c r="L759" s="2">
        <f t="shared" si="58"/>
        <v>2</v>
      </c>
      <c r="M759" s="8">
        <v>4</v>
      </c>
      <c r="N759" s="8" t="s">
        <v>2042</v>
      </c>
      <c r="O759" s="8" t="s">
        <v>27</v>
      </c>
      <c r="P759" s="9">
        <v>676922</v>
      </c>
      <c r="Q759" s="8"/>
      <c r="R759" s="8"/>
      <c r="S759" s="8" t="s">
        <v>1805</v>
      </c>
      <c r="T759" s="8">
        <v>6.1</v>
      </c>
      <c r="U759" s="8" t="s">
        <v>29</v>
      </c>
      <c r="V759" s="8" t="s">
        <v>123</v>
      </c>
      <c r="W759" s="67" t="str">
        <f t="shared" si="59"/>
        <v>-</v>
      </c>
    </row>
    <row r="760" spans="1:23" x14ac:dyDescent="0.3">
      <c r="A760" s="8" t="s">
        <v>2125</v>
      </c>
      <c r="B760" s="8" t="s">
        <v>2126</v>
      </c>
      <c r="C760" s="8">
        <v>9718888688</v>
      </c>
      <c r="D760" s="8" t="s">
        <v>59</v>
      </c>
      <c r="E760" s="8" t="s">
        <v>1632</v>
      </c>
      <c r="F760" s="8" t="s">
        <v>1849</v>
      </c>
      <c r="G760" s="8" t="s">
        <v>52</v>
      </c>
      <c r="H760" s="8" t="s">
        <v>1779</v>
      </c>
      <c r="I760" s="2" t="str">
        <f t="shared" si="55"/>
        <v>Apr</v>
      </c>
      <c r="J760" s="2">
        <f t="shared" si="56"/>
        <v>4</v>
      </c>
      <c r="K760" s="2">
        <f t="shared" si="57"/>
        <v>2024</v>
      </c>
      <c r="L760" s="2">
        <f t="shared" si="58"/>
        <v>2</v>
      </c>
      <c r="M760" s="8">
        <v>2</v>
      </c>
      <c r="N760" s="8" t="s">
        <v>1998</v>
      </c>
      <c r="O760" s="8" t="s">
        <v>27</v>
      </c>
      <c r="P760" s="9">
        <v>443542</v>
      </c>
      <c r="Q760" s="8"/>
      <c r="R760" s="8"/>
      <c r="S760" s="8" t="s">
        <v>1805</v>
      </c>
      <c r="T760" s="8">
        <v>36.4</v>
      </c>
      <c r="U760" s="8" t="s">
        <v>29</v>
      </c>
      <c r="V760" s="8" t="s">
        <v>163</v>
      </c>
      <c r="W760" s="67" t="str">
        <f t="shared" si="59"/>
        <v>-</v>
      </c>
    </row>
    <row r="761" spans="1:23" x14ac:dyDescent="0.3">
      <c r="A761" s="4" t="s">
        <v>2127</v>
      </c>
      <c r="B761" s="4" t="s">
        <v>2128</v>
      </c>
      <c r="C761" s="4">
        <v>9964762970</v>
      </c>
      <c r="D761" s="4" t="s">
        <v>20</v>
      </c>
      <c r="E761" s="4" t="s">
        <v>33</v>
      </c>
      <c r="F761" s="4" t="s">
        <v>201</v>
      </c>
      <c r="G761" s="4" t="s">
        <v>1677</v>
      </c>
      <c r="H761" s="4" t="s">
        <v>1779</v>
      </c>
      <c r="I761" s="2" t="str">
        <f t="shared" si="55"/>
        <v>Apr</v>
      </c>
      <c r="J761" s="2">
        <f t="shared" si="56"/>
        <v>4</v>
      </c>
      <c r="K761" s="2">
        <f t="shared" si="57"/>
        <v>2024</v>
      </c>
      <c r="L761" s="2">
        <f t="shared" si="58"/>
        <v>2</v>
      </c>
      <c r="M761" s="4">
        <v>1</v>
      </c>
      <c r="N761" s="4" t="s">
        <v>1868</v>
      </c>
      <c r="O761" s="4" t="s">
        <v>45</v>
      </c>
      <c r="P761" s="5">
        <v>1359950</v>
      </c>
      <c r="Q761" s="4"/>
      <c r="R761" s="4"/>
      <c r="S761" s="4" t="s">
        <v>1063</v>
      </c>
      <c r="T761" s="4">
        <v>8.8000000000000007</v>
      </c>
      <c r="U761" s="4" t="s">
        <v>63</v>
      </c>
      <c r="V761" s="4" t="s">
        <v>335</v>
      </c>
      <c r="W761" s="67" t="str">
        <f t="shared" si="59"/>
        <v>-</v>
      </c>
    </row>
    <row r="762" spans="1:23" x14ac:dyDescent="0.3">
      <c r="A762" s="2" t="s">
        <v>2129</v>
      </c>
      <c r="B762" s="2" t="s">
        <v>2130</v>
      </c>
      <c r="C762" s="2">
        <v>9920804546</v>
      </c>
      <c r="D762" s="2" t="s">
        <v>20</v>
      </c>
      <c r="E762" s="2" t="s">
        <v>1632</v>
      </c>
      <c r="F762" s="2" t="s">
        <v>1849</v>
      </c>
      <c r="G762" s="2" t="s">
        <v>87</v>
      </c>
      <c r="H762" s="2" t="s">
        <v>1779</v>
      </c>
      <c r="I762" s="2" t="str">
        <f t="shared" si="55"/>
        <v>Apr</v>
      </c>
      <c r="J762" s="2">
        <f t="shared" si="56"/>
        <v>4</v>
      </c>
      <c r="K762" s="2">
        <f t="shared" si="57"/>
        <v>2024</v>
      </c>
      <c r="L762" s="2">
        <f t="shared" si="58"/>
        <v>2</v>
      </c>
      <c r="M762" s="2">
        <v>12</v>
      </c>
      <c r="N762" s="2" t="s">
        <v>2131</v>
      </c>
      <c r="O762" s="2" t="s">
        <v>45</v>
      </c>
      <c r="P762" s="3">
        <v>113340</v>
      </c>
      <c r="Q762" s="2"/>
      <c r="R762" s="2"/>
      <c r="S762" s="2" t="s">
        <v>28</v>
      </c>
      <c r="T762" s="2">
        <v>35.4</v>
      </c>
      <c r="U762" s="2" t="s">
        <v>63</v>
      </c>
      <c r="V762" s="2"/>
      <c r="W762" s="67" t="str">
        <f t="shared" si="59"/>
        <v>-</v>
      </c>
    </row>
    <row r="763" spans="1:23" x14ac:dyDescent="0.3">
      <c r="A763" s="4" t="s">
        <v>2132</v>
      </c>
      <c r="B763" s="4" t="s">
        <v>1561</v>
      </c>
      <c r="C763" s="4">
        <v>9699034903</v>
      </c>
      <c r="D763" s="4" t="s">
        <v>59</v>
      </c>
      <c r="E763" s="4" t="s">
        <v>73</v>
      </c>
      <c r="F763" s="4" t="s">
        <v>126</v>
      </c>
      <c r="G763" s="4" t="s">
        <v>52</v>
      </c>
      <c r="H763" s="4" t="s">
        <v>1779</v>
      </c>
      <c r="I763" s="2" t="str">
        <f t="shared" si="55"/>
        <v>Apr</v>
      </c>
      <c r="J763" s="2">
        <f t="shared" si="56"/>
        <v>4</v>
      </c>
      <c r="K763" s="2">
        <f t="shared" si="57"/>
        <v>2024</v>
      </c>
      <c r="L763" s="2">
        <f t="shared" si="58"/>
        <v>2</v>
      </c>
      <c r="M763" s="4">
        <v>10</v>
      </c>
      <c r="N763" s="4" t="s">
        <v>2133</v>
      </c>
      <c r="O763" s="4" t="s">
        <v>27</v>
      </c>
      <c r="P763" s="5">
        <v>414631</v>
      </c>
      <c r="Q763" s="4"/>
      <c r="R763" s="4"/>
      <c r="S763" s="4" t="s">
        <v>5819</v>
      </c>
      <c r="T763" s="4">
        <v>14.6</v>
      </c>
      <c r="U763" s="4" t="s">
        <v>29</v>
      </c>
      <c r="V763" s="4" t="s">
        <v>202</v>
      </c>
      <c r="W763" s="67" t="str">
        <f t="shared" si="59"/>
        <v>-</v>
      </c>
    </row>
    <row r="764" spans="1:23" x14ac:dyDescent="0.3">
      <c r="A764" s="2" t="s">
        <v>2134</v>
      </c>
      <c r="B764" s="2" t="s">
        <v>2135</v>
      </c>
      <c r="C764" s="2">
        <v>9440780867</v>
      </c>
      <c r="D764" s="2" t="s">
        <v>59</v>
      </c>
      <c r="E764" s="2" t="s">
        <v>33</v>
      </c>
      <c r="F764" s="2" t="s">
        <v>201</v>
      </c>
      <c r="G764" s="2" t="s">
        <v>23</v>
      </c>
      <c r="H764" s="2" t="s">
        <v>1779</v>
      </c>
      <c r="I764" s="2" t="str">
        <f t="shared" si="55"/>
        <v>Apr</v>
      </c>
      <c r="J764" s="2">
        <f t="shared" si="56"/>
        <v>4</v>
      </c>
      <c r="K764" s="2">
        <f t="shared" si="57"/>
        <v>2024</v>
      </c>
      <c r="L764" s="2">
        <f t="shared" si="58"/>
        <v>2</v>
      </c>
      <c r="M764" s="2">
        <v>2</v>
      </c>
      <c r="N764" s="2" t="s">
        <v>1998</v>
      </c>
      <c r="O764" s="2" t="s">
        <v>62</v>
      </c>
      <c r="P764" s="3">
        <v>574120</v>
      </c>
      <c r="Q764" s="2"/>
      <c r="R764" s="2"/>
      <c r="S764" s="2" t="s">
        <v>28</v>
      </c>
      <c r="T764" s="2">
        <v>11.9</v>
      </c>
      <c r="U764" s="2" t="s">
        <v>47</v>
      </c>
      <c r="V764" s="2" t="s">
        <v>77</v>
      </c>
      <c r="W764" s="67" t="str">
        <f t="shared" si="59"/>
        <v>-</v>
      </c>
    </row>
    <row r="765" spans="1:23" x14ac:dyDescent="0.3">
      <c r="A765" s="4" t="s">
        <v>2136</v>
      </c>
      <c r="B765" s="4" t="s">
        <v>2137</v>
      </c>
      <c r="C765" s="4">
        <v>9208082677</v>
      </c>
      <c r="D765" s="4" t="s">
        <v>59</v>
      </c>
      <c r="E765" s="4" t="s">
        <v>41</v>
      </c>
      <c r="F765" s="4" t="s">
        <v>151</v>
      </c>
      <c r="G765" s="4" t="s">
        <v>1599</v>
      </c>
      <c r="H765" s="4" t="s">
        <v>1779</v>
      </c>
      <c r="I765" s="2" t="str">
        <f t="shared" si="55"/>
        <v>Apr</v>
      </c>
      <c r="J765" s="2">
        <f t="shared" si="56"/>
        <v>4</v>
      </c>
      <c r="K765" s="2">
        <f t="shared" si="57"/>
        <v>2024</v>
      </c>
      <c r="L765" s="2">
        <f t="shared" si="58"/>
        <v>2</v>
      </c>
      <c r="M765" s="4">
        <v>5</v>
      </c>
      <c r="N765" s="4" t="s">
        <v>1897</v>
      </c>
      <c r="O765" s="4" t="s">
        <v>27</v>
      </c>
      <c r="P765" s="5">
        <v>767603</v>
      </c>
      <c r="Q765" s="4"/>
      <c r="R765" s="4"/>
      <c r="S765" s="4" t="s">
        <v>28</v>
      </c>
      <c r="T765" s="4">
        <v>16.8</v>
      </c>
      <c r="U765" s="4" t="s">
        <v>29</v>
      </c>
      <c r="V765" s="4" t="s">
        <v>202</v>
      </c>
      <c r="W765" s="67" t="str">
        <f t="shared" si="59"/>
        <v>-</v>
      </c>
    </row>
    <row r="766" spans="1:23" x14ac:dyDescent="0.3">
      <c r="A766" s="8" t="s">
        <v>2138</v>
      </c>
      <c r="B766" s="8" t="s">
        <v>2139</v>
      </c>
      <c r="C766" s="8">
        <v>9236715628</v>
      </c>
      <c r="D766" s="8" t="s">
        <v>59</v>
      </c>
      <c r="E766" s="8" t="s">
        <v>109</v>
      </c>
      <c r="F766" s="8" t="s">
        <v>217</v>
      </c>
      <c r="G766" s="8" t="s">
        <v>87</v>
      </c>
      <c r="H766" s="8" t="s">
        <v>1779</v>
      </c>
      <c r="I766" s="2" t="str">
        <f t="shared" si="55"/>
        <v>Apr</v>
      </c>
      <c r="J766" s="2">
        <f t="shared" si="56"/>
        <v>4</v>
      </c>
      <c r="K766" s="2">
        <f t="shared" si="57"/>
        <v>2024</v>
      </c>
      <c r="L766" s="2">
        <f t="shared" si="58"/>
        <v>2</v>
      </c>
      <c r="M766" s="8">
        <v>6</v>
      </c>
      <c r="N766" s="8" t="s">
        <v>2076</v>
      </c>
      <c r="O766" s="8" t="s">
        <v>97</v>
      </c>
      <c r="P766" s="9">
        <v>212642</v>
      </c>
      <c r="Q766" s="9">
        <v>207351</v>
      </c>
      <c r="R766" s="8" t="s">
        <v>2117</v>
      </c>
      <c r="S766" s="8" t="s">
        <v>1805</v>
      </c>
      <c r="T766" s="8">
        <v>2.2999999999999998</v>
      </c>
      <c r="U766" s="8" t="s">
        <v>63</v>
      </c>
      <c r="V766" s="8" t="s">
        <v>99</v>
      </c>
      <c r="W766" s="67" t="str">
        <f t="shared" si="59"/>
        <v>Customer</v>
      </c>
    </row>
    <row r="767" spans="1:23" x14ac:dyDescent="0.3">
      <c r="A767" s="8" t="s">
        <v>2140</v>
      </c>
      <c r="B767" s="8" t="s">
        <v>2141</v>
      </c>
      <c r="C767" s="8">
        <v>9559247215</v>
      </c>
      <c r="D767" s="8" t="s">
        <v>20</v>
      </c>
      <c r="E767" s="8" t="s">
        <v>41</v>
      </c>
      <c r="F767" s="8" t="s">
        <v>42</v>
      </c>
      <c r="G767" s="8" t="s">
        <v>616</v>
      </c>
      <c r="H767" s="8" t="s">
        <v>1779</v>
      </c>
      <c r="I767" s="2" t="str">
        <f t="shared" si="55"/>
        <v>Apr</v>
      </c>
      <c r="J767" s="2">
        <f t="shared" si="56"/>
        <v>4</v>
      </c>
      <c r="K767" s="2">
        <f t="shared" si="57"/>
        <v>2024</v>
      </c>
      <c r="L767" s="2">
        <f t="shared" si="58"/>
        <v>2</v>
      </c>
      <c r="M767" s="8">
        <v>9</v>
      </c>
      <c r="N767" s="8" t="s">
        <v>1992</v>
      </c>
      <c r="O767" s="8" t="s">
        <v>97</v>
      </c>
      <c r="P767" s="9">
        <v>202289</v>
      </c>
      <c r="Q767" s="9">
        <v>184534</v>
      </c>
      <c r="R767" s="8" t="s">
        <v>2122</v>
      </c>
      <c r="S767" s="8" t="s">
        <v>1805</v>
      </c>
      <c r="T767" s="8">
        <v>22.4</v>
      </c>
      <c r="U767" s="8" t="s">
        <v>47</v>
      </c>
      <c r="V767" s="8" t="s">
        <v>99</v>
      </c>
      <c r="W767" s="67" t="str">
        <f t="shared" si="59"/>
        <v>Customer</v>
      </c>
    </row>
    <row r="768" spans="1:23" x14ac:dyDescent="0.3">
      <c r="A768" s="2" t="s">
        <v>2142</v>
      </c>
      <c r="B768" s="2" t="s">
        <v>2143</v>
      </c>
      <c r="C768" s="2">
        <v>9557968054</v>
      </c>
      <c r="D768" s="2" t="s">
        <v>121</v>
      </c>
      <c r="E768" s="2" t="s">
        <v>41</v>
      </c>
      <c r="F768" s="2" t="s">
        <v>92</v>
      </c>
      <c r="G768" s="2" t="s">
        <v>1621</v>
      </c>
      <c r="H768" s="2" t="s">
        <v>1948</v>
      </c>
      <c r="I768" s="2" t="str">
        <f t="shared" si="55"/>
        <v>Apr</v>
      </c>
      <c r="J768" s="2">
        <f t="shared" si="56"/>
        <v>4</v>
      </c>
      <c r="K768" s="2">
        <f t="shared" si="57"/>
        <v>2024</v>
      </c>
      <c r="L768" s="2">
        <f t="shared" si="58"/>
        <v>2</v>
      </c>
      <c r="M768" s="2">
        <v>8</v>
      </c>
      <c r="N768" s="2" t="s">
        <v>1963</v>
      </c>
      <c r="O768" s="2" t="s">
        <v>45</v>
      </c>
      <c r="P768" s="3">
        <v>477858</v>
      </c>
      <c r="Q768" s="2"/>
      <c r="R768" s="2"/>
      <c r="S768" s="2" t="s">
        <v>5819</v>
      </c>
      <c r="T768" s="2">
        <v>21.5</v>
      </c>
      <c r="U768" s="2" t="s">
        <v>47</v>
      </c>
      <c r="V768" s="2" t="s">
        <v>48</v>
      </c>
      <c r="W768" s="67" t="str">
        <f t="shared" si="59"/>
        <v>-</v>
      </c>
    </row>
    <row r="769" spans="1:23" x14ac:dyDescent="0.3">
      <c r="A769" s="4" t="s">
        <v>2144</v>
      </c>
      <c r="B769" s="4" t="s">
        <v>2145</v>
      </c>
      <c r="C769" s="4">
        <v>9606649882</v>
      </c>
      <c r="D769" s="4" t="s">
        <v>20</v>
      </c>
      <c r="E769" s="4" t="s">
        <v>1632</v>
      </c>
      <c r="F769" s="4" t="s">
        <v>1659</v>
      </c>
      <c r="G769" s="4" t="s">
        <v>87</v>
      </c>
      <c r="H769" s="4" t="s">
        <v>1828</v>
      </c>
      <c r="I769" s="2" t="str">
        <f t="shared" si="55"/>
        <v>Apr</v>
      </c>
      <c r="J769" s="2">
        <f t="shared" si="56"/>
        <v>4</v>
      </c>
      <c r="K769" s="2">
        <f t="shared" si="57"/>
        <v>2024</v>
      </c>
      <c r="L769" s="2">
        <f t="shared" si="58"/>
        <v>2</v>
      </c>
      <c r="M769" s="4">
        <v>9</v>
      </c>
      <c r="N769" s="4" t="s">
        <v>2146</v>
      </c>
      <c r="O769" s="4" t="s">
        <v>45</v>
      </c>
      <c r="P769" s="5">
        <v>200007</v>
      </c>
      <c r="Q769" s="4"/>
      <c r="R769" s="4"/>
      <c r="S769" s="4" t="s">
        <v>1063</v>
      </c>
      <c r="T769" s="4">
        <v>30.6</v>
      </c>
      <c r="U769" s="4" t="s">
        <v>47</v>
      </c>
      <c r="V769" s="4"/>
      <c r="W769" s="67" t="str">
        <f t="shared" si="59"/>
        <v>-</v>
      </c>
    </row>
    <row r="770" spans="1:23" x14ac:dyDescent="0.3">
      <c r="A770" s="2" t="s">
        <v>2147</v>
      </c>
      <c r="B770" s="2" t="s">
        <v>2148</v>
      </c>
      <c r="C770" s="2"/>
      <c r="D770" s="2" t="s">
        <v>51</v>
      </c>
      <c r="E770" s="2" t="s">
        <v>648</v>
      </c>
      <c r="F770" s="2" t="s">
        <v>899</v>
      </c>
      <c r="G770" s="2" t="s">
        <v>1599</v>
      </c>
      <c r="H770" s="2" t="s">
        <v>1720</v>
      </c>
      <c r="I770" s="2" t="str">
        <f t="shared" ref="I770:I833" si="60">TEXT(H770,"mmm")</f>
        <v>Apr</v>
      </c>
      <c r="J770" s="2">
        <f t="shared" ref="J770:J833" si="61">MONTH(H770)</f>
        <v>4</v>
      </c>
      <c r="K770" s="2">
        <f t="shared" ref="K770:K833" si="62">YEAR(H770)</f>
        <v>2024</v>
      </c>
      <c r="L770" s="2">
        <f t="shared" ref="L770:L833" si="63">ROUNDUP(MONTH(H770)/3,0)</f>
        <v>2</v>
      </c>
      <c r="M770" s="2">
        <v>12</v>
      </c>
      <c r="N770" s="2" t="s">
        <v>2149</v>
      </c>
      <c r="O770" s="2" t="s">
        <v>27</v>
      </c>
      <c r="P770" s="3">
        <v>444701</v>
      </c>
      <c r="Q770" s="2"/>
      <c r="R770" s="2"/>
      <c r="S770" s="2" t="s">
        <v>28</v>
      </c>
      <c r="T770" s="2">
        <v>24.2</v>
      </c>
      <c r="U770" s="2" t="s">
        <v>29</v>
      </c>
      <c r="V770" s="2" t="s">
        <v>2150</v>
      </c>
      <c r="W770" s="67" t="str">
        <f t="shared" ref="W770:W833" si="64">IF($O770&lt;&gt;"Converted","-",IF(ISNUMBER(SEARCH("Architect",$F770)),"Architect","Customer"))</f>
        <v>-</v>
      </c>
    </row>
    <row r="771" spans="1:23" x14ac:dyDescent="0.3">
      <c r="A771" s="4" t="s">
        <v>2151</v>
      </c>
      <c r="B771" s="4" t="s">
        <v>2152</v>
      </c>
      <c r="C771" s="4">
        <v>9449801553</v>
      </c>
      <c r="D771" s="4" t="s">
        <v>121</v>
      </c>
      <c r="E771" s="4" t="s">
        <v>41</v>
      </c>
      <c r="F771" s="4" t="s">
        <v>92</v>
      </c>
      <c r="G771" s="4" t="s">
        <v>1621</v>
      </c>
      <c r="H771" s="4" t="s">
        <v>1720</v>
      </c>
      <c r="I771" s="2" t="str">
        <f t="shared" si="60"/>
        <v>Apr</v>
      </c>
      <c r="J771" s="2">
        <f t="shared" si="61"/>
        <v>4</v>
      </c>
      <c r="K771" s="2">
        <f t="shared" si="62"/>
        <v>2024</v>
      </c>
      <c r="L771" s="2">
        <f t="shared" si="63"/>
        <v>2</v>
      </c>
      <c r="M771" s="4">
        <v>11</v>
      </c>
      <c r="N771" s="4" t="s">
        <v>2153</v>
      </c>
      <c r="O771" s="4" t="s">
        <v>27</v>
      </c>
      <c r="P771" s="5">
        <v>453046</v>
      </c>
      <c r="Q771" s="4"/>
      <c r="R771" s="4"/>
      <c r="S771" s="4" t="s">
        <v>5819</v>
      </c>
      <c r="T771" s="4">
        <v>11.1</v>
      </c>
      <c r="U771" s="4" t="s">
        <v>47</v>
      </c>
      <c r="V771" s="4" t="s">
        <v>163</v>
      </c>
      <c r="W771" s="67" t="str">
        <f t="shared" si="64"/>
        <v>-</v>
      </c>
    </row>
    <row r="772" spans="1:23" x14ac:dyDescent="0.3">
      <c r="A772" s="2" t="s">
        <v>2154</v>
      </c>
      <c r="B772" s="2" t="s">
        <v>2155</v>
      </c>
      <c r="C772" s="2">
        <v>9921462344</v>
      </c>
      <c r="D772" s="2" t="s">
        <v>20</v>
      </c>
      <c r="E772" s="2" t="s">
        <v>641</v>
      </c>
      <c r="F772" s="2" t="s">
        <v>717</v>
      </c>
      <c r="G772" s="2" t="s">
        <v>1621</v>
      </c>
      <c r="H772" s="2" t="s">
        <v>1720</v>
      </c>
      <c r="I772" s="2" t="str">
        <f t="shared" si="60"/>
        <v>Apr</v>
      </c>
      <c r="J772" s="2">
        <f t="shared" si="61"/>
        <v>4</v>
      </c>
      <c r="K772" s="2">
        <f t="shared" si="62"/>
        <v>2024</v>
      </c>
      <c r="L772" s="2">
        <f t="shared" si="63"/>
        <v>2</v>
      </c>
      <c r="M772" s="2">
        <v>3</v>
      </c>
      <c r="N772" s="2" t="s">
        <v>2006</v>
      </c>
      <c r="O772" s="2" t="s">
        <v>45</v>
      </c>
      <c r="P772" s="3">
        <v>255984</v>
      </c>
      <c r="Q772" s="2"/>
      <c r="R772" s="2"/>
      <c r="S772" s="2" t="s">
        <v>28</v>
      </c>
      <c r="T772" s="2">
        <v>47.7</v>
      </c>
      <c r="U772" s="2" t="s">
        <v>47</v>
      </c>
      <c r="V772" s="2" t="s">
        <v>310</v>
      </c>
      <c r="W772" s="67" t="str">
        <f t="shared" si="64"/>
        <v>-</v>
      </c>
    </row>
    <row r="773" spans="1:23" x14ac:dyDescent="0.3">
      <c r="A773" s="4" t="s">
        <v>2156</v>
      </c>
      <c r="B773" s="4" t="s">
        <v>2157</v>
      </c>
      <c r="C773" s="4">
        <v>9550756507</v>
      </c>
      <c r="D773" s="4" t="s">
        <v>20</v>
      </c>
      <c r="E773" s="4" t="s">
        <v>1632</v>
      </c>
      <c r="F773" s="4" t="s">
        <v>1682</v>
      </c>
      <c r="G773" s="4" t="s">
        <v>35</v>
      </c>
      <c r="H773" s="4" t="s">
        <v>1720</v>
      </c>
      <c r="I773" s="2" t="str">
        <f t="shared" si="60"/>
        <v>Apr</v>
      </c>
      <c r="J773" s="2">
        <f t="shared" si="61"/>
        <v>4</v>
      </c>
      <c r="K773" s="2">
        <f t="shared" si="62"/>
        <v>2024</v>
      </c>
      <c r="L773" s="2">
        <f t="shared" si="63"/>
        <v>2</v>
      </c>
      <c r="M773" s="4">
        <v>4</v>
      </c>
      <c r="N773" s="4" t="s">
        <v>2081</v>
      </c>
      <c r="O773" s="4" t="s">
        <v>45</v>
      </c>
      <c r="P773" s="5">
        <v>115572</v>
      </c>
      <c r="Q773" s="4"/>
      <c r="R773" s="4"/>
      <c r="S773" s="4" t="s">
        <v>5819</v>
      </c>
      <c r="T773" s="4">
        <v>35.299999999999997</v>
      </c>
      <c r="U773" s="4" t="s">
        <v>47</v>
      </c>
      <c r="V773" s="4" t="s">
        <v>302</v>
      </c>
      <c r="W773" s="67" t="str">
        <f t="shared" si="64"/>
        <v>-</v>
      </c>
    </row>
    <row r="774" spans="1:23" x14ac:dyDescent="0.3">
      <c r="A774" s="6" t="s">
        <v>2158</v>
      </c>
      <c r="B774" s="6" t="s">
        <v>2159</v>
      </c>
      <c r="C774" s="6">
        <v>9693288872</v>
      </c>
      <c r="D774" s="6" t="s">
        <v>20</v>
      </c>
      <c r="E774" s="6" t="s">
        <v>41</v>
      </c>
      <c r="F774" s="6" t="s">
        <v>92</v>
      </c>
      <c r="G774" s="6" t="s">
        <v>35</v>
      </c>
      <c r="H774" s="6" t="s">
        <v>1720</v>
      </c>
      <c r="I774" s="2" t="str">
        <f t="shared" si="60"/>
        <v>Apr</v>
      </c>
      <c r="J774" s="2">
        <f t="shared" si="61"/>
        <v>4</v>
      </c>
      <c r="K774" s="2">
        <f t="shared" si="62"/>
        <v>2024</v>
      </c>
      <c r="L774" s="2">
        <f t="shared" si="63"/>
        <v>2</v>
      </c>
      <c r="M774" s="6">
        <v>5</v>
      </c>
      <c r="N774" s="6" t="s">
        <v>1963</v>
      </c>
      <c r="O774" s="6" t="s">
        <v>97</v>
      </c>
      <c r="P774" s="7">
        <v>130572</v>
      </c>
      <c r="Q774" s="7">
        <v>128554</v>
      </c>
      <c r="R774" s="6" t="s">
        <v>2090</v>
      </c>
      <c r="S774" s="6" t="s">
        <v>28</v>
      </c>
      <c r="T774" s="6">
        <v>16.100000000000001</v>
      </c>
      <c r="U774" s="6" t="s">
        <v>63</v>
      </c>
      <c r="V774" s="6" t="s">
        <v>243</v>
      </c>
      <c r="W774" s="67" t="str">
        <f t="shared" si="64"/>
        <v>Customer</v>
      </c>
    </row>
    <row r="775" spans="1:23" x14ac:dyDescent="0.3">
      <c r="A775" s="6" t="s">
        <v>2160</v>
      </c>
      <c r="B775" s="6" t="s">
        <v>1197</v>
      </c>
      <c r="C775" s="6">
        <v>9738092118</v>
      </c>
      <c r="D775" s="6" t="s">
        <v>59</v>
      </c>
      <c r="E775" s="6" t="s">
        <v>41</v>
      </c>
      <c r="F775" s="6" t="s">
        <v>42</v>
      </c>
      <c r="G775" s="6" t="s">
        <v>52</v>
      </c>
      <c r="H775" s="6" t="s">
        <v>1720</v>
      </c>
      <c r="I775" s="2" t="str">
        <f t="shared" si="60"/>
        <v>Apr</v>
      </c>
      <c r="J775" s="2">
        <f t="shared" si="61"/>
        <v>4</v>
      </c>
      <c r="K775" s="2">
        <f t="shared" si="62"/>
        <v>2024</v>
      </c>
      <c r="L775" s="2">
        <f t="shared" si="63"/>
        <v>2</v>
      </c>
      <c r="M775" s="6">
        <v>9</v>
      </c>
      <c r="N775" s="6" t="s">
        <v>2117</v>
      </c>
      <c r="O775" s="6" t="s">
        <v>97</v>
      </c>
      <c r="P775" s="7">
        <v>504780</v>
      </c>
      <c r="Q775" s="7">
        <v>491062</v>
      </c>
      <c r="R775" s="6" t="s">
        <v>2161</v>
      </c>
      <c r="S775" s="6" t="s">
        <v>1063</v>
      </c>
      <c r="T775" s="6">
        <v>42.5</v>
      </c>
      <c r="U775" s="6" t="s">
        <v>63</v>
      </c>
      <c r="V775" s="6" t="s">
        <v>113</v>
      </c>
      <c r="W775" s="67" t="str">
        <f t="shared" si="64"/>
        <v>Customer</v>
      </c>
    </row>
    <row r="776" spans="1:23" x14ac:dyDescent="0.3">
      <c r="A776" s="2" t="s">
        <v>2162</v>
      </c>
      <c r="B776" s="2" t="s">
        <v>2163</v>
      </c>
      <c r="C776" s="2">
        <v>9380552950</v>
      </c>
      <c r="D776" s="2" t="s">
        <v>59</v>
      </c>
      <c r="E776" s="2" t="s">
        <v>1632</v>
      </c>
      <c r="F776" s="2" t="s">
        <v>1682</v>
      </c>
      <c r="G776" s="2" t="s">
        <v>87</v>
      </c>
      <c r="H776" s="2" t="s">
        <v>1702</v>
      </c>
      <c r="I776" s="2" t="str">
        <f t="shared" si="60"/>
        <v>Apr</v>
      </c>
      <c r="J776" s="2">
        <f t="shared" si="61"/>
        <v>4</v>
      </c>
      <c r="K776" s="2">
        <f t="shared" si="62"/>
        <v>2024</v>
      </c>
      <c r="L776" s="2">
        <f t="shared" si="63"/>
        <v>2</v>
      </c>
      <c r="M776" s="2">
        <v>0</v>
      </c>
      <c r="N776" s="2" t="s">
        <v>1780</v>
      </c>
      <c r="O776" s="2" t="s">
        <v>45</v>
      </c>
      <c r="P776" s="3">
        <v>188334</v>
      </c>
      <c r="Q776" s="2"/>
      <c r="R776" s="2"/>
      <c r="S776" s="2" t="s">
        <v>5819</v>
      </c>
      <c r="T776" s="2">
        <v>21.4</v>
      </c>
      <c r="U776" s="2" t="s">
        <v>63</v>
      </c>
      <c r="V776" s="2"/>
      <c r="W776" s="67" t="str">
        <f t="shared" si="64"/>
        <v>-</v>
      </c>
    </row>
    <row r="777" spans="1:23" x14ac:dyDescent="0.3">
      <c r="A777" s="4" t="s">
        <v>2164</v>
      </c>
      <c r="B777" s="4" t="s">
        <v>2165</v>
      </c>
      <c r="C777" s="4">
        <v>9830255110</v>
      </c>
      <c r="D777" s="4" t="s">
        <v>20</v>
      </c>
      <c r="E777" s="4" t="s">
        <v>641</v>
      </c>
      <c r="F777" s="4" t="s">
        <v>727</v>
      </c>
      <c r="G777" s="4" t="s">
        <v>52</v>
      </c>
      <c r="H777" s="4" t="s">
        <v>1868</v>
      </c>
      <c r="I777" s="2" t="str">
        <f t="shared" si="60"/>
        <v>Apr</v>
      </c>
      <c r="J777" s="2">
        <f t="shared" si="61"/>
        <v>4</v>
      </c>
      <c r="K777" s="2">
        <f t="shared" si="62"/>
        <v>2024</v>
      </c>
      <c r="L777" s="2">
        <f t="shared" si="63"/>
        <v>2</v>
      </c>
      <c r="M777" s="4">
        <v>5</v>
      </c>
      <c r="N777" s="4" t="s">
        <v>2081</v>
      </c>
      <c r="O777" s="4" t="s">
        <v>27</v>
      </c>
      <c r="P777" s="5">
        <v>156989</v>
      </c>
      <c r="Q777" s="4"/>
      <c r="R777" s="4"/>
      <c r="S777" s="4" t="s">
        <v>5819</v>
      </c>
      <c r="T777" s="4">
        <v>19.2</v>
      </c>
      <c r="U777" s="4" t="s">
        <v>29</v>
      </c>
      <c r="V777" s="4" t="s">
        <v>30</v>
      </c>
      <c r="W777" s="67" t="str">
        <f t="shared" si="64"/>
        <v>-</v>
      </c>
    </row>
    <row r="778" spans="1:23" x14ac:dyDescent="0.3">
      <c r="A778" s="6" t="s">
        <v>2166</v>
      </c>
      <c r="B778" s="6" t="s">
        <v>2167</v>
      </c>
      <c r="C778" s="6">
        <v>9946816175</v>
      </c>
      <c r="D778" s="6" t="s">
        <v>121</v>
      </c>
      <c r="E778" s="6" t="s">
        <v>67</v>
      </c>
      <c r="F778" s="6" t="s">
        <v>68</v>
      </c>
      <c r="G778" s="6" t="s">
        <v>87</v>
      </c>
      <c r="H778" s="6" t="s">
        <v>1868</v>
      </c>
      <c r="I778" s="2" t="str">
        <f t="shared" si="60"/>
        <v>Apr</v>
      </c>
      <c r="J778" s="2">
        <f t="shared" si="61"/>
        <v>4</v>
      </c>
      <c r="K778" s="2">
        <f t="shared" si="62"/>
        <v>2024</v>
      </c>
      <c r="L778" s="2">
        <f t="shared" si="63"/>
        <v>2</v>
      </c>
      <c r="M778" s="6">
        <v>2</v>
      </c>
      <c r="N778" s="6" t="s">
        <v>2073</v>
      </c>
      <c r="O778" s="6" t="s">
        <v>97</v>
      </c>
      <c r="P778" s="7">
        <v>319139</v>
      </c>
      <c r="Q778" s="7">
        <v>303796</v>
      </c>
      <c r="R778" s="6" t="s">
        <v>2168</v>
      </c>
      <c r="S778" s="6" t="s">
        <v>1063</v>
      </c>
      <c r="T778" s="6">
        <v>47.2</v>
      </c>
      <c r="U778" s="6" t="s">
        <v>63</v>
      </c>
      <c r="V778" s="6" t="s">
        <v>465</v>
      </c>
      <c r="W778" s="67" t="str">
        <f t="shared" si="64"/>
        <v>Customer</v>
      </c>
    </row>
    <row r="779" spans="1:23" x14ac:dyDescent="0.3">
      <c r="A779" s="4" t="s">
        <v>2169</v>
      </c>
      <c r="B779" s="4" t="s">
        <v>965</v>
      </c>
      <c r="C779" s="4">
        <v>9415697820</v>
      </c>
      <c r="D779" s="4" t="s">
        <v>20</v>
      </c>
      <c r="E779" s="4" t="s">
        <v>21</v>
      </c>
      <c r="F779" s="4" t="s">
        <v>22</v>
      </c>
      <c r="G779" s="4" t="s">
        <v>23</v>
      </c>
      <c r="H779" s="4" t="s">
        <v>1868</v>
      </c>
      <c r="I779" s="2" t="str">
        <f t="shared" si="60"/>
        <v>Apr</v>
      </c>
      <c r="J779" s="2">
        <f t="shared" si="61"/>
        <v>4</v>
      </c>
      <c r="K779" s="2">
        <f t="shared" si="62"/>
        <v>2024</v>
      </c>
      <c r="L779" s="2">
        <f t="shared" si="63"/>
        <v>2</v>
      </c>
      <c r="M779" s="4">
        <v>5</v>
      </c>
      <c r="N779" s="4" t="s">
        <v>2050</v>
      </c>
      <c r="O779" s="4" t="s">
        <v>27</v>
      </c>
      <c r="P779" s="5">
        <v>628429</v>
      </c>
      <c r="Q779" s="4"/>
      <c r="R779" s="4"/>
      <c r="S779" s="4" t="s">
        <v>5819</v>
      </c>
      <c r="T779" s="4">
        <v>8.9</v>
      </c>
      <c r="U779" s="4" t="s">
        <v>29</v>
      </c>
      <c r="V779" s="4" t="s">
        <v>123</v>
      </c>
      <c r="W779" s="67" t="str">
        <f t="shared" si="64"/>
        <v>-</v>
      </c>
    </row>
    <row r="780" spans="1:23" x14ac:dyDescent="0.3">
      <c r="A780" s="2" t="s">
        <v>2170</v>
      </c>
      <c r="B780" s="2" t="s">
        <v>859</v>
      </c>
      <c r="C780" s="2">
        <v>9957562163</v>
      </c>
      <c r="D780" s="2" t="s">
        <v>59</v>
      </c>
      <c r="E780" s="2" t="s">
        <v>41</v>
      </c>
      <c r="F780" s="2" t="s">
        <v>92</v>
      </c>
      <c r="G780" s="2" t="s">
        <v>52</v>
      </c>
      <c r="H780" s="2" t="s">
        <v>1797</v>
      </c>
      <c r="I780" s="2" t="str">
        <f t="shared" si="60"/>
        <v>Apr</v>
      </c>
      <c r="J780" s="2">
        <f t="shared" si="61"/>
        <v>4</v>
      </c>
      <c r="K780" s="2">
        <f t="shared" si="62"/>
        <v>2024</v>
      </c>
      <c r="L780" s="2">
        <f t="shared" si="63"/>
        <v>2</v>
      </c>
      <c r="M780" s="2">
        <v>9</v>
      </c>
      <c r="N780" s="2" t="s">
        <v>1905</v>
      </c>
      <c r="O780" s="2" t="s">
        <v>45</v>
      </c>
      <c r="P780" s="3">
        <v>158870</v>
      </c>
      <c r="Q780" s="2"/>
      <c r="R780" s="2"/>
      <c r="S780" s="2" t="s">
        <v>1063</v>
      </c>
      <c r="T780" s="2">
        <v>20.3</v>
      </c>
      <c r="U780" s="2" t="s">
        <v>47</v>
      </c>
      <c r="V780" s="2"/>
      <c r="W780" s="67" t="str">
        <f t="shared" si="64"/>
        <v>-</v>
      </c>
    </row>
    <row r="781" spans="1:23" x14ac:dyDescent="0.3">
      <c r="A781" s="6" t="s">
        <v>2171</v>
      </c>
      <c r="B781" s="6" t="s">
        <v>2172</v>
      </c>
      <c r="C781" s="6">
        <v>9687042874</v>
      </c>
      <c r="D781" s="6" t="s">
        <v>59</v>
      </c>
      <c r="E781" s="6" t="s">
        <v>648</v>
      </c>
      <c r="F781" s="6" t="s">
        <v>649</v>
      </c>
      <c r="G781" s="6" t="s">
        <v>52</v>
      </c>
      <c r="H781" s="6" t="s">
        <v>1721</v>
      </c>
      <c r="I781" s="2" t="str">
        <f t="shared" si="60"/>
        <v>Apr</v>
      </c>
      <c r="J781" s="2">
        <f t="shared" si="61"/>
        <v>4</v>
      </c>
      <c r="K781" s="2">
        <f t="shared" si="62"/>
        <v>2024</v>
      </c>
      <c r="L781" s="2">
        <f t="shared" si="63"/>
        <v>2</v>
      </c>
      <c r="M781" s="6">
        <v>8</v>
      </c>
      <c r="N781" s="6" t="s">
        <v>2015</v>
      </c>
      <c r="O781" s="6" t="s">
        <v>97</v>
      </c>
      <c r="P781" s="7">
        <v>431096</v>
      </c>
      <c r="Q781" s="7">
        <v>435135</v>
      </c>
      <c r="R781" s="6" t="s">
        <v>2111</v>
      </c>
      <c r="S781" s="6" t="s">
        <v>28</v>
      </c>
      <c r="T781" s="6">
        <v>33.799999999999997</v>
      </c>
      <c r="U781" s="6" t="s">
        <v>63</v>
      </c>
      <c r="V781" s="6" t="s">
        <v>243</v>
      </c>
      <c r="W781" s="67" t="str">
        <f t="shared" si="64"/>
        <v>Customer</v>
      </c>
    </row>
    <row r="782" spans="1:23" x14ac:dyDescent="0.3">
      <c r="A782" s="2" t="s">
        <v>2173</v>
      </c>
      <c r="B782" s="2" t="s">
        <v>2165</v>
      </c>
      <c r="C782" s="2">
        <v>9993922237</v>
      </c>
      <c r="D782" s="2" t="s">
        <v>20</v>
      </c>
      <c r="E782" s="2" t="s">
        <v>1632</v>
      </c>
      <c r="F782" s="2" t="s">
        <v>1849</v>
      </c>
      <c r="G782" s="2" t="s">
        <v>52</v>
      </c>
      <c r="H782" s="2" t="s">
        <v>1721</v>
      </c>
      <c r="I782" s="2" t="str">
        <f t="shared" si="60"/>
        <v>Apr</v>
      </c>
      <c r="J782" s="2">
        <f t="shared" si="61"/>
        <v>4</v>
      </c>
      <c r="K782" s="2">
        <f t="shared" si="62"/>
        <v>2024</v>
      </c>
      <c r="L782" s="2">
        <f t="shared" si="63"/>
        <v>2</v>
      </c>
      <c r="M782" s="2"/>
      <c r="N782" s="2" t="s">
        <v>1953</v>
      </c>
      <c r="O782" s="2" t="s">
        <v>62</v>
      </c>
      <c r="P782" s="3">
        <v>526808</v>
      </c>
      <c r="Q782" s="2"/>
      <c r="R782" s="2"/>
      <c r="S782" s="2" t="s">
        <v>5819</v>
      </c>
      <c r="T782" s="2">
        <v>38.4</v>
      </c>
      <c r="U782" s="2" t="s">
        <v>63</v>
      </c>
      <c r="V782" s="2" t="s">
        <v>195</v>
      </c>
      <c r="W782" s="67" t="str">
        <f t="shared" si="64"/>
        <v>-</v>
      </c>
    </row>
    <row r="783" spans="1:23" x14ac:dyDescent="0.3">
      <c r="A783" s="8" t="s">
        <v>2174</v>
      </c>
      <c r="B783" s="8" t="s">
        <v>2175</v>
      </c>
      <c r="C783" s="8">
        <v>9157338177</v>
      </c>
      <c r="D783" s="8" t="s">
        <v>59</v>
      </c>
      <c r="E783" s="8" t="s">
        <v>41</v>
      </c>
      <c r="F783" s="8" t="s">
        <v>42</v>
      </c>
      <c r="G783" s="8" t="s">
        <v>60</v>
      </c>
      <c r="H783" s="8" t="s">
        <v>1721</v>
      </c>
      <c r="I783" s="2" t="str">
        <f t="shared" si="60"/>
        <v>Apr</v>
      </c>
      <c r="J783" s="2">
        <f t="shared" si="61"/>
        <v>4</v>
      </c>
      <c r="K783" s="2">
        <f t="shared" si="62"/>
        <v>2024</v>
      </c>
      <c r="L783" s="2">
        <f t="shared" si="63"/>
        <v>2</v>
      </c>
      <c r="M783" s="8">
        <v>10</v>
      </c>
      <c r="N783" s="8" t="s">
        <v>2084</v>
      </c>
      <c r="O783" s="8" t="s">
        <v>62</v>
      </c>
      <c r="P783" s="9">
        <v>173310</v>
      </c>
      <c r="Q783" s="8"/>
      <c r="R783" s="8"/>
      <c r="S783" s="8" t="s">
        <v>1805</v>
      </c>
      <c r="T783" s="8">
        <v>3.2</v>
      </c>
      <c r="U783" s="8" t="s">
        <v>63</v>
      </c>
      <c r="V783" s="8" t="s">
        <v>260</v>
      </c>
      <c r="W783" s="67" t="str">
        <f t="shared" si="64"/>
        <v>-</v>
      </c>
    </row>
    <row r="784" spans="1:23" x14ac:dyDescent="0.3">
      <c r="A784" s="8" t="s">
        <v>2176</v>
      </c>
      <c r="B784" s="8" t="s">
        <v>895</v>
      </c>
      <c r="C784" s="8">
        <v>9440720011</v>
      </c>
      <c r="D784" s="8" t="s">
        <v>121</v>
      </c>
      <c r="E784" s="8" t="s">
        <v>109</v>
      </c>
      <c r="F784" s="8" t="s">
        <v>110</v>
      </c>
      <c r="G784" s="8" t="s">
        <v>52</v>
      </c>
      <c r="H784" s="8" t="s">
        <v>1721</v>
      </c>
      <c r="I784" s="2" t="str">
        <f t="shared" si="60"/>
        <v>Apr</v>
      </c>
      <c r="J784" s="2">
        <f t="shared" si="61"/>
        <v>4</v>
      </c>
      <c r="K784" s="2">
        <f t="shared" si="62"/>
        <v>2024</v>
      </c>
      <c r="L784" s="2">
        <f t="shared" si="63"/>
        <v>2</v>
      </c>
      <c r="M784" s="8">
        <v>1</v>
      </c>
      <c r="N784" s="8" t="s">
        <v>2006</v>
      </c>
      <c r="O784" s="8" t="s">
        <v>45</v>
      </c>
      <c r="P784" s="9">
        <v>379914</v>
      </c>
      <c r="Q784" s="8"/>
      <c r="R784" s="8"/>
      <c r="S784" s="8" t="s">
        <v>1805</v>
      </c>
      <c r="T784" s="8">
        <v>23.4</v>
      </c>
      <c r="U784" s="8" t="s">
        <v>29</v>
      </c>
      <c r="V784" s="8" t="s">
        <v>589</v>
      </c>
      <c r="W784" s="67" t="str">
        <f t="shared" si="64"/>
        <v>-</v>
      </c>
    </row>
    <row r="785" spans="1:23" x14ac:dyDescent="0.3">
      <c r="A785" s="6" t="s">
        <v>2177</v>
      </c>
      <c r="B785" s="6" t="s">
        <v>2178</v>
      </c>
      <c r="C785" s="6">
        <v>9732567335</v>
      </c>
      <c r="D785" s="6" t="s">
        <v>121</v>
      </c>
      <c r="E785" s="6" t="s">
        <v>41</v>
      </c>
      <c r="F785" s="6" t="s">
        <v>86</v>
      </c>
      <c r="G785" s="6" t="s">
        <v>52</v>
      </c>
      <c r="H785" s="6" t="s">
        <v>1721</v>
      </c>
      <c r="I785" s="2" t="str">
        <f t="shared" si="60"/>
        <v>Apr</v>
      </c>
      <c r="J785" s="2">
        <f t="shared" si="61"/>
        <v>4</v>
      </c>
      <c r="K785" s="2">
        <f t="shared" si="62"/>
        <v>2024</v>
      </c>
      <c r="L785" s="2">
        <f t="shared" si="63"/>
        <v>2</v>
      </c>
      <c r="M785" s="6">
        <v>2</v>
      </c>
      <c r="N785" s="6" t="s">
        <v>1853</v>
      </c>
      <c r="O785" s="6" t="s">
        <v>97</v>
      </c>
      <c r="P785" s="7">
        <v>181752</v>
      </c>
      <c r="Q785" s="7">
        <v>180308</v>
      </c>
      <c r="R785" s="6" t="s">
        <v>2076</v>
      </c>
      <c r="S785" s="6" t="s">
        <v>5819</v>
      </c>
      <c r="T785" s="6">
        <v>47.5</v>
      </c>
      <c r="U785" s="6" t="s">
        <v>63</v>
      </c>
      <c r="V785" s="6" t="s">
        <v>295</v>
      </c>
      <c r="W785" s="67" t="str">
        <f t="shared" si="64"/>
        <v>Customer</v>
      </c>
    </row>
    <row r="786" spans="1:23" x14ac:dyDescent="0.3">
      <c r="A786" s="8" t="s">
        <v>2179</v>
      </c>
      <c r="B786" s="8" t="s">
        <v>2180</v>
      </c>
      <c r="C786" s="8">
        <v>9851739050</v>
      </c>
      <c r="D786" s="8" t="s">
        <v>51</v>
      </c>
      <c r="E786" s="8" t="s">
        <v>41</v>
      </c>
      <c r="F786" s="8" t="s">
        <v>86</v>
      </c>
      <c r="G786" s="8" t="s">
        <v>23</v>
      </c>
      <c r="H786" s="8" t="s">
        <v>1721</v>
      </c>
      <c r="I786" s="2" t="str">
        <f t="shared" si="60"/>
        <v>Apr</v>
      </c>
      <c r="J786" s="2">
        <f t="shared" si="61"/>
        <v>4</v>
      </c>
      <c r="K786" s="2">
        <f t="shared" si="62"/>
        <v>2024</v>
      </c>
      <c r="L786" s="2">
        <f t="shared" si="63"/>
        <v>2</v>
      </c>
      <c r="M786" s="8">
        <v>8</v>
      </c>
      <c r="N786" s="8" t="s">
        <v>2149</v>
      </c>
      <c r="O786" s="8" t="s">
        <v>97</v>
      </c>
      <c r="P786" s="9">
        <v>621095</v>
      </c>
      <c r="Q786" s="9">
        <v>549769</v>
      </c>
      <c r="R786" s="8" t="s">
        <v>2181</v>
      </c>
      <c r="S786" s="8" t="s">
        <v>1805</v>
      </c>
      <c r="T786" s="8">
        <v>37.9</v>
      </c>
      <c r="U786" s="8" t="s">
        <v>63</v>
      </c>
      <c r="V786" s="8" t="s">
        <v>341</v>
      </c>
      <c r="W786" s="67" t="str">
        <f t="shared" si="64"/>
        <v>Customer</v>
      </c>
    </row>
    <row r="787" spans="1:23" x14ac:dyDescent="0.3">
      <c r="A787" s="4" t="s">
        <v>2182</v>
      </c>
      <c r="B787" s="4" t="s">
        <v>2099</v>
      </c>
      <c r="C787" s="4">
        <v>9819012830</v>
      </c>
      <c r="D787" s="4" t="s">
        <v>20</v>
      </c>
      <c r="E787" s="4" t="s">
        <v>67</v>
      </c>
      <c r="F787" s="4" t="s">
        <v>80</v>
      </c>
      <c r="G787" s="4" t="s">
        <v>643</v>
      </c>
      <c r="H787" s="4" t="s">
        <v>1951</v>
      </c>
      <c r="I787" s="2" t="str">
        <f t="shared" si="60"/>
        <v>Apr</v>
      </c>
      <c r="J787" s="2">
        <f t="shared" si="61"/>
        <v>4</v>
      </c>
      <c r="K787" s="2">
        <f t="shared" si="62"/>
        <v>2024</v>
      </c>
      <c r="L787" s="2">
        <f t="shared" si="63"/>
        <v>2</v>
      </c>
      <c r="M787" s="4">
        <v>1</v>
      </c>
      <c r="N787" s="4" t="s">
        <v>2081</v>
      </c>
      <c r="O787" s="4" t="s">
        <v>27</v>
      </c>
      <c r="P787" s="5">
        <v>629331</v>
      </c>
      <c r="Q787" s="4"/>
      <c r="R787" s="4"/>
      <c r="S787" s="4" t="s">
        <v>1063</v>
      </c>
      <c r="T787" s="4">
        <v>8.6999999999999993</v>
      </c>
      <c r="U787" s="4" t="s">
        <v>47</v>
      </c>
      <c r="V787" s="4" t="s">
        <v>202</v>
      </c>
      <c r="W787" s="67" t="str">
        <f t="shared" si="64"/>
        <v>-</v>
      </c>
    </row>
    <row r="788" spans="1:23" x14ac:dyDescent="0.3">
      <c r="A788" s="2" t="s">
        <v>2183</v>
      </c>
      <c r="B788" s="2" t="s">
        <v>32</v>
      </c>
      <c r="C788" s="2">
        <v>9991536817</v>
      </c>
      <c r="D788" s="2" t="s">
        <v>20</v>
      </c>
      <c r="E788" s="2" t="s">
        <v>109</v>
      </c>
      <c r="F788" s="2" t="s">
        <v>217</v>
      </c>
      <c r="G788" s="2" t="s">
        <v>52</v>
      </c>
      <c r="H788" s="2" t="s">
        <v>1951</v>
      </c>
      <c r="I788" s="2" t="str">
        <f t="shared" si="60"/>
        <v>Apr</v>
      </c>
      <c r="J788" s="2">
        <f t="shared" si="61"/>
        <v>4</v>
      </c>
      <c r="K788" s="2">
        <f t="shared" si="62"/>
        <v>2024</v>
      </c>
      <c r="L788" s="2">
        <f t="shared" si="63"/>
        <v>2</v>
      </c>
      <c r="M788" s="2">
        <v>11</v>
      </c>
      <c r="N788" s="2" t="s">
        <v>2184</v>
      </c>
      <c r="O788" s="2" t="s">
        <v>62</v>
      </c>
      <c r="P788" s="3">
        <v>167982</v>
      </c>
      <c r="Q788" s="2"/>
      <c r="R788" s="2"/>
      <c r="S788" s="2" t="s">
        <v>28</v>
      </c>
      <c r="T788" s="2">
        <v>45.7</v>
      </c>
      <c r="U788" s="2" t="s">
        <v>63</v>
      </c>
      <c r="V788" s="2" t="s">
        <v>535</v>
      </c>
      <c r="W788" s="67" t="str">
        <f t="shared" si="64"/>
        <v>-</v>
      </c>
    </row>
    <row r="789" spans="1:23" x14ac:dyDescent="0.3">
      <c r="A789" s="6" t="s">
        <v>2185</v>
      </c>
      <c r="B789" s="6" t="s">
        <v>2186</v>
      </c>
      <c r="C789" s="6">
        <v>9348409642</v>
      </c>
      <c r="D789" s="6" t="s">
        <v>20</v>
      </c>
      <c r="E789" s="6" t="s">
        <v>41</v>
      </c>
      <c r="F789" s="6" t="s">
        <v>86</v>
      </c>
      <c r="G789" s="6" t="s">
        <v>1621</v>
      </c>
      <c r="H789" s="6" t="s">
        <v>1951</v>
      </c>
      <c r="I789" s="2" t="str">
        <f t="shared" si="60"/>
        <v>Apr</v>
      </c>
      <c r="J789" s="2">
        <f t="shared" si="61"/>
        <v>4</v>
      </c>
      <c r="K789" s="2">
        <f t="shared" si="62"/>
        <v>2024</v>
      </c>
      <c r="L789" s="2">
        <f t="shared" si="63"/>
        <v>2</v>
      </c>
      <c r="M789" s="6">
        <v>10</v>
      </c>
      <c r="N789" s="6" t="s">
        <v>2181</v>
      </c>
      <c r="O789" s="6" t="s">
        <v>97</v>
      </c>
      <c r="P789" s="7">
        <v>337671</v>
      </c>
      <c r="Q789" s="7">
        <v>328956</v>
      </c>
      <c r="R789" s="6" t="s">
        <v>2187</v>
      </c>
      <c r="S789" s="6" t="s">
        <v>28</v>
      </c>
      <c r="T789" s="6">
        <v>6.8</v>
      </c>
      <c r="U789" s="6" t="s">
        <v>63</v>
      </c>
      <c r="V789" s="6" t="s">
        <v>170</v>
      </c>
      <c r="W789" s="67" t="str">
        <f t="shared" si="64"/>
        <v>Customer</v>
      </c>
    </row>
    <row r="790" spans="1:23" x14ac:dyDescent="0.3">
      <c r="A790" s="6" t="s">
        <v>2188</v>
      </c>
      <c r="B790" s="6" t="s">
        <v>2189</v>
      </c>
      <c r="C790" s="6">
        <v>9160114780</v>
      </c>
      <c r="D790" s="6" t="s">
        <v>59</v>
      </c>
      <c r="E790" s="6" t="s">
        <v>41</v>
      </c>
      <c r="F790" s="6" t="s">
        <v>92</v>
      </c>
      <c r="G790" s="6" t="s">
        <v>23</v>
      </c>
      <c r="H790" s="6" t="s">
        <v>1951</v>
      </c>
      <c r="I790" s="2" t="str">
        <f t="shared" si="60"/>
        <v>Apr</v>
      </c>
      <c r="J790" s="2">
        <f t="shared" si="61"/>
        <v>4</v>
      </c>
      <c r="K790" s="2">
        <f t="shared" si="62"/>
        <v>2024</v>
      </c>
      <c r="L790" s="2">
        <f t="shared" si="63"/>
        <v>2</v>
      </c>
      <c r="M790" s="6">
        <v>5</v>
      </c>
      <c r="N790" s="6" t="s">
        <v>2190</v>
      </c>
      <c r="O790" s="6" t="s">
        <v>97</v>
      </c>
      <c r="P790" s="7">
        <v>382611</v>
      </c>
      <c r="Q790" s="7">
        <v>369973</v>
      </c>
      <c r="R790" s="6" t="s">
        <v>2084</v>
      </c>
      <c r="S790" s="6" t="s">
        <v>5819</v>
      </c>
      <c r="T790" s="6">
        <v>32.4</v>
      </c>
      <c r="U790" s="6" t="s">
        <v>63</v>
      </c>
      <c r="V790" s="6" t="s">
        <v>341</v>
      </c>
      <c r="W790" s="67" t="str">
        <f t="shared" si="64"/>
        <v>Customer</v>
      </c>
    </row>
    <row r="791" spans="1:23" x14ac:dyDescent="0.3">
      <c r="A791" s="4" t="s">
        <v>2191</v>
      </c>
      <c r="B791" s="4" t="s">
        <v>2192</v>
      </c>
      <c r="C791" s="4">
        <v>9143316721</v>
      </c>
      <c r="D791" s="4" t="s">
        <v>20</v>
      </c>
      <c r="E791" s="4" t="s">
        <v>648</v>
      </c>
      <c r="F791" s="4" t="s">
        <v>899</v>
      </c>
      <c r="G791" s="4" t="s">
        <v>52</v>
      </c>
      <c r="H791" s="4" t="s">
        <v>1759</v>
      </c>
      <c r="I791" s="2" t="str">
        <f t="shared" si="60"/>
        <v>Apr</v>
      </c>
      <c r="J791" s="2">
        <f t="shared" si="61"/>
        <v>4</v>
      </c>
      <c r="K791" s="2">
        <f t="shared" si="62"/>
        <v>2024</v>
      </c>
      <c r="L791" s="2">
        <f t="shared" si="63"/>
        <v>2</v>
      </c>
      <c r="M791" s="4">
        <v>8</v>
      </c>
      <c r="N791" s="4" t="s">
        <v>2193</v>
      </c>
      <c r="O791" s="4" t="s">
        <v>45</v>
      </c>
      <c r="P791" s="5">
        <v>270889</v>
      </c>
      <c r="Q791" s="4"/>
      <c r="R791" s="4"/>
      <c r="S791" s="4" t="s">
        <v>1063</v>
      </c>
      <c r="T791" s="4">
        <v>7.7</v>
      </c>
      <c r="U791" s="4" t="s">
        <v>47</v>
      </c>
      <c r="V791" s="4" t="s">
        <v>381</v>
      </c>
      <c r="W791" s="67" t="str">
        <f t="shared" si="64"/>
        <v>-</v>
      </c>
    </row>
    <row r="792" spans="1:23" x14ac:dyDescent="0.3">
      <c r="A792" s="2" t="s">
        <v>2194</v>
      </c>
      <c r="B792" s="2" t="s">
        <v>2195</v>
      </c>
      <c r="C792" s="2">
        <v>9180722375</v>
      </c>
      <c r="D792" s="2" t="s">
        <v>59</v>
      </c>
      <c r="E792" s="2" t="s">
        <v>109</v>
      </c>
      <c r="F792" s="2" t="s">
        <v>217</v>
      </c>
      <c r="G792" s="2" t="s">
        <v>1609</v>
      </c>
      <c r="H792" s="2" t="s">
        <v>1759</v>
      </c>
      <c r="I792" s="2" t="str">
        <f t="shared" si="60"/>
        <v>Apr</v>
      </c>
      <c r="J792" s="2">
        <f t="shared" si="61"/>
        <v>4</v>
      </c>
      <c r="K792" s="2">
        <f t="shared" si="62"/>
        <v>2024</v>
      </c>
      <c r="L792" s="2">
        <f t="shared" si="63"/>
        <v>2</v>
      </c>
      <c r="M792" s="2">
        <v>10</v>
      </c>
      <c r="N792" s="2" t="s">
        <v>2149</v>
      </c>
      <c r="O792" s="2" t="s">
        <v>62</v>
      </c>
      <c r="P792" s="3">
        <v>346337</v>
      </c>
      <c r="Q792" s="2"/>
      <c r="R792" s="2"/>
      <c r="S792" s="2" t="s">
        <v>5819</v>
      </c>
      <c r="T792" s="2">
        <v>43.5</v>
      </c>
      <c r="U792" s="2" t="s">
        <v>29</v>
      </c>
      <c r="V792" s="2" t="s">
        <v>805</v>
      </c>
      <c r="W792" s="67" t="str">
        <f t="shared" si="64"/>
        <v>-</v>
      </c>
    </row>
    <row r="793" spans="1:23" x14ac:dyDescent="0.3">
      <c r="A793" s="4" t="s">
        <v>2196</v>
      </c>
      <c r="B793" s="4" t="s">
        <v>1262</v>
      </c>
      <c r="C793" s="4">
        <v>9682271212</v>
      </c>
      <c r="D793" s="4" t="s">
        <v>121</v>
      </c>
      <c r="E793" s="4" t="s">
        <v>648</v>
      </c>
      <c r="F793" s="4" t="s">
        <v>822</v>
      </c>
      <c r="G793" s="4" t="s">
        <v>1599</v>
      </c>
      <c r="H793" s="4" t="s">
        <v>1759</v>
      </c>
      <c r="I793" s="2" t="str">
        <f t="shared" si="60"/>
        <v>Apr</v>
      </c>
      <c r="J793" s="2">
        <f t="shared" si="61"/>
        <v>4</v>
      </c>
      <c r="K793" s="2">
        <f t="shared" si="62"/>
        <v>2024</v>
      </c>
      <c r="L793" s="2">
        <f t="shared" si="63"/>
        <v>2</v>
      </c>
      <c r="M793" s="4">
        <v>9</v>
      </c>
      <c r="N793" s="4" t="s">
        <v>2197</v>
      </c>
      <c r="O793" s="4" t="s">
        <v>45</v>
      </c>
      <c r="P793" s="5">
        <v>1000397</v>
      </c>
      <c r="Q793" s="4"/>
      <c r="R793" s="4"/>
      <c r="S793" s="4" t="s">
        <v>28</v>
      </c>
      <c r="T793" s="4">
        <v>41</v>
      </c>
      <c r="U793" s="4" t="s">
        <v>29</v>
      </c>
      <c r="V793" s="4" t="s">
        <v>442</v>
      </c>
      <c r="W793" s="67" t="str">
        <f t="shared" si="64"/>
        <v>-</v>
      </c>
    </row>
    <row r="794" spans="1:23" x14ac:dyDescent="0.3">
      <c r="A794" s="2" t="s">
        <v>2198</v>
      </c>
      <c r="B794" s="2" t="s">
        <v>2199</v>
      </c>
      <c r="C794" s="2">
        <v>9205498113</v>
      </c>
      <c r="D794" s="2" t="s">
        <v>20</v>
      </c>
      <c r="E794" s="2" t="s">
        <v>1632</v>
      </c>
      <c r="F794" s="2" t="s">
        <v>1717</v>
      </c>
      <c r="G794" s="2" t="s">
        <v>87</v>
      </c>
      <c r="H794" s="2" t="s">
        <v>1759</v>
      </c>
      <c r="I794" s="2" t="str">
        <f t="shared" si="60"/>
        <v>Apr</v>
      </c>
      <c r="J794" s="2">
        <f t="shared" si="61"/>
        <v>4</v>
      </c>
      <c r="K794" s="2">
        <f t="shared" si="62"/>
        <v>2024</v>
      </c>
      <c r="L794" s="2">
        <f t="shared" si="63"/>
        <v>2</v>
      </c>
      <c r="M794" s="2">
        <v>0</v>
      </c>
      <c r="N794" s="2" t="s">
        <v>1930</v>
      </c>
      <c r="O794" s="2" t="s">
        <v>45</v>
      </c>
      <c r="P794" s="3">
        <v>218910</v>
      </c>
      <c r="Q794" s="2"/>
      <c r="R794" s="2"/>
      <c r="S794" s="2" t="s">
        <v>5819</v>
      </c>
      <c r="T794" s="2">
        <v>4.4000000000000004</v>
      </c>
      <c r="U794" s="2" t="s">
        <v>47</v>
      </c>
      <c r="V794" s="2" t="s">
        <v>89</v>
      </c>
      <c r="W794" s="67" t="str">
        <f t="shared" si="64"/>
        <v>-</v>
      </c>
    </row>
    <row r="795" spans="1:23" x14ac:dyDescent="0.3">
      <c r="A795" s="6" t="s">
        <v>2200</v>
      </c>
      <c r="B795" s="6" t="s">
        <v>307</v>
      </c>
      <c r="C795" s="6">
        <v>9416753801</v>
      </c>
      <c r="D795" s="6" t="s">
        <v>51</v>
      </c>
      <c r="E795" s="6" t="s">
        <v>648</v>
      </c>
      <c r="F795" s="6" t="s">
        <v>649</v>
      </c>
      <c r="G795" s="6" t="s">
        <v>1609</v>
      </c>
      <c r="H795" s="6" t="s">
        <v>1759</v>
      </c>
      <c r="I795" s="2" t="str">
        <f t="shared" si="60"/>
        <v>Apr</v>
      </c>
      <c r="J795" s="2">
        <f t="shared" si="61"/>
        <v>4</v>
      </c>
      <c r="K795" s="2">
        <f t="shared" si="62"/>
        <v>2024</v>
      </c>
      <c r="L795" s="2">
        <f t="shared" si="63"/>
        <v>2</v>
      </c>
      <c r="M795" s="6">
        <v>3</v>
      </c>
      <c r="N795" s="6" t="s">
        <v>2050</v>
      </c>
      <c r="O795" s="6" t="s">
        <v>97</v>
      </c>
      <c r="P795" s="7">
        <v>398746</v>
      </c>
      <c r="Q795" s="7">
        <v>374717</v>
      </c>
      <c r="R795" s="6" t="s">
        <v>2201</v>
      </c>
      <c r="S795" s="6" t="s">
        <v>5819</v>
      </c>
      <c r="T795" s="6">
        <v>10</v>
      </c>
      <c r="U795" s="6" t="s">
        <v>63</v>
      </c>
      <c r="V795" s="6" t="s">
        <v>99</v>
      </c>
      <c r="W795" s="67" t="str">
        <f t="shared" si="64"/>
        <v>Customer</v>
      </c>
    </row>
    <row r="796" spans="1:23" x14ac:dyDescent="0.3">
      <c r="A796" s="2" t="s">
        <v>2202</v>
      </c>
      <c r="B796" s="2" t="s">
        <v>2203</v>
      </c>
      <c r="C796" s="2">
        <v>9636424728</v>
      </c>
      <c r="D796" s="2" t="s">
        <v>51</v>
      </c>
      <c r="E796" s="2" t="s">
        <v>648</v>
      </c>
      <c r="F796" s="2" t="s">
        <v>649</v>
      </c>
      <c r="G796" s="2" t="s">
        <v>1677</v>
      </c>
      <c r="H796" s="2" t="s">
        <v>1759</v>
      </c>
      <c r="I796" s="2" t="str">
        <f t="shared" si="60"/>
        <v>Apr</v>
      </c>
      <c r="J796" s="2">
        <f t="shared" si="61"/>
        <v>4</v>
      </c>
      <c r="K796" s="2">
        <f t="shared" si="62"/>
        <v>2024</v>
      </c>
      <c r="L796" s="2">
        <f t="shared" si="63"/>
        <v>2</v>
      </c>
      <c r="M796" s="2">
        <v>9</v>
      </c>
      <c r="N796" s="2" t="s">
        <v>2184</v>
      </c>
      <c r="O796" s="2" t="s">
        <v>45</v>
      </c>
      <c r="P796" s="3">
        <v>1161281</v>
      </c>
      <c r="Q796" s="2"/>
      <c r="R796" s="2"/>
      <c r="S796" s="2" t="s">
        <v>28</v>
      </c>
      <c r="T796" s="2">
        <v>30</v>
      </c>
      <c r="U796" s="2" t="s">
        <v>47</v>
      </c>
      <c r="V796" s="2" t="s">
        <v>256</v>
      </c>
      <c r="W796" s="67" t="str">
        <f t="shared" si="64"/>
        <v>-</v>
      </c>
    </row>
    <row r="797" spans="1:23" x14ac:dyDescent="0.3">
      <c r="A797" s="6" t="s">
        <v>2204</v>
      </c>
      <c r="B797" s="6" t="s">
        <v>2205</v>
      </c>
      <c r="C797" s="6">
        <v>9846698400</v>
      </c>
      <c r="D797" s="6" t="s">
        <v>59</v>
      </c>
      <c r="E797" s="6" t="s">
        <v>109</v>
      </c>
      <c r="F797" s="6" t="s">
        <v>331</v>
      </c>
      <c r="G797" s="6" t="s">
        <v>52</v>
      </c>
      <c r="H797" s="6" t="s">
        <v>1759</v>
      </c>
      <c r="I797" s="2" t="str">
        <f t="shared" si="60"/>
        <v>Apr</v>
      </c>
      <c r="J797" s="2">
        <f t="shared" si="61"/>
        <v>4</v>
      </c>
      <c r="K797" s="2">
        <f t="shared" si="62"/>
        <v>2024</v>
      </c>
      <c r="L797" s="2">
        <f t="shared" si="63"/>
        <v>2</v>
      </c>
      <c r="M797" s="6">
        <v>5</v>
      </c>
      <c r="N797" s="6" t="s">
        <v>1905</v>
      </c>
      <c r="O797" s="6" t="s">
        <v>97</v>
      </c>
      <c r="P797" s="7">
        <v>223547</v>
      </c>
      <c r="Q797" s="7">
        <v>223457</v>
      </c>
      <c r="R797" s="6" t="s">
        <v>2206</v>
      </c>
      <c r="S797" s="6" t="s">
        <v>5819</v>
      </c>
      <c r="T797" s="6">
        <v>12.3</v>
      </c>
      <c r="U797" s="6" t="s">
        <v>63</v>
      </c>
      <c r="V797" s="6" t="s">
        <v>483</v>
      </c>
      <c r="W797" s="67" t="str">
        <f t="shared" si="64"/>
        <v>Customer</v>
      </c>
    </row>
    <row r="798" spans="1:23" x14ac:dyDescent="0.3">
      <c r="A798" s="6" t="s">
        <v>2207</v>
      </c>
      <c r="B798" s="6" t="s">
        <v>283</v>
      </c>
      <c r="C798" s="6">
        <v>9840782918</v>
      </c>
      <c r="D798" s="6" t="s">
        <v>20</v>
      </c>
      <c r="E798" s="6" t="s">
        <v>109</v>
      </c>
      <c r="F798" s="6" t="s">
        <v>110</v>
      </c>
      <c r="G798" s="6" t="s">
        <v>643</v>
      </c>
      <c r="H798" s="6" t="s">
        <v>1780</v>
      </c>
      <c r="I798" s="2" t="str">
        <f t="shared" si="60"/>
        <v>Apr</v>
      </c>
      <c r="J798" s="2">
        <f t="shared" si="61"/>
        <v>4</v>
      </c>
      <c r="K798" s="2">
        <f t="shared" si="62"/>
        <v>2024</v>
      </c>
      <c r="L798" s="2">
        <f t="shared" si="63"/>
        <v>2</v>
      </c>
      <c r="M798" s="6">
        <v>10</v>
      </c>
      <c r="N798" s="6" t="s">
        <v>2208</v>
      </c>
      <c r="O798" s="6" t="s">
        <v>97</v>
      </c>
      <c r="P798" s="7">
        <v>853159</v>
      </c>
      <c r="Q798" s="7">
        <v>781197</v>
      </c>
      <c r="R798" s="6" t="s">
        <v>2084</v>
      </c>
      <c r="S798" s="6" t="s">
        <v>5819</v>
      </c>
      <c r="T798" s="6">
        <v>45.6</v>
      </c>
      <c r="U798" s="6" t="s">
        <v>63</v>
      </c>
      <c r="V798" s="6" t="s">
        <v>907</v>
      </c>
      <c r="W798" s="67" t="str">
        <f t="shared" si="64"/>
        <v>Customer</v>
      </c>
    </row>
    <row r="799" spans="1:23" x14ac:dyDescent="0.3">
      <c r="A799" s="4" t="s">
        <v>2209</v>
      </c>
      <c r="B799" s="4" t="s">
        <v>1443</v>
      </c>
      <c r="C799" s="4">
        <v>9370702411</v>
      </c>
      <c r="D799" s="4" t="s">
        <v>59</v>
      </c>
      <c r="E799" s="4" t="s">
        <v>1632</v>
      </c>
      <c r="F799" s="4" t="s">
        <v>1633</v>
      </c>
      <c r="G799" s="4" t="s">
        <v>87</v>
      </c>
      <c r="H799" s="4" t="s">
        <v>1844</v>
      </c>
      <c r="I799" s="2" t="str">
        <f t="shared" si="60"/>
        <v>Apr</v>
      </c>
      <c r="J799" s="2">
        <f t="shared" si="61"/>
        <v>4</v>
      </c>
      <c r="K799" s="2">
        <f t="shared" si="62"/>
        <v>2024</v>
      </c>
      <c r="L799" s="2">
        <f t="shared" si="63"/>
        <v>2</v>
      </c>
      <c r="M799" s="4">
        <v>7</v>
      </c>
      <c r="N799" s="4" t="s">
        <v>2117</v>
      </c>
      <c r="O799" s="4" t="s">
        <v>45</v>
      </c>
      <c r="P799" s="5">
        <v>115938</v>
      </c>
      <c r="Q799" s="4"/>
      <c r="R799" s="4"/>
      <c r="S799" s="4" t="s">
        <v>28</v>
      </c>
      <c r="T799" s="4">
        <v>9.8000000000000007</v>
      </c>
      <c r="U799" s="4" t="s">
        <v>47</v>
      </c>
      <c r="V799" s="4" t="s">
        <v>381</v>
      </c>
      <c r="W799" s="67" t="str">
        <f t="shared" si="64"/>
        <v>-</v>
      </c>
    </row>
    <row r="800" spans="1:23" x14ac:dyDescent="0.3">
      <c r="A800" s="8" t="s">
        <v>2210</v>
      </c>
      <c r="B800" s="8" t="s">
        <v>2211</v>
      </c>
      <c r="C800" s="8">
        <v>9132147715</v>
      </c>
      <c r="D800" s="8" t="s">
        <v>121</v>
      </c>
      <c r="E800" s="8" t="s">
        <v>67</v>
      </c>
      <c r="F800" s="8" t="s">
        <v>80</v>
      </c>
      <c r="G800" s="8" t="s">
        <v>1609</v>
      </c>
      <c r="H800" s="8" t="s">
        <v>1844</v>
      </c>
      <c r="I800" s="2" t="str">
        <f t="shared" si="60"/>
        <v>Apr</v>
      </c>
      <c r="J800" s="2">
        <f t="shared" si="61"/>
        <v>4</v>
      </c>
      <c r="K800" s="2">
        <f t="shared" si="62"/>
        <v>2024</v>
      </c>
      <c r="L800" s="2">
        <f t="shared" si="63"/>
        <v>2</v>
      </c>
      <c r="M800" s="8">
        <v>2</v>
      </c>
      <c r="N800" s="8" t="s">
        <v>2168</v>
      </c>
      <c r="O800" s="8" t="s">
        <v>62</v>
      </c>
      <c r="P800" s="9">
        <v>213542</v>
      </c>
      <c r="Q800" s="8"/>
      <c r="R800" s="8"/>
      <c r="S800" s="8" t="s">
        <v>1805</v>
      </c>
      <c r="T800" s="8">
        <v>42.7</v>
      </c>
      <c r="U800" s="8" t="s">
        <v>29</v>
      </c>
      <c r="V800" s="8" t="s">
        <v>56</v>
      </c>
      <c r="W800" s="67" t="str">
        <f t="shared" si="64"/>
        <v>-</v>
      </c>
    </row>
    <row r="801" spans="1:23" x14ac:dyDescent="0.3">
      <c r="A801" s="4" t="s">
        <v>2212</v>
      </c>
      <c r="B801" s="4" t="s">
        <v>2213</v>
      </c>
      <c r="C801" s="4">
        <v>9301524161</v>
      </c>
      <c r="D801" s="4" t="s">
        <v>59</v>
      </c>
      <c r="E801" s="4" t="s">
        <v>1632</v>
      </c>
      <c r="F801" s="4" t="s">
        <v>1849</v>
      </c>
      <c r="G801" s="4" t="s">
        <v>23</v>
      </c>
      <c r="H801" s="4" t="s">
        <v>1844</v>
      </c>
      <c r="I801" s="2" t="str">
        <f t="shared" si="60"/>
        <v>Apr</v>
      </c>
      <c r="J801" s="2">
        <f t="shared" si="61"/>
        <v>4</v>
      </c>
      <c r="K801" s="2">
        <f t="shared" si="62"/>
        <v>2024</v>
      </c>
      <c r="L801" s="2">
        <f t="shared" si="63"/>
        <v>2</v>
      </c>
      <c r="M801" s="4">
        <v>8</v>
      </c>
      <c r="N801" s="4" t="s">
        <v>1953</v>
      </c>
      <c r="O801" s="4" t="s">
        <v>45</v>
      </c>
      <c r="P801" s="5">
        <v>784622</v>
      </c>
      <c r="Q801" s="4"/>
      <c r="R801" s="4"/>
      <c r="S801" s="4" t="s">
        <v>28</v>
      </c>
      <c r="T801" s="4">
        <v>24.4</v>
      </c>
      <c r="U801" s="4" t="s">
        <v>29</v>
      </c>
      <c r="V801" s="4" t="s">
        <v>589</v>
      </c>
      <c r="W801" s="67" t="str">
        <f t="shared" si="64"/>
        <v>-</v>
      </c>
    </row>
    <row r="802" spans="1:23" x14ac:dyDescent="0.3">
      <c r="A802" s="6" t="s">
        <v>2214</v>
      </c>
      <c r="B802" s="6" t="s">
        <v>2215</v>
      </c>
      <c r="C802" s="6">
        <v>9791758190</v>
      </c>
      <c r="D802" s="6" t="s">
        <v>108</v>
      </c>
      <c r="E802" s="6" t="s">
        <v>41</v>
      </c>
      <c r="F802" s="6" t="s">
        <v>42</v>
      </c>
      <c r="G802" s="6" t="s">
        <v>60</v>
      </c>
      <c r="H802" s="6" t="s">
        <v>1844</v>
      </c>
      <c r="I802" s="2" t="str">
        <f t="shared" si="60"/>
        <v>Apr</v>
      </c>
      <c r="J802" s="2">
        <f t="shared" si="61"/>
        <v>4</v>
      </c>
      <c r="K802" s="2">
        <f t="shared" si="62"/>
        <v>2024</v>
      </c>
      <c r="L802" s="2">
        <f t="shared" si="63"/>
        <v>2</v>
      </c>
      <c r="M802" s="6">
        <v>12</v>
      </c>
      <c r="N802" s="6" t="s">
        <v>2216</v>
      </c>
      <c r="O802" s="6" t="s">
        <v>97</v>
      </c>
      <c r="P802" s="7">
        <v>228806</v>
      </c>
      <c r="Q802" s="7">
        <v>226220</v>
      </c>
      <c r="R802" s="6" t="s">
        <v>2217</v>
      </c>
      <c r="S802" s="6" t="s">
        <v>28</v>
      </c>
      <c r="T802" s="6">
        <v>37.1</v>
      </c>
      <c r="U802" s="6" t="s">
        <v>63</v>
      </c>
      <c r="V802" s="6" t="s">
        <v>286</v>
      </c>
      <c r="W802" s="67" t="str">
        <f t="shared" si="64"/>
        <v>Customer</v>
      </c>
    </row>
    <row r="803" spans="1:23" x14ac:dyDescent="0.3">
      <c r="A803" s="6" t="s">
        <v>2218</v>
      </c>
      <c r="B803" s="6" t="s">
        <v>702</v>
      </c>
      <c r="C803" s="6">
        <v>9400151735</v>
      </c>
      <c r="D803" s="6" t="s">
        <v>51</v>
      </c>
      <c r="E803" s="6" t="s">
        <v>1632</v>
      </c>
      <c r="F803" s="6" t="s">
        <v>1633</v>
      </c>
      <c r="G803" s="6" t="s">
        <v>69</v>
      </c>
      <c r="H803" s="6" t="s">
        <v>2020</v>
      </c>
      <c r="I803" s="2" t="str">
        <f t="shared" si="60"/>
        <v>Apr</v>
      </c>
      <c r="J803" s="2">
        <f t="shared" si="61"/>
        <v>4</v>
      </c>
      <c r="K803" s="2">
        <f t="shared" si="62"/>
        <v>2024</v>
      </c>
      <c r="L803" s="2">
        <f t="shared" si="63"/>
        <v>2</v>
      </c>
      <c r="M803" s="6">
        <v>0</v>
      </c>
      <c r="N803" s="6" t="s">
        <v>1853</v>
      </c>
      <c r="O803" s="6" t="s">
        <v>97</v>
      </c>
      <c r="P803" s="7">
        <v>144873</v>
      </c>
      <c r="Q803" s="7">
        <v>139661</v>
      </c>
      <c r="R803" s="6" t="s">
        <v>2219</v>
      </c>
      <c r="S803" s="6" t="s">
        <v>5819</v>
      </c>
      <c r="T803" s="6">
        <v>37.5</v>
      </c>
      <c r="U803" s="6" t="s">
        <v>47</v>
      </c>
      <c r="V803" s="6" t="s">
        <v>286</v>
      </c>
      <c r="W803" s="67" t="str">
        <f t="shared" si="64"/>
        <v>Customer</v>
      </c>
    </row>
    <row r="804" spans="1:23" x14ac:dyDescent="0.3">
      <c r="A804" s="8" t="s">
        <v>2220</v>
      </c>
      <c r="B804" s="8" t="s">
        <v>2221</v>
      </c>
      <c r="C804" s="8">
        <v>9168162300</v>
      </c>
      <c r="D804" s="8" t="s">
        <v>20</v>
      </c>
      <c r="E804" s="8" t="s">
        <v>41</v>
      </c>
      <c r="F804" s="8" t="s">
        <v>42</v>
      </c>
      <c r="G804" s="8" t="s">
        <v>643</v>
      </c>
      <c r="H804" s="8" t="s">
        <v>2020</v>
      </c>
      <c r="I804" s="2" t="str">
        <f t="shared" si="60"/>
        <v>Apr</v>
      </c>
      <c r="J804" s="2">
        <f t="shared" si="61"/>
        <v>4</v>
      </c>
      <c r="K804" s="2">
        <f t="shared" si="62"/>
        <v>2024</v>
      </c>
      <c r="L804" s="2">
        <f t="shared" si="63"/>
        <v>2</v>
      </c>
      <c r="M804" s="8">
        <v>4</v>
      </c>
      <c r="N804" s="8" t="s">
        <v>2076</v>
      </c>
      <c r="O804" s="8" t="s">
        <v>27</v>
      </c>
      <c r="P804" s="9">
        <v>1030113</v>
      </c>
      <c r="Q804" s="8"/>
      <c r="R804" s="8"/>
      <c r="S804" s="8" t="s">
        <v>1805</v>
      </c>
      <c r="T804" s="8">
        <v>44.9</v>
      </c>
      <c r="U804" s="8" t="s">
        <v>29</v>
      </c>
      <c r="V804" s="8" t="s">
        <v>38</v>
      </c>
      <c r="W804" s="67" t="str">
        <f t="shared" si="64"/>
        <v>-</v>
      </c>
    </row>
    <row r="805" spans="1:23" x14ac:dyDescent="0.3">
      <c r="A805" s="4" t="s">
        <v>2222</v>
      </c>
      <c r="B805" s="4" t="s">
        <v>2223</v>
      </c>
      <c r="C805" s="4">
        <v>9858235280</v>
      </c>
      <c r="D805" s="4" t="s">
        <v>59</v>
      </c>
      <c r="E805" s="4" t="s">
        <v>648</v>
      </c>
      <c r="F805" s="4" t="s">
        <v>656</v>
      </c>
      <c r="G805" s="4" t="s">
        <v>1623</v>
      </c>
      <c r="H805" s="4" t="s">
        <v>1876</v>
      </c>
      <c r="I805" s="2" t="str">
        <f t="shared" si="60"/>
        <v>Apr</v>
      </c>
      <c r="J805" s="2">
        <f t="shared" si="61"/>
        <v>4</v>
      </c>
      <c r="K805" s="2">
        <f t="shared" si="62"/>
        <v>2024</v>
      </c>
      <c r="L805" s="2">
        <f t="shared" si="63"/>
        <v>2</v>
      </c>
      <c r="M805" s="4">
        <v>9</v>
      </c>
      <c r="N805" s="4" t="s">
        <v>2208</v>
      </c>
      <c r="O805" s="4" t="s">
        <v>62</v>
      </c>
      <c r="P805" s="5">
        <v>348507</v>
      </c>
      <c r="Q805" s="4"/>
      <c r="R805" s="4"/>
      <c r="S805" s="4" t="s">
        <v>28</v>
      </c>
      <c r="T805" s="4">
        <v>47.8</v>
      </c>
      <c r="U805" s="4" t="s">
        <v>63</v>
      </c>
      <c r="V805" s="4" t="s">
        <v>64</v>
      </c>
      <c r="W805" s="67" t="str">
        <f t="shared" si="64"/>
        <v>-</v>
      </c>
    </row>
    <row r="806" spans="1:23" x14ac:dyDescent="0.3">
      <c r="A806" s="8" t="s">
        <v>2224</v>
      </c>
      <c r="B806" s="8" t="s">
        <v>1737</v>
      </c>
      <c r="C806" s="8">
        <v>9121013174</v>
      </c>
      <c r="D806" s="8" t="s">
        <v>20</v>
      </c>
      <c r="E806" s="8" t="s">
        <v>67</v>
      </c>
      <c r="F806" s="8" t="s">
        <v>68</v>
      </c>
      <c r="G806" s="8" t="s">
        <v>60</v>
      </c>
      <c r="H806" s="8" t="s">
        <v>1876</v>
      </c>
      <c r="I806" s="2" t="str">
        <f t="shared" si="60"/>
        <v>Apr</v>
      </c>
      <c r="J806" s="2">
        <f t="shared" si="61"/>
        <v>4</v>
      </c>
      <c r="K806" s="2">
        <f t="shared" si="62"/>
        <v>2024</v>
      </c>
      <c r="L806" s="2">
        <f t="shared" si="63"/>
        <v>2</v>
      </c>
      <c r="M806" s="8">
        <v>12</v>
      </c>
      <c r="N806" s="8" t="s">
        <v>2225</v>
      </c>
      <c r="O806" s="8" t="s">
        <v>97</v>
      </c>
      <c r="P806" s="8"/>
      <c r="Q806" s="9">
        <v>128081</v>
      </c>
      <c r="R806" s="8" t="s">
        <v>2226</v>
      </c>
      <c r="S806" s="8" t="s">
        <v>1805</v>
      </c>
      <c r="T806" s="8">
        <v>41.2</v>
      </c>
      <c r="U806" s="8" t="s">
        <v>47</v>
      </c>
      <c r="V806" s="8"/>
      <c r="W806" s="67" t="str">
        <f t="shared" si="64"/>
        <v>Customer</v>
      </c>
    </row>
    <row r="807" spans="1:23" x14ac:dyDescent="0.3">
      <c r="A807" s="4" t="s">
        <v>2227</v>
      </c>
      <c r="B807" s="4" t="s">
        <v>2228</v>
      </c>
      <c r="C807" s="4">
        <v>9195763645</v>
      </c>
      <c r="D807" s="4" t="s">
        <v>108</v>
      </c>
      <c r="E807" s="4" t="s">
        <v>1632</v>
      </c>
      <c r="F807" s="4" t="s">
        <v>1717</v>
      </c>
      <c r="G807" s="4" t="s">
        <v>1599</v>
      </c>
      <c r="H807" s="4" t="s">
        <v>1876</v>
      </c>
      <c r="I807" s="2" t="str">
        <f t="shared" si="60"/>
        <v>Apr</v>
      </c>
      <c r="J807" s="2">
        <f t="shared" si="61"/>
        <v>4</v>
      </c>
      <c r="K807" s="2">
        <f t="shared" si="62"/>
        <v>2024</v>
      </c>
      <c r="L807" s="2">
        <f t="shared" si="63"/>
        <v>2</v>
      </c>
      <c r="M807" s="4">
        <v>3</v>
      </c>
      <c r="N807" s="4" t="s">
        <v>2090</v>
      </c>
      <c r="O807" s="4" t="s">
        <v>45</v>
      </c>
      <c r="P807" s="5">
        <v>559209</v>
      </c>
      <c r="Q807" s="4"/>
      <c r="R807" s="4"/>
      <c r="S807" s="4" t="s">
        <v>5819</v>
      </c>
      <c r="T807" s="4">
        <v>26.1</v>
      </c>
      <c r="U807" s="4" t="s">
        <v>47</v>
      </c>
      <c r="V807" s="4" t="s">
        <v>310</v>
      </c>
      <c r="W807" s="67" t="str">
        <f t="shared" si="64"/>
        <v>-</v>
      </c>
    </row>
    <row r="808" spans="1:23" x14ac:dyDescent="0.3">
      <c r="A808" s="2" t="s">
        <v>2229</v>
      </c>
      <c r="B808" s="2" t="s">
        <v>2230</v>
      </c>
      <c r="C808" s="2">
        <v>9346240377</v>
      </c>
      <c r="D808" s="2" t="s">
        <v>121</v>
      </c>
      <c r="E808" s="2" t="s">
        <v>1632</v>
      </c>
      <c r="F808" s="2" t="s">
        <v>1717</v>
      </c>
      <c r="G808" s="2" t="s">
        <v>60</v>
      </c>
      <c r="H808" s="2" t="s">
        <v>2081</v>
      </c>
      <c r="I808" s="2" t="str">
        <f t="shared" si="60"/>
        <v>Apr</v>
      </c>
      <c r="J808" s="2">
        <f t="shared" si="61"/>
        <v>4</v>
      </c>
      <c r="K808" s="2">
        <f t="shared" si="62"/>
        <v>2024</v>
      </c>
      <c r="L808" s="2">
        <f t="shared" si="63"/>
        <v>2</v>
      </c>
      <c r="M808" s="2">
        <v>3</v>
      </c>
      <c r="N808" s="2" t="s">
        <v>1989</v>
      </c>
      <c r="O808" s="2" t="s">
        <v>27</v>
      </c>
      <c r="P808" s="3">
        <v>231740</v>
      </c>
      <c r="Q808" s="2"/>
      <c r="R808" s="2"/>
      <c r="S808" s="2" t="s">
        <v>28</v>
      </c>
      <c r="T808" s="2">
        <v>35.200000000000003</v>
      </c>
      <c r="U808" s="2" t="s">
        <v>29</v>
      </c>
      <c r="V808" s="2"/>
      <c r="W808" s="67" t="str">
        <f t="shared" si="64"/>
        <v>-</v>
      </c>
    </row>
    <row r="809" spans="1:23" x14ac:dyDescent="0.3">
      <c r="A809" s="4" t="s">
        <v>2231</v>
      </c>
      <c r="B809" s="4" t="s">
        <v>2232</v>
      </c>
      <c r="C809" s="4">
        <v>9192352716</v>
      </c>
      <c r="D809" s="4" t="s">
        <v>59</v>
      </c>
      <c r="E809" s="4" t="s">
        <v>641</v>
      </c>
      <c r="F809" s="4" t="s">
        <v>717</v>
      </c>
      <c r="G809" s="4" t="s">
        <v>1599</v>
      </c>
      <c r="H809" s="4" t="s">
        <v>2081</v>
      </c>
      <c r="I809" s="2" t="str">
        <f t="shared" si="60"/>
        <v>Apr</v>
      </c>
      <c r="J809" s="2">
        <f t="shared" si="61"/>
        <v>4</v>
      </c>
      <c r="K809" s="2">
        <f t="shared" si="62"/>
        <v>2024</v>
      </c>
      <c r="L809" s="2">
        <f t="shared" si="63"/>
        <v>2</v>
      </c>
      <c r="M809" s="4">
        <v>9</v>
      </c>
      <c r="N809" s="4" t="s">
        <v>2111</v>
      </c>
      <c r="O809" s="4" t="s">
        <v>62</v>
      </c>
      <c r="P809" s="5">
        <v>939866</v>
      </c>
      <c r="Q809" s="4"/>
      <c r="R809" s="4"/>
      <c r="S809" s="4" t="s">
        <v>5819</v>
      </c>
      <c r="T809" s="4">
        <v>10.4</v>
      </c>
      <c r="U809" s="4" t="s">
        <v>63</v>
      </c>
      <c r="V809" s="4" t="s">
        <v>535</v>
      </c>
      <c r="W809" s="67" t="str">
        <f t="shared" si="64"/>
        <v>-</v>
      </c>
    </row>
    <row r="810" spans="1:23" x14ac:dyDescent="0.3">
      <c r="A810" s="2" t="s">
        <v>2233</v>
      </c>
      <c r="B810" s="2" t="s">
        <v>2234</v>
      </c>
      <c r="C810" s="2">
        <v>9467897759</v>
      </c>
      <c r="D810" s="2" t="s">
        <v>108</v>
      </c>
      <c r="E810" s="2" t="s">
        <v>41</v>
      </c>
      <c r="F810" s="2" t="s">
        <v>42</v>
      </c>
      <c r="G810" s="2" t="s">
        <v>1677</v>
      </c>
      <c r="H810" s="2" t="s">
        <v>2081</v>
      </c>
      <c r="I810" s="2" t="str">
        <f t="shared" si="60"/>
        <v>Apr</v>
      </c>
      <c r="J810" s="2">
        <f t="shared" si="61"/>
        <v>4</v>
      </c>
      <c r="K810" s="2">
        <f t="shared" si="62"/>
        <v>2024</v>
      </c>
      <c r="L810" s="2">
        <f t="shared" si="63"/>
        <v>2</v>
      </c>
      <c r="M810" s="2">
        <v>4</v>
      </c>
      <c r="N810" s="2" t="s">
        <v>2193</v>
      </c>
      <c r="O810" s="2" t="s">
        <v>27</v>
      </c>
      <c r="P810" s="3">
        <v>1421845</v>
      </c>
      <c r="Q810" s="2"/>
      <c r="R810" s="2"/>
      <c r="S810" s="2" t="s">
        <v>5819</v>
      </c>
      <c r="T810" s="2">
        <v>32.6</v>
      </c>
      <c r="U810" s="2" t="s">
        <v>47</v>
      </c>
      <c r="V810" s="2" t="s">
        <v>123</v>
      </c>
      <c r="W810" s="67" t="str">
        <f t="shared" si="64"/>
        <v>-</v>
      </c>
    </row>
    <row r="811" spans="1:23" x14ac:dyDescent="0.3">
      <c r="A811" s="4" t="s">
        <v>2235</v>
      </c>
      <c r="B811" s="4" t="s">
        <v>519</v>
      </c>
      <c r="C811" s="4">
        <v>9970009392</v>
      </c>
      <c r="D811" s="4" t="s">
        <v>20</v>
      </c>
      <c r="E811" s="4" t="s">
        <v>67</v>
      </c>
      <c r="F811" s="4" t="s">
        <v>68</v>
      </c>
      <c r="G811" s="4" t="s">
        <v>87</v>
      </c>
      <c r="H811" s="4" t="s">
        <v>2081</v>
      </c>
      <c r="I811" s="2" t="str">
        <f t="shared" si="60"/>
        <v>Apr</v>
      </c>
      <c r="J811" s="2">
        <f t="shared" si="61"/>
        <v>4</v>
      </c>
      <c r="K811" s="2">
        <f t="shared" si="62"/>
        <v>2024</v>
      </c>
      <c r="L811" s="2">
        <f t="shared" si="63"/>
        <v>2</v>
      </c>
      <c r="M811" s="4">
        <v>7</v>
      </c>
      <c r="N811" s="4" t="s">
        <v>2236</v>
      </c>
      <c r="O811" s="4" t="s">
        <v>62</v>
      </c>
      <c r="P811" s="5">
        <v>274555</v>
      </c>
      <c r="Q811" s="4"/>
      <c r="R811" s="4"/>
      <c r="S811" s="4" t="s">
        <v>5819</v>
      </c>
      <c r="T811" s="4">
        <v>4.9000000000000004</v>
      </c>
      <c r="U811" s="4" t="s">
        <v>63</v>
      </c>
      <c r="V811" s="4" t="s">
        <v>221</v>
      </c>
      <c r="W811" s="67" t="str">
        <f t="shared" si="64"/>
        <v>-</v>
      </c>
    </row>
    <row r="812" spans="1:23" x14ac:dyDescent="0.3">
      <c r="A812" s="6" t="s">
        <v>2237</v>
      </c>
      <c r="B812" s="6" t="s">
        <v>926</v>
      </c>
      <c r="C812" s="6">
        <v>9354164898</v>
      </c>
      <c r="D812" s="6" t="s">
        <v>121</v>
      </c>
      <c r="E812" s="6" t="s">
        <v>67</v>
      </c>
      <c r="F812" s="6" t="s">
        <v>80</v>
      </c>
      <c r="G812" s="6" t="s">
        <v>60</v>
      </c>
      <c r="H812" s="6" t="s">
        <v>2050</v>
      </c>
      <c r="I812" s="2" t="str">
        <f t="shared" si="60"/>
        <v>Apr</v>
      </c>
      <c r="J812" s="2">
        <f t="shared" si="61"/>
        <v>4</v>
      </c>
      <c r="K812" s="2">
        <f t="shared" si="62"/>
        <v>2024</v>
      </c>
      <c r="L812" s="2">
        <f t="shared" si="63"/>
        <v>2</v>
      </c>
      <c r="M812" s="6">
        <v>10</v>
      </c>
      <c r="N812" s="6" t="s">
        <v>2238</v>
      </c>
      <c r="O812" s="6" t="s">
        <v>97</v>
      </c>
      <c r="P812" s="7">
        <v>55053</v>
      </c>
      <c r="Q812" s="7">
        <v>55109</v>
      </c>
      <c r="R812" s="6" t="s">
        <v>2239</v>
      </c>
      <c r="S812" s="6" t="s">
        <v>28</v>
      </c>
      <c r="T812" s="6">
        <v>20.2</v>
      </c>
      <c r="U812" s="6" t="s">
        <v>47</v>
      </c>
      <c r="V812" s="6" t="s">
        <v>341</v>
      </c>
      <c r="W812" s="67" t="str">
        <f t="shared" si="64"/>
        <v>Customer</v>
      </c>
    </row>
    <row r="813" spans="1:23" x14ac:dyDescent="0.3">
      <c r="A813" s="4" t="s">
        <v>2240</v>
      </c>
      <c r="B813" s="4" t="s">
        <v>2241</v>
      </c>
      <c r="C813" s="4">
        <v>9336771632</v>
      </c>
      <c r="D813" s="4" t="s">
        <v>20</v>
      </c>
      <c r="E813" s="4" t="s">
        <v>41</v>
      </c>
      <c r="F813" s="4" t="s">
        <v>42</v>
      </c>
      <c r="G813" s="4" t="s">
        <v>23</v>
      </c>
      <c r="H813" s="4" t="s">
        <v>1963</v>
      </c>
      <c r="I813" s="2" t="str">
        <f t="shared" si="60"/>
        <v>Apr</v>
      </c>
      <c r="J813" s="2">
        <f t="shared" si="61"/>
        <v>4</v>
      </c>
      <c r="K813" s="2">
        <f t="shared" si="62"/>
        <v>2024</v>
      </c>
      <c r="L813" s="2">
        <f t="shared" si="63"/>
        <v>2</v>
      </c>
      <c r="M813" s="4">
        <v>10</v>
      </c>
      <c r="N813" s="4" t="s">
        <v>2111</v>
      </c>
      <c r="O813" s="4" t="s">
        <v>27</v>
      </c>
      <c r="P813" s="5">
        <v>577945</v>
      </c>
      <c r="Q813" s="4"/>
      <c r="R813" s="4"/>
      <c r="S813" s="4" t="s">
        <v>5819</v>
      </c>
      <c r="T813" s="4">
        <v>45.6</v>
      </c>
      <c r="U813" s="4" t="s">
        <v>29</v>
      </c>
      <c r="V813" s="4" t="s">
        <v>118</v>
      </c>
      <c r="W813" s="67" t="str">
        <f t="shared" si="64"/>
        <v>-</v>
      </c>
    </row>
    <row r="814" spans="1:23" x14ac:dyDescent="0.3">
      <c r="A814" s="6" t="s">
        <v>2242</v>
      </c>
      <c r="B814" s="6" t="s">
        <v>2000</v>
      </c>
      <c r="C814" s="6">
        <v>9312590309</v>
      </c>
      <c r="D814" s="6" t="s">
        <v>20</v>
      </c>
      <c r="E814" s="6" t="s">
        <v>109</v>
      </c>
      <c r="F814" s="6" t="s">
        <v>110</v>
      </c>
      <c r="G814" s="6" t="s">
        <v>52</v>
      </c>
      <c r="H814" s="6" t="s">
        <v>1963</v>
      </c>
      <c r="I814" s="2" t="str">
        <f t="shared" si="60"/>
        <v>Apr</v>
      </c>
      <c r="J814" s="2">
        <f t="shared" si="61"/>
        <v>4</v>
      </c>
      <c r="K814" s="2">
        <f t="shared" si="62"/>
        <v>2024</v>
      </c>
      <c r="L814" s="2">
        <f t="shared" si="63"/>
        <v>2</v>
      </c>
      <c r="M814" s="6">
        <v>0</v>
      </c>
      <c r="N814" s="6" t="s">
        <v>2168</v>
      </c>
      <c r="O814" s="6" t="s">
        <v>97</v>
      </c>
      <c r="P814" s="7">
        <v>362546</v>
      </c>
      <c r="Q814" s="7">
        <v>369843</v>
      </c>
      <c r="R814" s="6" t="s">
        <v>2243</v>
      </c>
      <c r="S814" s="6" t="s">
        <v>5819</v>
      </c>
      <c r="T814" s="6">
        <v>38</v>
      </c>
      <c r="U814" s="6" t="s">
        <v>63</v>
      </c>
      <c r="V814" s="6" t="s">
        <v>341</v>
      </c>
      <c r="W814" s="67" t="str">
        <f t="shared" si="64"/>
        <v>Customer</v>
      </c>
    </row>
    <row r="815" spans="1:23" x14ac:dyDescent="0.3">
      <c r="A815" s="4" t="s">
        <v>2244</v>
      </c>
      <c r="B815" s="4" t="s">
        <v>2245</v>
      </c>
      <c r="C815" s="4">
        <v>9674735990</v>
      </c>
      <c r="D815" s="4" t="s">
        <v>59</v>
      </c>
      <c r="E815" s="4" t="s">
        <v>1632</v>
      </c>
      <c r="F815" s="4" t="s">
        <v>1682</v>
      </c>
      <c r="G815" s="4" t="s">
        <v>87</v>
      </c>
      <c r="H815" s="4" t="s">
        <v>1930</v>
      </c>
      <c r="I815" s="2" t="str">
        <f t="shared" si="60"/>
        <v>Apr</v>
      </c>
      <c r="J815" s="2">
        <f t="shared" si="61"/>
        <v>4</v>
      </c>
      <c r="K815" s="2">
        <f t="shared" si="62"/>
        <v>2024</v>
      </c>
      <c r="L815" s="2">
        <f t="shared" si="63"/>
        <v>2</v>
      </c>
      <c r="M815" s="4">
        <v>1</v>
      </c>
      <c r="N815" s="4" t="s">
        <v>2153</v>
      </c>
      <c r="O815" s="4" t="s">
        <v>45</v>
      </c>
      <c r="P815" s="5">
        <v>249857</v>
      </c>
      <c r="Q815" s="4"/>
      <c r="R815" s="4"/>
      <c r="S815" s="4" t="s">
        <v>1063</v>
      </c>
      <c r="T815" s="4">
        <v>36.799999999999997</v>
      </c>
      <c r="U815" s="4" t="s">
        <v>47</v>
      </c>
      <c r="V815" s="4" t="s">
        <v>137</v>
      </c>
      <c r="W815" s="67" t="str">
        <f t="shared" si="64"/>
        <v>-</v>
      </c>
    </row>
    <row r="816" spans="1:23" x14ac:dyDescent="0.3">
      <c r="A816" s="2" t="s">
        <v>2246</v>
      </c>
      <c r="B816" s="2" t="s">
        <v>2247</v>
      </c>
      <c r="C816" s="2">
        <v>9542768047</v>
      </c>
      <c r="D816" s="2" t="s">
        <v>20</v>
      </c>
      <c r="E816" s="2" t="s">
        <v>109</v>
      </c>
      <c r="F816" s="2" t="s">
        <v>217</v>
      </c>
      <c r="G816" s="2" t="s">
        <v>616</v>
      </c>
      <c r="H816" s="2" t="s">
        <v>1930</v>
      </c>
      <c r="I816" s="2" t="str">
        <f t="shared" si="60"/>
        <v>Apr</v>
      </c>
      <c r="J816" s="2">
        <f t="shared" si="61"/>
        <v>4</v>
      </c>
      <c r="K816" s="2">
        <f t="shared" si="62"/>
        <v>2024</v>
      </c>
      <c r="L816" s="2">
        <f t="shared" si="63"/>
        <v>2</v>
      </c>
      <c r="M816" s="2">
        <v>3</v>
      </c>
      <c r="N816" s="2" t="s">
        <v>2153</v>
      </c>
      <c r="O816" s="2" t="s">
        <v>27</v>
      </c>
      <c r="P816" s="3">
        <v>324820</v>
      </c>
      <c r="Q816" s="2"/>
      <c r="R816" s="2"/>
      <c r="S816" s="2" t="s">
        <v>28</v>
      </c>
      <c r="T816" s="2">
        <v>27.6</v>
      </c>
      <c r="U816" s="2" t="s">
        <v>47</v>
      </c>
      <c r="V816" s="2" t="s">
        <v>118</v>
      </c>
      <c r="W816" s="67" t="str">
        <f t="shared" si="64"/>
        <v>-</v>
      </c>
    </row>
    <row r="817" spans="1:23" x14ac:dyDescent="0.3">
      <c r="A817" s="6" t="s">
        <v>2248</v>
      </c>
      <c r="B817" s="6" t="s">
        <v>2249</v>
      </c>
      <c r="C817" s="6">
        <v>9996480096</v>
      </c>
      <c r="D817" s="6" t="s">
        <v>51</v>
      </c>
      <c r="E817" s="6" t="s">
        <v>67</v>
      </c>
      <c r="F817" s="6" t="s">
        <v>80</v>
      </c>
      <c r="G817" s="6" t="s">
        <v>87</v>
      </c>
      <c r="H817" s="6" t="s">
        <v>2073</v>
      </c>
      <c r="I817" s="2" t="str">
        <f t="shared" si="60"/>
        <v>Apr</v>
      </c>
      <c r="J817" s="2">
        <f t="shared" si="61"/>
        <v>4</v>
      </c>
      <c r="K817" s="2">
        <f t="shared" si="62"/>
        <v>2024</v>
      </c>
      <c r="L817" s="2">
        <f t="shared" si="63"/>
        <v>2</v>
      </c>
      <c r="M817" s="6">
        <v>11</v>
      </c>
      <c r="N817" s="6" t="s">
        <v>2250</v>
      </c>
      <c r="O817" s="6" t="s">
        <v>97</v>
      </c>
      <c r="P817" s="7">
        <v>223695</v>
      </c>
      <c r="Q817" s="7">
        <v>220826</v>
      </c>
      <c r="R817" s="6" t="s">
        <v>2251</v>
      </c>
      <c r="S817" s="6" t="s">
        <v>5819</v>
      </c>
      <c r="T817" s="6">
        <v>45.6</v>
      </c>
      <c r="U817" s="6" t="s">
        <v>63</v>
      </c>
      <c r="V817" s="6" t="s">
        <v>465</v>
      </c>
      <c r="W817" s="67" t="str">
        <f t="shared" si="64"/>
        <v>Customer</v>
      </c>
    </row>
    <row r="818" spans="1:23" x14ac:dyDescent="0.3">
      <c r="A818" s="6" t="s">
        <v>2252</v>
      </c>
      <c r="B818" s="6" t="s">
        <v>1778</v>
      </c>
      <c r="C818" s="6">
        <v>9845732616</v>
      </c>
      <c r="D818" s="6" t="s">
        <v>59</v>
      </c>
      <c r="E818" s="6" t="s">
        <v>21</v>
      </c>
      <c r="F818" s="6" t="s">
        <v>160</v>
      </c>
      <c r="G818" s="6" t="s">
        <v>87</v>
      </c>
      <c r="H818" s="6" t="s">
        <v>2105</v>
      </c>
      <c r="I818" s="2" t="str">
        <f t="shared" si="60"/>
        <v>Apr</v>
      </c>
      <c r="J818" s="2">
        <f t="shared" si="61"/>
        <v>4</v>
      </c>
      <c r="K818" s="2">
        <f t="shared" si="62"/>
        <v>2024</v>
      </c>
      <c r="L818" s="2">
        <f t="shared" si="63"/>
        <v>2</v>
      </c>
      <c r="M818" s="6">
        <v>6</v>
      </c>
      <c r="N818" s="6" t="s">
        <v>2184</v>
      </c>
      <c r="O818" s="6" t="s">
        <v>97</v>
      </c>
      <c r="P818" s="7">
        <v>278783</v>
      </c>
      <c r="Q818" s="7">
        <v>281042</v>
      </c>
      <c r="R818" s="6" t="s">
        <v>2253</v>
      </c>
      <c r="S818" s="6" t="s">
        <v>1063</v>
      </c>
      <c r="T818" s="6">
        <v>10.199999999999999</v>
      </c>
      <c r="U818" s="6" t="s">
        <v>47</v>
      </c>
      <c r="V818" s="6" t="s">
        <v>295</v>
      </c>
      <c r="W818" s="67" t="str">
        <f t="shared" si="64"/>
        <v>Customer</v>
      </c>
    </row>
    <row r="819" spans="1:23" x14ac:dyDescent="0.3">
      <c r="A819" s="6" t="s">
        <v>2254</v>
      </c>
      <c r="B819" s="6" t="s">
        <v>2255</v>
      </c>
      <c r="C819" s="6">
        <v>9404565986</v>
      </c>
      <c r="D819" s="6" t="s">
        <v>121</v>
      </c>
      <c r="E819" s="6" t="s">
        <v>33</v>
      </c>
      <c r="F819" s="6" t="s">
        <v>102</v>
      </c>
      <c r="G819" s="6" t="s">
        <v>23</v>
      </c>
      <c r="H819" s="6" t="s">
        <v>2105</v>
      </c>
      <c r="I819" s="2" t="str">
        <f t="shared" si="60"/>
        <v>Apr</v>
      </c>
      <c r="J819" s="2">
        <f t="shared" si="61"/>
        <v>4</v>
      </c>
      <c r="K819" s="2">
        <f t="shared" si="62"/>
        <v>2024</v>
      </c>
      <c r="L819" s="2">
        <f t="shared" si="63"/>
        <v>2</v>
      </c>
      <c r="M819" s="6">
        <v>3</v>
      </c>
      <c r="N819" s="6" t="s">
        <v>2084</v>
      </c>
      <c r="O819" s="6" t="s">
        <v>97</v>
      </c>
      <c r="P819" s="7">
        <v>489416</v>
      </c>
      <c r="Q819" s="7">
        <v>453266</v>
      </c>
      <c r="R819" s="6" t="s">
        <v>2256</v>
      </c>
      <c r="S819" s="6" t="s">
        <v>28</v>
      </c>
      <c r="T819" s="6">
        <v>29.1</v>
      </c>
      <c r="U819" s="6" t="s">
        <v>63</v>
      </c>
      <c r="V819" s="6" t="s">
        <v>286</v>
      </c>
      <c r="W819" s="67" t="str">
        <f t="shared" si="64"/>
        <v>Customer</v>
      </c>
    </row>
    <row r="820" spans="1:23" x14ac:dyDescent="0.3">
      <c r="A820" s="2" t="s">
        <v>2257</v>
      </c>
      <c r="B820" s="2" t="s">
        <v>2258</v>
      </c>
      <c r="C820" s="2">
        <v>9983200030</v>
      </c>
      <c r="D820" s="2" t="s">
        <v>20</v>
      </c>
      <c r="E820" s="2" t="s">
        <v>73</v>
      </c>
      <c r="F820" s="2" t="s">
        <v>74</v>
      </c>
      <c r="G820" s="2" t="s">
        <v>52</v>
      </c>
      <c r="H820" s="2" t="s">
        <v>2105</v>
      </c>
      <c r="I820" s="2" t="str">
        <f t="shared" si="60"/>
        <v>Apr</v>
      </c>
      <c r="J820" s="2">
        <f t="shared" si="61"/>
        <v>4</v>
      </c>
      <c r="K820" s="2">
        <f t="shared" si="62"/>
        <v>2024</v>
      </c>
      <c r="L820" s="2">
        <f t="shared" si="63"/>
        <v>2</v>
      </c>
      <c r="M820" s="2">
        <v>7</v>
      </c>
      <c r="N820" s="2" t="s">
        <v>2259</v>
      </c>
      <c r="O820" s="2" t="s">
        <v>27</v>
      </c>
      <c r="P820" s="3">
        <v>329982</v>
      </c>
      <c r="Q820" s="2"/>
      <c r="R820" s="2"/>
      <c r="S820" s="2" t="s">
        <v>5819</v>
      </c>
      <c r="T820" s="2">
        <v>40</v>
      </c>
      <c r="U820" s="2" t="s">
        <v>29</v>
      </c>
      <c r="V820" s="2" t="s">
        <v>202</v>
      </c>
      <c r="W820" s="67" t="str">
        <f t="shared" si="64"/>
        <v>-</v>
      </c>
    </row>
    <row r="821" spans="1:23" x14ac:dyDescent="0.3">
      <c r="A821" s="4" t="s">
        <v>2260</v>
      </c>
      <c r="B821" s="4" t="s">
        <v>1900</v>
      </c>
      <c r="C821" s="4">
        <v>9759688210</v>
      </c>
      <c r="D821" s="4" t="s">
        <v>121</v>
      </c>
      <c r="E821" s="4" t="s">
        <v>1632</v>
      </c>
      <c r="F821" s="4" t="s">
        <v>1682</v>
      </c>
      <c r="G821" s="4" t="s">
        <v>87</v>
      </c>
      <c r="H821" s="4" t="s">
        <v>1853</v>
      </c>
      <c r="I821" s="2" t="str">
        <f t="shared" si="60"/>
        <v>Apr</v>
      </c>
      <c r="J821" s="2">
        <f t="shared" si="61"/>
        <v>4</v>
      </c>
      <c r="K821" s="2">
        <f t="shared" si="62"/>
        <v>2024</v>
      </c>
      <c r="L821" s="2">
        <f t="shared" si="63"/>
        <v>2</v>
      </c>
      <c r="M821" s="4">
        <v>4</v>
      </c>
      <c r="N821" s="4" t="s">
        <v>1953</v>
      </c>
      <c r="O821" s="4" t="s">
        <v>45</v>
      </c>
      <c r="P821" s="5">
        <v>126229</v>
      </c>
      <c r="Q821" s="4"/>
      <c r="R821" s="4"/>
      <c r="S821" s="4" t="s">
        <v>5819</v>
      </c>
      <c r="T821" s="4">
        <v>41.7</v>
      </c>
      <c r="U821" s="4" t="s">
        <v>47</v>
      </c>
      <c r="V821" s="4" t="s">
        <v>137</v>
      </c>
      <c r="W821" s="67" t="str">
        <f t="shared" si="64"/>
        <v>-</v>
      </c>
    </row>
    <row r="822" spans="1:23" x14ac:dyDescent="0.3">
      <c r="A822" s="2" t="s">
        <v>2261</v>
      </c>
      <c r="B822" s="2" t="s">
        <v>2262</v>
      </c>
      <c r="C822" s="2">
        <v>9522363610</v>
      </c>
      <c r="D822" s="2" t="s">
        <v>59</v>
      </c>
      <c r="E822" s="2" t="s">
        <v>33</v>
      </c>
      <c r="F822" s="2" t="s">
        <v>201</v>
      </c>
      <c r="G822" s="2" t="s">
        <v>69</v>
      </c>
      <c r="H822" s="2" t="s">
        <v>1853</v>
      </c>
      <c r="I822" s="2" t="str">
        <f t="shared" si="60"/>
        <v>Apr</v>
      </c>
      <c r="J822" s="2">
        <f t="shared" si="61"/>
        <v>4</v>
      </c>
      <c r="K822" s="2">
        <f t="shared" si="62"/>
        <v>2024</v>
      </c>
      <c r="L822" s="2">
        <f t="shared" si="63"/>
        <v>2</v>
      </c>
      <c r="M822" s="2">
        <v>5</v>
      </c>
      <c r="N822" s="2" t="s">
        <v>2146</v>
      </c>
      <c r="O822" s="2" t="s">
        <v>27</v>
      </c>
      <c r="P822" s="3">
        <v>268145</v>
      </c>
      <c r="Q822" s="2"/>
      <c r="R822" s="2"/>
      <c r="S822" s="2" t="s">
        <v>5819</v>
      </c>
      <c r="T822" s="2">
        <v>11.5</v>
      </c>
      <c r="U822" s="2" t="s">
        <v>47</v>
      </c>
      <c r="V822" s="2"/>
      <c r="W822" s="67" t="str">
        <f t="shared" si="64"/>
        <v>-</v>
      </c>
    </row>
    <row r="823" spans="1:23" x14ac:dyDescent="0.3">
      <c r="A823" s="6" t="s">
        <v>2263</v>
      </c>
      <c r="B823" s="6" t="s">
        <v>1000</v>
      </c>
      <c r="C823" s="6">
        <v>9697097434</v>
      </c>
      <c r="D823" s="6" t="s">
        <v>121</v>
      </c>
      <c r="E823" s="6" t="s">
        <v>1632</v>
      </c>
      <c r="F823" s="6" t="s">
        <v>1659</v>
      </c>
      <c r="G823" s="6" t="s">
        <v>23</v>
      </c>
      <c r="H823" s="6" t="s">
        <v>1853</v>
      </c>
      <c r="I823" s="2" t="str">
        <f t="shared" si="60"/>
        <v>Apr</v>
      </c>
      <c r="J823" s="2">
        <f t="shared" si="61"/>
        <v>4</v>
      </c>
      <c r="K823" s="2">
        <f t="shared" si="62"/>
        <v>2024</v>
      </c>
      <c r="L823" s="2">
        <f t="shared" si="63"/>
        <v>2</v>
      </c>
      <c r="M823" s="6">
        <v>8</v>
      </c>
      <c r="N823" s="6" t="s">
        <v>2131</v>
      </c>
      <c r="O823" s="6" t="s">
        <v>97</v>
      </c>
      <c r="P823" s="7">
        <v>634700</v>
      </c>
      <c r="Q823" s="7">
        <v>566198</v>
      </c>
      <c r="R823" s="6" t="s">
        <v>2264</v>
      </c>
      <c r="S823" s="6" t="s">
        <v>5819</v>
      </c>
      <c r="T823" s="6">
        <v>14.7</v>
      </c>
      <c r="U823" s="6" t="s">
        <v>63</v>
      </c>
      <c r="V823" s="6" t="s">
        <v>341</v>
      </c>
      <c r="W823" s="67" t="str">
        <f t="shared" si="64"/>
        <v>Customer</v>
      </c>
    </row>
    <row r="824" spans="1:23" x14ac:dyDescent="0.3">
      <c r="A824" s="2" t="s">
        <v>2265</v>
      </c>
      <c r="B824" s="2" t="s">
        <v>2266</v>
      </c>
      <c r="C824" s="2">
        <v>9537224982</v>
      </c>
      <c r="D824" s="2" t="s">
        <v>59</v>
      </c>
      <c r="E824" s="2" t="s">
        <v>41</v>
      </c>
      <c r="F824" s="2" t="s">
        <v>92</v>
      </c>
      <c r="G824" s="2" t="s">
        <v>23</v>
      </c>
      <c r="H824" s="2" t="s">
        <v>1853</v>
      </c>
      <c r="I824" s="2" t="str">
        <f t="shared" si="60"/>
        <v>Apr</v>
      </c>
      <c r="J824" s="2">
        <f t="shared" si="61"/>
        <v>4</v>
      </c>
      <c r="K824" s="2">
        <f t="shared" si="62"/>
        <v>2024</v>
      </c>
      <c r="L824" s="2">
        <f t="shared" si="63"/>
        <v>2</v>
      </c>
      <c r="M824" s="2">
        <v>6</v>
      </c>
      <c r="N824" s="2" t="s">
        <v>2208</v>
      </c>
      <c r="O824" s="2" t="s">
        <v>55</v>
      </c>
      <c r="P824" s="2"/>
      <c r="Q824" s="2"/>
      <c r="R824" s="2"/>
      <c r="S824" s="2" t="s">
        <v>5819</v>
      </c>
      <c r="T824" s="2">
        <v>36.6</v>
      </c>
      <c r="U824" s="2" t="s">
        <v>29</v>
      </c>
      <c r="V824" s="2" t="s">
        <v>206</v>
      </c>
      <c r="W824" s="67" t="str">
        <f t="shared" si="64"/>
        <v>-</v>
      </c>
    </row>
    <row r="825" spans="1:23" x14ac:dyDescent="0.3">
      <c r="A825" s="4" t="s">
        <v>2267</v>
      </c>
      <c r="B825" s="4" t="s">
        <v>2268</v>
      </c>
      <c r="C825" s="4">
        <v>9961134201</v>
      </c>
      <c r="D825" s="4" t="s">
        <v>108</v>
      </c>
      <c r="E825" s="4" t="s">
        <v>648</v>
      </c>
      <c r="F825" s="4" t="s">
        <v>899</v>
      </c>
      <c r="G825" s="4" t="s">
        <v>1599</v>
      </c>
      <c r="H825" s="4" t="s">
        <v>1853</v>
      </c>
      <c r="I825" s="2" t="str">
        <f t="shared" si="60"/>
        <v>Apr</v>
      </c>
      <c r="J825" s="2">
        <f t="shared" si="61"/>
        <v>4</v>
      </c>
      <c r="K825" s="2">
        <f t="shared" si="62"/>
        <v>2024</v>
      </c>
      <c r="L825" s="2">
        <f t="shared" si="63"/>
        <v>2</v>
      </c>
      <c r="M825" s="4">
        <v>2</v>
      </c>
      <c r="N825" s="4" t="s">
        <v>1988</v>
      </c>
      <c r="O825" s="4" t="s">
        <v>45</v>
      </c>
      <c r="P825" s="5">
        <v>947565</v>
      </c>
      <c r="Q825" s="4"/>
      <c r="R825" s="4"/>
      <c r="S825" s="4" t="s">
        <v>5819</v>
      </c>
      <c r="T825" s="4">
        <v>45.1</v>
      </c>
      <c r="U825" s="4" t="s">
        <v>47</v>
      </c>
      <c r="V825" s="4"/>
      <c r="W825" s="67" t="str">
        <f t="shared" si="64"/>
        <v>-</v>
      </c>
    </row>
    <row r="826" spans="1:23" x14ac:dyDescent="0.3">
      <c r="A826" s="2" t="s">
        <v>2269</v>
      </c>
      <c r="B826" s="2" t="s">
        <v>2270</v>
      </c>
      <c r="C826" s="2">
        <v>9924198469</v>
      </c>
      <c r="D826" s="2" t="s">
        <v>51</v>
      </c>
      <c r="E826" s="2" t="s">
        <v>109</v>
      </c>
      <c r="F826" s="2" t="s">
        <v>217</v>
      </c>
      <c r="G826" s="2" t="s">
        <v>69</v>
      </c>
      <c r="H826" s="2" t="s">
        <v>1853</v>
      </c>
      <c r="I826" s="2" t="str">
        <f t="shared" si="60"/>
        <v>Apr</v>
      </c>
      <c r="J826" s="2">
        <f t="shared" si="61"/>
        <v>4</v>
      </c>
      <c r="K826" s="2">
        <f t="shared" si="62"/>
        <v>2024</v>
      </c>
      <c r="L826" s="2">
        <f t="shared" si="63"/>
        <v>2</v>
      </c>
      <c r="M826" s="2">
        <v>11</v>
      </c>
      <c r="N826" s="2" t="s">
        <v>2133</v>
      </c>
      <c r="O826" s="2" t="s">
        <v>27</v>
      </c>
      <c r="P826" s="3">
        <v>226378</v>
      </c>
      <c r="Q826" s="2"/>
      <c r="R826" s="2"/>
      <c r="S826" s="2" t="s">
        <v>28</v>
      </c>
      <c r="T826" s="2">
        <v>22.4</v>
      </c>
      <c r="U826" s="2" t="s">
        <v>47</v>
      </c>
      <c r="V826" s="2" t="s">
        <v>38</v>
      </c>
      <c r="W826" s="67" t="str">
        <f t="shared" si="64"/>
        <v>-</v>
      </c>
    </row>
    <row r="827" spans="1:23" x14ac:dyDescent="0.3">
      <c r="A827" s="4" t="s">
        <v>2271</v>
      </c>
      <c r="B827" s="4" t="s">
        <v>2272</v>
      </c>
      <c r="C827" s="4"/>
      <c r="D827" s="4" t="s">
        <v>121</v>
      </c>
      <c r="E827" s="4" t="s">
        <v>67</v>
      </c>
      <c r="F827" s="4" t="s">
        <v>68</v>
      </c>
      <c r="G827" s="4" t="s">
        <v>1609</v>
      </c>
      <c r="H827" s="4" t="s">
        <v>2201</v>
      </c>
      <c r="I827" s="2" t="str">
        <f t="shared" si="60"/>
        <v>Apr</v>
      </c>
      <c r="J827" s="2">
        <f t="shared" si="61"/>
        <v>4</v>
      </c>
      <c r="K827" s="2">
        <f t="shared" si="62"/>
        <v>2024</v>
      </c>
      <c r="L827" s="2">
        <f t="shared" si="63"/>
        <v>2</v>
      </c>
      <c r="M827" s="4">
        <v>9</v>
      </c>
      <c r="N827" s="4" t="s">
        <v>2111</v>
      </c>
      <c r="O827" s="4" t="s">
        <v>27</v>
      </c>
      <c r="P827" s="5">
        <v>397261</v>
      </c>
      <c r="Q827" s="4"/>
      <c r="R827" s="4"/>
      <c r="S827" s="4" t="s">
        <v>28</v>
      </c>
      <c r="T827" s="4">
        <v>45</v>
      </c>
      <c r="U827" s="4" t="s">
        <v>29</v>
      </c>
      <c r="V827" s="4" t="s">
        <v>1363</v>
      </c>
      <c r="W827" s="67" t="str">
        <f t="shared" si="64"/>
        <v>-</v>
      </c>
    </row>
    <row r="828" spans="1:23" x14ac:dyDescent="0.3">
      <c r="A828" s="2" t="s">
        <v>2273</v>
      </c>
      <c r="B828" s="2" t="s">
        <v>2274</v>
      </c>
      <c r="C828" s="2">
        <v>9683761760</v>
      </c>
      <c r="D828" s="2" t="s">
        <v>51</v>
      </c>
      <c r="E828" s="2" t="s">
        <v>1632</v>
      </c>
      <c r="F828" s="2" t="s">
        <v>1659</v>
      </c>
      <c r="G828" s="2" t="s">
        <v>1599</v>
      </c>
      <c r="H828" s="2" t="s">
        <v>2201</v>
      </c>
      <c r="I828" s="2" t="str">
        <f t="shared" si="60"/>
        <v>Apr</v>
      </c>
      <c r="J828" s="2">
        <f t="shared" si="61"/>
        <v>4</v>
      </c>
      <c r="K828" s="2">
        <f t="shared" si="62"/>
        <v>2024</v>
      </c>
      <c r="L828" s="2">
        <f t="shared" si="63"/>
        <v>2</v>
      </c>
      <c r="M828" s="2">
        <v>3</v>
      </c>
      <c r="N828" s="2" t="s">
        <v>2275</v>
      </c>
      <c r="O828" s="2" t="s">
        <v>45</v>
      </c>
      <c r="P828" s="3">
        <v>471676</v>
      </c>
      <c r="Q828" s="2"/>
      <c r="R828" s="2"/>
      <c r="S828" s="2" t="s">
        <v>5819</v>
      </c>
      <c r="T828" s="2">
        <v>11.9</v>
      </c>
      <c r="U828" s="2" t="s">
        <v>47</v>
      </c>
      <c r="V828" s="2" t="s">
        <v>137</v>
      </c>
      <c r="W828" s="67" t="str">
        <f t="shared" si="64"/>
        <v>-</v>
      </c>
    </row>
    <row r="829" spans="1:23" x14ac:dyDescent="0.3">
      <c r="A829" s="4" t="s">
        <v>2276</v>
      </c>
      <c r="B829" s="4" t="s">
        <v>2277</v>
      </c>
      <c r="C829" s="4">
        <v>9137720016</v>
      </c>
      <c r="D829" s="4" t="s">
        <v>121</v>
      </c>
      <c r="E829" s="4" t="s">
        <v>1632</v>
      </c>
      <c r="F829" s="4" t="s">
        <v>1849</v>
      </c>
      <c r="G829" s="4" t="s">
        <v>60</v>
      </c>
      <c r="H829" s="4" t="s">
        <v>2201</v>
      </c>
      <c r="I829" s="2" t="str">
        <f t="shared" si="60"/>
        <v>Apr</v>
      </c>
      <c r="J829" s="2">
        <f t="shared" si="61"/>
        <v>4</v>
      </c>
      <c r="K829" s="2">
        <f t="shared" si="62"/>
        <v>2024</v>
      </c>
      <c r="L829" s="2">
        <f t="shared" si="63"/>
        <v>2</v>
      </c>
      <c r="M829" s="4">
        <v>7</v>
      </c>
      <c r="N829" s="4" t="s">
        <v>2256</v>
      </c>
      <c r="O829" s="4" t="s">
        <v>45</v>
      </c>
      <c r="P829" s="5">
        <v>79072</v>
      </c>
      <c r="Q829" s="4"/>
      <c r="R829" s="4"/>
      <c r="S829" s="4" t="s">
        <v>5819</v>
      </c>
      <c r="T829" s="4">
        <v>40.200000000000003</v>
      </c>
      <c r="U829" s="4" t="s">
        <v>47</v>
      </c>
      <c r="V829" s="4" t="s">
        <v>302</v>
      </c>
      <c r="W829" s="67" t="str">
        <f t="shared" si="64"/>
        <v>-</v>
      </c>
    </row>
    <row r="830" spans="1:23" x14ac:dyDescent="0.3">
      <c r="A830" s="2" t="s">
        <v>2278</v>
      </c>
      <c r="B830" s="2" t="s">
        <v>2279</v>
      </c>
      <c r="C830" s="2">
        <v>9467638808</v>
      </c>
      <c r="D830" s="2" t="s">
        <v>20</v>
      </c>
      <c r="E830" s="2" t="s">
        <v>73</v>
      </c>
      <c r="F830" s="2" t="s">
        <v>74</v>
      </c>
      <c r="G830" s="2" t="s">
        <v>1599</v>
      </c>
      <c r="H830" s="2" t="s">
        <v>2029</v>
      </c>
      <c r="I830" s="2" t="str">
        <f t="shared" si="60"/>
        <v>May</v>
      </c>
      <c r="J830" s="2">
        <f t="shared" si="61"/>
        <v>5</v>
      </c>
      <c r="K830" s="2">
        <f t="shared" si="62"/>
        <v>2024</v>
      </c>
      <c r="L830" s="2">
        <f t="shared" si="63"/>
        <v>2</v>
      </c>
      <c r="M830" s="2">
        <v>2</v>
      </c>
      <c r="N830" s="2" t="s">
        <v>1953</v>
      </c>
      <c r="O830" s="2" t="s">
        <v>27</v>
      </c>
      <c r="P830" s="3">
        <v>512776</v>
      </c>
      <c r="Q830" s="2"/>
      <c r="R830" s="2"/>
      <c r="S830" s="2" t="s">
        <v>5819</v>
      </c>
      <c r="T830" s="2">
        <v>20.399999999999999</v>
      </c>
      <c r="U830" s="2" t="s">
        <v>29</v>
      </c>
      <c r="V830" s="2" t="s">
        <v>163</v>
      </c>
      <c r="W830" s="67" t="str">
        <f t="shared" si="64"/>
        <v>-</v>
      </c>
    </row>
    <row r="831" spans="1:23" x14ac:dyDescent="0.3">
      <c r="A831" s="4" t="s">
        <v>2280</v>
      </c>
      <c r="B831" s="4" t="s">
        <v>2281</v>
      </c>
      <c r="C831" s="4">
        <v>9508326415</v>
      </c>
      <c r="D831" s="4" t="s">
        <v>108</v>
      </c>
      <c r="E831" s="4" t="s">
        <v>21</v>
      </c>
      <c r="F831" s="4" t="s">
        <v>22</v>
      </c>
      <c r="G831" s="4" t="s">
        <v>52</v>
      </c>
      <c r="H831" s="4" t="s">
        <v>2029</v>
      </c>
      <c r="I831" s="2" t="str">
        <f t="shared" si="60"/>
        <v>May</v>
      </c>
      <c r="J831" s="2">
        <f t="shared" si="61"/>
        <v>5</v>
      </c>
      <c r="K831" s="2">
        <f t="shared" si="62"/>
        <v>2024</v>
      </c>
      <c r="L831" s="2">
        <f t="shared" si="63"/>
        <v>2</v>
      </c>
      <c r="M831" s="4">
        <v>0</v>
      </c>
      <c r="N831" s="4" t="s">
        <v>2275</v>
      </c>
      <c r="O831" s="4" t="s">
        <v>27</v>
      </c>
      <c r="P831" s="5">
        <v>439978</v>
      </c>
      <c r="Q831" s="4"/>
      <c r="R831" s="4"/>
      <c r="S831" s="4" t="s">
        <v>5819</v>
      </c>
      <c r="T831" s="4">
        <v>44.5</v>
      </c>
      <c r="U831" s="4" t="s">
        <v>29</v>
      </c>
      <c r="V831" s="4" t="s">
        <v>30</v>
      </c>
      <c r="W831" s="67" t="str">
        <f t="shared" si="64"/>
        <v>-</v>
      </c>
    </row>
    <row r="832" spans="1:23" x14ac:dyDescent="0.3">
      <c r="A832" s="8" t="s">
        <v>2282</v>
      </c>
      <c r="B832" s="8" t="s">
        <v>1296</v>
      </c>
      <c r="C832" s="8">
        <v>9510794353</v>
      </c>
      <c r="D832" s="8" t="s">
        <v>59</v>
      </c>
      <c r="E832" s="8" t="s">
        <v>648</v>
      </c>
      <c r="F832" s="8" t="s">
        <v>649</v>
      </c>
      <c r="G832" s="8" t="s">
        <v>52</v>
      </c>
      <c r="H832" s="8" t="s">
        <v>2029</v>
      </c>
      <c r="I832" s="2" t="str">
        <f t="shared" si="60"/>
        <v>May</v>
      </c>
      <c r="J832" s="2">
        <f t="shared" si="61"/>
        <v>5</v>
      </c>
      <c r="K832" s="2">
        <f t="shared" si="62"/>
        <v>2024</v>
      </c>
      <c r="L832" s="2">
        <f t="shared" si="63"/>
        <v>2</v>
      </c>
      <c r="M832" s="8">
        <v>7</v>
      </c>
      <c r="N832" s="8" t="s">
        <v>2122</v>
      </c>
      <c r="O832" s="8" t="s">
        <v>97</v>
      </c>
      <c r="P832" s="9">
        <v>502036</v>
      </c>
      <c r="Q832" s="9">
        <v>479664</v>
      </c>
      <c r="R832" s="8" t="s">
        <v>2283</v>
      </c>
      <c r="S832" s="8" t="s">
        <v>1805</v>
      </c>
      <c r="T832" s="8">
        <v>46.1</v>
      </c>
      <c r="U832" s="8" t="s">
        <v>47</v>
      </c>
      <c r="V832" s="8" t="s">
        <v>341</v>
      </c>
      <c r="W832" s="67" t="str">
        <f t="shared" si="64"/>
        <v>Customer</v>
      </c>
    </row>
    <row r="833" spans="1:23" x14ac:dyDescent="0.3">
      <c r="A833" s="4" t="s">
        <v>2284</v>
      </c>
      <c r="B833" s="4" t="s">
        <v>2285</v>
      </c>
      <c r="C833" s="4"/>
      <c r="D833" s="4" t="s">
        <v>59</v>
      </c>
      <c r="E833" s="4" t="s">
        <v>641</v>
      </c>
      <c r="F833" s="4" t="s">
        <v>727</v>
      </c>
      <c r="G833" s="4" t="s">
        <v>52</v>
      </c>
      <c r="H833" s="4" t="s">
        <v>1897</v>
      </c>
      <c r="I833" s="2" t="str">
        <f t="shared" si="60"/>
        <v>May</v>
      </c>
      <c r="J833" s="2">
        <f t="shared" si="61"/>
        <v>5</v>
      </c>
      <c r="K833" s="2">
        <f t="shared" si="62"/>
        <v>2024</v>
      </c>
      <c r="L833" s="2">
        <f t="shared" si="63"/>
        <v>2</v>
      </c>
      <c r="M833" s="4">
        <v>1</v>
      </c>
      <c r="N833" s="4" t="s">
        <v>1992</v>
      </c>
      <c r="O833" s="4" t="s">
        <v>27</v>
      </c>
      <c r="P833" s="5">
        <v>255245</v>
      </c>
      <c r="Q833" s="4"/>
      <c r="R833" s="4"/>
      <c r="S833" s="4" t="s">
        <v>5819</v>
      </c>
      <c r="T833" s="4">
        <v>32.5</v>
      </c>
      <c r="U833" s="4" t="s">
        <v>29</v>
      </c>
      <c r="V833" s="4" t="s">
        <v>2286</v>
      </c>
      <c r="W833" s="67" t="str">
        <f t="shared" si="64"/>
        <v>-</v>
      </c>
    </row>
    <row r="834" spans="1:23" x14ac:dyDescent="0.3">
      <c r="A834" s="8" t="s">
        <v>2287</v>
      </c>
      <c r="B834" s="8" t="s">
        <v>2288</v>
      </c>
      <c r="C834" s="8">
        <v>9530159369</v>
      </c>
      <c r="D834" s="8" t="s">
        <v>59</v>
      </c>
      <c r="E834" s="8" t="s">
        <v>109</v>
      </c>
      <c r="F834" s="8" t="s">
        <v>217</v>
      </c>
      <c r="G834" s="8" t="s">
        <v>23</v>
      </c>
      <c r="H834" s="8" t="s">
        <v>2042</v>
      </c>
      <c r="I834" s="2" t="str">
        <f t="shared" ref="I834:I897" si="65">TEXT(H834,"mmm")</f>
        <v>May</v>
      </c>
      <c r="J834" s="2">
        <f t="shared" ref="J834:J897" si="66">MONTH(H834)</f>
        <v>5</v>
      </c>
      <c r="K834" s="2">
        <f t="shared" ref="K834:K897" si="67">YEAR(H834)</f>
        <v>2024</v>
      </c>
      <c r="L834" s="2">
        <f t="shared" ref="L834:L897" si="68">ROUNDUP(MONTH(H834)/3,0)</f>
        <v>2</v>
      </c>
      <c r="M834" s="8">
        <v>4</v>
      </c>
      <c r="N834" s="8" t="s">
        <v>2283</v>
      </c>
      <c r="O834" s="8" t="s">
        <v>45</v>
      </c>
      <c r="P834" s="9">
        <v>821730</v>
      </c>
      <c r="Q834" s="8"/>
      <c r="R834" s="8"/>
      <c r="S834" s="8" t="s">
        <v>1805</v>
      </c>
      <c r="T834" s="8">
        <v>14.5</v>
      </c>
      <c r="U834" s="8" t="s">
        <v>29</v>
      </c>
      <c r="V834" s="8" t="s">
        <v>247</v>
      </c>
      <c r="W834" s="67" t="str">
        <f t="shared" ref="W834:W897" si="69">IF($O834&lt;&gt;"Converted","-",IF(ISNUMBER(SEARCH("Architect",$F834)),"Architect","Customer"))</f>
        <v>-</v>
      </c>
    </row>
    <row r="835" spans="1:23" x14ac:dyDescent="0.3">
      <c r="A835" s="4" t="s">
        <v>2289</v>
      </c>
      <c r="B835" s="4" t="s">
        <v>2290</v>
      </c>
      <c r="C835" s="4">
        <v>9299875360</v>
      </c>
      <c r="D835" s="4" t="s">
        <v>20</v>
      </c>
      <c r="E835" s="4" t="s">
        <v>41</v>
      </c>
      <c r="F835" s="4" t="s">
        <v>151</v>
      </c>
      <c r="G835" s="4" t="s">
        <v>23</v>
      </c>
      <c r="H835" s="4" t="s">
        <v>2042</v>
      </c>
      <c r="I835" s="2" t="str">
        <f t="shared" si="65"/>
        <v>May</v>
      </c>
      <c r="J835" s="2">
        <f t="shared" si="66"/>
        <v>5</v>
      </c>
      <c r="K835" s="2">
        <f t="shared" si="67"/>
        <v>2024</v>
      </c>
      <c r="L835" s="2">
        <f t="shared" si="68"/>
        <v>2</v>
      </c>
      <c r="M835" s="4">
        <v>7</v>
      </c>
      <c r="N835" s="4" t="s">
        <v>2117</v>
      </c>
      <c r="O835" s="4" t="s">
        <v>45</v>
      </c>
      <c r="P835" s="5">
        <v>512523</v>
      </c>
      <c r="Q835" s="4"/>
      <c r="R835" s="4"/>
      <c r="S835" s="4" t="s">
        <v>5819</v>
      </c>
      <c r="T835" s="4">
        <v>33.299999999999997</v>
      </c>
      <c r="U835" s="4" t="s">
        <v>63</v>
      </c>
      <c r="V835" s="4" t="s">
        <v>260</v>
      </c>
      <c r="W835" s="67" t="str">
        <f t="shared" si="69"/>
        <v>-</v>
      </c>
    </row>
    <row r="836" spans="1:23" x14ac:dyDescent="0.3">
      <c r="A836" s="6" t="s">
        <v>2291</v>
      </c>
      <c r="B836" s="6" t="s">
        <v>2292</v>
      </c>
      <c r="C836" s="6">
        <v>9932706150</v>
      </c>
      <c r="D836" s="6" t="s">
        <v>121</v>
      </c>
      <c r="E836" s="6" t="s">
        <v>41</v>
      </c>
      <c r="F836" s="6" t="s">
        <v>42</v>
      </c>
      <c r="G836" s="6" t="s">
        <v>643</v>
      </c>
      <c r="H836" s="6" t="s">
        <v>2015</v>
      </c>
      <c r="I836" s="2" t="str">
        <f t="shared" si="65"/>
        <v>May</v>
      </c>
      <c r="J836" s="2">
        <f t="shared" si="66"/>
        <v>5</v>
      </c>
      <c r="K836" s="2">
        <f t="shared" si="67"/>
        <v>2024</v>
      </c>
      <c r="L836" s="2">
        <f t="shared" si="68"/>
        <v>2</v>
      </c>
      <c r="M836" s="6">
        <v>9</v>
      </c>
      <c r="N836" s="6" t="s">
        <v>2111</v>
      </c>
      <c r="O836" s="6" t="s">
        <v>97</v>
      </c>
      <c r="P836" s="7">
        <v>1295137</v>
      </c>
      <c r="Q836" s="7">
        <v>1150452</v>
      </c>
      <c r="R836" s="6" t="s">
        <v>2256</v>
      </c>
      <c r="S836" s="6" t="s">
        <v>5819</v>
      </c>
      <c r="T836" s="6">
        <v>7.4</v>
      </c>
      <c r="U836" s="6" t="s">
        <v>63</v>
      </c>
      <c r="V836" s="6" t="s">
        <v>341</v>
      </c>
      <c r="W836" s="67" t="str">
        <f t="shared" si="69"/>
        <v>Customer</v>
      </c>
    </row>
    <row r="837" spans="1:23" x14ac:dyDescent="0.3">
      <c r="A837" s="4" t="s">
        <v>2293</v>
      </c>
      <c r="B837" s="4" t="s">
        <v>2294</v>
      </c>
      <c r="C837" s="4">
        <v>9740167827</v>
      </c>
      <c r="D837" s="4" t="s">
        <v>121</v>
      </c>
      <c r="E837" s="4" t="s">
        <v>33</v>
      </c>
      <c r="F837" s="4" t="s">
        <v>201</v>
      </c>
      <c r="G837" s="4" t="s">
        <v>1599</v>
      </c>
      <c r="H837" s="4" t="s">
        <v>2015</v>
      </c>
      <c r="I837" s="2" t="str">
        <f t="shared" si="65"/>
        <v>May</v>
      </c>
      <c r="J837" s="2">
        <f t="shared" si="66"/>
        <v>5</v>
      </c>
      <c r="K837" s="2">
        <f t="shared" si="67"/>
        <v>2024</v>
      </c>
      <c r="L837" s="2">
        <f t="shared" si="68"/>
        <v>2</v>
      </c>
      <c r="M837" s="4">
        <v>12</v>
      </c>
      <c r="N837" s="4" t="s">
        <v>2295</v>
      </c>
      <c r="O837" s="4" t="s">
        <v>45</v>
      </c>
      <c r="P837" s="5">
        <v>547213</v>
      </c>
      <c r="Q837" s="4"/>
      <c r="R837" s="4"/>
      <c r="S837" s="4" t="s">
        <v>1063</v>
      </c>
      <c r="T837" s="4">
        <v>4.0999999999999996</v>
      </c>
      <c r="U837" s="4" t="s">
        <v>29</v>
      </c>
      <c r="V837" s="4" t="s">
        <v>442</v>
      </c>
      <c r="W837" s="67" t="str">
        <f t="shared" si="69"/>
        <v>-</v>
      </c>
    </row>
    <row r="838" spans="1:23" x14ac:dyDescent="0.3">
      <c r="A838" s="6" t="s">
        <v>2296</v>
      </c>
      <c r="B838" s="6" t="s">
        <v>2297</v>
      </c>
      <c r="C838" s="6">
        <v>9700961387</v>
      </c>
      <c r="D838" s="6" t="s">
        <v>121</v>
      </c>
      <c r="E838" s="6" t="s">
        <v>41</v>
      </c>
      <c r="F838" s="6" t="s">
        <v>92</v>
      </c>
      <c r="G838" s="6" t="s">
        <v>1599</v>
      </c>
      <c r="H838" s="6" t="s">
        <v>1905</v>
      </c>
      <c r="I838" s="2" t="str">
        <f t="shared" si="65"/>
        <v>May</v>
      </c>
      <c r="J838" s="2">
        <f t="shared" si="66"/>
        <v>5</v>
      </c>
      <c r="K838" s="2">
        <f t="shared" si="67"/>
        <v>2024</v>
      </c>
      <c r="L838" s="2">
        <f t="shared" si="68"/>
        <v>2</v>
      </c>
      <c r="M838" s="6">
        <v>7</v>
      </c>
      <c r="N838" s="6" t="s">
        <v>2216</v>
      </c>
      <c r="O838" s="6" t="s">
        <v>97</v>
      </c>
      <c r="P838" s="7">
        <v>834937</v>
      </c>
      <c r="Q838" s="7">
        <v>826880</v>
      </c>
      <c r="R838" s="6" t="s">
        <v>2298</v>
      </c>
      <c r="S838" s="6" t="s">
        <v>1063</v>
      </c>
      <c r="T838" s="6">
        <v>44.9</v>
      </c>
      <c r="U838" s="6" t="s">
        <v>63</v>
      </c>
      <c r="V838" s="6" t="s">
        <v>295</v>
      </c>
      <c r="W838" s="67" t="str">
        <f t="shared" si="69"/>
        <v>Customer</v>
      </c>
    </row>
    <row r="839" spans="1:23" x14ac:dyDescent="0.3">
      <c r="A839" s="6" t="s">
        <v>2299</v>
      </c>
      <c r="B839" s="6" t="s">
        <v>2300</v>
      </c>
      <c r="C839" s="6">
        <v>9891007412</v>
      </c>
      <c r="D839" s="6" t="s">
        <v>51</v>
      </c>
      <c r="E839" s="6" t="s">
        <v>109</v>
      </c>
      <c r="F839" s="6" t="s">
        <v>110</v>
      </c>
      <c r="G839" s="6" t="s">
        <v>643</v>
      </c>
      <c r="H839" s="6" t="s">
        <v>2275</v>
      </c>
      <c r="I839" s="2" t="str">
        <f t="shared" si="65"/>
        <v>May</v>
      </c>
      <c r="J839" s="2">
        <f t="shared" si="66"/>
        <v>5</v>
      </c>
      <c r="K839" s="2">
        <f t="shared" si="67"/>
        <v>2024</v>
      </c>
      <c r="L839" s="2">
        <f t="shared" si="68"/>
        <v>2</v>
      </c>
      <c r="M839" s="6">
        <v>12</v>
      </c>
      <c r="N839" s="6" t="s">
        <v>2256</v>
      </c>
      <c r="O839" s="6" t="s">
        <v>97</v>
      </c>
      <c r="P839" s="7">
        <v>689924</v>
      </c>
      <c r="Q839" s="7">
        <v>672752</v>
      </c>
      <c r="R839" s="6" t="s">
        <v>2226</v>
      </c>
      <c r="S839" s="6" t="s">
        <v>5819</v>
      </c>
      <c r="T839" s="6">
        <v>3.1</v>
      </c>
      <c r="U839" s="6" t="s">
        <v>63</v>
      </c>
      <c r="V839" s="6"/>
      <c r="W839" s="67" t="str">
        <f t="shared" si="69"/>
        <v>Customer</v>
      </c>
    </row>
    <row r="840" spans="1:23" x14ac:dyDescent="0.3">
      <c r="A840" s="2" t="s">
        <v>2301</v>
      </c>
      <c r="B840" s="2" t="s">
        <v>2302</v>
      </c>
      <c r="C840" s="2">
        <v>9575466049</v>
      </c>
      <c r="D840" s="2" t="s">
        <v>20</v>
      </c>
      <c r="E840" s="2" t="s">
        <v>33</v>
      </c>
      <c r="F840" s="2" t="s">
        <v>201</v>
      </c>
      <c r="G840" s="2" t="s">
        <v>52</v>
      </c>
      <c r="H840" s="2" t="s">
        <v>2275</v>
      </c>
      <c r="I840" s="2" t="str">
        <f t="shared" si="65"/>
        <v>May</v>
      </c>
      <c r="J840" s="2">
        <f t="shared" si="66"/>
        <v>5</v>
      </c>
      <c r="K840" s="2">
        <f t="shared" si="67"/>
        <v>2024</v>
      </c>
      <c r="L840" s="2">
        <f t="shared" si="68"/>
        <v>2</v>
      </c>
      <c r="M840" s="2">
        <v>12</v>
      </c>
      <c r="N840" s="2" t="s">
        <v>2250</v>
      </c>
      <c r="O840" s="2" t="s">
        <v>45</v>
      </c>
      <c r="P840" s="3">
        <v>151021</v>
      </c>
      <c r="Q840" s="2"/>
      <c r="R840" s="2"/>
      <c r="S840" s="2" t="s">
        <v>5819</v>
      </c>
      <c r="T840" s="2">
        <v>22.2</v>
      </c>
      <c r="U840" s="2" t="s">
        <v>47</v>
      </c>
      <c r="V840" s="2"/>
      <c r="W840" s="67" t="str">
        <f t="shared" si="69"/>
        <v>-</v>
      </c>
    </row>
    <row r="841" spans="1:23" x14ac:dyDescent="0.3">
      <c r="A841" s="4" t="s">
        <v>2303</v>
      </c>
      <c r="B841" s="4" t="s">
        <v>1187</v>
      </c>
      <c r="C841" s="4"/>
      <c r="D841" s="4" t="s">
        <v>108</v>
      </c>
      <c r="E841" s="4" t="s">
        <v>67</v>
      </c>
      <c r="F841" s="4" t="s">
        <v>68</v>
      </c>
      <c r="G841" s="4" t="s">
        <v>35</v>
      </c>
      <c r="H841" s="4" t="s">
        <v>1992</v>
      </c>
      <c r="I841" s="2" t="str">
        <f t="shared" si="65"/>
        <v>May</v>
      </c>
      <c r="J841" s="2">
        <f t="shared" si="66"/>
        <v>5</v>
      </c>
      <c r="K841" s="2">
        <f t="shared" si="67"/>
        <v>2024</v>
      </c>
      <c r="L841" s="2">
        <f t="shared" si="68"/>
        <v>2</v>
      </c>
      <c r="M841" s="4">
        <v>4</v>
      </c>
      <c r="N841" s="4" t="s">
        <v>2259</v>
      </c>
      <c r="O841" s="4" t="s">
        <v>55</v>
      </c>
      <c r="P841" s="5">
        <v>317388</v>
      </c>
      <c r="Q841" s="4"/>
      <c r="R841" s="4"/>
      <c r="S841" s="4" t="s">
        <v>5819</v>
      </c>
      <c r="T841" s="4">
        <v>23.8</v>
      </c>
      <c r="U841" s="4" t="s">
        <v>29</v>
      </c>
      <c r="V841" s="4" t="s">
        <v>439</v>
      </c>
      <c r="W841" s="67" t="str">
        <f t="shared" si="69"/>
        <v>-</v>
      </c>
    </row>
    <row r="842" spans="1:23" x14ac:dyDescent="0.3">
      <c r="A842" s="2" t="s">
        <v>2304</v>
      </c>
      <c r="B842" s="2" t="s">
        <v>2305</v>
      </c>
      <c r="C842" s="2">
        <v>9756413880</v>
      </c>
      <c r="D842" s="2" t="s">
        <v>51</v>
      </c>
      <c r="E842" s="2" t="s">
        <v>648</v>
      </c>
      <c r="F842" s="2" t="s">
        <v>822</v>
      </c>
      <c r="G842" s="2" t="s">
        <v>87</v>
      </c>
      <c r="H842" s="2" t="s">
        <v>1988</v>
      </c>
      <c r="I842" s="2" t="str">
        <f t="shared" si="65"/>
        <v>May</v>
      </c>
      <c r="J842" s="2">
        <f t="shared" si="66"/>
        <v>5</v>
      </c>
      <c r="K842" s="2">
        <f t="shared" si="67"/>
        <v>2024</v>
      </c>
      <c r="L842" s="2">
        <f t="shared" si="68"/>
        <v>2</v>
      </c>
      <c r="M842" s="2">
        <v>2</v>
      </c>
      <c r="N842" s="2" t="s">
        <v>2259</v>
      </c>
      <c r="O842" s="2" t="s">
        <v>27</v>
      </c>
      <c r="P842" s="3">
        <v>253416</v>
      </c>
      <c r="Q842" s="2"/>
      <c r="R842" s="2"/>
      <c r="S842" s="2" t="s">
        <v>5819</v>
      </c>
      <c r="T842" s="2">
        <v>42.5</v>
      </c>
      <c r="U842" s="2" t="s">
        <v>29</v>
      </c>
      <c r="V842" s="2" t="s">
        <v>153</v>
      </c>
      <c r="W842" s="67" t="str">
        <f t="shared" si="69"/>
        <v>-</v>
      </c>
    </row>
    <row r="843" spans="1:23" x14ac:dyDescent="0.3">
      <c r="A843" s="4" t="s">
        <v>2306</v>
      </c>
      <c r="B843" s="4" t="s">
        <v>2307</v>
      </c>
      <c r="C843" s="4">
        <v>9260218791</v>
      </c>
      <c r="D843" s="4" t="s">
        <v>51</v>
      </c>
      <c r="E843" s="4" t="s">
        <v>1632</v>
      </c>
      <c r="F843" s="4" t="s">
        <v>1682</v>
      </c>
      <c r="G843" s="4" t="s">
        <v>23</v>
      </c>
      <c r="H843" s="4" t="s">
        <v>2076</v>
      </c>
      <c r="I843" s="2" t="str">
        <f t="shared" si="65"/>
        <v>May</v>
      </c>
      <c r="J843" s="2">
        <f t="shared" si="66"/>
        <v>5</v>
      </c>
      <c r="K843" s="2">
        <f t="shared" si="67"/>
        <v>2024</v>
      </c>
      <c r="L843" s="2">
        <f t="shared" si="68"/>
        <v>2</v>
      </c>
      <c r="M843" s="4">
        <v>3</v>
      </c>
      <c r="N843" s="4" t="s">
        <v>2308</v>
      </c>
      <c r="O843" s="4" t="s">
        <v>62</v>
      </c>
      <c r="P843" s="5">
        <v>746137</v>
      </c>
      <c r="Q843" s="4"/>
      <c r="R843" s="4"/>
      <c r="S843" s="4" t="s">
        <v>28</v>
      </c>
      <c r="T843" s="4">
        <v>40.299999999999997</v>
      </c>
      <c r="U843" s="4" t="s">
        <v>63</v>
      </c>
      <c r="V843" s="4"/>
      <c r="W843" s="67" t="str">
        <f t="shared" si="69"/>
        <v>-</v>
      </c>
    </row>
    <row r="844" spans="1:23" x14ac:dyDescent="0.3">
      <c r="A844" s="2" t="s">
        <v>2309</v>
      </c>
      <c r="B844" s="2" t="s">
        <v>2310</v>
      </c>
      <c r="C844" s="2">
        <v>9325933645</v>
      </c>
      <c r="D844" s="2" t="s">
        <v>20</v>
      </c>
      <c r="E844" s="2" t="s">
        <v>1632</v>
      </c>
      <c r="F844" s="2" t="s">
        <v>1717</v>
      </c>
      <c r="G844" s="2" t="s">
        <v>23</v>
      </c>
      <c r="H844" s="2" t="s">
        <v>2076</v>
      </c>
      <c r="I844" s="2" t="str">
        <f t="shared" si="65"/>
        <v>May</v>
      </c>
      <c r="J844" s="2">
        <f t="shared" si="66"/>
        <v>5</v>
      </c>
      <c r="K844" s="2">
        <f t="shared" si="67"/>
        <v>2024</v>
      </c>
      <c r="L844" s="2">
        <f t="shared" si="68"/>
        <v>2</v>
      </c>
      <c r="M844" s="2">
        <v>3</v>
      </c>
      <c r="N844" s="2" t="s">
        <v>2190</v>
      </c>
      <c r="O844" s="2" t="s">
        <v>27</v>
      </c>
      <c r="P844" s="3">
        <v>635834</v>
      </c>
      <c r="Q844" s="2"/>
      <c r="R844" s="2"/>
      <c r="S844" s="2" t="s">
        <v>5819</v>
      </c>
      <c r="T844" s="2">
        <v>10.1</v>
      </c>
      <c r="U844" s="2" t="s">
        <v>29</v>
      </c>
      <c r="V844" s="2" t="s">
        <v>30</v>
      </c>
      <c r="W844" s="67" t="str">
        <f t="shared" si="69"/>
        <v>-</v>
      </c>
    </row>
    <row r="845" spans="1:23" x14ac:dyDescent="0.3">
      <c r="A845" s="4" t="s">
        <v>2311</v>
      </c>
      <c r="B845" s="4" t="s">
        <v>2312</v>
      </c>
      <c r="C845" s="4">
        <v>9454691010</v>
      </c>
      <c r="D845" s="4" t="s">
        <v>20</v>
      </c>
      <c r="E845" s="4" t="s">
        <v>73</v>
      </c>
      <c r="F845" s="4" t="s">
        <v>126</v>
      </c>
      <c r="G845" s="4" t="s">
        <v>23</v>
      </c>
      <c r="H845" s="4" t="s">
        <v>1989</v>
      </c>
      <c r="I845" s="2" t="str">
        <f t="shared" si="65"/>
        <v>May</v>
      </c>
      <c r="J845" s="2">
        <f t="shared" si="66"/>
        <v>5</v>
      </c>
      <c r="K845" s="2">
        <f t="shared" si="67"/>
        <v>2024</v>
      </c>
      <c r="L845" s="2">
        <f t="shared" si="68"/>
        <v>2</v>
      </c>
      <c r="M845" s="4">
        <v>0</v>
      </c>
      <c r="N845" s="4" t="s">
        <v>2208</v>
      </c>
      <c r="O845" s="4" t="s">
        <v>27</v>
      </c>
      <c r="P845" s="5">
        <v>311427</v>
      </c>
      <c r="Q845" s="4"/>
      <c r="R845" s="4"/>
      <c r="S845" s="4" t="s">
        <v>1063</v>
      </c>
      <c r="T845" s="4">
        <v>23.3</v>
      </c>
      <c r="U845" s="4" t="s">
        <v>29</v>
      </c>
      <c r="V845" s="4" t="s">
        <v>202</v>
      </c>
      <c r="W845" s="67" t="str">
        <f t="shared" si="69"/>
        <v>-</v>
      </c>
    </row>
    <row r="846" spans="1:23" x14ac:dyDescent="0.3">
      <c r="A846" s="6" t="s">
        <v>2313</v>
      </c>
      <c r="B846" s="6" t="s">
        <v>2314</v>
      </c>
      <c r="C846" s="6">
        <v>9617385129</v>
      </c>
      <c r="D846" s="6" t="s">
        <v>108</v>
      </c>
      <c r="E846" s="6" t="s">
        <v>67</v>
      </c>
      <c r="F846" s="6" t="s">
        <v>68</v>
      </c>
      <c r="G846" s="6" t="s">
        <v>52</v>
      </c>
      <c r="H846" s="6" t="s">
        <v>2153</v>
      </c>
      <c r="I846" s="2" t="str">
        <f t="shared" si="65"/>
        <v>May</v>
      </c>
      <c r="J846" s="2">
        <f t="shared" si="66"/>
        <v>5</v>
      </c>
      <c r="K846" s="2">
        <f t="shared" si="67"/>
        <v>2024</v>
      </c>
      <c r="L846" s="2">
        <f t="shared" si="68"/>
        <v>2</v>
      </c>
      <c r="M846" s="6">
        <v>3</v>
      </c>
      <c r="N846" s="6" t="s">
        <v>2206</v>
      </c>
      <c r="O846" s="6" t="s">
        <v>97</v>
      </c>
      <c r="P846" s="7">
        <v>222407</v>
      </c>
      <c r="Q846" s="7">
        <v>209145</v>
      </c>
      <c r="R846" s="6" t="s">
        <v>2146</v>
      </c>
      <c r="S846" s="6" t="s">
        <v>28</v>
      </c>
      <c r="T846" s="6">
        <v>15.4</v>
      </c>
      <c r="U846" s="6" t="s">
        <v>63</v>
      </c>
      <c r="V846" s="6"/>
      <c r="W846" s="67" t="str">
        <f t="shared" si="69"/>
        <v>Customer</v>
      </c>
    </row>
    <row r="847" spans="1:23" x14ac:dyDescent="0.3">
      <c r="A847" s="4" t="s">
        <v>2315</v>
      </c>
      <c r="B847" s="4" t="s">
        <v>337</v>
      </c>
      <c r="C847" s="4">
        <v>9165370487</v>
      </c>
      <c r="D847" s="4" t="s">
        <v>20</v>
      </c>
      <c r="E847" s="4" t="s">
        <v>641</v>
      </c>
      <c r="F847" s="4" t="s">
        <v>727</v>
      </c>
      <c r="G847" s="4" t="s">
        <v>643</v>
      </c>
      <c r="H847" s="4" t="s">
        <v>2243</v>
      </c>
      <c r="I847" s="2" t="str">
        <f t="shared" si="65"/>
        <v>May</v>
      </c>
      <c r="J847" s="2">
        <f t="shared" si="66"/>
        <v>5</v>
      </c>
      <c r="K847" s="2">
        <f t="shared" si="67"/>
        <v>2024</v>
      </c>
      <c r="L847" s="2">
        <f t="shared" si="68"/>
        <v>2</v>
      </c>
      <c r="M847" s="4">
        <v>5</v>
      </c>
      <c r="N847" s="4" t="s">
        <v>2133</v>
      </c>
      <c r="O847" s="4" t="s">
        <v>27</v>
      </c>
      <c r="P847" s="5">
        <v>1251302</v>
      </c>
      <c r="Q847" s="4"/>
      <c r="R847" s="4"/>
      <c r="S847" s="4" t="s">
        <v>1063</v>
      </c>
      <c r="T847" s="4">
        <v>18.5</v>
      </c>
      <c r="U847" s="4" t="s">
        <v>29</v>
      </c>
      <c r="V847" s="4" t="s">
        <v>105</v>
      </c>
      <c r="W847" s="67" t="str">
        <f t="shared" si="69"/>
        <v>-</v>
      </c>
    </row>
    <row r="848" spans="1:23" x14ac:dyDescent="0.3">
      <c r="A848" s="2" t="s">
        <v>2316</v>
      </c>
      <c r="B848" s="2" t="s">
        <v>297</v>
      </c>
      <c r="C848" s="2">
        <v>9671781603</v>
      </c>
      <c r="D848" s="2" t="s">
        <v>20</v>
      </c>
      <c r="E848" s="2" t="s">
        <v>67</v>
      </c>
      <c r="F848" s="2" t="s">
        <v>68</v>
      </c>
      <c r="G848" s="2" t="s">
        <v>23</v>
      </c>
      <c r="H848" s="2" t="s">
        <v>2208</v>
      </c>
      <c r="I848" s="2" t="str">
        <f t="shared" si="65"/>
        <v>May</v>
      </c>
      <c r="J848" s="2">
        <f t="shared" si="66"/>
        <v>5</v>
      </c>
      <c r="K848" s="2">
        <f t="shared" si="67"/>
        <v>2024</v>
      </c>
      <c r="L848" s="2">
        <f t="shared" si="68"/>
        <v>2</v>
      </c>
      <c r="M848" s="2">
        <v>11</v>
      </c>
      <c r="N848" s="2" t="s">
        <v>2317</v>
      </c>
      <c r="O848" s="2" t="s">
        <v>45</v>
      </c>
      <c r="P848" s="3">
        <v>832514</v>
      </c>
      <c r="Q848" s="2"/>
      <c r="R848" s="2"/>
      <c r="S848" s="2" t="s">
        <v>5819</v>
      </c>
      <c r="T848" s="2">
        <v>24</v>
      </c>
      <c r="U848" s="2" t="s">
        <v>47</v>
      </c>
      <c r="V848" s="2" t="s">
        <v>89</v>
      </c>
      <c r="W848" s="67" t="str">
        <f t="shared" si="69"/>
        <v>-</v>
      </c>
    </row>
    <row r="849" spans="1:23" x14ac:dyDescent="0.3">
      <c r="A849" s="6" t="s">
        <v>2318</v>
      </c>
      <c r="B849" s="6" t="s">
        <v>2215</v>
      </c>
      <c r="C849" s="6">
        <v>9859680301</v>
      </c>
      <c r="D849" s="6" t="s">
        <v>59</v>
      </c>
      <c r="E849" s="6" t="s">
        <v>641</v>
      </c>
      <c r="F849" s="6" t="s">
        <v>727</v>
      </c>
      <c r="G849" s="6" t="s">
        <v>1609</v>
      </c>
      <c r="H849" s="6" t="s">
        <v>2208</v>
      </c>
      <c r="I849" s="2" t="str">
        <f t="shared" si="65"/>
        <v>May</v>
      </c>
      <c r="J849" s="2">
        <f t="shared" si="66"/>
        <v>5</v>
      </c>
      <c r="K849" s="2">
        <f t="shared" si="67"/>
        <v>2024</v>
      </c>
      <c r="L849" s="2">
        <f t="shared" si="68"/>
        <v>2</v>
      </c>
      <c r="M849" s="6">
        <v>12</v>
      </c>
      <c r="N849" s="6" t="s">
        <v>2320</v>
      </c>
      <c r="O849" s="6" t="s">
        <v>97</v>
      </c>
      <c r="P849" s="7">
        <v>347021</v>
      </c>
      <c r="Q849" s="7">
        <v>351701</v>
      </c>
      <c r="R849" s="6" t="s">
        <v>2321</v>
      </c>
      <c r="S849" s="6" t="s">
        <v>28</v>
      </c>
      <c r="T849" s="6">
        <v>28.5</v>
      </c>
      <c r="U849" s="6" t="s">
        <v>63</v>
      </c>
      <c r="V849" s="6" t="s">
        <v>295</v>
      </c>
      <c r="W849" s="67" t="str">
        <f t="shared" si="69"/>
        <v>Customer</v>
      </c>
    </row>
    <row r="850" spans="1:23" x14ac:dyDescent="0.3">
      <c r="A850" s="6" t="s">
        <v>2322</v>
      </c>
      <c r="B850" s="6" t="s">
        <v>2323</v>
      </c>
      <c r="C850" s="6">
        <v>9304465908</v>
      </c>
      <c r="D850" s="6" t="s">
        <v>59</v>
      </c>
      <c r="E850" s="6" t="s">
        <v>41</v>
      </c>
      <c r="F850" s="6" t="s">
        <v>92</v>
      </c>
      <c r="G850" s="6" t="s">
        <v>52</v>
      </c>
      <c r="H850" s="6" t="s">
        <v>2087</v>
      </c>
      <c r="I850" s="2" t="str">
        <f t="shared" si="65"/>
        <v>May</v>
      </c>
      <c r="J850" s="2">
        <f t="shared" si="66"/>
        <v>5</v>
      </c>
      <c r="K850" s="2">
        <f t="shared" si="67"/>
        <v>2024</v>
      </c>
      <c r="L850" s="2">
        <f t="shared" si="68"/>
        <v>2</v>
      </c>
      <c r="M850" s="6">
        <v>8</v>
      </c>
      <c r="N850" s="6" t="s">
        <v>2225</v>
      </c>
      <c r="O850" s="6" t="s">
        <v>97</v>
      </c>
      <c r="P850" s="7">
        <v>540009</v>
      </c>
      <c r="Q850" s="7">
        <v>528012</v>
      </c>
      <c r="R850" s="6" t="s">
        <v>2226</v>
      </c>
      <c r="S850" s="6" t="s">
        <v>1063</v>
      </c>
      <c r="T850" s="6">
        <v>14.5</v>
      </c>
      <c r="U850" s="6" t="s">
        <v>47</v>
      </c>
      <c r="V850" s="6" t="s">
        <v>341</v>
      </c>
      <c r="W850" s="67" t="str">
        <f t="shared" si="69"/>
        <v>Customer</v>
      </c>
    </row>
    <row r="851" spans="1:23" x14ac:dyDescent="0.3">
      <c r="A851" s="4" t="s">
        <v>2324</v>
      </c>
      <c r="B851" s="4" t="s">
        <v>2325</v>
      </c>
      <c r="C851" s="4">
        <v>9760576146</v>
      </c>
      <c r="D851" s="4" t="s">
        <v>51</v>
      </c>
      <c r="E851" s="4" t="s">
        <v>1632</v>
      </c>
      <c r="F851" s="4" t="s">
        <v>1659</v>
      </c>
      <c r="G851" s="4" t="s">
        <v>23</v>
      </c>
      <c r="H851" s="4" t="s">
        <v>2206</v>
      </c>
      <c r="I851" s="2" t="str">
        <f t="shared" si="65"/>
        <v>May</v>
      </c>
      <c r="J851" s="2">
        <f t="shared" si="66"/>
        <v>5</v>
      </c>
      <c r="K851" s="2">
        <f t="shared" si="67"/>
        <v>2024</v>
      </c>
      <c r="L851" s="2">
        <f t="shared" si="68"/>
        <v>2</v>
      </c>
      <c r="M851" s="4">
        <v>3</v>
      </c>
      <c r="N851" s="4" t="s">
        <v>2256</v>
      </c>
      <c r="O851" s="4" t="s">
        <v>62</v>
      </c>
      <c r="P851" s="5">
        <v>661354</v>
      </c>
      <c r="Q851" s="4"/>
      <c r="R851" s="4"/>
      <c r="S851" s="4" t="s">
        <v>28</v>
      </c>
      <c r="T851" s="4">
        <v>45</v>
      </c>
      <c r="U851" s="4" t="s">
        <v>29</v>
      </c>
      <c r="V851" s="4" t="s">
        <v>83</v>
      </c>
      <c r="W851" s="67" t="str">
        <f t="shared" si="69"/>
        <v>-</v>
      </c>
    </row>
    <row r="852" spans="1:23" x14ac:dyDescent="0.3">
      <c r="A852" s="2" t="s">
        <v>2326</v>
      </c>
      <c r="B852" s="2" t="s">
        <v>1090</v>
      </c>
      <c r="C852" s="2"/>
      <c r="D852" s="2" t="s">
        <v>108</v>
      </c>
      <c r="E852" s="2" t="s">
        <v>641</v>
      </c>
      <c r="F852" s="2" t="s">
        <v>717</v>
      </c>
      <c r="G852" s="2" t="s">
        <v>1609</v>
      </c>
      <c r="H852" s="2" t="s">
        <v>2206</v>
      </c>
      <c r="I852" s="2" t="str">
        <f t="shared" si="65"/>
        <v>May</v>
      </c>
      <c r="J852" s="2">
        <f t="shared" si="66"/>
        <v>5</v>
      </c>
      <c r="K852" s="2">
        <f t="shared" si="67"/>
        <v>2024</v>
      </c>
      <c r="L852" s="2">
        <f t="shared" si="68"/>
        <v>2</v>
      </c>
      <c r="M852" s="2">
        <v>12</v>
      </c>
      <c r="N852" s="2" t="s">
        <v>2320</v>
      </c>
      <c r="O852" s="2" t="s">
        <v>27</v>
      </c>
      <c r="P852" s="3">
        <v>219069</v>
      </c>
      <c r="Q852" s="2"/>
      <c r="R852" s="2"/>
      <c r="S852" s="2" t="s">
        <v>28</v>
      </c>
      <c r="T852" s="2">
        <v>43.5</v>
      </c>
      <c r="U852" s="2" t="s">
        <v>47</v>
      </c>
      <c r="V852" s="2" t="s">
        <v>2286</v>
      </c>
      <c r="W852" s="67" t="str">
        <f t="shared" si="69"/>
        <v>-</v>
      </c>
    </row>
    <row r="853" spans="1:23" x14ac:dyDescent="0.3">
      <c r="A853" s="6" t="s">
        <v>2327</v>
      </c>
      <c r="B853" s="6" t="s">
        <v>2328</v>
      </c>
      <c r="C853" s="6">
        <v>9384876123</v>
      </c>
      <c r="D853" s="6" t="s">
        <v>59</v>
      </c>
      <c r="E853" s="6" t="s">
        <v>41</v>
      </c>
      <c r="F853" s="6" t="s">
        <v>151</v>
      </c>
      <c r="G853" s="6" t="s">
        <v>52</v>
      </c>
      <c r="H853" s="6" t="s">
        <v>2190</v>
      </c>
      <c r="I853" s="2" t="str">
        <f t="shared" si="65"/>
        <v>May</v>
      </c>
      <c r="J853" s="2">
        <f t="shared" si="66"/>
        <v>5</v>
      </c>
      <c r="K853" s="2">
        <f t="shared" si="67"/>
        <v>2024</v>
      </c>
      <c r="L853" s="2">
        <f t="shared" si="68"/>
        <v>2</v>
      </c>
      <c r="M853" s="6">
        <v>6</v>
      </c>
      <c r="N853" s="6" t="s">
        <v>2149</v>
      </c>
      <c r="O853" s="6" t="s">
        <v>97</v>
      </c>
      <c r="P853" s="7">
        <v>201635</v>
      </c>
      <c r="Q853" s="7">
        <v>202320</v>
      </c>
      <c r="R853" s="6" t="s">
        <v>2329</v>
      </c>
      <c r="S853" s="6" t="s">
        <v>1063</v>
      </c>
      <c r="T853" s="6">
        <v>7.3</v>
      </c>
      <c r="U853" s="6" t="s">
        <v>47</v>
      </c>
      <c r="V853" s="6" t="s">
        <v>465</v>
      </c>
      <c r="W853" s="67" t="str">
        <f t="shared" si="69"/>
        <v>Architect</v>
      </c>
    </row>
    <row r="854" spans="1:23" x14ac:dyDescent="0.3">
      <c r="A854" s="6" t="s">
        <v>2330</v>
      </c>
      <c r="B854" s="6" t="s">
        <v>410</v>
      </c>
      <c r="C854" s="6">
        <v>9733848221</v>
      </c>
      <c r="D854" s="6" t="s">
        <v>20</v>
      </c>
      <c r="E854" s="6" t="s">
        <v>33</v>
      </c>
      <c r="F854" s="6" t="s">
        <v>201</v>
      </c>
      <c r="G854" s="6" t="s">
        <v>69</v>
      </c>
      <c r="H854" s="6" t="s">
        <v>2190</v>
      </c>
      <c r="I854" s="2" t="str">
        <f t="shared" si="65"/>
        <v>May</v>
      </c>
      <c r="J854" s="2">
        <f t="shared" si="66"/>
        <v>5</v>
      </c>
      <c r="K854" s="2">
        <f t="shared" si="67"/>
        <v>2024</v>
      </c>
      <c r="L854" s="2">
        <f t="shared" si="68"/>
        <v>2</v>
      </c>
      <c r="M854" s="6">
        <v>6</v>
      </c>
      <c r="N854" s="6" t="s">
        <v>2298</v>
      </c>
      <c r="O854" s="6" t="s">
        <v>97</v>
      </c>
      <c r="P854" s="7">
        <v>285368</v>
      </c>
      <c r="Q854" s="7">
        <v>287415</v>
      </c>
      <c r="R854" s="6" t="s">
        <v>2331</v>
      </c>
      <c r="S854" s="6" t="s">
        <v>1063</v>
      </c>
      <c r="T854" s="6">
        <v>40</v>
      </c>
      <c r="U854" s="6" t="s">
        <v>63</v>
      </c>
      <c r="V854" s="6" t="s">
        <v>341</v>
      </c>
      <c r="W854" s="67" t="str">
        <f t="shared" si="69"/>
        <v>Customer</v>
      </c>
    </row>
    <row r="855" spans="1:23" x14ac:dyDescent="0.3">
      <c r="A855" s="4" t="s">
        <v>2332</v>
      </c>
      <c r="B855" s="4" t="s">
        <v>2333</v>
      </c>
      <c r="C855" s="4">
        <v>9853778605</v>
      </c>
      <c r="D855" s="4" t="s">
        <v>20</v>
      </c>
      <c r="E855" s="4" t="s">
        <v>648</v>
      </c>
      <c r="F855" s="4" t="s">
        <v>649</v>
      </c>
      <c r="G855" s="4" t="s">
        <v>1599</v>
      </c>
      <c r="H855" s="4" t="s">
        <v>2190</v>
      </c>
      <c r="I855" s="2" t="str">
        <f t="shared" si="65"/>
        <v>May</v>
      </c>
      <c r="J855" s="2">
        <f t="shared" si="66"/>
        <v>5</v>
      </c>
      <c r="K855" s="2">
        <f t="shared" si="67"/>
        <v>2024</v>
      </c>
      <c r="L855" s="2">
        <f t="shared" si="68"/>
        <v>2</v>
      </c>
      <c r="M855" s="4">
        <v>2</v>
      </c>
      <c r="N855" s="4" t="s">
        <v>2149</v>
      </c>
      <c r="O855" s="4" t="s">
        <v>27</v>
      </c>
      <c r="P855" s="5">
        <v>524826</v>
      </c>
      <c r="Q855" s="4"/>
      <c r="R855" s="4"/>
      <c r="S855" s="4" t="s">
        <v>28</v>
      </c>
      <c r="T855" s="4">
        <v>28.3</v>
      </c>
      <c r="U855" s="4" t="s">
        <v>29</v>
      </c>
      <c r="V855" s="4" t="s">
        <v>118</v>
      </c>
      <c r="W855" s="67" t="str">
        <f t="shared" si="69"/>
        <v>-</v>
      </c>
    </row>
    <row r="856" spans="1:23" x14ac:dyDescent="0.3">
      <c r="A856" s="2" t="s">
        <v>2334</v>
      </c>
      <c r="B856" s="2" t="s">
        <v>1391</v>
      </c>
      <c r="C856" s="2">
        <v>9739838225</v>
      </c>
      <c r="D856" s="2" t="s">
        <v>51</v>
      </c>
      <c r="E856" s="2" t="s">
        <v>67</v>
      </c>
      <c r="F856" s="2" t="s">
        <v>68</v>
      </c>
      <c r="G856" s="2" t="s">
        <v>52</v>
      </c>
      <c r="H856" s="2" t="s">
        <v>2319</v>
      </c>
      <c r="I856" s="2" t="str">
        <f t="shared" si="65"/>
        <v>May</v>
      </c>
      <c r="J856" s="2">
        <f t="shared" si="66"/>
        <v>5</v>
      </c>
      <c r="K856" s="2">
        <f t="shared" si="67"/>
        <v>2024</v>
      </c>
      <c r="L856" s="2">
        <f t="shared" si="68"/>
        <v>2</v>
      </c>
      <c r="M856" s="2">
        <v>0</v>
      </c>
      <c r="N856" s="2" t="s">
        <v>2283</v>
      </c>
      <c r="O856" s="2" t="s">
        <v>45</v>
      </c>
      <c r="P856" s="3">
        <v>236578</v>
      </c>
      <c r="Q856" s="2"/>
      <c r="R856" s="2"/>
      <c r="S856" s="2" t="s">
        <v>28</v>
      </c>
      <c r="T856" s="2">
        <v>21.7</v>
      </c>
      <c r="U856" s="2" t="s">
        <v>47</v>
      </c>
      <c r="V856" s="2" t="s">
        <v>310</v>
      </c>
      <c r="W856" s="67" t="str">
        <f t="shared" si="69"/>
        <v>-</v>
      </c>
    </row>
    <row r="857" spans="1:23" x14ac:dyDescent="0.3">
      <c r="A857" s="4" t="s">
        <v>2335</v>
      </c>
      <c r="B857" s="4" t="s">
        <v>1716</v>
      </c>
      <c r="C857" s="4">
        <v>9449076166</v>
      </c>
      <c r="D857" s="4" t="s">
        <v>121</v>
      </c>
      <c r="E857" s="4" t="s">
        <v>41</v>
      </c>
      <c r="F857" s="4" t="s">
        <v>92</v>
      </c>
      <c r="G857" s="4" t="s">
        <v>52</v>
      </c>
      <c r="H857" s="4" t="s">
        <v>2319</v>
      </c>
      <c r="I857" s="2" t="str">
        <f t="shared" si="65"/>
        <v>May</v>
      </c>
      <c r="J857" s="2">
        <f t="shared" si="66"/>
        <v>5</v>
      </c>
      <c r="K857" s="2">
        <f t="shared" si="67"/>
        <v>2024</v>
      </c>
      <c r="L857" s="2">
        <f t="shared" si="68"/>
        <v>2</v>
      </c>
      <c r="M857" s="4">
        <v>8</v>
      </c>
      <c r="N857" s="4" t="s">
        <v>2264</v>
      </c>
      <c r="O857" s="4" t="s">
        <v>45</v>
      </c>
      <c r="P857" s="5">
        <v>220889</v>
      </c>
      <c r="Q857" s="4"/>
      <c r="R857" s="4"/>
      <c r="S857" s="4" t="s">
        <v>1063</v>
      </c>
      <c r="T857" s="4">
        <v>15.3</v>
      </c>
      <c r="U857" s="4" t="s">
        <v>63</v>
      </c>
      <c r="V857" s="4" t="s">
        <v>335</v>
      </c>
      <c r="W857" s="67" t="str">
        <f t="shared" si="69"/>
        <v>-</v>
      </c>
    </row>
    <row r="858" spans="1:23" x14ac:dyDescent="0.3">
      <c r="A858" s="2" t="s">
        <v>2336</v>
      </c>
      <c r="B858" s="2" t="s">
        <v>2337</v>
      </c>
      <c r="C858" s="2">
        <v>9109386819</v>
      </c>
      <c r="D858" s="2" t="s">
        <v>59</v>
      </c>
      <c r="E858" s="2" t="s">
        <v>641</v>
      </c>
      <c r="F858" s="2" t="s">
        <v>681</v>
      </c>
      <c r="G858" s="2" t="s">
        <v>52</v>
      </c>
      <c r="H858" s="2" t="s">
        <v>2084</v>
      </c>
      <c r="I858" s="2" t="str">
        <f t="shared" si="65"/>
        <v>May</v>
      </c>
      <c r="J858" s="2">
        <f t="shared" si="66"/>
        <v>5</v>
      </c>
      <c r="K858" s="2">
        <f t="shared" si="67"/>
        <v>2024</v>
      </c>
      <c r="L858" s="2">
        <f t="shared" si="68"/>
        <v>2</v>
      </c>
      <c r="M858" s="2">
        <v>10</v>
      </c>
      <c r="N858" s="2" t="s">
        <v>2338</v>
      </c>
      <c r="O858" s="2" t="s">
        <v>45</v>
      </c>
      <c r="P858" s="3">
        <v>292403</v>
      </c>
      <c r="Q858" s="2"/>
      <c r="R858" s="2"/>
      <c r="S858" s="2" t="s">
        <v>28</v>
      </c>
      <c r="T858" s="2">
        <v>38.1</v>
      </c>
      <c r="U858" s="2" t="s">
        <v>63</v>
      </c>
      <c r="V858" s="2" t="s">
        <v>668</v>
      </c>
      <c r="W858" s="67" t="str">
        <f t="shared" si="69"/>
        <v>-</v>
      </c>
    </row>
    <row r="859" spans="1:23" x14ac:dyDescent="0.3">
      <c r="A859" s="4" t="s">
        <v>2339</v>
      </c>
      <c r="B859" s="4" t="s">
        <v>2340</v>
      </c>
      <c r="C859" s="4">
        <v>9934302577</v>
      </c>
      <c r="D859" s="4" t="s">
        <v>59</v>
      </c>
      <c r="E859" s="4" t="s">
        <v>641</v>
      </c>
      <c r="F859" s="4" t="s">
        <v>642</v>
      </c>
      <c r="G859" s="4" t="s">
        <v>1609</v>
      </c>
      <c r="H859" s="4" t="s">
        <v>2122</v>
      </c>
      <c r="I859" s="2" t="str">
        <f t="shared" si="65"/>
        <v>May</v>
      </c>
      <c r="J859" s="2">
        <f t="shared" si="66"/>
        <v>5</v>
      </c>
      <c r="K859" s="2">
        <f t="shared" si="67"/>
        <v>2024</v>
      </c>
      <c r="L859" s="2">
        <f t="shared" si="68"/>
        <v>2</v>
      </c>
      <c r="M859" s="4">
        <v>0</v>
      </c>
      <c r="N859" s="4" t="s">
        <v>2308</v>
      </c>
      <c r="O859" s="4" t="s">
        <v>27</v>
      </c>
      <c r="P859" s="5">
        <v>333342</v>
      </c>
      <c r="Q859" s="4"/>
      <c r="R859" s="4"/>
      <c r="S859" s="4" t="s">
        <v>5819</v>
      </c>
      <c r="T859" s="4">
        <v>10.6</v>
      </c>
      <c r="U859" s="4" t="s">
        <v>29</v>
      </c>
      <c r="V859" s="4" t="s">
        <v>105</v>
      </c>
      <c r="W859" s="67" t="str">
        <f t="shared" si="69"/>
        <v>-</v>
      </c>
    </row>
    <row r="860" spans="1:23" x14ac:dyDescent="0.3">
      <c r="A860" s="2" t="s">
        <v>2341</v>
      </c>
      <c r="B860" s="2" t="s">
        <v>2342</v>
      </c>
      <c r="C860" s="2">
        <v>9686926776</v>
      </c>
      <c r="D860" s="2" t="s">
        <v>108</v>
      </c>
      <c r="E860" s="2" t="s">
        <v>73</v>
      </c>
      <c r="F860" s="2" t="s">
        <v>74</v>
      </c>
      <c r="G860" s="2" t="s">
        <v>52</v>
      </c>
      <c r="H860" s="2" t="s">
        <v>2259</v>
      </c>
      <c r="I860" s="2" t="str">
        <f t="shared" si="65"/>
        <v>May</v>
      </c>
      <c r="J860" s="2">
        <f t="shared" si="66"/>
        <v>5</v>
      </c>
      <c r="K860" s="2">
        <f t="shared" si="67"/>
        <v>2024</v>
      </c>
      <c r="L860" s="2">
        <f t="shared" si="68"/>
        <v>2</v>
      </c>
      <c r="M860" s="2">
        <v>10</v>
      </c>
      <c r="N860" s="2" t="s">
        <v>2320</v>
      </c>
      <c r="O860" s="2" t="s">
        <v>55</v>
      </c>
      <c r="P860" s="3">
        <v>381969</v>
      </c>
      <c r="Q860" s="2"/>
      <c r="R860" s="2"/>
      <c r="S860" s="2" t="s">
        <v>1063</v>
      </c>
      <c r="T860" s="2">
        <v>28.6</v>
      </c>
      <c r="U860" s="2" t="s">
        <v>29</v>
      </c>
      <c r="V860" s="2" t="s">
        <v>389</v>
      </c>
      <c r="W860" s="67" t="str">
        <f t="shared" si="69"/>
        <v>-</v>
      </c>
    </row>
    <row r="861" spans="1:23" x14ac:dyDescent="0.3">
      <c r="A861" s="4" t="s">
        <v>2343</v>
      </c>
      <c r="B861" s="4" t="s">
        <v>2344</v>
      </c>
      <c r="C861" s="4">
        <v>9722767457</v>
      </c>
      <c r="D861" s="4" t="s">
        <v>108</v>
      </c>
      <c r="E861" s="4" t="s">
        <v>648</v>
      </c>
      <c r="F861" s="4" t="s">
        <v>656</v>
      </c>
      <c r="G861" s="4" t="s">
        <v>643</v>
      </c>
      <c r="H861" s="4" t="s">
        <v>2345</v>
      </c>
      <c r="I861" s="2" t="str">
        <f t="shared" si="65"/>
        <v>May</v>
      </c>
      <c r="J861" s="2">
        <f t="shared" si="66"/>
        <v>5</v>
      </c>
      <c r="K861" s="2">
        <f t="shared" si="67"/>
        <v>2024</v>
      </c>
      <c r="L861" s="2">
        <f t="shared" si="68"/>
        <v>2</v>
      </c>
      <c r="M861" s="4">
        <v>1</v>
      </c>
      <c r="N861" s="4" t="s">
        <v>2149</v>
      </c>
      <c r="O861" s="4" t="s">
        <v>27</v>
      </c>
      <c r="P861" s="5">
        <v>1209730</v>
      </c>
      <c r="Q861" s="4"/>
      <c r="R861" s="4"/>
      <c r="S861" s="4" t="s">
        <v>28</v>
      </c>
      <c r="T861" s="4"/>
      <c r="U861" s="4" t="s">
        <v>29</v>
      </c>
      <c r="V861" s="4" t="s">
        <v>123</v>
      </c>
      <c r="W861" s="67" t="str">
        <f t="shared" si="69"/>
        <v>-</v>
      </c>
    </row>
    <row r="862" spans="1:23" x14ac:dyDescent="0.3">
      <c r="A862" s="2" t="s">
        <v>2346</v>
      </c>
      <c r="B862" s="2" t="s">
        <v>2347</v>
      </c>
      <c r="C862" s="2">
        <v>9594717731</v>
      </c>
      <c r="D862" s="2" t="s">
        <v>121</v>
      </c>
      <c r="E862" s="2" t="s">
        <v>67</v>
      </c>
      <c r="F862" s="2" t="s">
        <v>68</v>
      </c>
      <c r="G862" s="2" t="s">
        <v>1621</v>
      </c>
      <c r="H862" s="2" t="s">
        <v>2345</v>
      </c>
      <c r="I862" s="2" t="str">
        <f t="shared" si="65"/>
        <v>May</v>
      </c>
      <c r="J862" s="2">
        <f t="shared" si="66"/>
        <v>5</v>
      </c>
      <c r="K862" s="2">
        <f t="shared" si="67"/>
        <v>2024</v>
      </c>
      <c r="L862" s="2">
        <f t="shared" si="68"/>
        <v>2</v>
      </c>
      <c r="M862" s="2">
        <v>0</v>
      </c>
      <c r="N862" s="2" t="s">
        <v>2348</v>
      </c>
      <c r="O862" s="2" t="s">
        <v>62</v>
      </c>
      <c r="P862" s="3">
        <v>324123</v>
      </c>
      <c r="Q862" s="2"/>
      <c r="R862" s="2"/>
      <c r="S862" s="2" t="s">
        <v>1063</v>
      </c>
      <c r="T862" s="2">
        <v>42.5</v>
      </c>
      <c r="U862" s="2" t="s">
        <v>63</v>
      </c>
      <c r="V862" s="2"/>
      <c r="W862" s="67" t="str">
        <f t="shared" si="69"/>
        <v>-</v>
      </c>
    </row>
    <row r="863" spans="1:23" x14ac:dyDescent="0.3">
      <c r="A863" s="4" t="s">
        <v>2349</v>
      </c>
      <c r="B863" s="4" t="s">
        <v>1997</v>
      </c>
      <c r="C863" s="4">
        <v>9549669742</v>
      </c>
      <c r="D863" s="4" t="s">
        <v>121</v>
      </c>
      <c r="E863" s="4" t="s">
        <v>41</v>
      </c>
      <c r="F863" s="4" t="s">
        <v>151</v>
      </c>
      <c r="G863" s="4" t="s">
        <v>616</v>
      </c>
      <c r="H863" s="4" t="s">
        <v>2283</v>
      </c>
      <c r="I863" s="2" t="str">
        <f t="shared" si="65"/>
        <v>May</v>
      </c>
      <c r="J863" s="2">
        <f t="shared" si="66"/>
        <v>5</v>
      </c>
      <c r="K863" s="2">
        <f t="shared" si="67"/>
        <v>2024</v>
      </c>
      <c r="L863" s="2">
        <f t="shared" si="68"/>
        <v>2</v>
      </c>
      <c r="M863" s="4">
        <v>12</v>
      </c>
      <c r="N863" s="4" t="s">
        <v>2181</v>
      </c>
      <c r="O863" s="4" t="s">
        <v>27</v>
      </c>
      <c r="P863" s="5">
        <v>124436</v>
      </c>
      <c r="Q863" s="4"/>
      <c r="R863" s="4"/>
      <c r="S863" s="4" t="s">
        <v>5819</v>
      </c>
      <c r="T863" s="4">
        <v>26.3</v>
      </c>
      <c r="U863" s="4" t="s">
        <v>29</v>
      </c>
      <c r="V863" s="4" t="s">
        <v>153</v>
      </c>
      <c r="W863" s="67" t="str">
        <f t="shared" si="69"/>
        <v>-</v>
      </c>
    </row>
    <row r="864" spans="1:23" x14ac:dyDescent="0.3">
      <c r="A864" s="2" t="s">
        <v>2350</v>
      </c>
      <c r="B864" s="2" t="s">
        <v>2351</v>
      </c>
      <c r="C864" s="2">
        <v>9381516573</v>
      </c>
      <c r="D864" s="2" t="s">
        <v>20</v>
      </c>
      <c r="E864" s="2" t="s">
        <v>109</v>
      </c>
      <c r="F864" s="2" t="s">
        <v>331</v>
      </c>
      <c r="G864" s="2" t="s">
        <v>69</v>
      </c>
      <c r="H864" s="2" t="s">
        <v>2117</v>
      </c>
      <c r="I864" s="2" t="str">
        <f t="shared" si="65"/>
        <v>Jun</v>
      </c>
      <c r="J864" s="2">
        <f t="shared" si="66"/>
        <v>6</v>
      </c>
      <c r="K864" s="2">
        <f t="shared" si="67"/>
        <v>2024</v>
      </c>
      <c r="L864" s="2">
        <f t="shared" si="68"/>
        <v>2</v>
      </c>
      <c r="M864" s="2">
        <v>4</v>
      </c>
      <c r="N864" s="2" t="s">
        <v>2352</v>
      </c>
      <c r="O864" s="2" t="s">
        <v>27</v>
      </c>
      <c r="P864" s="3">
        <v>139948</v>
      </c>
      <c r="Q864" s="2"/>
      <c r="R864" s="2"/>
      <c r="S864" s="2" t="s">
        <v>1063</v>
      </c>
      <c r="T864" s="2">
        <v>43.8</v>
      </c>
      <c r="U864" s="2" t="s">
        <v>29</v>
      </c>
      <c r="V864" s="2" t="s">
        <v>153</v>
      </c>
      <c r="W864" s="67" t="str">
        <f t="shared" si="69"/>
        <v>-</v>
      </c>
    </row>
    <row r="865" spans="1:23" x14ac:dyDescent="0.3">
      <c r="A865" s="4" t="s">
        <v>2353</v>
      </c>
      <c r="B865" s="4" t="s">
        <v>181</v>
      </c>
      <c r="C865" s="4">
        <v>9713793422</v>
      </c>
      <c r="D865" s="4" t="s">
        <v>20</v>
      </c>
      <c r="E865" s="4" t="s">
        <v>67</v>
      </c>
      <c r="F865" s="4" t="s">
        <v>68</v>
      </c>
      <c r="G865" s="4" t="s">
        <v>643</v>
      </c>
      <c r="H865" s="4" t="s">
        <v>2117</v>
      </c>
      <c r="I865" s="2" t="str">
        <f t="shared" si="65"/>
        <v>Jun</v>
      </c>
      <c r="J865" s="2">
        <f t="shared" si="66"/>
        <v>6</v>
      </c>
      <c r="K865" s="2">
        <f t="shared" si="67"/>
        <v>2024</v>
      </c>
      <c r="L865" s="2">
        <f t="shared" si="68"/>
        <v>2</v>
      </c>
      <c r="M865" s="4">
        <v>4</v>
      </c>
      <c r="N865" s="4" t="s">
        <v>2354</v>
      </c>
      <c r="O865" s="4" t="s">
        <v>27</v>
      </c>
      <c r="P865" s="5">
        <v>794145</v>
      </c>
      <c r="Q865" s="4"/>
      <c r="R865" s="4"/>
      <c r="S865" s="4" t="s">
        <v>5819</v>
      </c>
      <c r="T865" s="4">
        <v>9.8000000000000007</v>
      </c>
      <c r="U865" s="4" t="s">
        <v>29</v>
      </c>
      <c r="V865" s="4" t="s">
        <v>163</v>
      </c>
      <c r="W865" s="67" t="str">
        <f t="shared" si="69"/>
        <v>-</v>
      </c>
    </row>
    <row r="866" spans="1:23" x14ac:dyDescent="0.3">
      <c r="A866" s="8" t="s">
        <v>2355</v>
      </c>
      <c r="B866" s="8" t="s">
        <v>216</v>
      </c>
      <c r="C866" s="8">
        <v>9215921670</v>
      </c>
      <c r="D866" s="8" t="s">
        <v>59</v>
      </c>
      <c r="E866" s="8" t="s">
        <v>41</v>
      </c>
      <c r="F866" s="8" t="s">
        <v>151</v>
      </c>
      <c r="G866" s="8" t="s">
        <v>23</v>
      </c>
      <c r="H866" s="8" t="s">
        <v>2117</v>
      </c>
      <c r="I866" s="2" t="str">
        <f t="shared" si="65"/>
        <v>Jun</v>
      </c>
      <c r="J866" s="2">
        <f t="shared" si="66"/>
        <v>6</v>
      </c>
      <c r="K866" s="2">
        <f t="shared" si="67"/>
        <v>2024</v>
      </c>
      <c r="L866" s="2">
        <f t="shared" si="68"/>
        <v>2</v>
      </c>
      <c r="M866" s="8">
        <v>10</v>
      </c>
      <c r="N866" s="8" t="s">
        <v>2352</v>
      </c>
      <c r="O866" s="8" t="s">
        <v>55</v>
      </c>
      <c r="P866" s="9">
        <v>449919</v>
      </c>
      <c r="Q866" s="8"/>
      <c r="R866" s="8"/>
      <c r="S866" s="8" t="s">
        <v>1805</v>
      </c>
      <c r="T866" s="8">
        <v>12.7</v>
      </c>
      <c r="U866" s="8" t="s">
        <v>29</v>
      </c>
      <c r="V866" s="8" t="s">
        <v>613</v>
      </c>
      <c r="W866" s="67" t="str">
        <f t="shared" si="69"/>
        <v>-</v>
      </c>
    </row>
    <row r="867" spans="1:23" x14ac:dyDescent="0.3">
      <c r="A867" s="4" t="s">
        <v>2356</v>
      </c>
      <c r="B867" s="4" t="s">
        <v>2357</v>
      </c>
      <c r="C867" s="4">
        <v>9792543112</v>
      </c>
      <c r="D867" s="4" t="s">
        <v>108</v>
      </c>
      <c r="E867" s="4" t="s">
        <v>641</v>
      </c>
      <c r="F867" s="4" t="s">
        <v>727</v>
      </c>
      <c r="G867" s="4" t="s">
        <v>643</v>
      </c>
      <c r="H867" s="4" t="s">
        <v>2348</v>
      </c>
      <c r="I867" s="2" t="str">
        <f t="shared" si="65"/>
        <v>Jun</v>
      </c>
      <c r="J867" s="2">
        <f t="shared" si="66"/>
        <v>6</v>
      </c>
      <c r="K867" s="2">
        <f t="shared" si="67"/>
        <v>2024</v>
      </c>
      <c r="L867" s="2">
        <f t="shared" si="68"/>
        <v>2</v>
      </c>
      <c r="M867" s="4">
        <v>12</v>
      </c>
      <c r="N867" s="4" t="s">
        <v>2358</v>
      </c>
      <c r="O867" s="4" t="s">
        <v>27</v>
      </c>
      <c r="P867" s="5">
        <v>864853</v>
      </c>
      <c r="Q867" s="4"/>
      <c r="R867" s="4"/>
      <c r="S867" s="4" t="s">
        <v>1063</v>
      </c>
      <c r="T867" s="4">
        <v>19.100000000000001</v>
      </c>
      <c r="U867" s="4" t="s">
        <v>29</v>
      </c>
      <c r="V867" s="4" t="s">
        <v>38</v>
      </c>
      <c r="W867" s="67" t="str">
        <f t="shared" si="69"/>
        <v>-</v>
      </c>
    </row>
    <row r="868" spans="1:23" x14ac:dyDescent="0.3">
      <c r="A868" s="6" t="s">
        <v>2359</v>
      </c>
      <c r="B868" s="6" t="s">
        <v>2360</v>
      </c>
      <c r="C868" s="6">
        <v>9694372055</v>
      </c>
      <c r="D868" s="6" t="s">
        <v>59</v>
      </c>
      <c r="E868" s="6" t="s">
        <v>21</v>
      </c>
      <c r="F868" s="6" t="s">
        <v>230</v>
      </c>
      <c r="G868" s="6" t="s">
        <v>87</v>
      </c>
      <c r="H868" s="6" t="s">
        <v>2133</v>
      </c>
      <c r="I868" s="2" t="str">
        <f t="shared" si="65"/>
        <v>Jun</v>
      </c>
      <c r="J868" s="2">
        <f t="shared" si="66"/>
        <v>6</v>
      </c>
      <c r="K868" s="2">
        <f t="shared" si="67"/>
        <v>2024</v>
      </c>
      <c r="L868" s="2">
        <f t="shared" si="68"/>
        <v>2</v>
      </c>
      <c r="M868" s="6">
        <v>11</v>
      </c>
      <c r="N868" s="6" t="s">
        <v>2361</v>
      </c>
      <c r="O868" s="6" t="s">
        <v>97</v>
      </c>
      <c r="P868" s="7">
        <v>282684</v>
      </c>
      <c r="Q868" s="7">
        <v>289139</v>
      </c>
      <c r="R868" s="6" t="s">
        <v>2362</v>
      </c>
      <c r="S868" s="6" t="s">
        <v>5819</v>
      </c>
      <c r="T868" s="6">
        <v>22.1</v>
      </c>
      <c r="U868" s="6" t="s">
        <v>63</v>
      </c>
      <c r="V868" s="6"/>
      <c r="W868" s="67" t="str">
        <f t="shared" si="69"/>
        <v>Customer</v>
      </c>
    </row>
    <row r="869" spans="1:23" x14ac:dyDescent="0.3">
      <c r="A869" s="8" t="s">
        <v>2363</v>
      </c>
      <c r="B869" s="8" t="s">
        <v>2364</v>
      </c>
      <c r="C869" s="8">
        <v>9881896279</v>
      </c>
      <c r="D869" s="8" t="s">
        <v>121</v>
      </c>
      <c r="E869" s="8" t="s">
        <v>33</v>
      </c>
      <c r="F869" s="8" t="s">
        <v>34</v>
      </c>
      <c r="G869" s="8" t="s">
        <v>1609</v>
      </c>
      <c r="H869" s="8" t="s">
        <v>2365</v>
      </c>
      <c r="I869" s="2" t="str">
        <f t="shared" si="65"/>
        <v>Jun</v>
      </c>
      <c r="J869" s="2">
        <f t="shared" si="66"/>
        <v>6</v>
      </c>
      <c r="K869" s="2">
        <f t="shared" si="67"/>
        <v>2024</v>
      </c>
      <c r="L869" s="2">
        <f t="shared" si="68"/>
        <v>2</v>
      </c>
      <c r="M869" s="8">
        <v>1</v>
      </c>
      <c r="N869" s="8" t="s">
        <v>2161</v>
      </c>
      <c r="O869" s="8" t="s">
        <v>55</v>
      </c>
      <c r="P869" s="9">
        <v>367472</v>
      </c>
      <c r="Q869" s="8"/>
      <c r="R869" s="8"/>
      <c r="S869" s="8" t="s">
        <v>1805</v>
      </c>
      <c r="T869" s="8">
        <v>3.1</v>
      </c>
      <c r="U869" s="8" t="s">
        <v>29</v>
      </c>
      <c r="V869" s="8" t="s">
        <v>697</v>
      </c>
      <c r="W869" s="67" t="str">
        <f t="shared" si="69"/>
        <v>-</v>
      </c>
    </row>
    <row r="870" spans="1:23" x14ac:dyDescent="0.3">
      <c r="A870" s="2" t="s">
        <v>2366</v>
      </c>
      <c r="B870" s="2" t="s">
        <v>2367</v>
      </c>
      <c r="C870" s="2">
        <v>9300508459</v>
      </c>
      <c r="D870" s="2" t="s">
        <v>121</v>
      </c>
      <c r="E870" s="2" t="s">
        <v>1632</v>
      </c>
      <c r="F870" s="2" t="s">
        <v>1849</v>
      </c>
      <c r="G870" s="2" t="s">
        <v>643</v>
      </c>
      <c r="H870" s="2" t="s">
        <v>2365</v>
      </c>
      <c r="I870" s="2" t="str">
        <f t="shared" si="65"/>
        <v>Jun</v>
      </c>
      <c r="J870" s="2">
        <f t="shared" si="66"/>
        <v>6</v>
      </c>
      <c r="K870" s="2">
        <f t="shared" si="67"/>
        <v>2024</v>
      </c>
      <c r="L870" s="2">
        <f t="shared" si="68"/>
        <v>2</v>
      </c>
      <c r="M870" s="2">
        <v>0</v>
      </c>
      <c r="N870" s="2" t="s">
        <v>2256</v>
      </c>
      <c r="O870" s="2" t="s">
        <v>45</v>
      </c>
      <c r="P870" s="3">
        <v>1314853</v>
      </c>
      <c r="Q870" s="2"/>
      <c r="R870" s="2"/>
      <c r="S870" s="2" t="s">
        <v>5819</v>
      </c>
      <c r="T870" s="2">
        <v>29.6</v>
      </c>
      <c r="U870" s="2" t="s">
        <v>63</v>
      </c>
      <c r="V870" s="2" t="s">
        <v>64</v>
      </c>
      <c r="W870" s="67" t="str">
        <f t="shared" si="69"/>
        <v>-</v>
      </c>
    </row>
    <row r="871" spans="1:23" x14ac:dyDescent="0.3">
      <c r="A871" s="8" t="s">
        <v>2368</v>
      </c>
      <c r="B871" s="8" t="s">
        <v>2369</v>
      </c>
      <c r="C871" s="8">
        <v>9455846034</v>
      </c>
      <c r="D871" s="8" t="s">
        <v>20</v>
      </c>
      <c r="E871" s="8" t="s">
        <v>1632</v>
      </c>
      <c r="F871" s="8" t="s">
        <v>1717</v>
      </c>
      <c r="G871" s="8" t="s">
        <v>1735</v>
      </c>
      <c r="H871" s="8" t="s">
        <v>2308</v>
      </c>
      <c r="I871" s="2" t="str">
        <f t="shared" si="65"/>
        <v>Jun</v>
      </c>
      <c r="J871" s="2">
        <f t="shared" si="66"/>
        <v>6</v>
      </c>
      <c r="K871" s="2">
        <f t="shared" si="67"/>
        <v>2024</v>
      </c>
      <c r="L871" s="2">
        <f t="shared" si="68"/>
        <v>2</v>
      </c>
      <c r="M871" s="8">
        <v>5</v>
      </c>
      <c r="N871" s="8" t="s">
        <v>2338</v>
      </c>
      <c r="O871" s="8" t="s">
        <v>27</v>
      </c>
      <c r="P871" s="9">
        <v>1515211</v>
      </c>
      <c r="Q871" s="8"/>
      <c r="R871" s="8"/>
      <c r="S871" s="8" t="s">
        <v>1805</v>
      </c>
      <c r="T871" s="8">
        <v>39.4</v>
      </c>
      <c r="U871" s="8" t="s">
        <v>47</v>
      </c>
      <c r="V871" s="8" t="s">
        <v>30</v>
      </c>
      <c r="W871" s="67" t="str">
        <f t="shared" si="69"/>
        <v>-</v>
      </c>
    </row>
    <row r="872" spans="1:23" x14ac:dyDescent="0.3">
      <c r="A872" s="8" t="s">
        <v>2370</v>
      </c>
      <c r="B872" s="8" t="s">
        <v>2371</v>
      </c>
      <c r="C872" s="8">
        <v>9582679659</v>
      </c>
      <c r="D872" s="8" t="s">
        <v>108</v>
      </c>
      <c r="E872" s="8" t="s">
        <v>33</v>
      </c>
      <c r="F872" s="8" t="s">
        <v>102</v>
      </c>
      <c r="G872" s="8" t="s">
        <v>23</v>
      </c>
      <c r="H872" s="8" t="s">
        <v>2256</v>
      </c>
      <c r="I872" s="2" t="str">
        <f t="shared" si="65"/>
        <v>Jun</v>
      </c>
      <c r="J872" s="2">
        <f t="shared" si="66"/>
        <v>6</v>
      </c>
      <c r="K872" s="2">
        <f t="shared" si="67"/>
        <v>2024</v>
      </c>
      <c r="L872" s="2">
        <f t="shared" si="68"/>
        <v>2</v>
      </c>
      <c r="M872" s="8">
        <v>3</v>
      </c>
      <c r="N872" s="8" t="s">
        <v>2358</v>
      </c>
      <c r="O872" s="8" t="s">
        <v>55</v>
      </c>
      <c r="P872" s="9">
        <v>727348</v>
      </c>
      <c r="Q872" s="8"/>
      <c r="R872" s="8"/>
      <c r="S872" s="8" t="s">
        <v>1805</v>
      </c>
      <c r="T872" s="8">
        <v>9.1999999999999993</v>
      </c>
      <c r="U872" s="8" t="s">
        <v>29</v>
      </c>
      <c r="V872" s="8" t="s">
        <v>83</v>
      </c>
      <c r="W872" s="67" t="str">
        <f t="shared" si="69"/>
        <v>-</v>
      </c>
    </row>
    <row r="873" spans="1:23" x14ac:dyDescent="0.3">
      <c r="A873" s="4" t="s">
        <v>2372</v>
      </c>
      <c r="B873" s="4" t="s">
        <v>2373</v>
      </c>
      <c r="C873" s="4">
        <v>9738390187</v>
      </c>
      <c r="D873" s="4" t="s">
        <v>20</v>
      </c>
      <c r="E873" s="4" t="s">
        <v>33</v>
      </c>
      <c r="F873" s="4" t="s">
        <v>34</v>
      </c>
      <c r="G873" s="4" t="s">
        <v>1599</v>
      </c>
      <c r="H873" s="4" t="s">
        <v>2149</v>
      </c>
      <c r="I873" s="2" t="str">
        <f t="shared" si="65"/>
        <v>Jun</v>
      </c>
      <c r="J873" s="2">
        <f t="shared" si="66"/>
        <v>6</v>
      </c>
      <c r="K873" s="2">
        <f t="shared" si="67"/>
        <v>2024</v>
      </c>
      <c r="L873" s="2">
        <f t="shared" si="68"/>
        <v>2</v>
      </c>
      <c r="M873" s="4">
        <v>12</v>
      </c>
      <c r="N873" s="4" t="s">
        <v>2374</v>
      </c>
      <c r="O873" s="4" t="s">
        <v>27</v>
      </c>
      <c r="P873" s="5">
        <v>821882</v>
      </c>
      <c r="Q873" s="4"/>
      <c r="R873" s="4"/>
      <c r="S873" s="4" t="s">
        <v>1063</v>
      </c>
      <c r="T873" s="4">
        <v>43.8</v>
      </c>
      <c r="U873" s="4" t="s">
        <v>29</v>
      </c>
      <c r="V873" s="4" t="s">
        <v>123</v>
      </c>
      <c r="W873" s="67" t="str">
        <f t="shared" si="69"/>
        <v>-</v>
      </c>
    </row>
    <row r="874" spans="1:23" x14ac:dyDescent="0.3">
      <c r="A874" s="2" t="s">
        <v>2375</v>
      </c>
      <c r="B874" s="2" t="s">
        <v>2376</v>
      </c>
      <c r="C874" s="2">
        <v>9207987918</v>
      </c>
      <c r="D874" s="2" t="s">
        <v>59</v>
      </c>
      <c r="E874" s="2" t="s">
        <v>67</v>
      </c>
      <c r="F874" s="2" t="s">
        <v>80</v>
      </c>
      <c r="G874" s="2" t="s">
        <v>23</v>
      </c>
      <c r="H874" s="2" t="s">
        <v>2149</v>
      </c>
      <c r="I874" s="2" t="str">
        <f t="shared" si="65"/>
        <v>Jun</v>
      </c>
      <c r="J874" s="2">
        <f t="shared" si="66"/>
        <v>6</v>
      </c>
      <c r="K874" s="2">
        <f t="shared" si="67"/>
        <v>2024</v>
      </c>
      <c r="L874" s="2">
        <f t="shared" si="68"/>
        <v>2</v>
      </c>
      <c r="M874" s="2">
        <v>4</v>
      </c>
      <c r="N874" s="2" t="s">
        <v>2225</v>
      </c>
      <c r="O874" s="2" t="s">
        <v>62</v>
      </c>
      <c r="P874" s="3">
        <v>719475</v>
      </c>
      <c r="Q874" s="2"/>
      <c r="R874" s="2"/>
      <c r="S874" s="2" t="s">
        <v>28</v>
      </c>
      <c r="T874" s="2">
        <v>5.2</v>
      </c>
      <c r="U874" s="2" t="s">
        <v>63</v>
      </c>
      <c r="V874" s="2" t="s">
        <v>559</v>
      </c>
      <c r="W874" s="67" t="str">
        <f t="shared" si="69"/>
        <v>-</v>
      </c>
    </row>
    <row r="875" spans="1:23" x14ac:dyDescent="0.3">
      <c r="A875" s="8" t="s">
        <v>2377</v>
      </c>
      <c r="B875" s="8" t="s">
        <v>1346</v>
      </c>
      <c r="C875" s="8">
        <v>9732157125</v>
      </c>
      <c r="D875" s="8" t="s">
        <v>20</v>
      </c>
      <c r="E875" s="8" t="s">
        <v>73</v>
      </c>
      <c r="F875" s="8" t="s">
        <v>126</v>
      </c>
      <c r="G875" s="8" t="s">
        <v>1621</v>
      </c>
      <c r="H875" s="8" t="s">
        <v>2149</v>
      </c>
      <c r="I875" s="2" t="str">
        <f t="shared" si="65"/>
        <v>Jun</v>
      </c>
      <c r="J875" s="2">
        <f t="shared" si="66"/>
        <v>6</v>
      </c>
      <c r="K875" s="2">
        <f t="shared" si="67"/>
        <v>2024</v>
      </c>
      <c r="L875" s="2">
        <f t="shared" si="68"/>
        <v>2</v>
      </c>
      <c r="M875" s="8">
        <v>11</v>
      </c>
      <c r="N875" s="8" t="s">
        <v>2378</v>
      </c>
      <c r="O875" s="8" t="s">
        <v>97</v>
      </c>
      <c r="P875" s="9">
        <v>303966</v>
      </c>
      <c r="Q875" s="9">
        <v>306019</v>
      </c>
      <c r="R875" s="8" t="s">
        <v>2379</v>
      </c>
      <c r="S875" s="8" t="s">
        <v>1805</v>
      </c>
      <c r="T875" s="8">
        <v>25.9</v>
      </c>
      <c r="U875" s="8" t="s">
        <v>63</v>
      </c>
      <c r="V875" s="8" t="s">
        <v>243</v>
      </c>
      <c r="W875" s="67" t="str">
        <f t="shared" si="69"/>
        <v>Customer</v>
      </c>
    </row>
    <row r="876" spans="1:23" x14ac:dyDescent="0.3">
      <c r="A876" s="2" t="s">
        <v>2380</v>
      </c>
      <c r="B876" s="2" t="s">
        <v>2381</v>
      </c>
      <c r="C876" s="2">
        <v>9939913662</v>
      </c>
      <c r="D876" s="2" t="s">
        <v>59</v>
      </c>
      <c r="E876" s="2" t="s">
        <v>641</v>
      </c>
      <c r="F876" s="2" t="s">
        <v>727</v>
      </c>
      <c r="G876" s="2" t="s">
        <v>23</v>
      </c>
      <c r="H876" s="2" t="s">
        <v>2236</v>
      </c>
      <c r="I876" s="2" t="str">
        <f t="shared" si="65"/>
        <v>Jun</v>
      </c>
      <c r="J876" s="2">
        <f t="shared" si="66"/>
        <v>6</v>
      </c>
      <c r="K876" s="2">
        <f t="shared" si="67"/>
        <v>2024</v>
      </c>
      <c r="L876" s="2">
        <f t="shared" si="68"/>
        <v>2</v>
      </c>
      <c r="M876" s="2">
        <v>0</v>
      </c>
      <c r="N876" s="2" t="s">
        <v>2264</v>
      </c>
      <c r="O876" s="2" t="s">
        <v>45</v>
      </c>
      <c r="P876" s="3">
        <v>501019</v>
      </c>
      <c r="Q876" s="2"/>
      <c r="R876" s="2"/>
      <c r="S876" s="2" t="s">
        <v>28</v>
      </c>
      <c r="T876" s="2">
        <v>37.700000000000003</v>
      </c>
      <c r="U876" s="2" t="s">
        <v>63</v>
      </c>
      <c r="V876" s="2" t="s">
        <v>668</v>
      </c>
      <c r="W876" s="67" t="str">
        <f t="shared" si="69"/>
        <v>-</v>
      </c>
    </row>
    <row r="877" spans="1:23" x14ac:dyDescent="0.3">
      <c r="A877" s="4" t="s">
        <v>2382</v>
      </c>
      <c r="B877" s="4" t="s">
        <v>2383</v>
      </c>
      <c r="C877" s="4">
        <v>9890788287</v>
      </c>
      <c r="D877" s="4" t="s">
        <v>121</v>
      </c>
      <c r="E877" s="4" t="s">
        <v>1632</v>
      </c>
      <c r="F877" s="4" t="s">
        <v>1694</v>
      </c>
      <c r="G877" s="4" t="s">
        <v>52</v>
      </c>
      <c r="H877" s="4" t="s">
        <v>2236</v>
      </c>
      <c r="I877" s="2" t="str">
        <f t="shared" si="65"/>
        <v>Jun</v>
      </c>
      <c r="J877" s="2">
        <f t="shared" si="66"/>
        <v>6</v>
      </c>
      <c r="K877" s="2">
        <f t="shared" si="67"/>
        <v>2024</v>
      </c>
      <c r="L877" s="2">
        <f t="shared" si="68"/>
        <v>2</v>
      </c>
      <c r="M877" s="4">
        <v>4</v>
      </c>
      <c r="N877" s="4" t="s">
        <v>2384</v>
      </c>
      <c r="O877" s="4" t="s">
        <v>62</v>
      </c>
      <c r="P877" s="5">
        <v>298526</v>
      </c>
      <c r="Q877" s="4"/>
      <c r="R877" s="4"/>
      <c r="S877" s="4" t="s">
        <v>28</v>
      </c>
      <c r="T877" s="4">
        <v>44.9</v>
      </c>
      <c r="U877" s="4" t="s">
        <v>63</v>
      </c>
      <c r="V877" s="4" t="s">
        <v>221</v>
      </c>
      <c r="W877" s="67" t="str">
        <f t="shared" si="69"/>
        <v>-</v>
      </c>
    </row>
    <row r="878" spans="1:23" x14ac:dyDescent="0.3">
      <c r="A878" s="6" t="s">
        <v>2385</v>
      </c>
      <c r="B878" s="6" t="s">
        <v>2386</v>
      </c>
      <c r="C878" s="6">
        <v>9303313908</v>
      </c>
      <c r="D878" s="6" t="s">
        <v>20</v>
      </c>
      <c r="E878" s="6" t="s">
        <v>641</v>
      </c>
      <c r="F878" s="6" t="s">
        <v>727</v>
      </c>
      <c r="G878" s="6" t="s">
        <v>643</v>
      </c>
      <c r="H878" s="6" t="s">
        <v>2354</v>
      </c>
      <c r="I878" s="2" t="str">
        <f t="shared" si="65"/>
        <v>Jun</v>
      </c>
      <c r="J878" s="2">
        <f t="shared" si="66"/>
        <v>6</v>
      </c>
      <c r="K878" s="2">
        <f t="shared" si="67"/>
        <v>2024</v>
      </c>
      <c r="L878" s="2">
        <f t="shared" si="68"/>
        <v>2</v>
      </c>
      <c r="M878" s="6">
        <v>11</v>
      </c>
      <c r="N878" s="6" t="s">
        <v>2387</v>
      </c>
      <c r="O878" s="6" t="s">
        <v>97</v>
      </c>
      <c r="P878" s="7">
        <v>872488</v>
      </c>
      <c r="Q878" s="7">
        <v>862727</v>
      </c>
      <c r="R878" s="6" t="s">
        <v>2388</v>
      </c>
      <c r="S878" s="6" t="s">
        <v>1063</v>
      </c>
      <c r="T878" s="6">
        <v>41.8</v>
      </c>
      <c r="U878" s="6" t="s">
        <v>63</v>
      </c>
      <c r="V878" s="6" t="s">
        <v>341</v>
      </c>
      <c r="W878" s="67" t="str">
        <f t="shared" si="69"/>
        <v>Customer</v>
      </c>
    </row>
    <row r="879" spans="1:23" x14ac:dyDescent="0.3">
      <c r="A879" s="4" t="s">
        <v>2389</v>
      </c>
      <c r="B879" s="4" t="s">
        <v>2390</v>
      </c>
      <c r="C879" s="4">
        <v>9126600019</v>
      </c>
      <c r="D879" s="4" t="s">
        <v>108</v>
      </c>
      <c r="E879" s="4" t="s">
        <v>41</v>
      </c>
      <c r="F879" s="4" t="s">
        <v>42</v>
      </c>
      <c r="G879" s="4" t="s">
        <v>60</v>
      </c>
      <c r="H879" s="4" t="s">
        <v>2184</v>
      </c>
      <c r="I879" s="2" t="str">
        <f t="shared" si="65"/>
        <v>Jun</v>
      </c>
      <c r="J879" s="2">
        <f t="shared" si="66"/>
        <v>6</v>
      </c>
      <c r="K879" s="2">
        <f t="shared" si="67"/>
        <v>2024</v>
      </c>
      <c r="L879" s="2">
        <f t="shared" si="68"/>
        <v>2</v>
      </c>
      <c r="M879" s="4">
        <v>0</v>
      </c>
      <c r="N879" s="4" t="s">
        <v>2181</v>
      </c>
      <c r="O879" s="4" t="s">
        <v>55</v>
      </c>
      <c r="P879" s="5">
        <v>193798</v>
      </c>
      <c r="Q879" s="4"/>
      <c r="R879" s="4"/>
      <c r="S879" s="4" t="s">
        <v>28</v>
      </c>
      <c r="T879" s="4">
        <v>16.399999999999999</v>
      </c>
      <c r="U879" s="4" t="s">
        <v>29</v>
      </c>
      <c r="V879" s="4"/>
      <c r="W879" s="67" t="str">
        <f t="shared" si="69"/>
        <v>-</v>
      </c>
    </row>
    <row r="880" spans="1:23" x14ac:dyDescent="0.3">
      <c r="A880" s="6" t="s">
        <v>2392</v>
      </c>
      <c r="B880" s="6" t="s">
        <v>1690</v>
      </c>
      <c r="C880" s="6">
        <v>9156737741</v>
      </c>
      <c r="D880" s="6" t="s">
        <v>108</v>
      </c>
      <c r="E880" s="6" t="s">
        <v>67</v>
      </c>
      <c r="F880" s="6" t="s">
        <v>80</v>
      </c>
      <c r="G880" s="6" t="s">
        <v>23</v>
      </c>
      <c r="H880" s="6" t="s">
        <v>2197</v>
      </c>
      <c r="I880" s="2" t="str">
        <f t="shared" si="65"/>
        <v>Jun</v>
      </c>
      <c r="J880" s="2">
        <f t="shared" si="66"/>
        <v>6</v>
      </c>
      <c r="K880" s="2">
        <f t="shared" si="67"/>
        <v>2024</v>
      </c>
      <c r="L880" s="2">
        <f t="shared" si="68"/>
        <v>2</v>
      </c>
      <c r="M880" s="6">
        <v>1</v>
      </c>
      <c r="N880" s="6" t="s">
        <v>2329</v>
      </c>
      <c r="O880" s="6" t="s">
        <v>97</v>
      </c>
      <c r="P880" s="7">
        <v>424640</v>
      </c>
      <c r="Q880" s="7">
        <v>376023</v>
      </c>
      <c r="R880" s="6" t="s">
        <v>2393</v>
      </c>
      <c r="S880" s="6" t="s">
        <v>5819</v>
      </c>
      <c r="T880" s="6">
        <v>28</v>
      </c>
      <c r="U880" s="6" t="s">
        <v>63</v>
      </c>
      <c r="V880" s="6" t="s">
        <v>907</v>
      </c>
      <c r="W880" s="67" t="str">
        <f t="shared" si="69"/>
        <v>Customer</v>
      </c>
    </row>
    <row r="881" spans="1:23" x14ac:dyDescent="0.3">
      <c r="A881" s="4" t="s">
        <v>2394</v>
      </c>
      <c r="B881" s="4" t="s">
        <v>2395</v>
      </c>
      <c r="C881" s="4">
        <v>9309366141</v>
      </c>
      <c r="D881" s="4" t="s">
        <v>108</v>
      </c>
      <c r="E881" s="4" t="s">
        <v>41</v>
      </c>
      <c r="F881" s="4" t="s">
        <v>151</v>
      </c>
      <c r="G881" s="4" t="s">
        <v>69</v>
      </c>
      <c r="H881" s="4" t="s">
        <v>2391</v>
      </c>
      <c r="I881" s="2" t="str">
        <f t="shared" si="65"/>
        <v>Jun</v>
      </c>
      <c r="J881" s="2">
        <f t="shared" si="66"/>
        <v>6</v>
      </c>
      <c r="K881" s="2">
        <f t="shared" si="67"/>
        <v>2024</v>
      </c>
      <c r="L881" s="2">
        <f t="shared" si="68"/>
        <v>2</v>
      </c>
      <c r="M881" s="4">
        <v>12</v>
      </c>
      <c r="N881" s="4" t="s">
        <v>2396</v>
      </c>
      <c r="O881" s="4" t="s">
        <v>45</v>
      </c>
      <c r="P881" s="5">
        <v>143444</v>
      </c>
      <c r="Q881" s="4"/>
      <c r="R881" s="4"/>
      <c r="S881" s="4" t="s">
        <v>5819</v>
      </c>
      <c r="T881" s="4">
        <v>23.7</v>
      </c>
      <c r="U881" s="4" t="s">
        <v>63</v>
      </c>
      <c r="V881" s="4" t="s">
        <v>221</v>
      </c>
      <c r="W881" s="67" t="str">
        <f t="shared" si="69"/>
        <v>-</v>
      </c>
    </row>
    <row r="882" spans="1:23" x14ac:dyDescent="0.3">
      <c r="A882" s="2" t="s">
        <v>2397</v>
      </c>
      <c r="B882" s="2" t="s">
        <v>2398</v>
      </c>
      <c r="C882" s="2">
        <v>9436677834</v>
      </c>
      <c r="D882" s="2" t="s">
        <v>20</v>
      </c>
      <c r="E882" s="2" t="s">
        <v>648</v>
      </c>
      <c r="F882" s="2" t="s">
        <v>899</v>
      </c>
      <c r="G882" s="2" t="s">
        <v>60</v>
      </c>
      <c r="H882" s="2" t="s">
        <v>2391</v>
      </c>
      <c r="I882" s="2" t="str">
        <f t="shared" si="65"/>
        <v>Jun</v>
      </c>
      <c r="J882" s="2">
        <f t="shared" si="66"/>
        <v>6</v>
      </c>
      <c r="K882" s="2">
        <f t="shared" si="67"/>
        <v>2024</v>
      </c>
      <c r="L882" s="2">
        <f t="shared" si="68"/>
        <v>2</v>
      </c>
      <c r="M882" s="2">
        <v>5</v>
      </c>
      <c r="N882" s="2" t="s">
        <v>2352</v>
      </c>
      <c r="O882" s="2" t="s">
        <v>45</v>
      </c>
      <c r="P882" s="3">
        <v>215753</v>
      </c>
      <c r="Q882" s="2"/>
      <c r="R882" s="2"/>
      <c r="S882" s="2" t="s">
        <v>28</v>
      </c>
      <c r="T882" s="2">
        <v>27.7</v>
      </c>
      <c r="U882" s="2" t="s">
        <v>47</v>
      </c>
      <c r="V882" s="2" t="s">
        <v>174</v>
      </c>
      <c r="W882" s="67" t="str">
        <f t="shared" si="69"/>
        <v>-</v>
      </c>
    </row>
    <row r="883" spans="1:23" x14ac:dyDescent="0.3">
      <c r="A883" s="4" t="s">
        <v>2399</v>
      </c>
      <c r="B883" s="4" t="s">
        <v>2249</v>
      </c>
      <c r="C883" s="4">
        <v>9484791405</v>
      </c>
      <c r="D883" s="4" t="s">
        <v>20</v>
      </c>
      <c r="E883" s="4" t="s">
        <v>33</v>
      </c>
      <c r="F883" s="4" t="s">
        <v>34</v>
      </c>
      <c r="G883" s="4" t="s">
        <v>52</v>
      </c>
      <c r="H883" s="4" t="s">
        <v>2391</v>
      </c>
      <c r="I883" s="2" t="str">
        <f t="shared" si="65"/>
        <v>Jun</v>
      </c>
      <c r="J883" s="2">
        <f t="shared" si="66"/>
        <v>6</v>
      </c>
      <c r="K883" s="2">
        <f t="shared" si="67"/>
        <v>2024</v>
      </c>
      <c r="L883" s="2">
        <f t="shared" si="68"/>
        <v>2</v>
      </c>
      <c r="M883" s="4">
        <v>2</v>
      </c>
      <c r="N883" s="4" t="s">
        <v>2400</v>
      </c>
      <c r="O883" s="4" t="s">
        <v>27</v>
      </c>
      <c r="P883" s="5">
        <v>324539</v>
      </c>
      <c r="Q883" s="4"/>
      <c r="R883" s="4"/>
      <c r="S883" s="4" t="s">
        <v>1063</v>
      </c>
      <c r="T883" s="4">
        <v>7</v>
      </c>
      <c r="U883" s="4" t="s">
        <v>29</v>
      </c>
      <c r="V883" s="4" t="s">
        <v>30</v>
      </c>
      <c r="W883" s="67" t="str">
        <f t="shared" si="69"/>
        <v>-</v>
      </c>
    </row>
    <row r="884" spans="1:23" x14ac:dyDescent="0.3">
      <c r="A884" s="2" t="s">
        <v>2401</v>
      </c>
      <c r="B884" s="2" t="s">
        <v>1590</v>
      </c>
      <c r="C884" s="2">
        <v>9355347107</v>
      </c>
      <c r="D884" s="2" t="s">
        <v>108</v>
      </c>
      <c r="E884" s="2" t="s">
        <v>648</v>
      </c>
      <c r="F884" s="2" t="s">
        <v>656</v>
      </c>
      <c r="G884" s="2" t="s">
        <v>616</v>
      </c>
      <c r="H884" s="2" t="s">
        <v>2391</v>
      </c>
      <c r="I884" s="2" t="str">
        <f t="shared" si="65"/>
        <v>Jun</v>
      </c>
      <c r="J884" s="2">
        <f t="shared" si="66"/>
        <v>6</v>
      </c>
      <c r="K884" s="2">
        <f t="shared" si="67"/>
        <v>2024</v>
      </c>
      <c r="L884" s="2">
        <f t="shared" si="68"/>
        <v>2</v>
      </c>
      <c r="M884" s="2">
        <v>6</v>
      </c>
      <c r="N884" s="2" t="s">
        <v>2187</v>
      </c>
      <c r="O884" s="2" t="s">
        <v>27</v>
      </c>
      <c r="P884" s="3">
        <v>348668</v>
      </c>
      <c r="Q884" s="2"/>
      <c r="R884" s="2"/>
      <c r="S884" s="2" t="s">
        <v>5819</v>
      </c>
      <c r="T884" s="2">
        <v>18.399999999999999</v>
      </c>
      <c r="U884" s="2" t="s">
        <v>29</v>
      </c>
      <c r="V884" s="2" t="s">
        <v>238</v>
      </c>
      <c r="W884" s="67" t="str">
        <f t="shared" si="69"/>
        <v>-</v>
      </c>
    </row>
    <row r="885" spans="1:23" x14ac:dyDescent="0.3">
      <c r="A885" s="6" t="s">
        <v>2402</v>
      </c>
      <c r="B885" s="6" t="s">
        <v>1164</v>
      </c>
      <c r="C885" s="6">
        <v>9567940971</v>
      </c>
      <c r="D885" s="6" t="s">
        <v>59</v>
      </c>
      <c r="E885" s="6" t="s">
        <v>109</v>
      </c>
      <c r="F885" s="6" t="s">
        <v>110</v>
      </c>
      <c r="G885" s="6" t="s">
        <v>52</v>
      </c>
      <c r="H885" s="6" t="s">
        <v>2225</v>
      </c>
      <c r="I885" s="2" t="str">
        <f t="shared" si="65"/>
        <v>Jun</v>
      </c>
      <c r="J885" s="2">
        <f t="shared" si="66"/>
        <v>6</v>
      </c>
      <c r="K885" s="2">
        <f t="shared" si="67"/>
        <v>2024</v>
      </c>
      <c r="L885" s="2">
        <f t="shared" si="68"/>
        <v>2</v>
      </c>
      <c r="M885" s="6">
        <v>9</v>
      </c>
      <c r="N885" s="6" t="s">
        <v>2403</v>
      </c>
      <c r="O885" s="6" t="s">
        <v>97</v>
      </c>
      <c r="P885" s="7">
        <v>237197</v>
      </c>
      <c r="Q885" s="7">
        <v>235875</v>
      </c>
      <c r="R885" s="6" t="s">
        <v>2404</v>
      </c>
      <c r="S885" s="6" t="s">
        <v>1063</v>
      </c>
      <c r="T885" s="6">
        <v>43.4</v>
      </c>
      <c r="U885" s="6" t="s">
        <v>63</v>
      </c>
      <c r="V885" s="6" t="s">
        <v>465</v>
      </c>
      <c r="W885" s="67" t="str">
        <f t="shared" si="69"/>
        <v>Customer</v>
      </c>
    </row>
    <row r="886" spans="1:23" x14ac:dyDescent="0.3">
      <c r="A886" s="2" t="s">
        <v>2405</v>
      </c>
      <c r="B886" s="2" t="s">
        <v>935</v>
      </c>
      <c r="C886" s="2">
        <v>9271053100</v>
      </c>
      <c r="D886" s="2" t="s">
        <v>59</v>
      </c>
      <c r="E886" s="2" t="s">
        <v>33</v>
      </c>
      <c r="F886" s="2" t="s">
        <v>102</v>
      </c>
      <c r="G886" s="2" t="s">
        <v>35</v>
      </c>
      <c r="H886" s="2" t="s">
        <v>2131</v>
      </c>
      <c r="I886" s="2" t="str">
        <f t="shared" si="65"/>
        <v>Jun</v>
      </c>
      <c r="J886" s="2">
        <f t="shared" si="66"/>
        <v>6</v>
      </c>
      <c r="K886" s="2">
        <f t="shared" si="67"/>
        <v>2024</v>
      </c>
      <c r="L886" s="2">
        <f t="shared" si="68"/>
        <v>2</v>
      </c>
      <c r="M886" s="2">
        <v>11</v>
      </c>
      <c r="N886" s="2" t="s">
        <v>2406</v>
      </c>
      <c r="O886" s="2" t="s">
        <v>45</v>
      </c>
      <c r="P886" s="3">
        <v>250183</v>
      </c>
      <c r="Q886" s="2"/>
      <c r="R886" s="2"/>
      <c r="S886" s="2" t="s">
        <v>5819</v>
      </c>
      <c r="T886" s="2">
        <v>7.6</v>
      </c>
      <c r="U886" s="2" t="s">
        <v>63</v>
      </c>
      <c r="V886" s="2" t="s">
        <v>260</v>
      </c>
      <c r="W886" s="67" t="str">
        <f t="shared" si="69"/>
        <v>-</v>
      </c>
    </row>
    <row r="887" spans="1:23" x14ac:dyDescent="0.3">
      <c r="A887" s="4" t="s">
        <v>2407</v>
      </c>
      <c r="B887" s="4" t="s">
        <v>2408</v>
      </c>
      <c r="C887" s="4">
        <v>9676203014</v>
      </c>
      <c r="D887" s="4" t="s">
        <v>20</v>
      </c>
      <c r="E887" s="4" t="s">
        <v>109</v>
      </c>
      <c r="F887" s="4" t="s">
        <v>331</v>
      </c>
      <c r="G887" s="4" t="s">
        <v>643</v>
      </c>
      <c r="H887" s="4" t="s">
        <v>2131</v>
      </c>
      <c r="I887" s="2" t="str">
        <f t="shared" si="65"/>
        <v>Jun</v>
      </c>
      <c r="J887" s="2">
        <f t="shared" si="66"/>
        <v>6</v>
      </c>
      <c r="K887" s="2">
        <f t="shared" si="67"/>
        <v>2024</v>
      </c>
      <c r="L887" s="2">
        <f t="shared" si="68"/>
        <v>2</v>
      </c>
      <c r="M887" s="4">
        <v>3</v>
      </c>
      <c r="N887" s="4" t="s">
        <v>2409</v>
      </c>
      <c r="O887" s="4" t="s">
        <v>45</v>
      </c>
      <c r="P887" s="5">
        <v>1290630</v>
      </c>
      <c r="Q887" s="4"/>
      <c r="R887" s="4"/>
      <c r="S887" s="4" t="s">
        <v>5819</v>
      </c>
      <c r="T887" s="4">
        <v>43.8</v>
      </c>
      <c r="U887" s="4" t="s">
        <v>47</v>
      </c>
      <c r="V887" s="4" t="s">
        <v>174</v>
      </c>
      <c r="W887" s="67" t="str">
        <f t="shared" si="69"/>
        <v>-</v>
      </c>
    </row>
    <row r="888" spans="1:23" x14ac:dyDescent="0.3">
      <c r="A888" s="6" t="s">
        <v>2410</v>
      </c>
      <c r="B888" s="6" t="s">
        <v>2411</v>
      </c>
      <c r="C888" s="6">
        <v>9346356379</v>
      </c>
      <c r="D888" s="6" t="s">
        <v>20</v>
      </c>
      <c r="E888" s="6" t="s">
        <v>41</v>
      </c>
      <c r="F888" s="6" t="s">
        <v>92</v>
      </c>
      <c r="G888" s="6" t="s">
        <v>60</v>
      </c>
      <c r="H888" s="6" t="s">
        <v>2131</v>
      </c>
      <c r="I888" s="2" t="str">
        <f t="shared" si="65"/>
        <v>Jun</v>
      </c>
      <c r="J888" s="2">
        <f t="shared" si="66"/>
        <v>6</v>
      </c>
      <c r="K888" s="2">
        <f t="shared" si="67"/>
        <v>2024</v>
      </c>
      <c r="L888" s="2">
        <f t="shared" si="68"/>
        <v>2</v>
      </c>
      <c r="M888" s="6">
        <v>5</v>
      </c>
      <c r="N888" s="6" t="s">
        <v>2412</v>
      </c>
      <c r="O888" s="6" t="s">
        <v>97</v>
      </c>
      <c r="P888" s="7">
        <v>241974</v>
      </c>
      <c r="Q888" s="7">
        <v>217815</v>
      </c>
      <c r="R888" s="6" t="s">
        <v>2413</v>
      </c>
      <c r="S888" s="6" t="s">
        <v>28</v>
      </c>
      <c r="T888" s="6">
        <v>38.299999999999997</v>
      </c>
      <c r="U888" s="6" t="s">
        <v>63</v>
      </c>
      <c r="V888" s="6" t="s">
        <v>113</v>
      </c>
      <c r="W888" s="67" t="str">
        <f t="shared" si="69"/>
        <v>Customer</v>
      </c>
    </row>
    <row r="889" spans="1:23" x14ac:dyDescent="0.3">
      <c r="A889" s="6" t="s">
        <v>2414</v>
      </c>
      <c r="B889" s="6" t="s">
        <v>2415</v>
      </c>
      <c r="C889" s="6">
        <v>9148084413</v>
      </c>
      <c r="D889" s="6" t="s">
        <v>121</v>
      </c>
      <c r="E889" s="6" t="s">
        <v>1632</v>
      </c>
      <c r="F889" s="6" t="s">
        <v>1633</v>
      </c>
      <c r="G889" s="6" t="s">
        <v>616</v>
      </c>
      <c r="H889" s="6" t="s">
        <v>2238</v>
      </c>
      <c r="I889" s="2" t="str">
        <f t="shared" si="65"/>
        <v>Jun</v>
      </c>
      <c r="J889" s="2">
        <f t="shared" si="66"/>
        <v>6</v>
      </c>
      <c r="K889" s="2">
        <f t="shared" si="67"/>
        <v>2024</v>
      </c>
      <c r="L889" s="2">
        <f t="shared" si="68"/>
        <v>2</v>
      </c>
      <c r="M889" s="6">
        <v>11</v>
      </c>
      <c r="N889" s="6" t="s">
        <v>2416</v>
      </c>
      <c r="O889" s="6" t="s">
        <v>97</v>
      </c>
      <c r="P889" s="7">
        <v>172628</v>
      </c>
      <c r="Q889" s="7">
        <v>166862</v>
      </c>
      <c r="R889" s="6" t="s">
        <v>2417</v>
      </c>
      <c r="S889" s="6" t="s">
        <v>28</v>
      </c>
      <c r="T889" s="6">
        <v>41.7</v>
      </c>
      <c r="U889" s="6" t="s">
        <v>63</v>
      </c>
      <c r="V889" s="6" t="s">
        <v>113</v>
      </c>
      <c r="W889" s="67" t="str">
        <f t="shared" si="69"/>
        <v>Customer</v>
      </c>
    </row>
    <row r="890" spans="1:23" x14ac:dyDescent="0.3">
      <c r="A890" s="6" t="s">
        <v>2418</v>
      </c>
      <c r="B890" s="6" t="s">
        <v>2000</v>
      </c>
      <c r="C890" s="6">
        <v>9559021927</v>
      </c>
      <c r="D890" s="6" t="s">
        <v>20</v>
      </c>
      <c r="E890" s="6" t="s">
        <v>1632</v>
      </c>
      <c r="F890" s="6" t="s">
        <v>1682</v>
      </c>
      <c r="G890" s="6" t="s">
        <v>52</v>
      </c>
      <c r="H890" s="6" t="s">
        <v>2238</v>
      </c>
      <c r="I890" s="2" t="str">
        <f t="shared" si="65"/>
        <v>Jun</v>
      </c>
      <c r="J890" s="2">
        <f t="shared" si="66"/>
        <v>6</v>
      </c>
      <c r="K890" s="2">
        <f t="shared" si="67"/>
        <v>2024</v>
      </c>
      <c r="L890" s="2">
        <f t="shared" si="68"/>
        <v>2</v>
      </c>
      <c r="M890" s="6">
        <v>5</v>
      </c>
      <c r="N890" s="6" t="s">
        <v>2419</v>
      </c>
      <c r="O890" s="6" t="s">
        <v>97</v>
      </c>
      <c r="P890" s="7">
        <v>323460</v>
      </c>
      <c r="Q890" s="7">
        <v>314739</v>
      </c>
      <c r="R890" s="6" t="s">
        <v>2217</v>
      </c>
      <c r="S890" s="6" t="s">
        <v>5819</v>
      </c>
      <c r="T890" s="6">
        <v>43.5</v>
      </c>
      <c r="U890" s="6" t="s">
        <v>63</v>
      </c>
      <c r="V890" s="6" t="s">
        <v>907</v>
      </c>
      <c r="W890" s="67" t="str">
        <f t="shared" si="69"/>
        <v>Customer</v>
      </c>
    </row>
    <row r="891" spans="1:23" x14ac:dyDescent="0.3">
      <c r="A891" s="4" t="s">
        <v>2420</v>
      </c>
      <c r="B891" s="4" t="s">
        <v>2421</v>
      </c>
      <c r="C891" s="4">
        <v>9388143722</v>
      </c>
      <c r="D891" s="4" t="s">
        <v>20</v>
      </c>
      <c r="E891" s="4" t="s">
        <v>73</v>
      </c>
      <c r="F891" s="4" t="s">
        <v>126</v>
      </c>
      <c r="G891" s="4" t="s">
        <v>35</v>
      </c>
      <c r="H891" s="4" t="s">
        <v>2238</v>
      </c>
      <c r="I891" s="2" t="str">
        <f t="shared" si="65"/>
        <v>Jun</v>
      </c>
      <c r="J891" s="2">
        <f t="shared" si="66"/>
        <v>6</v>
      </c>
      <c r="K891" s="2">
        <f t="shared" si="67"/>
        <v>2024</v>
      </c>
      <c r="L891" s="2">
        <f t="shared" si="68"/>
        <v>2</v>
      </c>
      <c r="M891" s="4">
        <v>8</v>
      </c>
      <c r="N891" s="4" t="s">
        <v>2422</v>
      </c>
      <c r="O891" s="4" t="s">
        <v>55</v>
      </c>
      <c r="P891" s="5">
        <v>160937</v>
      </c>
      <c r="Q891" s="4"/>
      <c r="R891" s="4"/>
      <c r="S891" s="4" t="s">
        <v>28</v>
      </c>
      <c r="T891" s="4">
        <v>33.700000000000003</v>
      </c>
      <c r="U891" s="4" t="s">
        <v>29</v>
      </c>
      <c r="V891" s="4" t="s">
        <v>247</v>
      </c>
      <c r="W891" s="67" t="str">
        <f t="shared" si="69"/>
        <v>-</v>
      </c>
    </row>
    <row r="892" spans="1:23" x14ac:dyDescent="0.3">
      <c r="A892" s="2" t="s">
        <v>2423</v>
      </c>
      <c r="B892" s="2" t="s">
        <v>2424</v>
      </c>
      <c r="C892" s="2">
        <v>9298328666</v>
      </c>
      <c r="D892" s="2" t="s">
        <v>20</v>
      </c>
      <c r="E892" s="2" t="s">
        <v>33</v>
      </c>
      <c r="F892" s="2" t="s">
        <v>34</v>
      </c>
      <c r="G892" s="2" t="s">
        <v>35</v>
      </c>
      <c r="H892" s="2" t="s">
        <v>2250</v>
      </c>
      <c r="I892" s="2" t="str">
        <f t="shared" si="65"/>
        <v>Jun</v>
      </c>
      <c r="J892" s="2">
        <f t="shared" si="66"/>
        <v>6</v>
      </c>
      <c r="K892" s="2">
        <f t="shared" si="67"/>
        <v>2024</v>
      </c>
      <c r="L892" s="2">
        <f t="shared" si="68"/>
        <v>2</v>
      </c>
      <c r="M892" s="2">
        <v>12</v>
      </c>
      <c r="N892" s="2" t="s">
        <v>2425</v>
      </c>
      <c r="O892" s="2" t="s">
        <v>62</v>
      </c>
      <c r="P892" s="3">
        <v>334173</v>
      </c>
      <c r="Q892" s="2"/>
      <c r="R892" s="2"/>
      <c r="S892" s="2" t="s">
        <v>28</v>
      </c>
      <c r="T892" s="2">
        <v>20.399999999999999</v>
      </c>
      <c r="U892" s="2" t="s">
        <v>47</v>
      </c>
      <c r="V892" s="2" t="s">
        <v>597</v>
      </c>
      <c r="W892" s="67" t="str">
        <f t="shared" si="69"/>
        <v>-</v>
      </c>
    </row>
    <row r="893" spans="1:23" x14ac:dyDescent="0.3">
      <c r="A893" s="4" t="s">
        <v>2426</v>
      </c>
      <c r="B893" s="4" t="s">
        <v>1521</v>
      </c>
      <c r="C893" s="4">
        <v>9999269991</v>
      </c>
      <c r="D893" s="4" t="s">
        <v>121</v>
      </c>
      <c r="E893" s="4" t="s">
        <v>648</v>
      </c>
      <c r="F893" s="4" t="s">
        <v>899</v>
      </c>
      <c r="G893" s="4" t="s">
        <v>1599</v>
      </c>
      <c r="H893" s="4" t="s">
        <v>2226</v>
      </c>
      <c r="I893" s="2" t="str">
        <f t="shared" si="65"/>
        <v>Jun</v>
      </c>
      <c r="J893" s="2">
        <f t="shared" si="66"/>
        <v>6</v>
      </c>
      <c r="K893" s="2">
        <f t="shared" si="67"/>
        <v>2024</v>
      </c>
      <c r="L893" s="2">
        <f t="shared" si="68"/>
        <v>2</v>
      </c>
      <c r="M893" s="4">
        <v>0</v>
      </c>
      <c r="N893" s="4" t="s">
        <v>2427</v>
      </c>
      <c r="O893" s="4" t="s">
        <v>55</v>
      </c>
      <c r="P893" s="5">
        <v>694171</v>
      </c>
      <c r="Q893" s="4"/>
      <c r="R893" s="4"/>
      <c r="S893" s="4" t="s">
        <v>1063</v>
      </c>
      <c r="T893" s="4">
        <v>36.9</v>
      </c>
      <c r="U893" s="4" t="s">
        <v>29</v>
      </c>
      <c r="V893" s="4" t="s">
        <v>187</v>
      </c>
      <c r="W893" s="67" t="str">
        <f t="shared" si="69"/>
        <v>-</v>
      </c>
    </row>
    <row r="894" spans="1:23" x14ac:dyDescent="0.3">
      <c r="A894" s="2" t="s">
        <v>2428</v>
      </c>
      <c r="B894" s="2" t="s">
        <v>2429</v>
      </c>
      <c r="C894" s="2">
        <v>9666086673</v>
      </c>
      <c r="D894" s="2" t="s">
        <v>20</v>
      </c>
      <c r="E894" s="2" t="s">
        <v>1632</v>
      </c>
      <c r="F894" s="2" t="s">
        <v>1849</v>
      </c>
      <c r="G894" s="2" t="s">
        <v>60</v>
      </c>
      <c r="H894" s="2" t="s">
        <v>2226</v>
      </c>
      <c r="I894" s="2" t="str">
        <f t="shared" si="65"/>
        <v>Jun</v>
      </c>
      <c r="J894" s="2">
        <f t="shared" si="66"/>
        <v>6</v>
      </c>
      <c r="K894" s="2">
        <f t="shared" si="67"/>
        <v>2024</v>
      </c>
      <c r="L894" s="2">
        <f t="shared" si="68"/>
        <v>2</v>
      </c>
      <c r="M894" s="2">
        <v>4</v>
      </c>
      <c r="N894" s="2" t="s">
        <v>2317</v>
      </c>
      <c r="O894" s="2" t="s">
        <v>27</v>
      </c>
      <c r="P894" s="3">
        <v>149693</v>
      </c>
      <c r="Q894" s="2"/>
      <c r="R894" s="2"/>
      <c r="S894" s="2" t="s">
        <v>5819</v>
      </c>
      <c r="T894" s="2">
        <v>42.4</v>
      </c>
      <c r="U894" s="2" t="s">
        <v>29</v>
      </c>
      <c r="V894" s="2" t="s">
        <v>157</v>
      </c>
      <c r="W894" s="67" t="str">
        <f t="shared" si="69"/>
        <v>-</v>
      </c>
    </row>
    <row r="895" spans="1:23" x14ac:dyDescent="0.3">
      <c r="A895" s="4" t="s">
        <v>2430</v>
      </c>
      <c r="B895" s="4" t="s">
        <v>2431</v>
      </c>
      <c r="C895" s="4">
        <v>9178142594</v>
      </c>
      <c r="D895" s="4" t="s">
        <v>59</v>
      </c>
      <c r="E895" s="4" t="s">
        <v>1632</v>
      </c>
      <c r="F895" s="4" t="s">
        <v>1694</v>
      </c>
      <c r="G895" s="4" t="s">
        <v>35</v>
      </c>
      <c r="H895" s="4" t="s">
        <v>2329</v>
      </c>
      <c r="I895" s="2" t="str">
        <f t="shared" si="65"/>
        <v>Jun</v>
      </c>
      <c r="J895" s="2">
        <f t="shared" si="66"/>
        <v>6</v>
      </c>
      <c r="K895" s="2">
        <f t="shared" si="67"/>
        <v>2024</v>
      </c>
      <c r="L895" s="2">
        <f t="shared" si="68"/>
        <v>2</v>
      </c>
      <c r="M895" s="4">
        <v>3</v>
      </c>
      <c r="N895" s="4" t="s">
        <v>2320</v>
      </c>
      <c r="O895" s="4" t="s">
        <v>27</v>
      </c>
      <c r="P895" s="5">
        <v>129466</v>
      </c>
      <c r="Q895" s="4"/>
      <c r="R895" s="4"/>
      <c r="S895" s="4" t="s">
        <v>5819</v>
      </c>
      <c r="T895" s="4">
        <v>24</v>
      </c>
      <c r="U895" s="4" t="s">
        <v>29</v>
      </c>
      <c r="V895" s="4" t="s">
        <v>163</v>
      </c>
      <c r="W895" s="67" t="str">
        <f t="shared" si="69"/>
        <v>-</v>
      </c>
    </row>
    <row r="896" spans="1:23" x14ac:dyDescent="0.3">
      <c r="A896" s="2" t="s">
        <v>2432</v>
      </c>
      <c r="B896" s="2" t="s">
        <v>2433</v>
      </c>
      <c r="C896" s="2">
        <v>9640479208</v>
      </c>
      <c r="D896" s="2" t="s">
        <v>20</v>
      </c>
      <c r="E896" s="2" t="s">
        <v>641</v>
      </c>
      <c r="F896" s="2" t="s">
        <v>727</v>
      </c>
      <c r="G896" s="2" t="s">
        <v>1609</v>
      </c>
      <c r="H896" s="2" t="s">
        <v>2329</v>
      </c>
      <c r="I896" s="2" t="str">
        <f t="shared" si="65"/>
        <v>Jun</v>
      </c>
      <c r="J896" s="2">
        <f t="shared" si="66"/>
        <v>6</v>
      </c>
      <c r="K896" s="2">
        <f t="shared" si="67"/>
        <v>2024</v>
      </c>
      <c r="L896" s="2">
        <f t="shared" si="68"/>
        <v>2</v>
      </c>
      <c r="M896" s="2">
        <v>2</v>
      </c>
      <c r="N896" s="2" t="s">
        <v>2298</v>
      </c>
      <c r="O896" s="2" t="s">
        <v>27</v>
      </c>
      <c r="P896" s="2"/>
      <c r="Q896" s="2"/>
      <c r="R896" s="2"/>
      <c r="S896" s="2" t="s">
        <v>28</v>
      </c>
      <c r="T896" s="2">
        <v>2.2999999999999998</v>
      </c>
      <c r="U896" s="2" t="s">
        <v>47</v>
      </c>
      <c r="V896" s="2"/>
      <c r="W896" s="67" t="str">
        <f t="shared" si="69"/>
        <v>-</v>
      </c>
    </row>
    <row r="897" spans="1:23" x14ac:dyDescent="0.3">
      <c r="A897" s="4" t="s">
        <v>2434</v>
      </c>
      <c r="B897" s="4" t="s">
        <v>2435</v>
      </c>
      <c r="C897" s="4">
        <v>9104942961</v>
      </c>
      <c r="D897" s="4" t="s">
        <v>20</v>
      </c>
      <c r="E897" s="4" t="s">
        <v>1632</v>
      </c>
      <c r="F897" s="4" t="s">
        <v>1694</v>
      </c>
      <c r="G897" s="4" t="s">
        <v>69</v>
      </c>
      <c r="H897" s="4" t="s">
        <v>2436</v>
      </c>
      <c r="I897" s="2" t="str">
        <f t="shared" si="65"/>
        <v>Jul</v>
      </c>
      <c r="J897" s="2">
        <f t="shared" si="66"/>
        <v>7</v>
      </c>
      <c r="K897" s="2">
        <f t="shared" si="67"/>
        <v>2024</v>
      </c>
      <c r="L897" s="2">
        <f t="shared" si="68"/>
        <v>3</v>
      </c>
      <c r="M897" s="4">
        <v>1</v>
      </c>
      <c r="N897" s="4" t="s">
        <v>2217</v>
      </c>
      <c r="O897" s="4" t="s">
        <v>55</v>
      </c>
      <c r="P897" s="5">
        <v>338656</v>
      </c>
      <c r="Q897" s="4"/>
      <c r="R897" s="4"/>
      <c r="S897" s="4" t="s">
        <v>1063</v>
      </c>
      <c r="T897" s="4">
        <v>3.1</v>
      </c>
      <c r="U897" s="4" t="s">
        <v>47</v>
      </c>
      <c r="V897" s="4" t="s">
        <v>276</v>
      </c>
      <c r="W897" s="67" t="str">
        <f t="shared" si="69"/>
        <v>-</v>
      </c>
    </row>
    <row r="898" spans="1:23" x14ac:dyDescent="0.3">
      <c r="A898" s="2" t="s">
        <v>2438</v>
      </c>
      <c r="B898" s="2" t="s">
        <v>1864</v>
      </c>
      <c r="C898" s="2">
        <v>9850426644</v>
      </c>
      <c r="D898" s="2" t="s">
        <v>20</v>
      </c>
      <c r="E898" s="2" t="s">
        <v>1632</v>
      </c>
      <c r="F898" s="2" t="s">
        <v>1694</v>
      </c>
      <c r="G898" s="2" t="s">
        <v>1609</v>
      </c>
      <c r="H898" s="2" t="s">
        <v>2436</v>
      </c>
      <c r="I898" s="2" t="str">
        <f t="shared" ref="I898:I961" si="70">TEXT(H898,"mmm")</f>
        <v>Jul</v>
      </c>
      <c r="J898" s="2">
        <f t="shared" ref="J898:J961" si="71">MONTH(H898)</f>
        <v>7</v>
      </c>
      <c r="K898" s="2">
        <f t="shared" ref="K898:K961" si="72">YEAR(H898)</f>
        <v>2024</v>
      </c>
      <c r="L898" s="2">
        <f t="shared" ref="L898:L961" si="73">ROUNDUP(MONTH(H898)/3,0)</f>
        <v>3</v>
      </c>
      <c r="M898" s="2"/>
      <c r="N898" s="2" t="s">
        <v>2439</v>
      </c>
      <c r="O898" s="2" t="s">
        <v>55</v>
      </c>
      <c r="P898" s="3">
        <v>330183</v>
      </c>
      <c r="Q898" s="2"/>
      <c r="R898" s="2"/>
      <c r="S898" s="2" t="s">
        <v>1063</v>
      </c>
      <c r="T898" s="2">
        <v>42.8</v>
      </c>
      <c r="U898" s="2" t="s">
        <v>47</v>
      </c>
      <c r="V898" s="2" t="s">
        <v>174</v>
      </c>
      <c r="W898" s="67" t="str">
        <f t="shared" ref="W898:W961" si="74">IF($O898&lt;&gt;"Converted","-",IF(ISNUMBER(SEARCH("Architect",$F898)),"Architect","Customer"))</f>
        <v>-</v>
      </c>
    </row>
    <row r="899" spans="1:23" x14ac:dyDescent="0.3">
      <c r="A899" s="8" t="s">
        <v>2440</v>
      </c>
      <c r="B899" s="8" t="s">
        <v>2441</v>
      </c>
      <c r="C899" s="8">
        <v>9338976699</v>
      </c>
      <c r="D899" s="8" t="s">
        <v>59</v>
      </c>
      <c r="E899" s="8" t="s">
        <v>67</v>
      </c>
      <c r="F899" s="8" t="s">
        <v>80</v>
      </c>
      <c r="G899" s="8" t="s">
        <v>643</v>
      </c>
      <c r="H899" s="8" t="s">
        <v>2436</v>
      </c>
      <c r="I899" s="2" t="str">
        <f t="shared" si="70"/>
        <v>Jul</v>
      </c>
      <c r="J899" s="2">
        <f t="shared" si="71"/>
        <v>7</v>
      </c>
      <c r="K899" s="2">
        <f t="shared" si="72"/>
        <v>2024</v>
      </c>
      <c r="L899" s="2">
        <f t="shared" si="73"/>
        <v>3</v>
      </c>
      <c r="M899" s="8">
        <v>12</v>
      </c>
      <c r="N899" s="8" t="s">
        <v>2416</v>
      </c>
      <c r="O899" s="8" t="s">
        <v>45</v>
      </c>
      <c r="P899" s="9">
        <v>910004</v>
      </c>
      <c r="Q899" s="8"/>
      <c r="R899" s="8"/>
      <c r="S899" s="8" t="s">
        <v>1805</v>
      </c>
      <c r="T899" s="8">
        <v>33.5</v>
      </c>
      <c r="U899" s="8" t="s">
        <v>47</v>
      </c>
      <c r="V899" s="8" t="s">
        <v>256</v>
      </c>
      <c r="W899" s="67" t="str">
        <f t="shared" si="74"/>
        <v>-</v>
      </c>
    </row>
    <row r="900" spans="1:23" x14ac:dyDescent="0.3">
      <c r="A900" s="6" t="s">
        <v>2442</v>
      </c>
      <c r="B900" s="6" t="s">
        <v>2443</v>
      </c>
      <c r="C900" s="6">
        <v>9815200536</v>
      </c>
      <c r="D900" s="6" t="s">
        <v>20</v>
      </c>
      <c r="E900" s="6" t="s">
        <v>41</v>
      </c>
      <c r="F900" s="6" t="s">
        <v>151</v>
      </c>
      <c r="G900" s="6" t="s">
        <v>35</v>
      </c>
      <c r="H900" s="6" t="s">
        <v>2358</v>
      </c>
      <c r="I900" s="2" t="str">
        <f t="shared" si="70"/>
        <v>Jul</v>
      </c>
      <c r="J900" s="2">
        <f t="shared" si="71"/>
        <v>7</v>
      </c>
      <c r="K900" s="2">
        <f t="shared" si="72"/>
        <v>2024</v>
      </c>
      <c r="L900" s="2">
        <f t="shared" si="73"/>
        <v>3</v>
      </c>
      <c r="M900" s="6">
        <v>12</v>
      </c>
      <c r="N900" s="6" t="s">
        <v>2416</v>
      </c>
      <c r="O900" s="6" t="s">
        <v>97</v>
      </c>
      <c r="P900" s="7">
        <v>196430</v>
      </c>
      <c r="Q900" s="7">
        <v>179134</v>
      </c>
      <c r="R900" s="6" t="s">
        <v>2444</v>
      </c>
      <c r="S900" s="6" t="s">
        <v>1063</v>
      </c>
      <c r="T900" s="6">
        <v>26.4</v>
      </c>
      <c r="U900" s="6" t="s">
        <v>63</v>
      </c>
      <c r="V900" s="6" t="s">
        <v>483</v>
      </c>
      <c r="W900" s="67" t="str">
        <f t="shared" si="74"/>
        <v>Architect</v>
      </c>
    </row>
    <row r="901" spans="1:23" x14ac:dyDescent="0.3">
      <c r="A901" s="8" t="s">
        <v>2445</v>
      </c>
      <c r="B901" s="8" t="s">
        <v>716</v>
      </c>
      <c r="C901" s="8">
        <v>9707301562</v>
      </c>
      <c r="D901" s="8" t="s">
        <v>108</v>
      </c>
      <c r="E901" s="8" t="s">
        <v>41</v>
      </c>
      <c r="F901" s="8" t="s">
        <v>42</v>
      </c>
      <c r="G901" s="8" t="s">
        <v>35</v>
      </c>
      <c r="H901" s="8" t="s">
        <v>2358</v>
      </c>
      <c r="I901" s="2" t="str">
        <f t="shared" si="70"/>
        <v>Jul</v>
      </c>
      <c r="J901" s="2">
        <f t="shared" si="71"/>
        <v>7</v>
      </c>
      <c r="K901" s="2">
        <f t="shared" si="72"/>
        <v>2024</v>
      </c>
      <c r="L901" s="2">
        <f t="shared" si="73"/>
        <v>3</v>
      </c>
      <c r="M901" s="8">
        <v>5</v>
      </c>
      <c r="N901" s="8" t="s">
        <v>2446</v>
      </c>
      <c r="O901" s="8" t="s">
        <v>97</v>
      </c>
      <c r="P901" s="9">
        <v>135217</v>
      </c>
      <c r="Q901" s="9">
        <v>136777</v>
      </c>
      <c r="R901" s="8" t="s">
        <v>2447</v>
      </c>
      <c r="S901" s="8" t="s">
        <v>1805</v>
      </c>
      <c r="T901" s="8">
        <v>32.9</v>
      </c>
      <c r="U901" s="8" t="s">
        <v>63</v>
      </c>
      <c r="V901" s="8" t="s">
        <v>170</v>
      </c>
      <c r="W901" s="67" t="str">
        <f t="shared" si="74"/>
        <v>Customer</v>
      </c>
    </row>
    <row r="902" spans="1:23" x14ac:dyDescent="0.3">
      <c r="A902" s="2" t="s">
        <v>2448</v>
      </c>
      <c r="B902" s="2" t="s">
        <v>2241</v>
      </c>
      <c r="C902" s="2">
        <v>9266952965</v>
      </c>
      <c r="D902" s="2" t="s">
        <v>20</v>
      </c>
      <c r="E902" s="2" t="s">
        <v>641</v>
      </c>
      <c r="F902" s="2" t="s">
        <v>681</v>
      </c>
      <c r="G902" s="2" t="s">
        <v>52</v>
      </c>
      <c r="H902" s="2" t="s">
        <v>2449</v>
      </c>
      <c r="I902" s="2" t="str">
        <f t="shared" si="70"/>
        <v>Jul</v>
      </c>
      <c r="J902" s="2">
        <f t="shared" si="71"/>
        <v>7</v>
      </c>
      <c r="K902" s="2">
        <f t="shared" si="72"/>
        <v>2024</v>
      </c>
      <c r="L902" s="2">
        <f t="shared" si="73"/>
        <v>3</v>
      </c>
      <c r="M902" s="2">
        <v>8</v>
      </c>
      <c r="N902" s="2" t="s">
        <v>2450</v>
      </c>
      <c r="O902" s="2" t="s">
        <v>45</v>
      </c>
      <c r="P902" s="3">
        <v>184099</v>
      </c>
      <c r="Q902" s="2"/>
      <c r="R902" s="2"/>
      <c r="S902" s="2" t="s">
        <v>28</v>
      </c>
      <c r="T902" s="2">
        <v>11</v>
      </c>
      <c r="U902" s="2" t="s">
        <v>63</v>
      </c>
      <c r="V902" s="2" t="s">
        <v>335</v>
      </c>
      <c r="W902" s="67" t="str">
        <f t="shared" si="74"/>
        <v>-</v>
      </c>
    </row>
    <row r="903" spans="1:23" x14ac:dyDescent="0.3">
      <c r="A903" s="6" t="s">
        <v>2451</v>
      </c>
      <c r="B903" s="6" t="s">
        <v>134</v>
      </c>
      <c r="C903" s="6">
        <v>9397424571</v>
      </c>
      <c r="D903" s="6" t="s">
        <v>108</v>
      </c>
      <c r="E903" s="6" t="s">
        <v>1632</v>
      </c>
      <c r="F903" s="6" t="s">
        <v>1659</v>
      </c>
      <c r="G903" s="6" t="s">
        <v>616</v>
      </c>
      <c r="H903" s="6" t="s">
        <v>2437</v>
      </c>
      <c r="I903" s="2" t="str">
        <f t="shared" si="70"/>
        <v>Jul</v>
      </c>
      <c r="J903" s="2">
        <f t="shared" si="71"/>
        <v>7</v>
      </c>
      <c r="K903" s="2">
        <f t="shared" si="72"/>
        <v>2024</v>
      </c>
      <c r="L903" s="2">
        <f t="shared" si="73"/>
        <v>3</v>
      </c>
      <c r="M903" s="6">
        <v>11</v>
      </c>
      <c r="N903" s="6" t="s">
        <v>2379</v>
      </c>
      <c r="O903" s="6" t="s">
        <v>97</v>
      </c>
      <c r="P903" s="7">
        <v>256320</v>
      </c>
      <c r="Q903" s="7">
        <v>254285</v>
      </c>
      <c r="R903" s="6" t="s">
        <v>2452</v>
      </c>
      <c r="S903" s="6" t="s">
        <v>5819</v>
      </c>
      <c r="T903" s="6">
        <v>34</v>
      </c>
      <c r="U903" s="6" t="s">
        <v>63</v>
      </c>
      <c r="V903" s="6" t="s">
        <v>99</v>
      </c>
      <c r="W903" s="67" t="str">
        <f t="shared" si="74"/>
        <v>Customer</v>
      </c>
    </row>
    <row r="904" spans="1:23" x14ac:dyDescent="0.3">
      <c r="A904" s="6" t="s">
        <v>2453</v>
      </c>
      <c r="B904" s="6" t="s">
        <v>1400</v>
      </c>
      <c r="C904" s="6">
        <v>9620377893</v>
      </c>
      <c r="D904" s="6" t="s">
        <v>59</v>
      </c>
      <c r="E904" s="6" t="s">
        <v>33</v>
      </c>
      <c r="F904" s="6" t="s">
        <v>201</v>
      </c>
      <c r="G904" s="6" t="s">
        <v>60</v>
      </c>
      <c r="H904" s="6" t="s">
        <v>2427</v>
      </c>
      <c r="I904" s="2" t="str">
        <f t="shared" si="70"/>
        <v>Jul</v>
      </c>
      <c r="J904" s="2">
        <f t="shared" si="71"/>
        <v>7</v>
      </c>
      <c r="K904" s="2">
        <f t="shared" si="72"/>
        <v>2024</v>
      </c>
      <c r="L904" s="2">
        <f t="shared" si="73"/>
        <v>3</v>
      </c>
      <c r="M904" s="6">
        <v>11</v>
      </c>
      <c r="N904" s="6" t="s">
        <v>2454</v>
      </c>
      <c r="O904" s="6" t="s">
        <v>97</v>
      </c>
      <c r="P904" s="7">
        <v>226966</v>
      </c>
      <c r="Q904" s="7">
        <v>206409</v>
      </c>
      <c r="R904" s="6" t="s">
        <v>2406</v>
      </c>
      <c r="S904" s="6" t="s">
        <v>5819</v>
      </c>
      <c r="T904" s="6">
        <v>37.5</v>
      </c>
      <c r="U904" s="6" t="s">
        <v>63</v>
      </c>
      <c r="V904" s="6" t="s">
        <v>295</v>
      </c>
      <c r="W904" s="67" t="str">
        <f t="shared" si="74"/>
        <v>Customer</v>
      </c>
    </row>
    <row r="905" spans="1:23" x14ac:dyDescent="0.3">
      <c r="A905" s="4" t="s">
        <v>2455</v>
      </c>
      <c r="B905" s="4" t="s">
        <v>2456</v>
      </c>
      <c r="C905" s="4">
        <v>9642761406</v>
      </c>
      <c r="D905" s="4" t="s">
        <v>20</v>
      </c>
      <c r="E905" s="4" t="s">
        <v>73</v>
      </c>
      <c r="F905" s="4" t="s">
        <v>74</v>
      </c>
      <c r="G905" s="4" t="s">
        <v>52</v>
      </c>
      <c r="H905" s="4" t="s">
        <v>2427</v>
      </c>
      <c r="I905" s="2" t="str">
        <f t="shared" si="70"/>
        <v>Jul</v>
      </c>
      <c r="J905" s="2">
        <f t="shared" si="71"/>
        <v>7</v>
      </c>
      <c r="K905" s="2">
        <f t="shared" si="72"/>
        <v>2024</v>
      </c>
      <c r="L905" s="2">
        <f t="shared" si="73"/>
        <v>3</v>
      </c>
      <c r="M905" s="4">
        <v>3</v>
      </c>
      <c r="N905" s="4" t="s">
        <v>2457</v>
      </c>
      <c r="O905" s="4" t="s">
        <v>27</v>
      </c>
      <c r="P905" s="5">
        <v>263693</v>
      </c>
      <c r="Q905" s="4"/>
      <c r="R905" s="4"/>
      <c r="S905" s="4" t="s">
        <v>28</v>
      </c>
      <c r="T905" s="4">
        <v>14.2</v>
      </c>
      <c r="U905" s="4" t="s">
        <v>29</v>
      </c>
      <c r="V905" s="4" t="s">
        <v>153</v>
      </c>
      <c r="W905" s="67" t="str">
        <f t="shared" si="74"/>
        <v>-</v>
      </c>
    </row>
    <row r="906" spans="1:23" x14ac:dyDescent="0.3">
      <c r="A906" s="2" t="s">
        <v>2458</v>
      </c>
      <c r="B906" s="2" t="s">
        <v>2459</v>
      </c>
      <c r="C906" s="2">
        <v>9232518956</v>
      </c>
      <c r="D906" s="2" t="s">
        <v>20</v>
      </c>
      <c r="E906" s="2" t="s">
        <v>1632</v>
      </c>
      <c r="F906" s="2" t="s">
        <v>1717</v>
      </c>
      <c r="G906" s="2" t="s">
        <v>52</v>
      </c>
      <c r="H906" s="2" t="s">
        <v>2427</v>
      </c>
      <c r="I906" s="2" t="str">
        <f t="shared" si="70"/>
        <v>Jul</v>
      </c>
      <c r="J906" s="2">
        <f t="shared" si="71"/>
        <v>7</v>
      </c>
      <c r="K906" s="2">
        <f t="shared" si="72"/>
        <v>2024</v>
      </c>
      <c r="L906" s="2">
        <f t="shared" si="73"/>
        <v>3</v>
      </c>
      <c r="M906" s="2">
        <v>9</v>
      </c>
      <c r="N906" s="2" t="s">
        <v>2413</v>
      </c>
      <c r="O906" s="2" t="s">
        <v>27</v>
      </c>
      <c r="P906" s="3">
        <v>458258</v>
      </c>
      <c r="Q906" s="2"/>
      <c r="R906" s="2"/>
      <c r="S906" s="2" t="s">
        <v>5819</v>
      </c>
      <c r="T906" s="2">
        <v>6.6</v>
      </c>
      <c r="U906" s="2" t="s">
        <v>29</v>
      </c>
      <c r="V906" s="2" t="s">
        <v>105</v>
      </c>
      <c r="W906" s="67" t="str">
        <f t="shared" si="74"/>
        <v>-</v>
      </c>
    </row>
    <row r="907" spans="1:23" x14ac:dyDescent="0.3">
      <c r="A907" s="8" t="s">
        <v>2460</v>
      </c>
      <c r="B907" s="8" t="s">
        <v>2300</v>
      </c>
      <c r="C907" s="8">
        <v>9308044071</v>
      </c>
      <c r="D907" s="8" t="s">
        <v>20</v>
      </c>
      <c r="E907" s="8" t="s">
        <v>1632</v>
      </c>
      <c r="F907" s="8" t="s">
        <v>1633</v>
      </c>
      <c r="G907" s="8" t="s">
        <v>69</v>
      </c>
      <c r="H907" s="8" t="s">
        <v>2352</v>
      </c>
      <c r="I907" s="2" t="str">
        <f t="shared" si="70"/>
        <v>Jul</v>
      </c>
      <c r="J907" s="2">
        <f t="shared" si="71"/>
        <v>7</v>
      </c>
      <c r="K907" s="2">
        <f t="shared" si="72"/>
        <v>2024</v>
      </c>
      <c r="L907" s="2">
        <f t="shared" si="73"/>
        <v>3</v>
      </c>
      <c r="M907" s="8">
        <v>4</v>
      </c>
      <c r="N907" s="8" t="s">
        <v>2439</v>
      </c>
      <c r="O907" s="8" t="s">
        <v>27</v>
      </c>
      <c r="P907" s="9">
        <v>246073</v>
      </c>
      <c r="Q907" s="8"/>
      <c r="R907" s="8"/>
      <c r="S907" s="8" t="s">
        <v>1805</v>
      </c>
      <c r="T907" s="8">
        <v>25.9</v>
      </c>
      <c r="U907" s="8" t="s">
        <v>47</v>
      </c>
      <c r="V907" s="8"/>
      <c r="W907" s="67" t="str">
        <f t="shared" si="74"/>
        <v>-</v>
      </c>
    </row>
    <row r="908" spans="1:23" x14ac:dyDescent="0.3">
      <c r="A908" s="2" t="s">
        <v>2461</v>
      </c>
      <c r="B908" s="2" t="s">
        <v>1960</v>
      </c>
      <c r="C908" s="2">
        <v>9597536841</v>
      </c>
      <c r="D908" s="2" t="s">
        <v>59</v>
      </c>
      <c r="E908" s="2" t="s">
        <v>109</v>
      </c>
      <c r="F908" s="2" t="s">
        <v>331</v>
      </c>
      <c r="G908" s="2" t="s">
        <v>643</v>
      </c>
      <c r="H908" s="2" t="s">
        <v>2352</v>
      </c>
      <c r="I908" s="2" t="str">
        <f t="shared" si="70"/>
        <v>Jul</v>
      </c>
      <c r="J908" s="2">
        <f t="shared" si="71"/>
        <v>7</v>
      </c>
      <c r="K908" s="2">
        <f t="shared" si="72"/>
        <v>2024</v>
      </c>
      <c r="L908" s="2">
        <f t="shared" si="73"/>
        <v>3</v>
      </c>
      <c r="M908" s="2">
        <v>8</v>
      </c>
      <c r="N908" s="2" t="s">
        <v>2374</v>
      </c>
      <c r="O908" s="2" t="s">
        <v>62</v>
      </c>
      <c r="P908" s="3">
        <v>1156203</v>
      </c>
      <c r="Q908" s="2"/>
      <c r="R908" s="2"/>
      <c r="S908" s="2" t="s">
        <v>28</v>
      </c>
      <c r="T908" s="2">
        <v>22.5</v>
      </c>
      <c r="U908" s="2" t="s">
        <v>47</v>
      </c>
      <c r="V908" s="2" t="s">
        <v>48</v>
      </c>
      <c r="W908" s="67" t="str">
        <f t="shared" si="74"/>
        <v>-</v>
      </c>
    </row>
    <row r="909" spans="1:23" x14ac:dyDescent="0.3">
      <c r="A909" s="6" t="s">
        <v>2462</v>
      </c>
      <c r="B909" s="6" t="s">
        <v>2463</v>
      </c>
      <c r="C909" s="6">
        <v>9985029339</v>
      </c>
      <c r="D909" s="6" t="s">
        <v>20</v>
      </c>
      <c r="E909" s="6" t="s">
        <v>41</v>
      </c>
      <c r="F909" s="6" t="s">
        <v>86</v>
      </c>
      <c r="G909" s="6" t="s">
        <v>1609</v>
      </c>
      <c r="H909" s="6" t="s">
        <v>2352</v>
      </c>
      <c r="I909" s="2" t="str">
        <f t="shared" si="70"/>
        <v>Jul</v>
      </c>
      <c r="J909" s="2">
        <f t="shared" si="71"/>
        <v>7</v>
      </c>
      <c r="K909" s="2">
        <f t="shared" si="72"/>
        <v>2024</v>
      </c>
      <c r="L909" s="2">
        <f t="shared" si="73"/>
        <v>3</v>
      </c>
      <c r="M909" s="6">
        <v>9</v>
      </c>
      <c r="N909" s="6" t="s">
        <v>2450</v>
      </c>
      <c r="O909" s="6" t="s">
        <v>97</v>
      </c>
      <c r="P909" s="7">
        <v>293303</v>
      </c>
      <c r="Q909" s="7">
        <v>282762</v>
      </c>
      <c r="R909" s="6" t="s">
        <v>2425</v>
      </c>
      <c r="S909" s="6" t="s">
        <v>28</v>
      </c>
      <c r="T909" s="6">
        <v>46.3</v>
      </c>
      <c r="U909" s="6" t="s">
        <v>63</v>
      </c>
      <c r="V909" s="6" t="s">
        <v>243</v>
      </c>
      <c r="W909" s="67" t="str">
        <f t="shared" si="74"/>
        <v>Customer</v>
      </c>
    </row>
    <row r="910" spans="1:23" x14ac:dyDescent="0.3">
      <c r="A910" s="6" t="s">
        <v>2464</v>
      </c>
      <c r="B910" s="6" t="s">
        <v>2465</v>
      </c>
      <c r="C910" s="6">
        <v>9300423564</v>
      </c>
      <c r="D910" s="6" t="s">
        <v>121</v>
      </c>
      <c r="E910" s="6" t="s">
        <v>1632</v>
      </c>
      <c r="F910" s="6" t="s">
        <v>1659</v>
      </c>
      <c r="G910" s="6" t="s">
        <v>87</v>
      </c>
      <c r="H910" s="6" t="s">
        <v>2352</v>
      </c>
      <c r="I910" s="2" t="str">
        <f t="shared" si="70"/>
        <v>Jul</v>
      </c>
      <c r="J910" s="2">
        <f t="shared" si="71"/>
        <v>7</v>
      </c>
      <c r="K910" s="2">
        <f t="shared" si="72"/>
        <v>2024</v>
      </c>
      <c r="L910" s="2">
        <f t="shared" si="73"/>
        <v>3</v>
      </c>
      <c r="M910" s="6">
        <v>12</v>
      </c>
      <c r="N910" s="6" t="s">
        <v>2416</v>
      </c>
      <c r="O910" s="6" t="s">
        <v>97</v>
      </c>
      <c r="P910" s="7">
        <v>81357</v>
      </c>
      <c r="Q910" s="7">
        <v>76871</v>
      </c>
      <c r="R910" s="6" t="s">
        <v>2466</v>
      </c>
      <c r="S910" s="6" t="s">
        <v>1063</v>
      </c>
      <c r="T910" s="6">
        <v>10.4</v>
      </c>
      <c r="U910" s="6" t="s">
        <v>63</v>
      </c>
      <c r="V910" s="6" t="s">
        <v>483</v>
      </c>
      <c r="W910" s="67" t="str">
        <f t="shared" si="74"/>
        <v>Customer</v>
      </c>
    </row>
    <row r="911" spans="1:23" x14ac:dyDescent="0.3">
      <c r="A911" s="6" t="s">
        <v>2467</v>
      </c>
      <c r="B911" s="6" t="s">
        <v>2468</v>
      </c>
      <c r="C911" s="6">
        <v>9851228478</v>
      </c>
      <c r="D911" s="6" t="s">
        <v>20</v>
      </c>
      <c r="E911" s="6" t="s">
        <v>1632</v>
      </c>
      <c r="F911" s="6" t="s">
        <v>1659</v>
      </c>
      <c r="G911" s="6" t="s">
        <v>23</v>
      </c>
      <c r="H911" s="6" t="s">
        <v>2419</v>
      </c>
      <c r="I911" s="2" t="str">
        <f t="shared" si="70"/>
        <v>Jul</v>
      </c>
      <c r="J911" s="2">
        <f t="shared" si="71"/>
        <v>7</v>
      </c>
      <c r="K911" s="2">
        <f t="shared" si="72"/>
        <v>2024</v>
      </c>
      <c r="L911" s="2">
        <f t="shared" si="73"/>
        <v>3</v>
      </c>
      <c r="M911" s="6">
        <v>5</v>
      </c>
      <c r="N911" s="6" t="s">
        <v>2416</v>
      </c>
      <c r="O911" s="6" t="s">
        <v>97</v>
      </c>
      <c r="P911" s="7">
        <v>682486</v>
      </c>
      <c r="Q911" s="7">
        <v>626289</v>
      </c>
      <c r="R911" s="6" t="s">
        <v>2469</v>
      </c>
      <c r="S911" s="6" t="s">
        <v>1063</v>
      </c>
      <c r="T911" s="6">
        <v>43.4</v>
      </c>
      <c r="U911" s="6" t="s">
        <v>63</v>
      </c>
      <c r="V911" s="6" t="s">
        <v>243</v>
      </c>
      <c r="W911" s="67" t="str">
        <f t="shared" si="74"/>
        <v>Customer</v>
      </c>
    </row>
    <row r="912" spans="1:23" x14ac:dyDescent="0.3">
      <c r="A912" s="8" t="s">
        <v>2470</v>
      </c>
      <c r="B912" s="8" t="s">
        <v>40</v>
      </c>
      <c r="C912" s="8">
        <v>9285089731</v>
      </c>
      <c r="D912" s="8" t="s">
        <v>59</v>
      </c>
      <c r="E912" s="8" t="s">
        <v>109</v>
      </c>
      <c r="F912" s="8" t="s">
        <v>331</v>
      </c>
      <c r="G912" s="8" t="s">
        <v>643</v>
      </c>
      <c r="H912" s="8" t="s">
        <v>2298</v>
      </c>
      <c r="I912" s="2" t="str">
        <f t="shared" si="70"/>
        <v>Jul</v>
      </c>
      <c r="J912" s="2">
        <f t="shared" si="71"/>
        <v>7</v>
      </c>
      <c r="K912" s="2">
        <f t="shared" si="72"/>
        <v>2024</v>
      </c>
      <c r="L912" s="2">
        <f t="shared" si="73"/>
        <v>3</v>
      </c>
      <c r="M912" s="8">
        <v>2</v>
      </c>
      <c r="N912" s="8" t="s">
        <v>2439</v>
      </c>
      <c r="O912" s="8" t="s">
        <v>45</v>
      </c>
      <c r="P912" s="9">
        <v>838189</v>
      </c>
      <c r="Q912" s="8"/>
      <c r="R912" s="8"/>
      <c r="S912" s="8" t="s">
        <v>1805</v>
      </c>
      <c r="T912" s="8">
        <v>47</v>
      </c>
      <c r="U912" s="8" t="s">
        <v>63</v>
      </c>
      <c r="V912" s="8" t="s">
        <v>260</v>
      </c>
      <c r="W912" s="67" t="str">
        <f t="shared" si="74"/>
        <v>-</v>
      </c>
    </row>
    <row r="913" spans="1:23" x14ac:dyDescent="0.3">
      <c r="A913" s="4" t="s">
        <v>2471</v>
      </c>
      <c r="B913" s="4" t="s">
        <v>2472</v>
      </c>
      <c r="C913" s="4">
        <v>9802164038</v>
      </c>
      <c r="D913" s="4" t="s">
        <v>108</v>
      </c>
      <c r="E913" s="4" t="s">
        <v>67</v>
      </c>
      <c r="F913" s="4" t="s">
        <v>80</v>
      </c>
      <c r="G913" s="4" t="s">
        <v>23</v>
      </c>
      <c r="H913" s="4" t="s">
        <v>2251</v>
      </c>
      <c r="I913" s="2" t="str">
        <f t="shared" si="70"/>
        <v>Jul</v>
      </c>
      <c r="J913" s="2">
        <f t="shared" si="71"/>
        <v>7</v>
      </c>
      <c r="K913" s="2">
        <f t="shared" si="72"/>
        <v>2024</v>
      </c>
      <c r="L913" s="2">
        <f t="shared" si="73"/>
        <v>3</v>
      </c>
      <c r="M913" s="4">
        <v>4</v>
      </c>
      <c r="N913" s="4" t="s">
        <v>2473</v>
      </c>
      <c r="O913" s="4" t="s">
        <v>27</v>
      </c>
      <c r="P913" s="5">
        <v>828403</v>
      </c>
      <c r="Q913" s="4"/>
      <c r="R913" s="4"/>
      <c r="S913" s="4" t="s">
        <v>1063</v>
      </c>
      <c r="T913" s="4">
        <v>4</v>
      </c>
      <c r="U913" s="4" t="s">
        <v>29</v>
      </c>
      <c r="V913" s="4" t="s">
        <v>30</v>
      </c>
      <c r="W913" s="67" t="str">
        <f t="shared" si="74"/>
        <v>-</v>
      </c>
    </row>
    <row r="914" spans="1:23" x14ac:dyDescent="0.3">
      <c r="A914" s="2" t="s">
        <v>2474</v>
      </c>
      <c r="B914" s="2" t="s">
        <v>2475</v>
      </c>
      <c r="C914" s="2">
        <v>9373520394</v>
      </c>
      <c r="D914" s="2" t="s">
        <v>20</v>
      </c>
      <c r="E914" s="2" t="s">
        <v>109</v>
      </c>
      <c r="F914" s="2" t="s">
        <v>217</v>
      </c>
      <c r="G914" s="2" t="s">
        <v>1609</v>
      </c>
      <c r="H914" s="2" t="s">
        <v>2393</v>
      </c>
      <c r="I914" s="2" t="str">
        <f t="shared" si="70"/>
        <v>Jul</v>
      </c>
      <c r="J914" s="2">
        <f t="shared" si="71"/>
        <v>7</v>
      </c>
      <c r="K914" s="2">
        <f t="shared" si="72"/>
        <v>2024</v>
      </c>
      <c r="L914" s="2">
        <f t="shared" si="73"/>
        <v>3</v>
      </c>
      <c r="M914" s="2">
        <v>9</v>
      </c>
      <c r="N914" s="2" t="s">
        <v>2378</v>
      </c>
      <c r="O914" s="2" t="s">
        <v>62</v>
      </c>
      <c r="P914" s="3">
        <v>215564</v>
      </c>
      <c r="Q914" s="2"/>
      <c r="R914" s="2"/>
      <c r="S914" s="2" t="s">
        <v>5819</v>
      </c>
      <c r="T914" s="2">
        <v>18</v>
      </c>
      <c r="U914" s="2" t="s">
        <v>47</v>
      </c>
      <c r="V914" s="2" t="s">
        <v>77</v>
      </c>
      <c r="W914" s="67" t="str">
        <f t="shared" si="74"/>
        <v>-</v>
      </c>
    </row>
    <row r="915" spans="1:23" x14ac:dyDescent="0.3">
      <c r="A915" s="6" t="s">
        <v>2476</v>
      </c>
      <c r="B915" s="6" t="s">
        <v>2477</v>
      </c>
      <c r="C915" s="6">
        <v>9143890945</v>
      </c>
      <c r="D915" s="6" t="s">
        <v>20</v>
      </c>
      <c r="E915" s="6" t="s">
        <v>648</v>
      </c>
      <c r="F915" s="6" t="s">
        <v>649</v>
      </c>
      <c r="G915" s="6" t="s">
        <v>52</v>
      </c>
      <c r="H915" s="6" t="s">
        <v>2393</v>
      </c>
      <c r="I915" s="2" t="str">
        <f t="shared" si="70"/>
        <v>Jul</v>
      </c>
      <c r="J915" s="2">
        <f t="shared" si="71"/>
        <v>7</v>
      </c>
      <c r="K915" s="2">
        <f t="shared" si="72"/>
        <v>2024</v>
      </c>
      <c r="L915" s="2">
        <f t="shared" si="73"/>
        <v>3</v>
      </c>
      <c r="M915" s="6">
        <v>10</v>
      </c>
      <c r="N915" s="6" t="s">
        <v>2478</v>
      </c>
      <c r="O915" s="6" t="s">
        <v>97</v>
      </c>
      <c r="P915" s="7">
        <v>439304</v>
      </c>
      <c r="Q915" s="7">
        <v>394736</v>
      </c>
      <c r="R915" s="6" t="s">
        <v>2479</v>
      </c>
      <c r="S915" s="6" t="s">
        <v>28</v>
      </c>
      <c r="T915" s="6">
        <v>29.1</v>
      </c>
      <c r="U915" s="6" t="s">
        <v>63</v>
      </c>
      <c r="V915" s="6" t="s">
        <v>243</v>
      </c>
      <c r="W915" s="67" t="str">
        <f t="shared" si="74"/>
        <v>Customer</v>
      </c>
    </row>
    <row r="916" spans="1:23" x14ac:dyDescent="0.3">
      <c r="A916" s="6" t="s">
        <v>2480</v>
      </c>
      <c r="B916" s="6" t="s">
        <v>752</v>
      </c>
      <c r="C916" s="6">
        <v>9231576116</v>
      </c>
      <c r="D916" s="6" t="s">
        <v>121</v>
      </c>
      <c r="E916" s="6" t="s">
        <v>41</v>
      </c>
      <c r="F916" s="6" t="s">
        <v>42</v>
      </c>
      <c r="G916" s="6" t="s">
        <v>87</v>
      </c>
      <c r="H916" s="6" t="s">
        <v>2393</v>
      </c>
      <c r="I916" s="2" t="str">
        <f t="shared" si="70"/>
        <v>Jul</v>
      </c>
      <c r="J916" s="2">
        <f t="shared" si="71"/>
        <v>7</v>
      </c>
      <c r="K916" s="2">
        <f t="shared" si="72"/>
        <v>2024</v>
      </c>
      <c r="L916" s="2">
        <f t="shared" si="73"/>
        <v>3</v>
      </c>
      <c r="M916" s="6">
        <v>5</v>
      </c>
      <c r="N916" s="6" t="s">
        <v>2416</v>
      </c>
      <c r="O916" s="6" t="s">
        <v>97</v>
      </c>
      <c r="P916" s="7">
        <v>188241</v>
      </c>
      <c r="Q916" s="7">
        <v>176662</v>
      </c>
      <c r="R916" s="6" t="s">
        <v>2452</v>
      </c>
      <c r="S916" s="6" t="s">
        <v>28</v>
      </c>
      <c r="T916" s="6">
        <v>14</v>
      </c>
      <c r="U916" s="6" t="s">
        <v>47</v>
      </c>
      <c r="V916" s="6" t="s">
        <v>483</v>
      </c>
      <c r="W916" s="67" t="str">
        <f t="shared" si="74"/>
        <v>Customer</v>
      </c>
    </row>
    <row r="917" spans="1:23" x14ac:dyDescent="0.3">
      <c r="A917" s="6" t="s">
        <v>2481</v>
      </c>
      <c r="B917" s="6" t="s">
        <v>2482</v>
      </c>
      <c r="C917" s="6">
        <v>9657426622</v>
      </c>
      <c r="D917" s="6" t="s">
        <v>59</v>
      </c>
      <c r="E917" s="6" t="s">
        <v>109</v>
      </c>
      <c r="F917" s="6" t="s">
        <v>217</v>
      </c>
      <c r="G917" s="6" t="s">
        <v>60</v>
      </c>
      <c r="H917" s="6" t="s">
        <v>2187</v>
      </c>
      <c r="I917" s="2" t="str">
        <f t="shared" si="70"/>
        <v>Jul</v>
      </c>
      <c r="J917" s="2">
        <f t="shared" si="71"/>
        <v>7</v>
      </c>
      <c r="K917" s="2">
        <f t="shared" si="72"/>
        <v>2024</v>
      </c>
      <c r="L917" s="2">
        <f t="shared" si="73"/>
        <v>3</v>
      </c>
      <c r="M917" s="6">
        <v>2</v>
      </c>
      <c r="N917" s="6" t="s">
        <v>2439</v>
      </c>
      <c r="O917" s="6" t="s">
        <v>97</v>
      </c>
      <c r="P917" s="7">
        <v>120883</v>
      </c>
      <c r="Q917" s="7">
        <v>122902</v>
      </c>
      <c r="R917" s="6" t="s">
        <v>2444</v>
      </c>
      <c r="S917" s="6" t="s">
        <v>5819</v>
      </c>
      <c r="T917" s="6">
        <v>36.9</v>
      </c>
      <c r="U917" s="6" t="s">
        <v>63</v>
      </c>
      <c r="V917" s="6" t="s">
        <v>907</v>
      </c>
      <c r="W917" s="67" t="str">
        <f t="shared" si="74"/>
        <v>Customer</v>
      </c>
    </row>
    <row r="918" spans="1:23" x14ac:dyDescent="0.3">
      <c r="A918" s="6" t="s">
        <v>2483</v>
      </c>
      <c r="B918" s="6" t="s">
        <v>2484</v>
      </c>
      <c r="C918" s="6">
        <v>9974848279</v>
      </c>
      <c r="D918" s="6" t="s">
        <v>20</v>
      </c>
      <c r="E918" s="6" t="s">
        <v>109</v>
      </c>
      <c r="F918" s="6" t="s">
        <v>110</v>
      </c>
      <c r="G918" s="6" t="s">
        <v>87</v>
      </c>
      <c r="H918" s="6" t="s">
        <v>2187</v>
      </c>
      <c r="I918" s="2" t="str">
        <f t="shared" si="70"/>
        <v>Jul</v>
      </c>
      <c r="J918" s="2">
        <f t="shared" si="71"/>
        <v>7</v>
      </c>
      <c r="K918" s="2">
        <f t="shared" si="72"/>
        <v>2024</v>
      </c>
      <c r="L918" s="2">
        <f t="shared" si="73"/>
        <v>3</v>
      </c>
      <c r="M918" s="6">
        <v>5</v>
      </c>
      <c r="N918" s="6" t="s">
        <v>2362</v>
      </c>
      <c r="O918" s="6" t="s">
        <v>97</v>
      </c>
      <c r="P918" s="7">
        <v>118093</v>
      </c>
      <c r="Q918" s="7">
        <v>119340</v>
      </c>
      <c r="R918" s="6" t="s">
        <v>2478</v>
      </c>
      <c r="S918" s="6" t="s">
        <v>5819</v>
      </c>
      <c r="T918" s="6">
        <v>43.7</v>
      </c>
      <c r="U918" s="6" t="s">
        <v>63</v>
      </c>
      <c r="V918" s="6" t="s">
        <v>483</v>
      </c>
      <c r="W918" s="67" t="str">
        <f t="shared" si="74"/>
        <v>Customer</v>
      </c>
    </row>
    <row r="919" spans="1:23" x14ac:dyDescent="0.3">
      <c r="A919" s="8" t="s">
        <v>2485</v>
      </c>
      <c r="B919" s="8" t="s">
        <v>2486</v>
      </c>
      <c r="C919" s="8">
        <v>9832487266</v>
      </c>
      <c r="D919" s="8" t="s">
        <v>121</v>
      </c>
      <c r="E919" s="8" t="s">
        <v>41</v>
      </c>
      <c r="F919" s="8" t="s">
        <v>92</v>
      </c>
      <c r="G919" s="8" t="s">
        <v>52</v>
      </c>
      <c r="H919" s="8" t="s">
        <v>2384</v>
      </c>
      <c r="I919" s="2" t="str">
        <f t="shared" si="70"/>
        <v>Jul</v>
      </c>
      <c r="J919" s="2">
        <f t="shared" si="71"/>
        <v>7</v>
      </c>
      <c r="K919" s="2">
        <f t="shared" si="72"/>
        <v>2024</v>
      </c>
      <c r="L919" s="2">
        <f t="shared" si="73"/>
        <v>3</v>
      </c>
      <c r="M919" s="8">
        <v>5</v>
      </c>
      <c r="N919" s="8" t="s">
        <v>2487</v>
      </c>
      <c r="O919" s="8" t="s">
        <v>97</v>
      </c>
      <c r="P919" s="9">
        <v>555842</v>
      </c>
      <c r="Q919" s="9">
        <v>501869</v>
      </c>
      <c r="R919" s="8" t="s">
        <v>2447</v>
      </c>
      <c r="S919" s="8" t="s">
        <v>1805</v>
      </c>
      <c r="T919" s="8">
        <v>24.7</v>
      </c>
      <c r="U919" s="8" t="s">
        <v>63</v>
      </c>
      <c r="V919" s="8" t="s">
        <v>243</v>
      </c>
      <c r="W919" s="67" t="str">
        <f t="shared" si="74"/>
        <v>Customer</v>
      </c>
    </row>
    <row r="920" spans="1:23" x14ac:dyDescent="0.3">
      <c r="A920" s="2" t="s">
        <v>2488</v>
      </c>
      <c r="B920" s="2" t="s">
        <v>2266</v>
      </c>
      <c r="C920" s="2">
        <v>9201142590</v>
      </c>
      <c r="D920" s="2" t="s">
        <v>59</v>
      </c>
      <c r="E920" s="2" t="s">
        <v>21</v>
      </c>
      <c r="F920" s="2" t="s">
        <v>22</v>
      </c>
      <c r="G920" s="2" t="s">
        <v>60</v>
      </c>
      <c r="H920" s="2" t="s">
        <v>2317</v>
      </c>
      <c r="I920" s="2" t="str">
        <f t="shared" si="70"/>
        <v>Jul</v>
      </c>
      <c r="J920" s="2">
        <f t="shared" si="71"/>
        <v>7</v>
      </c>
      <c r="K920" s="2">
        <f t="shared" si="72"/>
        <v>2024</v>
      </c>
      <c r="L920" s="2">
        <f t="shared" si="73"/>
        <v>3</v>
      </c>
      <c r="M920" s="2">
        <v>11</v>
      </c>
      <c r="N920" s="2" t="s">
        <v>2489</v>
      </c>
      <c r="O920" s="2" t="s">
        <v>27</v>
      </c>
      <c r="P920" s="3">
        <v>95388</v>
      </c>
      <c r="Q920" s="2"/>
      <c r="R920" s="2"/>
      <c r="S920" s="2" t="s">
        <v>28</v>
      </c>
      <c r="T920" s="2">
        <v>15.7</v>
      </c>
      <c r="U920" s="2" t="s">
        <v>29</v>
      </c>
      <c r="V920" s="2" t="s">
        <v>123</v>
      </c>
      <c r="W920" s="67" t="str">
        <f t="shared" si="74"/>
        <v>-</v>
      </c>
    </row>
    <row r="921" spans="1:23" x14ac:dyDescent="0.3">
      <c r="A921" s="4" t="s">
        <v>2490</v>
      </c>
      <c r="B921" s="4" t="s">
        <v>2491</v>
      </c>
      <c r="C921" s="4">
        <v>9586001284</v>
      </c>
      <c r="D921" s="4" t="s">
        <v>51</v>
      </c>
      <c r="E921" s="4" t="s">
        <v>73</v>
      </c>
      <c r="F921" s="4" t="s">
        <v>126</v>
      </c>
      <c r="G921" s="4" t="s">
        <v>1599</v>
      </c>
      <c r="H921" s="4" t="s">
        <v>2317</v>
      </c>
      <c r="I921" s="2" t="str">
        <f t="shared" si="70"/>
        <v>Jul</v>
      </c>
      <c r="J921" s="2">
        <f t="shared" si="71"/>
        <v>7</v>
      </c>
      <c r="K921" s="2">
        <f t="shared" si="72"/>
        <v>2024</v>
      </c>
      <c r="L921" s="2">
        <f t="shared" si="73"/>
        <v>3</v>
      </c>
      <c r="M921" s="4">
        <v>2</v>
      </c>
      <c r="N921" s="4" t="s">
        <v>2454</v>
      </c>
      <c r="O921" s="4" t="s">
        <v>62</v>
      </c>
      <c r="P921" s="5">
        <v>1014001</v>
      </c>
      <c r="Q921" s="4"/>
      <c r="R921" s="4"/>
      <c r="S921" s="4" t="s">
        <v>28</v>
      </c>
      <c r="T921" s="4">
        <v>31.6</v>
      </c>
      <c r="U921" s="4" t="s">
        <v>47</v>
      </c>
      <c r="V921" s="4" t="s">
        <v>256</v>
      </c>
      <c r="W921" s="67" t="str">
        <f t="shared" si="74"/>
        <v>-</v>
      </c>
    </row>
    <row r="922" spans="1:23" x14ac:dyDescent="0.3">
      <c r="A922" s="2" t="s">
        <v>2492</v>
      </c>
      <c r="B922" s="2" t="s">
        <v>2493</v>
      </c>
      <c r="C922" s="2">
        <v>9256198796</v>
      </c>
      <c r="D922" s="2" t="s">
        <v>121</v>
      </c>
      <c r="E922" s="2" t="s">
        <v>1632</v>
      </c>
      <c r="F922" s="2" t="s">
        <v>1694</v>
      </c>
      <c r="G922" s="2" t="s">
        <v>1735</v>
      </c>
      <c r="H922" s="2" t="s">
        <v>2217</v>
      </c>
      <c r="I922" s="2" t="str">
        <f t="shared" si="70"/>
        <v>Jul</v>
      </c>
      <c r="J922" s="2">
        <f t="shared" si="71"/>
        <v>7</v>
      </c>
      <c r="K922" s="2">
        <f t="shared" si="72"/>
        <v>2024</v>
      </c>
      <c r="L922" s="2">
        <f t="shared" si="73"/>
        <v>3</v>
      </c>
      <c r="M922" s="2">
        <v>9</v>
      </c>
      <c r="N922" s="2" t="s">
        <v>2403</v>
      </c>
      <c r="O922" s="2" t="s">
        <v>27</v>
      </c>
      <c r="P922" s="3">
        <v>1466258</v>
      </c>
      <c r="Q922" s="2"/>
      <c r="R922" s="2"/>
      <c r="S922" s="2" t="s">
        <v>28</v>
      </c>
      <c r="T922" s="2">
        <v>1.7</v>
      </c>
      <c r="U922" s="2" t="s">
        <v>47</v>
      </c>
      <c r="V922" s="2" t="s">
        <v>202</v>
      </c>
      <c r="W922" s="67" t="str">
        <f t="shared" si="74"/>
        <v>-</v>
      </c>
    </row>
    <row r="923" spans="1:23" x14ac:dyDescent="0.3">
      <c r="A923" s="6" t="s">
        <v>2494</v>
      </c>
      <c r="B923" s="6" t="s">
        <v>2017</v>
      </c>
      <c r="C923" s="6">
        <v>9608611547</v>
      </c>
      <c r="D923" s="6" t="s">
        <v>59</v>
      </c>
      <c r="E923" s="6" t="s">
        <v>1632</v>
      </c>
      <c r="F923" s="6" t="s">
        <v>1694</v>
      </c>
      <c r="G923" s="6" t="s">
        <v>60</v>
      </c>
      <c r="H923" s="6" t="s">
        <v>2320</v>
      </c>
      <c r="I923" s="2" t="str">
        <f t="shared" si="70"/>
        <v>Jul</v>
      </c>
      <c r="J923" s="2">
        <f t="shared" si="71"/>
        <v>7</v>
      </c>
      <c r="K923" s="2">
        <f t="shared" si="72"/>
        <v>2024</v>
      </c>
      <c r="L923" s="2">
        <f t="shared" si="73"/>
        <v>3</v>
      </c>
      <c r="M923" s="6">
        <v>3</v>
      </c>
      <c r="N923" s="6" t="s">
        <v>2495</v>
      </c>
      <c r="O923" s="6" t="s">
        <v>97</v>
      </c>
      <c r="P923" s="7">
        <v>240980</v>
      </c>
      <c r="Q923" s="7">
        <v>241099</v>
      </c>
      <c r="R923" s="6" t="s">
        <v>2417</v>
      </c>
      <c r="S923" s="6" t="s">
        <v>1063</v>
      </c>
      <c r="T923" s="6">
        <v>11.7</v>
      </c>
      <c r="U923" s="6" t="s">
        <v>47</v>
      </c>
      <c r="V923" s="6" t="s">
        <v>465</v>
      </c>
      <c r="W923" s="67" t="str">
        <f t="shared" si="74"/>
        <v>Customer</v>
      </c>
    </row>
    <row r="924" spans="1:23" x14ac:dyDescent="0.3">
      <c r="A924" s="2" t="s">
        <v>2496</v>
      </c>
      <c r="B924" s="2" t="s">
        <v>2497</v>
      </c>
      <c r="C924" s="2">
        <v>9929853555</v>
      </c>
      <c r="D924" s="2" t="s">
        <v>121</v>
      </c>
      <c r="E924" s="2" t="s">
        <v>41</v>
      </c>
      <c r="F924" s="2" t="s">
        <v>92</v>
      </c>
      <c r="G924" s="2" t="s">
        <v>1621</v>
      </c>
      <c r="H924" s="2" t="s">
        <v>2320</v>
      </c>
      <c r="I924" s="2" t="str">
        <f t="shared" si="70"/>
        <v>Jul</v>
      </c>
      <c r="J924" s="2">
        <f t="shared" si="71"/>
        <v>7</v>
      </c>
      <c r="K924" s="2">
        <f t="shared" si="72"/>
        <v>2024</v>
      </c>
      <c r="L924" s="2">
        <f t="shared" si="73"/>
        <v>3</v>
      </c>
      <c r="M924" s="2">
        <v>10</v>
      </c>
      <c r="N924" s="2" t="s">
        <v>2479</v>
      </c>
      <c r="O924" s="2" t="s">
        <v>62</v>
      </c>
      <c r="P924" s="3">
        <v>269980</v>
      </c>
      <c r="Q924" s="2"/>
      <c r="R924" s="2"/>
      <c r="S924" s="2" t="s">
        <v>1063</v>
      </c>
      <c r="T924" s="2"/>
      <c r="U924" s="2" t="s">
        <v>63</v>
      </c>
      <c r="V924" s="2" t="s">
        <v>335</v>
      </c>
      <c r="W924" s="67" t="str">
        <f t="shared" si="74"/>
        <v>-</v>
      </c>
    </row>
    <row r="925" spans="1:23" x14ac:dyDescent="0.3">
      <c r="A925" s="6" t="s">
        <v>2498</v>
      </c>
      <c r="B925" s="6" t="s">
        <v>2255</v>
      </c>
      <c r="C925" s="6">
        <v>9607039565</v>
      </c>
      <c r="D925" s="6" t="s">
        <v>108</v>
      </c>
      <c r="E925" s="6" t="s">
        <v>41</v>
      </c>
      <c r="F925" s="6" t="s">
        <v>86</v>
      </c>
      <c r="G925" s="6" t="s">
        <v>1609</v>
      </c>
      <c r="H925" s="6" t="s">
        <v>2499</v>
      </c>
      <c r="I925" s="2" t="str">
        <f t="shared" si="70"/>
        <v>Jul</v>
      </c>
      <c r="J925" s="2">
        <f t="shared" si="71"/>
        <v>7</v>
      </c>
      <c r="K925" s="2">
        <f t="shared" si="72"/>
        <v>2024</v>
      </c>
      <c r="L925" s="2">
        <f t="shared" si="73"/>
        <v>3</v>
      </c>
      <c r="M925" s="6">
        <v>9</v>
      </c>
      <c r="N925" s="6" t="s">
        <v>2362</v>
      </c>
      <c r="O925" s="6" t="s">
        <v>97</v>
      </c>
      <c r="P925" s="7">
        <v>451195</v>
      </c>
      <c r="Q925" s="7">
        <v>405817</v>
      </c>
      <c r="R925" s="6" t="s">
        <v>2501</v>
      </c>
      <c r="S925" s="6" t="s">
        <v>1063</v>
      </c>
      <c r="T925" s="6">
        <v>20.399999999999999</v>
      </c>
      <c r="U925" s="6" t="s">
        <v>63</v>
      </c>
      <c r="V925" s="6" t="s">
        <v>295</v>
      </c>
      <c r="W925" s="67" t="str">
        <f t="shared" si="74"/>
        <v>Customer</v>
      </c>
    </row>
    <row r="926" spans="1:23" x14ac:dyDescent="0.3">
      <c r="A926" s="6" t="s">
        <v>2502</v>
      </c>
      <c r="B926" s="6" t="s">
        <v>2503</v>
      </c>
      <c r="C926" s="6">
        <v>9812951509</v>
      </c>
      <c r="D926" s="6" t="s">
        <v>20</v>
      </c>
      <c r="E926" s="6" t="s">
        <v>641</v>
      </c>
      <c r="F926" s="6" t="s">
        <v>727</v>
      </c>
      <c r="G926" s="6" t="s">
        <v>52</v>
      </c>
      <c r="H926" s="6" t="s">
        <v>2412</v>
      </c>
      <c r="I926" s="2" t="str">
        <f t="shared" si="70"/>
        <v>Jul</v>
      </c>
      <c r="J926" s="2">
        <f t="shared" si="71"/>
        <v>7</v>
      </c>
      <c r="K926" s="2">
        <f t="shared" si="72"/>
        <v>2024</v>
      </c>
      <c r="L926" s="2">
        <f t="shared" si="73"/>
        <v>3</v>
      </c>
      <c r="M926" s="6">
        <v>0</v>
      </c>
      <c r="N926" s="6" t="s">
        <v>2422</v>
      </c>
      <c r="O926" s="6" t="s">
        <v>97</v>
      </c>
      <c r="P926" s="7">
        <v>352916</v>
      </c>
      <c r="Q926" s="7">
        <v>354238</v>
      </c>
      <c r="R926" s="6" t="s">
        <v>2504</v>
      </c>
      <c r="S926" s="6" t="s">
        <v>5819</v>
      </c>
      <c r="T926" s="6">
        <v>37.200000000000003</v>
      </c>
      <c r="U926" s="6" t="s">
        <v>63</v>
      </c>
      <c r="V926" s="6" t="s">
        <v>907</v>
      </c>
      <c r="W926" s="67" t="str">
        <f t="shared" si="74"/>
        <v>Customer</v>
      </c>
    </row>
    <row r="927" spans="1:23" x14ac:dyDescent="0.3">
      <c r="A927" s="4" t="s">
        <v>2505</v>
      </c>
      <c r="B927" s="4" t="s">
        <v>2506</v>
      </c>
      <c r="C927" s="4">
        <v>9995525718</v>
      </c>
      <c r="D927" s="4" t="s">
        <v>121</v>
      </c>
      <c r="E927" s="4" t="s">
        <v>109</v>
      </c>
      <c r="F927" s="4" t="s">
        <v>110</v>
      </c>
      <c r="G927" s="4" t="s">
        <v>1623</v>
      </c>
      <c r="H927" s="4" t="s">
        <v>2457</v>
      </c>
      <c r="I927" s="2" t="str">
        <f t="shared" si="70"/>
        <v>Jul</v>
      </c>
      <c r="J927" s="2">
        <f t="shared" si="71"/>
        <v>7</v>
      </c>
      <c r="K927" s="2">
        <f t="shared" si="72"/>
        <v>2024</v>
      </c>
      <c r="L927" s="2">
        <f t="shared" si="73"/>
        <v>3</v>
      </c>
      <c r="M927" s="4">
        <v>2</v>
      </c>
      <c r="N927" s="4" t="s">
        <v>2439</v>
      </c>
      <c r="O927" s="4" t="s">
        <v>27</v>
      </c>
      <c r="P927" s="5">
        <v>147252</v>
      </c>
      <c r="Q927" s="4"/>
      <c r="R927" s="4"/>
      <c r="S927" s="4" t="s">
        <v>28</v>
      </c>
      <c r="T927" s="4">
        <v>8.9</v>
      </c>
      <c r="U927" s="4" t="s">
        <v>29</v>
      </c>
      <c r="V927" s="4" t="s">
        <v>202</v>
      </c>
      <c r="W927" s="67" t="str">
        <f t="shared" si="74"/>
        <v>-</v>
      </c>
    </row>
    <row r="928" spans="1:23" x14ac:dyDescent="0.3">
      <c r="A928" s="2" t="s">
        <v>2507</v>
      </c>
      <c r="B928" s="2" t="s">
        <v>2508</v>
      </c>
      <c r="C928" s="2">
        <v>9536071145</v>
      </c>
      <c r="D928" s="2" t="s">
        <v>121</v>
      </c>
      <c r="E928" s="2" t="s">
        <v>641</v>
      </c>
      <c r="F928" s="2" t="s">
        <v>717</v>
      </c>
      <c r="G928" s="2" t="s">
        <v>35</v>
      </c>
      <c r="H928" s="2" t="s">
        <v>2457</v>
      </c>
      <c r="I928" s="2" t="str">
        <f t="shared" si="70"/>
        <v>Jul</v>
      </c>
      <c r="J928" s="2">
        <f t="shared" si="71"/>
        <v>7</v>
      </c>
      <c r="K928" s="2">
        <f t="shared" si="72"/>
        <v>2024</v>
      </c>
      <c r="L928" s="2">
        <f t="shared" si="73"/>
        <v>3</v>
      </c>
      <c r="M928" s="2">
        <v>0</v>
      </c>
      <c r="N928" s="2" t="s">
        <v>2425</v>
      </c>
      <c r="O928" s="2" t="s">
        <v>45</v>
      </c>
      <c r="P928" s="3">
        <v>198531</v>
      </c>
      <c r="Q928" s="2"/>
      <c r="R928" s="2"/>
      <c r="S928" s="2" t="s">
        <v>28</v>
      </c>
      <c r="T928" s="2">
        <v>45.3</v>
      </c>
      <c r="U928" s="2" t="s">
        <v>63</v>
      </c>
      <c r="V928" s="2" t="s">
        <v>668</v>
      </c>
      <c r="W928" s="67" t="str">
        <f t="shared" si="74"/>
        <v>-</v>
      </c>
    </row>
    <row r="929" spans="1:23" x14ac:dyDescent="0.3">
      <c r="A929" s="4" t="s">
        <v>2509</v>
      </c>
      <c r="B929" s="4" t="s">
        <v>2510</v>
      </c>
      <c r="C929" s="4">
        <v>9696883236</v>
      </c>
      <c r="D929" s="4" t="s">
        <v>108</v>
      </c>
      <c r="E929" s="4" t="s">
        <v>1632</v>
      </c>
      <c r="F929" s="4" t="s">
        <v>1717</v>
      </c>
      <c r="G929" s="4" t="s">
        <v>35</v>
      </c>
      <c r="H929" s="4" t="s">
        <v>2321</v>
      </c>
      <c r="I929" s="2" t="str">
        <f t="shared" si="70"/>
        <v>Jul</v>
      </c>
      <c r="J929" s="2">
        <f t="shared" si="71"/>
        <v>7</v>
      </c>
      <c r="K929" s="2">
        <f t="shared" si="72"/>
        <v>2024</v>
      </c>
      <c r="L929" s="2">
        <f t="shared" si="73"/>
        <v>3</v>
      </c>
      <c r="M929" s="4">
        <v>1</v>
      </c>
      <c r="N929" s="4" t="s">
        <v>2422</v>
      </c>
      <c r="O929" s="4" t="s">
        <v>27</v>
      </c>
      <c r="P929" s="5">
        <v>164635</v>
      </c>
      <c r="Q929" s="4"/>
      <c r="R929" s="4"/>
      <c r="S929" s="4" t="s">
        <v>5819</v>
      </c>
      <c r="T929" s="4">
        <v>33.799999999999997</v>
      </c>
      <c r="U929" s="4" t="s">
        <v>29</v>
      </c>
      <c r="V929" s="4" t="s">
        <v>30</v>
      </c>
      <c r="W929" s="67" t="str">
        <f t="shared" si="74"/>
        <v>-</v>
      </c>
    </row>
    <row r="930" spans="1:23" x14ac:dyDescent="0.3">
      <c r="A930" s="8" t="s">
        <v>2511</v>
      </c>
      <c r="B930" s="8" t="s">
        <v>530</v>
      </c>
      <c r="C930" s="8">
        <v>9624880437</v>
      </c>
      <c r="D930" s="8" t="s">
        <v>20</v>
      </c>
      <c r="E930" s="8" t="s">
        <v>73</v>
      </c>
      <c r="F930" s="8" t="s">
        <v>74</v>
      </c>
      <c r="G930" s="8" t="s">
        <v>60</v>
      </c>
      <c r="H930" s="8" t="s">
        <v>2500</v>
      </c>
      <c r="I930" s="2" t="str">
        <f t="shared" si="70"/>
        <v>Jul</v>
      </c>
      <c r="J930" s="2">
        <f t="shared" si="71"/>
        <v>7</v>
      </c>
      <c r="K930" s="2">
        <f t="shared" si="72"/>
        <v>2024</v>
      </c>
      <c r="L930" s="2">
        <f t="shared" si="73"/>
        <v>3</v>
      </c>
      <c r="M930" s="8">
        <v>1</v>
      </c>
      <c r="N930" s="8" t="s">
        <v>2439</v>
      </c>
      <c r="O930" s="8" t="s">
        <v>97</v>
      </c>
      <c r="P930" s="9">
        <v>90797</v>
      </c>
      <c r="Q930" s="9">
        <v>90090</v>
      </c>
      <c r="R930" s="8" t="s">
        <v>2404</v>
      </c>
      <c r="S930" s="8" t="s">
        <v>1805</v>
      </c>
      <c r="T930" s="8">
        <v>38.4</v>
      </c>
      <c r="U930" s="8" t="s">
        <v>63</v>
      </c>
      <c r="V930" s="8" t="s">
        <v>170</v>
      </c>
      <c r="W930" s="67" t="str">
        <f t="shared" si="74"/>
        <v>Customer</v>
      </c>
    </row>
    <row r="931" spans="1:23" x14ac:dyDescent="0.3">
      <c r="A931" s="4" t="s">
        <v>2512</v>
      </c>
      <c r="B931" s="4" t="s">
        <v>1601</v>
      </c>
      <c r="C931" s="4">
        <v>9737929920</v>
      </c>
      <c r="D931" s="4" t="s">
        <v>20</v>
      </c>
      <c r="E931" s="4" t="s">
        <v>1632</v>
      </c>
      <c r="F931" s="4" t="s">
        <v>1659</v>
      </c>
      <c r="G931" s="4" t="s">
        <v>69</v>
      </c>
      <c r="H931" s="4" t="s">
        <v>2500</v>
      </c>
      <c r="I931" s="2" t="str">
        <f t="shared" si="70"/>
        <v>Jul</v>
      </c>
      <c r="J931" s="2">
        <f t="shared" si="71"/>
        <v>7</v>
      </c>
      <c r="K931" s="2">
        <f t="shared" si="72"/>
        <v>2024</v>
      </c>
      <c r="L931" s="2">
        <f t="shared" si="73"/>
        <v>3</v>
      </c>
      <c r="M931" s="4">
        <v>10</v>
      </c>
      <c r="N931" s="4" t="s">
        <v>2469</v>
      </c>
      <c r="O931" s="4" t="s">
        <v>27</v>
      </c>
      <c r="P931" s="5">
        <v>122636</v>
      </c>
      <c r="Q931" s="4"/>
      <c r="R931" s="4"/>
      <c r="S931" s="4" t="s">
        <v>1063</v>
      </c>
      <c r="T931" s="4">
        <v>25.2</v>
      </c>
      <c r="U931" s="4" t="s">
        <v>47</v>
      </c>
      <c r="V931" s="4" t="s">
        <v>163</v>
      </c>
      <c r="W931" s="67" t="str">
        <f t="shared" si="74"/>
        <v>-</v>
      </c>
    </row>
    <row r="932" spans="1:23" x14ac:dyDescent="0.3">
      <c r="A932" s="6" t="s">
        <v>2513</v>
      </c>
      <c r="B932" s="6" t="s">
        <v>2514</v>
      </c>
      <c r="C932" s="6">
        <v>9698267518</v>
      </c>
      <c r="D932" s="6" t="s">
        <v>20</v>
      </c>
      <c r="E932" s="6" t="s">
        <v>1632</v>
      </c>
      <c r="F932" s="6" t="s">
        <v>1849</v>
      </c>
      <c r="G932" s="6" t="s">
        <v>616</v>
      </c>
      <c r="H932" s="6" t="s">
        <v>2500</v>
      </c>
      <c r="I932" s="2" t="str">
        <f t="shared" si="70"/>
        <v>Jul</v>
      </c>
      <c r="J932" s="2">
        <f t="shared" si="71"/>
        <v>7</v>
      </c>
      <c r="K932" s="2">
        <f t="shared" si="72"/>
        <v>2024</v>
      </c>
      <c r="L932" s="2">
        <f t="shared" si="73"/>
        <v>3</v>
      </c>
      <c r="M932" s="6">
        <v>1</v>
      </c>
      <c r="N932" s="6" t="s">
        <v>2374</v>
      </c>
      <c r="O932" s="6" t="s">
        <v>97</v>
      </c>
      <c r="P932" s="7">
        <v>237780</v>
      </c>
      <c r="Q932" s="7">
        <v>243847</v>
      </c>
      <c r="R932" s="6" t="s">
        <v>2404</v>
      </c>
      <c r="S932" s="6" t="s">
        <v>28</v>
      </c>
      <c r="T932" s="6">
        <v>38.700000000000003</v>
      </c>
      <c r="U932" s="6" t="s">
        <v>63</v>
      </c>
      <c r="V932" s="6" t="s">
        <v>465</v>
      </c>
      <c r="W932" s="67" t="str">
        <f t="shared" si="74"/>
        <v>Customer</v>
      </c>
    </row>
    <row r="933" spans="1:23" x14ac:dyDescent="0.3">
      <c r="A933" s="4" t="s">
        <v>2515</v>
      </c>
      <c r="B933" s="4" t="s">
        <v>2516</v>
      </c>
      <c r="C933" s="4">
        <v>9830863433</v>
      </c>
      <c r="D933" s="4" t="s">
        <v>121</v>
      </c>
      <c r="E933" s="4" t="s">
        <v>73</v>
      </c>
      <c r="F933" s="4" t="s">
        <v>74</v>
      </c>
      <c r="G933" s="4" t="s">
        <v>643</v>
      </c>
      <c r="H933" s="4" t="s">
        <v>2422</v>
      </c>
      <c r="I933" s="2" t="str">
        <f t="shared" si="70"/>
        <v>Jul</v>
      </c>
      <c r="J933" s="2">
        <f t="shared" si="71"/>
        <v>7</v>
      </c>
      <c r="K933" s="2">
        <f t="shared" si="72"/>
        <v>2024</v>
      </c>
      <c r="L933" s="2">
        <f t="shared" si="73"/>
        <v>3</v>
      </c>
      <c r="M933" s="4">
        <v>3</v>
      </c>
      <c r="N933" s="4" t="s">
        <v>2517</v>
      </c>
      <c r="O933" s="4" t="s">
        <v>27</v>
      </c>
      <c r="P933" s="5">
        <v>680084</v>
      </c>
      <c r="Q933" s="4"/>
      <c r="R933" s="4"/>
      <c r="S933" s="4" t="s">
        <v>28</v>
      </c>
      <c r="T933" s="4">
        <v>22.3</v>
      </c>
      <c r="U933" s="4" t="s">
        <v>29</v>
      </c>
      <c r="V933" s="4" t="s">
        <v>157</v>
      </c>
      <c r="W933" s="67" t="str">
        <f t="shared" si="74"/>
        <v>-</v>
      </c>
    </row>
    <row r="934" spans="1:23" x14ac:dyDescent="0.3">
      <c r="A934" s="2" t="s">
        <v>2518</v>
      </c>
      <c r="B934" s="2" t="s">
        <v>2519</v>
      </c>
      <c r="C934" s="2">
        <v>9238657792</v>
      </c>
      <c r="D934" s="2" t="s">
        <v>59</v>
      </c>
      <c r="E934" s="2" t="s">
        <v>41</v>
      </c>
      <c r="F934" s="2" t="s">
        <v>86</v>
      </c>
      <c r="G934" s="2" t="s">
        <v>1621</v>
      </c>
      <c r="H934" s="2" t="s">
        <v>2422</v>
      </c>
      <c r="I934" s="2" t="str">
        <f t="shared" si="70"/>
        <v>Jul</v>
      </c>
      <c r="J934" s="2">
        <f t="shared" si="71"/>
        <v>7</v>
      </c>
      <c r="K934" s="2">
        <f t="shared" si="72"/>
        <v>2024</v>
      </c>
      <c r="L934" s="2">
        <f t="shared" si="73"/>
        <v>3</v>
      </c>
      <c r="M934" s="2">
        <v>1</v>
      </c>
      <c r="N934" s="2" t="s">
        <v>2520</v>
      </c>
      <c r="O934" s="2" t="s">
        <v>27</v>
      </c>
      <c r="P934" s="3">
        <v>364193</v>
      </c>
      <c r="Q934" s="2"/>
      <c r="R934" s="2"/>
      <c r="S934" s="2" t="s">
        <v>28</v>
      </c>
      <c r="T934" s="2">
        <v>45.9</v>
      </c>
      <c r="U934" s="2" t="s">
        <v>29</v>
      </c>
      <c r="V934" s="2" t="s">
        <v>157</v>
      </c>
      <c r="W934" s="67" t="str">
        <f t="shared" si="74"/>
        <v>-</v>
      </c>
    </row>
    <row r="935" spans="1:23" x14ac:dyDescent="0.3">
      <c r="A935" s="4" t="s">
        <v>2521</v>
      </c>
      <c r="B935" s="4" t="s">
        <v>2522</v>
      </c>
      <c r="C935" s="4">
        <v>9390827816</v>
      </c>
      <c r="D935" s="4" t="s">
        <v>20</v>
      </c>
      <c r="E935" s="4" t="s">
        <v>1632</v>
      </c>
      <c r="F935" s="4" t="s">
        <v>1659</v>
      </c>
      <c r="G935" s="4" t="s">
        <v>87</v>
      </c>
      <c r="H935" s="4" t="s">
        <v>2422</v>
      </c>
      <c r="I935" s="2" t="str">
        <f t="shared" si="70"/>
        <v>Jul</v>
      </c>
      <c r="J935" s="2">
        <f t="shared" si="71"/>
        <v>7</v>
      </c>
      <c r="K935" s="2">
        <f t="shared" si="72"/>
        <v>2024</v>
      </c>
      <c r="L935" s="2">
        <f t="shared" si="73"/>
        <v>3</v>
      </c>
      <c r="M935" s="4">
        <v>5</v>
      </c>
      <c r="N935" s="4" t="s">
        <v>2447</v>
      </c>
      <c r="O935" s="4" t="s">
        <v>45</v>
      </c>
      <c r="P935" s="5">
        <v>287997</v>
      </c>
      <c r="Q935" s="4"/>
      <c r="R935" s="4"/>
      <c r="S935" s="4" t="s">
        <v>5819</v>
      </c>
      <c r="T935" s="4">
        <v>46.5</v>
      </c>
      <c r="U935" s="4" t="s">
        <v>63</v>
      </c>
      <c r="V935" s="4" t="s">
        <v>559</v>
      </c>
      <c r="W935" s="67" t="str">
        <f t="shared" si="74"/>
        <v>-</v>
      </c>
    </row>
    <row r="936" spans="1:23" x14ac:dyDescent="0.3">
      <c r="A936" s="6" t="s">
        <v>2523</v>
      </c>
      <c r="B936" s="6" t="s">
        <v>2524</v>
      </c>
      <c r="C936" s="6">
        <v>9593253917</v>
      </c>
      <c r="D936" s="6" t="s">
        <v>121</v>
      </c>
      <c r="E936" s="6" t="s">
        <v>73</v>
      </c>
      <c r="F936" s="6" t="s">
        <v>126</v>
      </c>
      <c r="G936" s="6" t="s">
        <v>69</v>
      </c>
      <c r="H936" s="6" t="s">
        <v>2422</v>
      </c>
      <c r="I936" s="2" t="str">
        <f t="shared" si="70"/>
        <v>Jul</v>
      </c>
      <c r="J936" s="2">
        <f t="shared" si="71"/>
        <v>7</v>
      </c>
      <c r="K936" s="2">
        <f t="shared" si="72"/>
        <v>2024</v>
      </c>
      <c r="L936" s="2">
        <f t="shared" si="73"/>
        <v>3</v>
      </c>
      <c r="M936" s="6">
        <v>5</v>
      </c>
      <c r="N936" s="6" t="s">
        <v>2416</v>
      </c>
      <c r="O936" s="6" t="s">
        <v>97</v>
      </c>
      <c r="P936" s="7">
        <v>328006</v>
      </c>
      <c r="Q936" s="7">
        <v>318638</v>
      </c>
      <c r="R936" s="6" t="s">
        <v>2466</v>
      </c>
      <c r="S936" s="6" t="s">
        <v>5819</v>
      </c>
      <c r="T936" s="6">
        <v>24.2</v>
      </c>
      <c r="U936" s="6" t="s">
        <v>63</v>
      </c>
      <c r="V936" s="6" t="s">
        <v>113</v>
      </c>
      <c r="W936" s="67" t="str">
        <f t="shared" si="74"/>
        <v>Customer</v>
      </c>
    </row>
    <row r="937" spans="1:23" x14ac:dyDescent="0.3">
      <c r="A937" s="4" t="s">
        <v>2525</v>
      </c>
      <c r="B937" s="4" t="s">
        <v>2526</v>
      </c>
      <c r="C937" s="4">
        <v>9578369243</v>
      </c>
      <c r="D937" s="4" t="s">
        <v>59</v>
      </c>
      <c r="E937" s="4" t="s">
        <v>641</v>
      </c>
      <c r="F937" s="4" t="s">
        <v>681</v>
      </c>
      <c r="G937" s="4" t="s">
        <v>643</v>
      </c>
      <c r="H937" s="4" t="s">
        <v>2450</v>
      </c>
      <c r="I937" s="2" t="str">
        <f t="shared" si="70"/>
        <v>Jul</v>
      </c>
      <c r="J937" s="2">
        <f t="shared" si="71"/>
        <v>7</v>
      </c>
      <c r="K937" s="2">
        <f t="shared" si="72"/>
        <v>2024</v>
      </c>
      <c r="L937" s="2">
        <f t="shared" si="73"/>
        <v>3</v>
      </c>
      <c r="M937" s="4">
        <v>6</v>
      </c>
      <c r="N937" s="4" t="s">
        <v>2406</v>
      </c>
      <c r="O937" s="4" t="s">
        <v>27</v>
      </c>
      <c r="P937" s="5">
        <v>738469</v>
      </c>
      <c r="Q937" s="4"/>
      <c r="R937" s="4"/>
      <c r="S937" s="4" t="s">
        <v>1063</v>
      </c>
      <c r="T937" s="4">
        <v>47.1</v>
      </c>
      <c r="U937" s="4" t="s">
        <v>29</v>
      </c>
      <c r="V937" s="4"/>
      <c r="W937" s="67" t="str">
        <f t="shared" si="74"/>
        <v>-</v>
      </c>
    </row>
    <row r="938" spans="1:23" x14ac:dyDescent="0.3">
      <c r="A938" s="6" t="s">
        <v>2527</v>
      </c>
      <c r="B938" s="6" t="s">
        <v>1456</v>
      </c>
      <c r="C938" s="6">
        <v>9705284894</v>
      </c>
      <c r="D938" s="6" t="s">
        <v>20</v>
      </c>
      <c r="E938" s="6" t="s">
        <v>33</v>
      </c>
      <c r="F938" s="6" t="s">
        <v>201</v>
      </c>
      <c r="G938" s="6" t="s">
        <v>1609</v>
      </c>
      <c r="H938" s="6" t="s">
        <v>2454</v>
      </c>
      <c r="I938" s="2" t="str">
        <f t="shared" si="70"/>
        <v>Jul</v>
      </c>
      <c r="J938" s="2">
        <f t="shared" si="71"/>
        <v>7</v>
      </c>
      <c r="K938" s="2">
        <f t="shared" si="72"/>
        <v>2024</v>
      </c>
      <c r="L938" s="2">
        <f t="shared" si="73"/>
        <v>3</v>
      </c>
      <c r="M938" s="6">
        <v>5</v>
      </c>
      <c r="N938" s="6" t="s">
        <v>2528</v>
      </c>
      <c r="O938" s="6" t="s">
        <v>97</v>
      </c>
      <c r="P938" s="7">
        <v>466038</v>
      </c>
      <c r="Q938" s="7">
        <v>457629</v>
      </c>
      <c r="R938" s="6" t="s">
        <v>2529</v>
      </c>
      <c r="S938" s="6" t="s">
        <v>5819</v>
      </c>
      <c r="T938" s="6">
        <v>18.600000000000001</v>
      </c>
      <c r="U938" s="6" t="s">
        <v>63</v>
      </c>
      <c r="V938" s="6" t="s">
        <v>243</v>
      </c>
      <c r="W938" s="67" t="str">
        <f t="shared" si="74"/>
        <v>Customer</v>
      </c>
    </row>
    <row r="939" spans="1:23" x14ac:dyDescent="0.3">
      <c r="A939" s="4" t="s">
        <v>2530</v>
      </c>
      <c r="B939" s="4" t="s">
        <v>2531</v>
      </c>
      <c r="C939" s="4">
        <v>9292694173</v>
      </c>
      <c r="D939" s="4" t="s">
        <v>59</v>
      </c>
      <c r="E939" s="4" t="s">
        <v>33</v>
      </c>
      <c r="F939" s="4" t="s">
        <v>34</v>
      </c>
      <c r="G939" s="4" t="s">
        <v>23</v>
      </c>
      <c r="H939" s="4" t="s">
        <v>2425</v>
      </c>
      <c r="I939" s="2" t="str">
        <f t="shared" si="70"/>
        <v>Aug</v>
      </c>
      <c r="J939" s="2">
        <f t="shared" si="71"/>
        <v>8</v>
      </c>
      <c r="K939" s="2">
        <f t="shared" si="72"/>
        <v>2024</v>
      </c>
      <c r="L939" s="2">
        <f t="shared" si="73"/>
        <v>3</v>
      </c>
      <c r="M939" s="4">
        <v>0</v>
      </c>
      <c r="N939" s="4" t="s">
        <v>2388</v>
      </c>
      <c r="O939" s="4" t="s">
        <v>62</v>
      </c>
      <c r="P939" s="4"/>
      <c r="Q939" s="4"/>
      <c r="R939" s="4"/>
      <c r="S939" s="4" t="s">
        <v>5819</v>
      </c>
      <c r="T939" s="4">
        <v>19.600000000000001</v>
      </c>
      <c r="U939" s="4" t="s">
        <v>63</v>
      </c>
      <c r="V939" s="4" t="s">
        <v>195</v>
      </c>
      <c r="W939" s="67" t="str">
        <f t="shared" si="74"/>
        <v>-</v>
      </c>
    </row>
    <row r="940" spans="1:23" x14ac:dyDescent="0.3">
      <c r="A940" s="2" t="s">
        <v>2532</v>
      </c>
      <c r="B940" s="2" t="s">
        <v>1985</v>
      </c>
      <c r="C940" s="2">
        <v>9107395571</v>
      </c>
      <c r="D940" s="2" t="s">
        <v>20</v>
      </c>
      <c r="E940" s="2" t="s">
        <v>73</v>
      </c>
      <c r="F940" s="2" t="s">
        <v>74</v>
      </c>
      <c r="G940" s="2" t="s">
        <v>52</v>
      </c>
      <c r="H940" s="2" t="s">
        <v>2387</v>
      </c>
      <c r="I940" s="2" t="str">
        <f t="shared" si="70"/>
        <v>Aug</v>
      </c>
      <c r="J940" s="2">
        <f t="shared" si="71"/>
        <v>8</v>
      </c>
      <c r="K940" s="2">
        <f t="shared" si="72"/>
        <v>2024</v>
      </c>
      <c r="L940" s="2">
        <f t="shared" si="73"/>
        <v>3</v>
      </c>
      <c r="M940" s="2">
        <v>9</v>
      </c>
      <c r="N940" s="2" t="s">
        <v>2533</v>
      </c>
      <c r="O940" s="2" t="s">
        <v>27</v>
      </c>
      <c r="P940" s="3">
        <v>156356</v>
      </c>
      <c r="Q940" s="2"/>
      <c r="R940" s="2"/>
      <c r="S940" s="2" t="s">
        <v>5819</v>
      </c>
      <c r="T940" s="2">
        <v>13.8</v>
      </c>
      <c r="U940" s="2" t="s">
        <v>29</v>
      </c>
      <c r="V940" s="2" t="s">
        <v>157</v>
      </c>
      <c r="W940" s="67" t="str">
        <f t="shared" si="74"/>
        <v>-</v>
      </c>
    </row>
    <row r="941" spans="1:23" x14ac:dyDescent="0.3">
      <c r="A941" s="4" t="s">
        <v>2534</v>
      </c>
      <c r="B941" s="4" t="s">
        <v>2535</v>
      </c>
      <c r="C941" s="4">
        <v>9996268607</v>
      </c>
      <c r="D941" s="4" t="s">
        <v>20</v>
      </c>
      <c r="E941" s="4" t="s">
        <v>1632</v>
      </c>
      <c r="F941" s="4" t="s">
        <v>1633</v>
      </c>
      <c r="G941" s="4" t="s">
        <v>1609</v>
      </c>
      <c r="H941" s="4" t="s">
        <v>2536</v>
      </c>
      <c r="I941" s="2" t="str">
        <f t="shared" si="70"/>
        <v>Aug</v>
      </c>
      <c r="J941" s="2">
        <f t="shared" si="71"/>
        <v>8</v>
      </c>
      <c r="K941" s="2">
        <f t="shared" si="72"/>
        <v>2024</v>
      </c>
      <c r="L941" s="2">
        <f t="shared" si="73"/>
        <v>3</v>
      </c>
      <c r="M941" s="4">
        <v>5</v>
      </c>
      <c r="N941" s="4" t="s">
        <v>2537</v>
      </c>
      <c r="O941" s="4" t="s">
        <v>27</v>
      </c>
      <c r="P941" s="5">
        <v>383434</v>
      </c>
      <c r="Q941" s="4"/>
      <c r="R941" s="4"/>
      <c r="S941" s="4" t="s">
        <v>5819</v>
      </c>
      <c r="T941" s="4">
        <v>2.8</v>
      </c>
      <c r="U941" s="4" t="s">
        <v>29</v>
      </c>
      <c r="V941" s="4" t="s">
        <v>123</v>
      </c>
      <c r="W941" s="67" t="str">
        <f t="shared" si="74"/>
        <v>-</v>
      </c>
    </row>
    <row r="942" spans="1:23" x14ac:dyDescent="0.3">
      <c r="A942" s="2" t="s">
        <v>2538</v>
      </c>
      <c r="B942" s="2" t="s">
        <v>1475</v>
      </c>
      <c r="C942" s="2">
        <v>9990953276</v>
      </c>
      <c r="D942" s="2" t="s">
        <v>121</v>
      </c>
      <c r="E942" s="2" t="s">
        <v>641</v>
      </c>
      <c r="F942" s="2" t="s">
        <v>717</v>
      </c>
      <c r="G942" s="2" t="s">
        <v>69</v>
      </c>
      <c r="H942" s="2" t="s">
        <v>2536</v>
      </c>
      <c r="I942" s="2" t="str">
        <f t="shared" si="70"/>
        <v>Aug</v>
      </c>
      <c r="J942" s="2">
        <f t="shared" si="71"/>
        <v>8</v>
      </c>
      <c r="K942" s="2">
        <f t="shared" si="72"/>
        <v>2024</v>
      </c>
      <c r="L942" s="2">
        <f t="shared" si="73"/>
        <v>3</v>
      </c>
      <c r="M942" s="2">
        <v>9</v>
      </c>
      <c r="N942" s="2" t="s">
        <v>2539</v>
      </c>
      <c r="O942" s="2" t="s">
        <v>27</v>
      </c>
      <c r="P942" s="3">
        <v>201331</v>
      </c>
      <c r="Q942" s="2"/>
      <c r="R942" s="2"/>
      <c r="S942" s="2" t="s">
        <v>5819</v>
      </c>
      <c r="T942" s="2">
        <v>25</v>
      </c>
      <c r="U942" s="2" t="s">
        <v>29</v>
      </c>
      <c r="V942" s="2" t="s">
        <v>38</v>
      </c>
      <c r="W942" s="67" t="str">
        <f t="shared" si="74"/>
        <v>-</v>
      </c>
    </row>
    <row r="943" spans="1:23" x14ac:dyDescent="0.3">
      <c r="A943" s="8" t="s">
        <v>2540</v>
      </c>
      <c r="B943" s="8" t="s">
        <v>2541</v>
      </c>
      <c r="C943" s="8">
        <v>9976660776</v>
      </c>
      <c r="D943" s="8" t="s">
        <v>121</v>
      </c>
      <c r="E943" s="8" t="s">
        <v>41</v>
      </c>
      <c r="F943" s="8" t="s">
        <v>42</v>
      </c>
      <c r="G943" s="8" t="s">
        <v>52</v>
      </c>
      <c r="H943" s="8" t="s">
        <v>2439</v>
      </c>
      <c r="I943" s="2" t="str">
        <f t="shared" si="70"/>
        <v>Aug</v>
      </c>
      <c r="J943" s="2">
        <f t="shared" si="71"/>
        <v>8</v>
      </c>
      <c r="K943" s="2">
        <f t="shared" si="72"/>
        <v>2024</v>
      </c>
      <c r="L943" s="2">
        <f t="shared" si="73"/>
        <v>3</v>
      </c>
      <c r="M943" s="8">
        <v>11</v>
      </c>
      <c r="N943" s="8" t="s">
        <v>2542</v>
      </c>
      <c r="O943" s="8" t="s">
        <v>45</v>
      </c>
      <c r="P943" s="9">
        <v>373432</v>
      </c>
      <c r="Q943" s="8"/>
      <c r="R943" s="8"/>
      <c r="S943" s="8" t="s">
        <v>1805</v>
      </c>
      <c r="T943" s="8">
        <v>46</v>
      </c>
      <c r="U943" s="8" t="s">
        <v>47</v>
      </c>
      <c r="V943" s="8" t="s">
        <v>302</v>
      </c>
      <c r="W943" s="67" t="str">
        <f t="shared" si="74"/>
        <v>-</v>
      </c>
    </row>
    <row r="944" spans="1:23" x14ac:dyDescent="0.3">
      <c r="A944" s="2" t="s">
        <v>2543</v>
      </c>
      <c r="B944" s="2" t="s">
        <v>1652</v>
      </c>
      <c r="C944" s="2">
        <v>9180595440</v>
      </c>
      <c r="D944" s="2" t="s">
        <v>51</v>
      </c>
      <c r="E944" s="2" t="s">
        <v>1632</v>
      </c>
      <c r="F944" s="2" t="s">
        <v>1633</v>
      </c>
      <c r="G944" s="2" t="s">
        <v>23</v>
      </c>
      <c r="H944" s="2" t="s">
        <v>2439</v>
      </c>
      <c r="I944" s="2" t="str">
        <f t="shared" si="70"/>
        <v>Aug</v>
      </c>
      <c r="J944" s="2">
        <f t="shared" si="71"/>
        <v>8</v>
      </c>
      <c r="K944" s="2">
        <f t="shared" si="72"/>
        <v>2024</v>
      </c>
      <c r="L944" s="2">
        <f t="shared" si="73"/>
        <v>3</v>
      </c>
      <c r="M944" s="2">
        <v>8</v>
      </c>
      <c r="N944" s="2" t="s">
        <v>2544</v>
      </c>
      <c r="O944" s="2" t="s">
        <v>45</v>
      </c>
      <c r="P944" s="3">
        <v>601497</v>
      </c>
      <c r="Q944" s="2"/>
      <c r="R944" s="2"/>
      <c r="S944" s="2" t="s">
        <v>1063</v>
      </c>
      <c r="T944" s="2">
        <v>30.8</v>
      </c>
      <c r="U944" s="2" t="s">
        <v>63</v>
      </c>
      <c r="V944" s="2" t="s">
        <v>535</v>
      </c>
      <c r="W944" s="67" t="str">
        <f t="shared" si="74"/>
        <v>-</v>
      </c>
    </row>
    <row r="945" spans="1:23" x14ac:dyDescent="0.3">
      <c r="A945" s="4" t="s">
        <v>2545</v>
      </c>
      <c r="B945" s="4" t="s">
        <v>2443</v>
      </c>
      <c r="C945" s="4">
        <v>9485010812</v>
      </c>
      <c r="D945" s="4" t="s">
        <v>121</v>
      </c>
      <c r="E945" s="4" t="s">
        <v>67</v>
      </c>
      <c r="F945" s="4" t="s">
        <v>80</v>
      </c>
      <c r="G945" s="4" t="s">
        <v>23</v>
      </c>
      <c r="H945" s="4" t="s">
        <v>2374</v>
      </c>
      <c r="I945" s="2" t="str">
        <f t="shared" si="70"/>
        <v>Aug</v>
      </c>
      <c r="J945" s="2">
        <f t="shared" si="71"/>
        <v>8</v>
      </c>
      <c r="K945" s="2">
        <f t="shared" si="72"/>
        <v>2024</v>
      </c>
      <c r="L945" s="2">
        <f t="shared" si="73"/>
        <v>3</v>
      </c>
      <c r="M945" s="4"/>
      <c r="N945" s="4" t="s">
        <v>2520</v>
      </c>
      <c r="O945" s="4" t="s">
        <v>27</v>
      </c>
      <c r="P945" s="5">
        <v>775933</v>
      </c>
      <c r="Q945" s="4"/>
      <c r="R945" s="4"/>
      <c r="S945" s="4" t="s">
        <v>5819</v>
      </c>
      <c r="T945" s="4">
        <v>29.3</v>
      </c>
      <c r="U945" s="4" t="s">
        <v>29</v>
      </c>
      <c r="V945" s="4" t="s">
        <v>123</v>
      </c>
      <c r="W945" s="67" t="str">
        <f t="shared" si="74"/>
        <v>-</v>
      </c>
    </row>
    <row r="946" spans="1:23" x14ac:dyDescent="0.3">
      <c r="A946" s="2" t="s">
        <v>2546</v>
      </c>
      <c r="B946" s="2" t="s">
        <v>2547</v>
      </c>
      <c r="C946" s="2">
        <v>9354006948</v>
      </c>
      <c r="D946" s="2" t="s">
        <v>59</v>
      </c>
      <c r="E946" s="2" t="s">
        <v>1632</v>
      </c>
      <c r="F946" s="2" t="s">
        <v>1849</v>
      </c>
      <c r="G946" s="2" t="s">
        <v>23</v>
      </c>
      <c r="H946" s="2" t="s">
        <v>2388</v>
      </c>
      <c r="I946" s="2" t="str">
        <f t="shared" si="70"/>
        <v>Aug</v>
      </c>
      <c r="J946" s="2">
        <f t="shared" si="71"/>
        <v>8</v>
      </c>
      <c r="K946" s="2">
        <f t="shared" si="72"/>
        <v>2024</v>
      </c>
      <c r="L946" s="2">
        <f t="shared" si="73"/>
        <v>3</v>
      </c>
      <c r="M946" s="2">
        <v>11</v>
      </c>
      <c r="N946" s="2" t="s">
        <v>2379</v>
      </c>
      <c r="O946" s="2" t="s">
        <v>27</v>
      </c>
      <c r="P946" s="3">
        <v>472008</v>
      </c>
      <c r="Q946" s="2"/>
      <c r="R946" s="2"/>
      <c r="S946" s="2" t="s">
        <v>5819</v>
      </c>
      <c r="T946" s="2">
        <v>35.6</v>
      </c>
      <c r="U946" s="2" t="s">
        <v>29</v>
      </c>
      <c r="V946" s="2" t="s">
        <v>163</v>
      </c>
      <c r="W946" s="67" t="str">
        <f t="shared" si="74"/>
        <v>-</v>
      </c>
    </row>
    <row r="947" spans="1:23" x14ac:dyDescent="0.3">
      <c r="A947" s="6" t="s">
        <v>2548</v>
      </c>
      <c r="B947" s="6" t="s">
        <v>2549</v>
      </c>
      <c r="C947" s="6">
        <v>9882030764</v>
      </c>
      <c r="D947" s="6" t="s">
        <v>121</v>
      </c>
      <c r="E947" s="6" t="s">
        <v>73</v>
      </c>
      <c r="F947" s="6" t="s">
        <v>74</v>
      </c>
      <c r="G947" s="6" t="s">
        <v>1609</v>
      </c>
      <c r="H947" s="6" t="s">
        <v>2388</v>
      </c>
      <c r="I947" s="2" t="str">
        <f t="shared" si="70"/>
        <v>Aug</v>
      </c>
      <c r="J947" s="2">
        <f t="shared" si="71"/>
        <v>8</v>
      </c>
      <c r="K947" s="2">
        <f t="shared" si="72"/>
        <v>2024</v>
      </c>
      <c r="L947" s="2">
        <f t="shared" si="73"/>
        <v>3</v>
      </c>
      <c r="M947" s="6">
        <v>11</v>
      </c>
      <c r="N947" s="6" t="s">
        <v>2478</v>
      </c>
      <c r="O947" s="6" t="s">
        <v>97</v>
      </c>
      <c r="P947" s="7">
        <v>213421</v>
      </c>
      <c r="Q947" s="7">
        <v>188991</v>
      </c>
      <c r="R947" s="6" t="s">
        <v>2550</v>
      </c>
      <c r="S947" s="6" t="s">
        <v>5819</v>
      </c>
      <c r="T947" s="6">
        <v>26.4</v>
      </c>
      <c r="U947" s="6" t="s">
        <v>63</v>
      </c>
      <c r="V947" s="6" t="s">
        <v>286</v>
      </c>
      <c r="W947" s="67" t="str">
        <f t="shared" si="74"/>
        <v>Customer</v>
      </c>
    </row>
    <row r="948" spans="1:23" x14ac:dyDescent="0.3">
      <c r="A948" s="8" t="s">
        <v>2551</v>
      </c>
      <c r="B948" s="8" t="s">
        <v>2552</v>
      </c>
      <c r="C948" s="8">
        <v>9754630876</v>
      </c>
      <c r="D948" s="8" t="s">
        <v>20</v>
      </c>
      <c r="E948" s="8" t="s">
        <v>109</v>
      </c>
      <c r="F948" s="8" t="s">
        <v>217</v>
      </c>
      <c r="G948" s="8" t="s">
        <v>35</v>
      </c>
      <c r="H948" s="8" t="s">
        <v>2388</v>
      </c>
      <c r="I948" s="2" t="str">
        <f t="shared" si="70"/>
        <v>Aug</v>
      </c>
      <c r="J948" s="2">
        <f t="shared" si="71"/>
        <v>8</v>
      </c>
      <c r="K948" s="2">
        <f t="shared" si="72"/>
        <v>2024</v>
      </c>
      <c r="L948" s="2">
        <f t="shared" si="73"/>
        <v>3</v>
      </c>
      <c r="M948" s="8">
        <v>7</v>
      </c>
      <c r="N948" s="8" t="s">
        <v>2478</v>
      </c>
      <c r="O948" s="8" t="s">
        <v>27</v>
      </c>
      <c r="P948" s="9">
        <v>123389</v>
      </c>
      <c r="Q948" s="8"/>
      <c r="R948" s="8"/>
      <c r="S948" s="8" t="s">
        <v>1805</v>
      </c>
      <c r="T948" s="8">
        <v>18.2</v>
      </c>
      <c r="U948" s="8" t="s">
        <v>29</v>
      </c>
      <c r="V948" s="8" t="s">
        <v>123</v>
      </c>
      <c r="W948" s="67" t="str">
        <f t="shared" si="74"/>
        <v>-</v>
      </c>
    </row>
    <row r="949" spans="1:23" x14ac:dyDescent="0.3">
      <c r="A949" s="4" t="s">
        <v>2553</v>
      </c>
      <c r="B949" s="4" t="s">
        <v>2554</v>
      </c>
      <c r="C949" s="4">
        <v>9184141769</v>
      </c>
      <c r="D949" s="4" t="s">
        <v>20</v>
      </c>
      <c r="E949" s="4" t="s">
        <v>33</v>
      </c>
      <c r="F949" s="4" t="s">
        <v>34</v>
      </c>
      <c r="G949" s="4" t="s">
        <v>1609</v>
      </c>
      <c r="H949" s="4" t="s">
        <v>2388</v>
      </c>
      <c r="I949" s="2" t="str">
        <f t="shared" si="70"/>
        <v>Aug</v>
      </c>
      <c r="J949" s="2">
        <f t="shared" si="71"/>
        <v>8</v>
      </c>
      <c r="K949" s="2">
        <f t="shared" si="72"/>
        <v>2024</v>
      </c>
      <c r="L949" s="2">
        <f t="shared" si="73"/>
        <v>3</v>
      </c>
      <c r="M949" s="4">
        <v>6</v>
      </c>
      <c r="N949" s="4" t="s">
        <v>2555</v>
      </c>
      <c r="O949" s="4" t="s">
        <v>45</v>
      </c>
      <c r="P949" s="5">
        <v>273774</v>
      </c>
      <c r="Q949" s="4"/>
      <c r="R949" s="4"/>
      <c r="S949" s="4" t="s">
        <v>5819</v>
      </c>
      <c r="T949" s="4">
        <v>25.9</v>
      </c>
      <c r="U949" s="4" t="s">
        <v>63</v>
      </c>
      <c r="V949" s="4" t="s">
        <v>64</v>
      </c>
      <c r="W949" s="67" t="str">
        <f t="shared" si="74"/>
        <v>-</v>
      </c>
    </row>
    <row r="950" spans="1:23" x14ac:dyDescent="0.3">
      <c r="A950" s="6" t="s">
        <v>2556</v>
      </c>
      <c r="B950" s="6" t="s">
        <v>2557</v>
      </c>
      <c r="C950" s="6">
        <v>9499553498</v>
      </c>
      <c r="D950" s="6" t="s">
        <v>20</v>
      </c>
      <c r="E950" s="6" t="s">
        <v>1632</v>
      </c>
      <c r="F950" s="6" t="s">
        <v>1717</v>
      </c>
      <c r="G950" s="6" t="s">
        <v>616</v>
      </c>
      <c r="H950" s="6" t="s">
        <v>2403</v>
      </c>
      <c r="I950" s="2" t="str">
        <f t="shared" si="70"/>
        <v>Aug</v>
      </c>
      <c r="J950" s="2">
        <f t="shared" si="71"/>
        <v>8</v>
      </c>
      <c r="K950" s="2">
        <f t="shared" si="72"/>
        <v>2024</v>
      </c>
      <c r="L950" s="2">
        <f t="shared" si="73"/>
        <v>3</v>
      </c>
      <c r="M950" s="6">
        <v>2</v>
      </c>
      <c r="N950" s="6" t="s">
        <v>2537</v>
      </c>
      <c r="O950" s="6" t="s">
        <v>97</v>
      </c>
      <c r="P950" s="7">
        <v>147556</v>
      </c>
      <c r="Q950" s="7">
        <v>150339</v>
      </c>
      <c r="R950" s="6" t="s">
        <v>2406</v>
      </c>
      <c r="S950" s="6" t="s">
        <v>1063</v>
      </c>
      <c r="T950" s="6">
        <v>39.5</v>
      </c>
      <c r="U950" s="6" t="s">
        <v>63</v>
      </c>
      <c r="V950" s="6" t="s">
        <v>113</v>
      </c>
      <c r="W950" s="67" t="str">
        <f t="shared" si="74"/>
        <v>Customer</v>
      </c>
    </row>
    <row r="951" spans="1:23" x14ac:dyDescent="0.3">
      <c r="A951" s="4" t="s">
        <v>2558</v>
      </c>
      <c r="B951" s="4" t="s">
        <v>2559</v>
      </c>
      <c r="C951" s="4">
        <v>9825872701</v>
      </c>
      <c r="D951" s="4" t="s">
        <v>59</v>
      </c>
      <c r="E951" s="4" t="s">
        <v>1632</v>
      </c>
      <c r="F951" s="4" t="s">
        <v>1694</v>
      </c>
      <c r="G951" s="4" t="s">
        <v>1599</v>
      </c>
      <c r="H951" s="4" t="s">
        <v>2403</v>
      </c>
      <c r="I951" s="2" t="str">
        <f t="shared" si="70"/>
        <v>Aug</v>
      </c>
      <c r="J951" s="2">
        <f t="shared" si="71"/>
        <v>8</v>
      </c>
      <c r="K951" s="2">
        <f t="shared" si="72"/>
        <v>2024</v>
      </c>
      <c r="L951" s="2">
        <f t="shared" si="73"/>
        <v>3</v>
      </c>
      <c r="M951" s="4">
        <v>6</v>
      </c>
      <c r="N951" s="4" t="s">
        <v>2417</v>
      </c>
      <c r="O951" s="4" t="s">
        <v>62</v>
      </c>
      <c r="P951" s="5">
        <v>774858</v>
      </c>
      <c r="Q951" s="4"/>
      <c r="R951" s="4"/>
      <c r="S951" s="4" t="s">
        <v>5819</v>
      </c>
      <c r="T951" s="4">
        <v>28</v>
      </c>
      <c r="U951" s="4" t="s">
        <v>63</v>
      </c>
      <c r="V951" s="4" t="s">
        <v>195</v>
      </c>
      <c r="W951" s="67" t="str">
        <f t="shared" si="74"/>
        <v>-</v>
      </c>
    </row>
    <row r="952" spans="1:23" x14ac:dyDescent="0.3">
      <c r="A952" s="2" t="s">
        <v>2560</v>
      </c>
      <c r="B952" s="2" t="s">
        <v>2561</v>
      </c>
      <c r="C952" s="2">
        <v>9176634497</v>
      </c>
      <c r="D952" s="2" t="s">
        <v>59</v>
      </c>
      <c r="E952" s="2" t="s">
        <v>641</v>
      </c>
      <c r="F952" s="2" t="s">
        <v>727</v>
      </c>
      <c r="G952" s="2" t="s">
        <v>616</v>
      </c>
      <c r="H952" s="2" t="s">
        <v>2504</v>
      </c>
      <c r="I952" s="2" t="str">
        <f t="shared" si="70"/>
        <v>Aug</v>
      </c>
      <c r="J952" s="2">
        <f t="shared" si="71"/>
        <v>8</v>
      </c>
      <c r="K952" s="2">
        <f t="shared" si="72"/>
        <v>2024</v>
      </c>
      <c r="L952" s="2">
        <f t="shared" si="73"/>
        <v>3</v>
      </c>
      <c r="M952" s="2">
        <v>9</v>
      </c>
      <c r="N952" s="2" t="s">
        <v>2562</v>
      </c>
      <c r="O952" s="2" t="s">
        <v>27</v>
      </c>
      <c r="P952" s="3">
        <v>184133</v>
      </c>
      <c r="Q952" s="2"/>
      <c r="R952" s="2"/>
      <c r="S952" s="2" t="s">
        <v>28</v>
      </c>
      <c r="T952" s="2">
        <v>8.8000000000000007</v>
      </c>
      <c r="U952" s="2" t="s">
        <v>47</v>
      </c>
      <c r="V952" s="2" t="s">
        <v>202</v>
      </c>
      <c r="W952" s="67" t="str">
        <f t="shared" si="74"/>
        <v>-</v>
      </c>
    </row>
    <row r="953" spans="1:23" x14ac:dyDescent="0.3">
      <c r="A953" s="4" t="s">
        <v>2563</v>
      </c>
      <c r="B953" s="4" t="s">
        <v>2564</v>
      </c>
      <c r="C953" s="4">
        <v>9558090912</v>
      </c>
      <c r="D953" s="4" t="s">
        <v>59</v>
      </c>
      <c r="E953" s="4" t="s">
        <v>41</v>
      </c>
      <c r="F953" s="4" t="s">
        <v>42</v>
      </c>
      <c r="G953" s="4" t="s">
        <v>616</v>
      </c>
      <c r="H953" s="4" t="s">
        <v>2504</v>
      </c>
      <c r="I953" s="2" t="str">
        <f t="shared" si="70"/>
        <v>Aug</v>
      </c>
      <c r="J953" s="2">
        <f t="shared" si="71"/>
        <v>8</v>
      </c>
      <c r="K953" s="2">
        <f t="shared" si="72"/>
        <v>2024</v>
      </c>
      <c r="L953" s="2">
        <f t="shared" si="73"/>
        <v>3</v>
      </c>
      <c r="M953" s="4">
        <v>6</v>
      </c>
      <c r="N953" s="4" t="s">
        <v>2565</v>
      </c>
      <c r="O953" s="4" t="s">
        <v>27</v>
      </c>
      <c r="P953" s="5">
        <v>181120</v>
      </c>
      <c r="Q953" s="4"/>
      <c r="R953" s="4"/>
      <c r="S953" s="4" t="s">
        <v>5819</v>
      </c>
      <c r="T953" s="4">
        <v>15.5</v>
      </c>
      <c r="U953" s="4" t="s">
        <v>29</v>
      </c>
      <c r="V953" s="4" t="s">
        <v>202</v>
      </c>
      <c r="W953" s="67" t="str">
        <f t="shared" si="74"/>
        <v>-</v>
      </c>
    </row>
    <row r="954" spans="1:23" x14ac:dyDescent="0.3">
      <c r="A954" s="8" t="s">
        <v>2566</v>
      </c>
      <c r="B954" s="8" t="s">
        <v>591</v>
      </c>
      <c r="C954" s="8">
        <v>9378501683</v>
      </c>
      <c r="D954" s="8" t="s">
        <v>51</v>
      </c>
      <c r="E954" s="8" t="s">
        <v>648</v>
      </c>
      <c r="F954" s="8" t="s">
        <v>899</v>
      </c>
      <c r="G954" s="8" t="s">
        <v>1609</v>
      </c>
      <c r="H954" s="8" t="s">
        <v>2413</v>
      </c>
      <c r="I954" s="2" t="str">
        <f t="shared" si="70"/>
        <v>Aug</v>
      </c>
      <c r="J954" s="2">
        <f t="shared" si="71"/>
        <v>8</v>
      </c>
      <c r="K954" s="2">
        <f t="shared" si="72"/>
        <v>2024</v>
      </c>
      <c r="L954" s="2">
        <f t="shared" si="73"/>
        <v>3</v>
      </c>
      <c r="M954" s="8">
        <v>1</v>
      </c>
      <c r="N954" s="8" t="s">
        <v>2416</v>
      </c>
      <c r="O954" s="8" t="s">
        <v>55</v>
      </c>
      <c r="P954" s="9">
        <v>469008</v>
      </c>
      <c r="Q954" s="8"/>
      <c r="R954" s="8"/>
      <c r="S954" s="8" t="s">
        <v>1805</v>
      </c>
      <c r="T954" s="8">
        <v>28</v>
      </c>
      <c r="U954" s="8" t="s">
        <v>47</v>
      </c>
      <c r="V954" s="8" t="s">
        <v>256</v>
      </c>
      <c r="W954" s="67" t="str">
        <f t="shared" si="74"/>
        <v>-</v>
      </c>
    </row>
    <row r="955" spans="1:23" x14ac:dyDescent="0.3">
      <c r="A955" s="4" t="s">
        <v>2567</v>
      </c>
      <c r="B955" s="4" t="s">
        <v>185</v>
      </c>
      <c r="C955" s="4">
        <v>9964204919</v>
      </c>
      <c r="D955" s="4" t="s">
        <v>59</v>
      </c>
      <c r="E955" s="4" t="s">
        <v>21</v>
      </c>
      <c r="F955" s="4" t="s">
        <v>230</v>
      </c>
      <c r="G955" s="4" t="s">
        <v>87</v>
      </c>
      <c r="H955" s="4" t="s">
        <v>2413</v>
      </c>
      <c r="I955" s="2" t="str">
        <f t="shared" si="70"/>
        <v>Aug</v>
      </c>
      <c r="J955" s="2">
        <f t="shared" si="71"/>
        <v>8</v>
      </c>
      <c r="K955" s="2">
        <f t="shared" si="72"/>
        <v>2024</v>
      </c>
      <c r="L955" s="2">
        <f t="shared" si="73"/>
        <v>3</v>
      </c>
      <c r="M955" s="4">
        <v>5</v>
      </c>
      <c r="N955" s="4" t="s">
        <v>2528</v>
      </c>
      <c r="O955" s="4" t="s">
        <v>27</v>
      </c>
      <c r="P955" s="5">
        <v>78112</v>
      </c>
      <c r="Q955" s="4"/>
      <c r="R955" s="4"/>
      <c r="S955" s="4" t="s">
        <v>5819</v>
      </c>
      <c r="T955" s="4">
        <v>47.3</v>
      </c>
      <c r="U955" s="4" t="s">
        <v>29</v>
      </c>
      <c r="V955" s="4" t="s">
        <v>163</v>
      </c>
      <c r="W955" s="67" t="str">
        <f t="shared" si="74"/>
        <v>-</v>
      </c>
    </row>
    <row r="956" spans="1:23" x14ac:dyDescent="0.3">
      <c r="A956" s="8" t="s">
        <v>2568</v>
      </c>
      <c r="B956" s="8" t="s">
        <v>2569</v>
      </c>
      <c r="C956" s="8">
        <v>9453063140</v>
      </c>
      <c r="D956" s="8" t="s">
        <v>108</v>
      </c>
      <c r="E956" s="8" t="s">
        <v>109</v>
      </c>
      <c r="F956" s="8" t="s">
        <v>110</v>
      </c>
      <c r="G956" s="8" t="s">
        <v>1621</v>
      </c>
      <c r="H956" s="8" t="s">
        <v>2413</v>
      </c>
      <c r="I956" s="2" t="str">
        <f t="shared" si="70"/>
        <v>Aug</v>
      </c>
      <c r="J956" s="2">
        <f t="shared" si="71"/>
        <v>8</v>
      </c>
      <c r="K956" s="2">
        <f t="shared" si="72"/>
        <v>2024</v>
      </c>
      <c r="L956" s="2">
        <f t="shared" si="73"/>
        <v>3</v>
      </c>
      <c r="M956" s="8">
        <v>9</v>
      </c>
      <c r="N956" s="8" t="s">
        <v>2555</v>
      </c>
      <c r="O956" s="8" t="s">
        <v>55</v>
      </c>
      <c r="P956" s="9">
        <v>271929</v>
      </c>
      <c r="Q956" s="8"/>
      <c r="R956" s="8"/>
      <c r="S956" s="8" t="s">
        <v>1805</v>
      </c>
      <c r="T956" s="8">
        <v>15.5</v>
      </c>
      <c r="U956" s="8" t="s">
        <v>29</v>
      </c>
      <c r="V956" s="8" t="s">
        <v>83</v>
      </c>
      <c r="W956" s="67" t="str">
        <f t="shared" si="74"/>
        <v>-</v>
      </c>
    </row>
    <row r="957" spans="1:23" x14ac:dyDescent="0.3">
      <c r="A957" s="4" t="s">
        <v>2570</v>
      </c>
      <c r="B957" s="4" t="s">
        <v>2571</v>
      </c>
      <c r="C957" s="4">
        <v>9559689340</v>
      </c>
      <c r="D957" s="4" t="s">
        <v>108</v>
      </c>
      <c r="E957" s="4" t="s">
        <v>41</v>
      </c>
      <c r="F957" s="4" t="s">
        <v>86</v>
      </c>
      <c r="G957" s="4" t="s">
        <v>23</v>
      </c>
      <c r="H957" s="4" t="s">
        <v>2413</v>
      </c>
      <c r="I957" s="2" t="str">
        <f t="shared" si="70"/>
        <v>Aug</v>
      </c>
      <c r="J957" s="2">
        <f t="shared" si="71"/>
        <v>8</v>
      </c>
      <c r="K957" s="2">
        <f t="shared" si="72"/>
        <v>2024</v>
      </c>
      <c r="L957" s="2">
        <f t="shared" si="73"/>
        <v>3</v>
      </c>
      <c r="M957" s="4">
        <v>10</v>
      </c>
      <c r="N957" s="4" t="s">
        <v>2542</v>
      </c>
      <c r="O957" s="4" t="s">
        <v>45</v>
      </c>
      <c r="P957" s="5">
        <v>794346</v>
      </c>
      <c r="Q957" s="4"/>
      <c r="R957" s="4"/>
      <c r="S957" s="4" t="s">
        <v>28</v>
      </c>
      <c r="T957" s="4">
        <v>27.7</v>
      </c>
      <c r="U957" s="4" t="s">
        <v>63</v>
      </c>
      <c r="V957" s="4" t="s">
        <v>621</v>
      </c>
      <c r="W957" s="67" t="str">
        <f t="shared" si="74"/>
        <v>-</v>
      </c>
    </row>
    <row r="958" spans="1:23" x14ac:dyDescent="0.3">
      <c r="A958" s="2" t="s">
        <v>2572</v>
      </c>
      <c r="B958" s="2" t="s">
        <v>849</v>
      </c>
      <c r="C958" s="2">
        <v>9781815037</v>
      </c>
      <c r="D958" s="2" t="s">
        <v>121</v>
      </c>
      <c r="E958" s="2" t="s">
        <v>41</v>
      </c>
      <c r="F958" s="2" t="s">
        <v>151</v>
      </c>
      <c r="G958" s="2" t="s">
        <v>1609</v>
      </c>
      <c r="H958" s="2" t="s">
        <v>2413</v>
      </c>
      <c r="I958" s="2" t="str">
        <f t="shared" si="70"/>
        <v>Aug</v>
      </c>
      <c r="J958" s="2">
        <f t="shared" si="71"/>
        <v>8</v>
      </c>
      <c r="K958" s="2">
        <f t="shared" si="72"/>
        <v>2024</v>
      </c>
      <c r="L958" s="2">
        <f t="shared" si="73"/>
        <v>3</v>
      </c>
      <c r="M958" s="2">
        <v>2</v>
      </c>
      <c r="N958" s="2" t="s">
        <v>2565</v>
      </c>
      <c r="O958" s="2" t="s">
        <v>27</v>
      </c>
      <c r="P958" s="3">
        <v>231722</v>
      </c>
      <c r="Q958" s="2"/>
      <c r="R958" s="2"/>
      <c r="S958" s="2" t="s">
        <v>1063</v>
      </c>
      <c r="T958" s="2">
        <v>27.6</v>
      </c>
      <c r="U958" s="2" t="s">
        <v>29</v>
      </c>
      <c r="V958" s="2"/>
      <c r="W958" s="67" t="str">
        <f t="shared" si="74"/>
        <v>-</v>
      </c>
    </row>
    <row r="959" spans="1:23" x14ac:dyDescent="0.3">
      <c r="A959" s="8" t="s">
        <v>2573</v>
      </c>
      <c r="B959" s="8" t="s">
        <v>855</v>
      </c>
      <c r="C959" s="8">
        <v>9391581061</v>
      </c>
      <c r="D959" s="8" t="s">
        <v>20</v>
      </c>
      <c r="E959" s="8" t="s">
        <v>73</v>
      </c>
      <c r="F959" s="8" t="s">
        <v>126</v>
      </c>
      <c r="G959" s="8" t="s">
        <v>1621</v>
      </c>
      <c r="H959" s="8" t="s">
        <v>2473</v>
      </c>
      <c r="I959" s="2" t="str">
        <f t="shared" si="70"/>
        <v>Aug</v>
      </c>
      <c r="J959" s="2">
        <f t="shared" si="71"/>
        <v>8</v>
      </c>
      <c r="K959" s="2">
        <f t="shared" si="72"/>
        <v>2024</v>
      </c>
      <c r="L959" s="2">
        <f t="shared" si="73"/>
        <v>3</v>
      </c>
      <c r="M959" s="8">
        <v>12</v>
      </c>
      <c r="N959" s="8" t="s">
        <v>2539</v>
      </c>
      <c r="O959" s="8" t="s">
        <v>97</v>
      </c>
      <c r="P959" s="9">
        <v>370446</v>
      </c>
      <c r="Q959" s="9">
        <v>375319</v>
      </c>
      <c r="R959" s="8" t="s">
        <v>2574</v>
      </c>
      <c r="S959" s="8" t="s">
        <v>1805</v>
      </c>
      <c r="T959" s="8"/>
      <c r="U959" s="8" t="s">
        <v>63</v>
      </c>
      <c r="V959" s="8" t="s">
        <v>341</v>
      </c>
      <c r="W959" s="67" t="str">
        <f t="shared" si="74"/>
        <v>Customer</v>
      </c>
    </row>
    <row r="960" spans="1:23" x14ac:dyDescent="0.3">
      <c r="A960" s="2" t="s">
        <v>2575</v>
      </c>
      <c r="B960" s="2" t="s">
        <v>2398</v>
      </c>
      <c r="C960" s="2">
        <v>9207083934</v>
      </c>
      <c r="D960" s="2" t="s">
        <v>59</v>
      </c>
      <c r="E960" s="2" t="s">
        <v>41</v>
      </c>
      <c r="F960" s="2" t="s">
        <v>86</v>
      </c>
      <c r="G960" s="2" t="s">
        <v>1677</v>
      </c>
      <c r="H960" s="2" t="s">
        <v>2473</v>
      </c>
      <c r="I960" s="2" t="str">
        <f t="shared" si="70"/>
        <v>Aug</v>
      </c>
      <c r="J960" s="2">
        <f t="shared" si="71"/>
        <v>8</v>
      </c>
      <c r="K960" s="2">
        <f t="shared" si="72"/>
        <v>2024</v>
      </c>
      <c r="L960" s="2">
        <f t="shared" si="73"/>
        <v>3</v>
      </c>
      <c r="M960" s="2">
        <v>7</v>
      </c>
      <c r="N960" s="2" t="s">
        <v>2576</v>
      </c>
      <c r="O960" s="2" t="s">
        <v>45</v>
      </c>
      <c r="P960" s="3">
        <v>1279209</v>
      </c>
      <c r="Q960" s="2"/>
      <c r="R960" s="2"/>
      <c r="S960" s="2" t="s">
        <v>1063</v>
      </c>
      <c r="T960" s="2">
        <v>23.8</v>
      </c>
      <c r="U960" s="2" t="s">
        <v>29</v>
      </c>
      <c r="V960" s="2" t="s">
        <v>697</v>
      </c>
      <c r="W960" s="67" t="str">
        <f t="shared" si="74"/>
        <v>-</v>
      </c>
    </row>
    <row r="961" spans="1:23" x14ac:dyDescent="0.3">
      <c r="A961" s="4" t="s">
        <v>2577</v>
      </c>
      <c r="B961" s="4" t="s">
        <v>2578</v>
      </c>
      <c r="C961" s="4">
        <v>9595500646</v>
      </c>
      <c r="D961" s="4" t="s">
        <v>20</v>
      </c>
      <c r="E961" s="4" t="s">
        <v>33</v>
      </c>
      <c r="F961" s="4" t="s">
        <v>102</v>
      </c>
      <c r="G961" s="4" t="s">
        <v>52</v>
      </c>
      <c r="H961" s="4" t="s">
        <v>2473</v>
      </c>
      <c r="I961" s="2" t="str">
        <f t="shared" si="70"/>
        <v>Aug</v>
      </c>
      <c r="J961" s="2">
        <f t="shared" si="71"/>
        <v>8</v>
      </c>
      <c r="K961" s="2">
        <f t="shared" si="72"/>
        <v>2024</v>
      </c>
      <c r="L961" s="2">
        <f t="shared" si="73"/>
        <v>3</v>
      </c>
      <c r="M961" s="4">
        <v>1</v>
      </c>
      <c r="N961" s="4" t="s">
        <v>2416</v>
      </c>
      <c r="O961" s="4" t="s">
        <v>45</v>
      </c>
      <c r="P961" s="5">
        <v>501524</v>
      </c>
      <c r="Q961" s="4"/>
      <c r="R961" s="4"/>
      <c r="S961" s="4" t="s">
        <v>1063</v>
      </c>
      <c r="T961" s="4">
        <v>35.700000000000003</v>
      </c>
      <c r="U961" s="4" t="s">
        <v>63</v>
      </c>
      <c r="V961" s="4" t="s">
        <v>621</v>
      </c>
      <c r="W961" s="67" t="str">
        <f t="shared" si="74"/>
        <v>-</v>
      </c>
    </row>
    <row r="962" spans="1:23" x14ac:dyDescent="0.3">
      <c r="A962" s="6" t="s">
        <v>2579</v>
      </c>
      <c r="B962" s="6" t="s">
        <v>2580</v>
      </c>
      <c r="C962" s="6">
        <v>9262816584</v>
      </c>
      <c r="D962" s="6" t="s">
        <v>20</v>
      </c>
      <c r="E962" s="6" t="s">
        <v>41</v>
      </c>
      <c r="F962" s="6" t="s">
        <v>92</v>
      </c>
      <c r="G962" s="6" t="s">
        <v>616</v>
      </c>
      <c r="H962" s="6" t="s">
        <v>2473</v>
      </c>
      <c r="I962" s="2" t="str">
        <f t="shared" ref="I962:I1025" si="75">TEXT(H962,"mmm")</f>
        <v>Aug</v>
      </c>
      <c r="J962" s="2">
        <f t="shared" ref="J962:J1025" si="76">MONTH(H962)</f>
        <v>8</v>
      </c>
      <c r="K962" s="2">
        <f t="shared" ref="K962:K1025" si="77">YEAR(H962)</f>
        <v>2024</v>
      </c>
      <c r="L962" s="2">
        <f t="shared" ref="L962:L1025" si="78">ROUNDUP(MONTH(H962)/3,0)</f>
        <v>3</v>
      </c>
      <c r="M962" s="6">
        <v>9</v>
      </c>
      <c r="N962" s="6" t="s">
        <v>2581</v>
      </c>
      <c r="O962" s="6" t="s">
        <v>97</v>
      </c>
      <c r="P962" s="7">
        <v>322180</v>
      </c>
      <c r="Q962" s="7">
        <v>283798</v>
      </c>
      <c r="R962" s="6" t="s">
        <v>2539</v>
      </c>
      <c r="S962" s="6" t="s">
        <v>5819</v>
      </c>
      <c r="T962" s="6">
        <v>44.6</v>
      </c>
      <c r="U962" s="6" t="s">
        <v>63</v>
      </c>
      <c r="V962" s="6" t="s">
        <v>243</v>
      </c>
      <c r="W962" s="67" t="str">
        <f t="shared" ref="W962:W1025" si="79">IF($O962&lt;&gt;"Converted","-",IF(ISNUMBER(SEARCH("Architect",$F962)),"Architect","Customer"))</f>
        <v>Customer</v>
      </c>
    </row>
    <row r="963" spans="1:23" x14ac:dyDescent="0.3">
      <c r="A963" s="4" t="s">
        <v>2582</v>
      </c>
      <c r="B963" s="4" t="s">
        <v>2583</v>
      </c>
      <c r="C963" s="4">
        <v>9530863241</v>
      </c>
      <c r="D963" s="4" t="s">
        <v>20</v>
      </c>
      <c r="E963" s="4" t="s">
        <v>41</v>
      </c>
      <c r="F963" s="4" t="s">
        <v>42</v>
      </c>
      <c r="G963" s="4" t="s">
        <v>52</v>
      </c>
      <c r="H963" s="4" t="s">
        <v>2473</v>
      </c>
      <c r="I963" s="2" t="str">
        <f t="shared" si="75"/>
        <v>Aug</v>
      </c>
      <c r="J963" s="2">
        <f t="shared" si="76"/>
        <v>8</v>
      </c>
      <c r="K963" s="2">
        <f t="shared" si="77"/>
        <v>2024</v>
      </c>
      <c r="L963" s="2">
        <f t="shared" si="78"/>
        <v>3</v>
      </c>
      <c r="M963" s="4">
        <v>0</v>
      </c>
      <c r="N963" s="4" t="s">
        <v>2495</v>
      </c>
      <c r="O963" s="4" t="s">
        <v>45</v>
      </c>
      <c r="P963" s="4"/>
      <c r="Q963" s="4"/>
      <c r="R963" s="4"/>
      <c r="S963" s="4" t="s">
        <v>28</v>
      </c>
      <c r="T963" s="4">
        <v>8.1999999999999993</v>
      </c>
      <c r="U963" s="4" t="s">
        <v>47</v>
      </c>
      <c r="V963" s="4" t="s">
        <v>302</v>
      </c>
      <c r="W963" s="67" t="str">
        <f t="shared" si="79"/>
        <v>-</v>
      </c>
    </row>
    <row r="964" spans="1:23" x14ac:dyDescent="0.3">
      <c r="A964" s="2" t="s">
        <v>2584</v>
      </c>
      <c r="B964" s="2" t="s">
        <v>2585</v>
      </c>
      <c r="C964" s="2">
        <v>9812154253</v>
      </c>
      <c r="D964" s="2" t="s">
        <v>108</v>
      </c>
      <c r="E964" s="2" t="s">
        <v>109</v>
      </c>
      <c r="F964" s="2" t="s">
        <v>331</v>
      </c>
      <c r="G964" s="2" t="s">
        <v>643</v>
      </c>
      <c r="H964" s="2" t="s">
        <v>2361</v>
      </c>
      <c r="I964" s="2" t="str">
        <f t="shared" si="75"/>
        <v>Aug</v>
      </c>
      <c r="J964" s="2">
        <f t="shared" si="76"/>
        <v>8</v>
      </c>
      <c r="K964" s="2">
        <f t="shared" si="77"/>
        <v>2024</v>
      </c>
      <c r="L964" s="2">
        <f t="shared" si="78"/>
        <v>3</v>
      </c>
      <c r="M964" s="2">
        <v>0</v>
      </c>
      <c r="N964" s="2" t="s">
        <v>2469</v>
      </c>
      <c r="O964" s="2" t="s">
        <v>45</v>
      </c>
      <c r="P964" s="3">
        <v>766309</v>
      </c>
      <c r="Q964" s="2"/>
      <c r="R964" s="2"/>
      <c r="S964" s="2" t="s">
        <v>5819</v>
      </c>
      <c r="T964" s="2">
        <v>35</v>
      </c>
      <c r="U964" s="2" t="s">
        <v>29</v>
      </c>
      <c r="V964" s="2"/>
      <c r="W964" s="67" t="str">
        <f t="shared" si="79"/>
        <v>-</v>
      </c>
    </row>
    <row r="965" spans="1:23" x14ac:dyDescent="0.3">
      <c r="A965" s="4" t="s">
        <v>2586</v>
      </c>
      <c r="B965" s="4" t="s">
        <v>2587</v>
      </c>
      <c r="C965" s="4">
        <v>9920843243</v>
      </c>
      <c r="D965" s="4" t="s">
        <v>59</v>
      </c>
      <c r="E965" s="4" t="s">
        <v>1632</v>
      </c>
      <c r="F965" s="4" t="s">
        <v>1694</v>
      </c>
      <c r="G965" s="4" t="s">
        <v>87</v>
      </c>
      <c r="H965" s="4" t="s">
        <v>2520</v>
      </c>
      <c r="I965" s="2" t="str">
        <f t="shared" si="75"/>
        <v>Aug</v>
      </c>
      <c r="J965" s="2">
        <f t="shared" si="76"/>
        <v>8</v>
      </c>
      <c r="K965" s="2">
        <f t="shared" si="77"/>
        <v>2024</v>
      </c>
      <c r="L965" s="2">
        <f t="shared" si="78"/>
        <v>3</v>
      </c>
      <c r="M965" s="4">
        <v>6</v>
      </c>
      <c r="N965" s="4" t="s">
        <v>2588</v>
      </c>
      <c r="O965" s="4" t="s">
        <v>27</v>
      </c>
      <c r="P965" s="5">
        <v>186344</v>
      </c>
      <c r="Q965" s="4"/>
      <c r="R965" s="4"/>
      <c r="S965" s="4" t="s">
        <v>5819</v>
      </c>
      <c r="T965" s="4"/>
      <c r="U965" s="4" t="s">
        <v>29</v>
      </c>
      <c r="V965" s="4" t="s">
        <v>30</v>
      </c>
      <c r="W965" s="67" t="str">
        <f t="shared" si="79"/>
        <v>-</v>
      </c>
    </row>
    <row r="966" spans="1:23" x14ac:dyDescent="0.3">
      <c r="A966" s="6" t="s">
        <v>2589</v>
      </c>
      <c r="B966" s="6" t="s">
        <v>2590</v>
      </c>
      <c r="C966" s="6">
        <v>9950763485</v>
      </c>
      <c r="D966" s="6" t="s">
        <v>20</v>
      </c>
      <c r="E966" s="6" t="s">
        <v>641</v>
      </c>
      <c r="F966" s="6" t="s">
        <v>642</v>
      </c>
      <c r="G966" s="6" t="s">
        <v>1621</v>
      </c>
      <c r="H966" s="6" t="s">
        <v>2520</v>
      </c>
      <c r="I966" s="2" t="str">
        <f t="shared" si="75"/>
        <v>Aug</v>
      </c>
      <c r="J966" s="2">
        <f t="shared" si="76"/>
        <v>8</v>
      </c>
      <c r="K966" s="2">
        <f t="shared" si="77"/>
        <v>2024</v>
      </c>
      <c r="L966" s="2">
        <f t="shared" si="78"/>
        <v>3</v>
      </c>
      <c r="M966" s="6">
        <v>12</v>
      </c>
      <c r="N966" s="6" t="s">
        <v>2591</v>
      </c>
      <c r="O966" s="6" t="s">
        <v>97</v>
      </c>
      <c r="P966" s="7">
        <v>446365</v>
      </c>
      <c r="Q966" s="7">
        <v>405073</v>
      </c>
      <c r="R966" s="6" t="s">
        <v>2592</v>
      </c>
      <c r="S966" s="6" t="s">
        <v>5819</v>
      </c>
      <c r="T966" s="6">
        <v>47.9</v>
      </c>
      <c r="U966" s="6" t="s">
        <v>63</v>
      </c>
      <c r="V966" s="6" t="s">
        <v>483</v>
      </c>
      <c r="W966" s="67" t="str">
        <f t="shared" si="79"/>
        <v>Customer</v>
      </c>
    </row>
    <row r="967" spans="1:23" x14ac:dyDescent="0.3">
      <c r="A967" s="4" t="s">
        <v>2593</v>
      </c>
      <c r="B967" s="4" t="s">
        <v>2594</v>
      </c>
      <c r="C967" s="4"/>
      <c r="D967" s="4" t="s">
        <v>20</v>
      </c>
      <c r="E967" s="4" t="s">
        <v>641</v>
      </c>
      <c r="F967" s="4" t="s">
        <v>727</v>
      </c>
      <c r="G967" s="4" t="s">
        <v>643</v>
      </c>
      <c r="H967" s="4" t="s">
        <v>2495</v>
      </c>
      <c r="I967" s="2" t="str">
        <f t="shared" si="75"/>
        <v>Aug</v>
      </c>
      <c r="J967" s="2">
        <f t="shared" si="76"/>
        <v>8</v>
      </c>
      <c r="K967" s="2">
        <f t="shared" si="77"/>
        <v>2024</v>
      </c>
      <c r="L967" s="2">
        <f t="shared" si="78"/>
        <v>3</v>
      </c>
      <c r="M967" s="4">
        <v>4</v>
      </c>
      <c r="N967" s="4" t="s">
        <v>2528</v>
      </c>
      <c r="O967" s="4" t="s">
        <v>27</v>
      </c>
      <c r="P967" s="5">
        <v>643639</v>
      </c>
      <c r="Q967" s="4"/>
      <c r="R967" s="4"/>
      <c r="S967" s="4" t="s">
        <v>28</v>
      </c>
      <c r="T967" s="4">
        <v>19.2</v>
      </c>
      <c r="U967" s="4" t="s">
        <v>29</v>
      </c>
      <c r="V967" s="4" t="s">
        <v>2595</v>
      </c>
      <c r="W967" s="67" t="str">
        <f t="shared" si="79"/>
        <v>-</v>
      </c>
    </row>
    <row r="968" spans="1:23" x14ac:dyDescent="0.3">
      <c r="A968" s="2" t="s">
        <v>2596</v>
      </c>
      <c r="B968" s="2" t="s">
        <v>726</v>
      </c>
      <c r="C968" s="2">
        <v>9211251825</v>
      </c>
      <c r="D968" s="2" t="s">
        <v>121</v>
      </c>
      <c r="E968" s="2" t="s">
        <v>41</v>
      </c>
      <c r="F968" s="2" t="s">
        <v>42</v>
      </c>
      <c r="G968" s="2" t="s">
        <v>52</v>
      </c>
      <c r="H968" s="2" t="s">
        <v>2495</v>
      </c>
      <c r="I968" s="2" t="str">
        <f t="shared" si="75"/>
        <v>Aug</v>
      </c>
      <c r="J968" s="2">
        <f t="shared" si="76"/>
        <v>8</v>
      </c>
      <c r="K968" s="2">
        <f t="shared" si="77"/>
        <v>2024</v>
      </c>
      <c r="L968" s="2">
        <f t="shared" si="78"/>
        <v>3</v>
      </c>
      <c r="M968" s="2">
        <v>9</v>
      </c>
      <c r="N968" s="2" t="s">
        <v>2529</v>
      </c>
      <c r="O968" s="2" t="s">
        <v>45</v>
      </c>
      <c r="P968" s="3">
        <v>382832</v>
      </c>
      <c r="Q968" s="2"/>
      <c r="R968" s="2"/>
      <c r="S968" s="2" t="s">
        <v>1063</v>
      </c>
      <c r="T968" s="2">
        <v>37.200000000000003</v>
      </c>
      <c r="U968" s="2" t="s">
        <v>47</v>
      </c>
      <c r="V968" s="2" t="s">
        <v>48</v>
      </c>
      <c r="W968" s="67" t="str">
        <f t="shared" si="79"/>
        <v>-</v>
      </c>
    </row>
    <row r="969" spans="1:23" x14ac:dyDescent="0.3">
      <c r="A969" s="8" t="s">
        <v>2597</v>
      </c>
      <c r="B969" s="8" t="s">
        <v>2598</v>
      </c>
      <c r="C969" s="8">
        <v>9464126140</v>
      </c>
      <c r="D969" s="8" t="s">
        <v>51</v>
      </c>
      <c r="E969" s="8" t="s">
        <v>641</v>
      </c>
      <c r="F969" s="8" t="s">
        <v>681</v>
      </c>
      <c r="G969" s="8" t="s">
        <v>643</v>
      </c>
      <c r="H969" s="8" t="s">
        <v>2416</v>
      </c>
      <c r="I969" s="2" t="str">
        <f t="shared" si="75"/>
        <v>Aug</v>
      </c>
      <c r="J969" s="2">
        <f t="shared" si="76"/>
        <v>8</v>
      </c>
      <c r="K969" s="2">
        <f t="shared" si="77"/>
        <v>2024</v>
      </c>
      <c r="L969" s="2">
        <f t="shared" si="78"/>
        <v>3</v>
      </c>
      <c r="M969" s="8">
        <v>2</v>
      </c>
      <c r="N969" s="8" t="s">
        <v>2417</v>
      </c>
      <c r="O969" s="8" t="s">
        <v>97</v>
      </c>
      <c r="P969" s="9">
        <v>1013951</v>
      </c>
      <c r="Q969" s="9">
        <v>918766</v>
      </c>
      <c r="R969" s="8" t="s">
        <v>2479</v>
      </c>
      <c r="S969" s="8" t="s">
        <v>1805</v>
      </c>
      <c r="T969" s="8">
        <v>38.5</v>
      </c>
      <c r="U969" s="8" t="s">
        <v>63</v>
      </c>
      <c r="V969" s="8" t="s">
        <v>465</v>
      </c>
      <c r="W969" s="67" t="str">
        <f t="shared" si="79"/>
        <v>Customer</v>
      </c>
    </row>
    <row r="970" spans="1:23" x14ac:dyDescent="0.3">
      <c r="A970" s="2" t="s">
        <v>2599</v>
      </c>
      <c r="B970" s="2" t="s">
        <v>2600</v>
      </c>
      <c r="C970" s="2">
        <v>9401270241</v>
      </c>
      <c r="D970" s="2" t="s">
        <v>20</v>
      </c>
      <c r="E970" s="2" t="s">
        <v>41</v>
      </c>
      <c r="F970" s="2" t="s">
        <v>42</v>
      </c>
      <c r="G970" s="2" t="s">
        <v>643</v>
      </c>
      <c r="H970" s="2" t="s">
        <v>2416</v>
      </c>
      <c r="I970" s="2" t="str">
        <f t="shared" si="75"/>
        <v>Aug</v>
      </c>
      <c r="J970" s="2">
        <f t="shared" si="76"/>
        <v>8</v>
      </c>
      <c r="K970" s="2">
        <f t="shared" si="77"/>
        <v>2024</v>
      </c>
      <c r="L970" s="2">
        <f t="shared" si="78"/>
        <v>3</v>
      </c>
      <c r="M970" s="2">
        <v>11</v>
      </c>
      <c r="N970" s="2" t="s">
        <v>2601</v>
      </c>
      <c r="O970" s="2" t="s">
        <v>45</v>
      </c>
      <c r="P970" s="3">
        <v>817709</v>
      </c>
      <c r="Q970" s="2"/>
      <c r="R970" s="2"/>
      <c r="S970" s="2" t="s">
        <v>28</v>
      </c>
      <c r="T970" s="2">
        <v>47.5</v>
      </c>
      <c r="U970" s="2" t="s">
        <v>47</v>
      </c>
      <c r="V970" s="2" t="s">
        <v>183</v>
      </c>
      <c r="W970" s="67" t="str">
        <f t="shared" si="79"/>
        <v>-</v>
      </c>
    </row>
    <row r="971" spans="1:23" x14ac:dyDescent="0.3">
      <c r="A971" s="4" t="s">
        <v>2602</v>
      </c>
      <c r="B971" s="4" t="s">
        <v>2603</v>
      </c>
      <c r="C971" s="4">
        <v>9414343389</v>
      </c>
      <c r="D971" s="4" t="s">
        <v>20</v>
      </c>
      <c r="E971" s="4" t="s">
        <v>648</v>
      </c>
      <c r="F971" s="4" t="s">
        <v>656</v>
      </c>
      <c r="G971" s="4" t="s">
        <v>35</v>
      </c>
      <c r="H971" s="4" t="s">
        <v>2416</v>
      </c>
      <c r="I971" s="2" t="str">
        <f t="shared" si="75"/>
        <v>Aug</v>
      </c>
      <c r="J971" s="2">
        <f t="shared" si="76"/>
        <v>8</v>
      </c>
      <c r="K971" s="2">
        <f t="shared" si="77"/>
        <v>2024</v>
      </c>
      <c r="L971" s="2">
        <f t="shared" si="78"/>
        <v>3</v>
      </c>
      <c r="M971" s="4">
        <v>0</v>
      </c>
      <c r="N971" s="4" t="s">
        <v>2444</v>
      </c>
      <c r="O971" s="4" t="s">
        <v>62</v>
      </c>
      <c r="P971" s="5">
        <v>335476</v>
      </c>
      <c r="Q971" s="4"/>
      <c r="R971" s="4"/>
      <c r="S971" s="4" t="s">
        <v>28</v>
      </c>
      <c r="T971" s="4">
        <v>44.8</v>
      </c>
      <c r="U971" s="4" t="s">
        <v>47</v>
      </c>
      <c r="V971" s="4" t="s">
        <v>310</v>
      </c>
      <c r="W971" s="67" t="str">
        <f t="shared" si="79"/>
        <v>-</v>
      </c>
    </row>
    <row r="972" spans="1:23" x14ac:dyDescent="0.3">
      <c r="A972" s="8" t="s">
        <v>2604</v>
      </c>
      <c r="B972" s="8" t="s">
        <v>1960</v>
      </c>
      <c r="C972" s="8">
        <v>9428129811</v>
      </c>
      <c r="D972" s="8" t="s">
        <v>20</v>
      </c>
      <c r="E972" s="8" t="s">
        <v>73</v>
      </c>
      <c r="F972" s="8" t="s">
        <v>126</v>
      </c>
      <c r="G972" s="8" t="s">
        <v>643</v>
      </c>
      <c r="H972" s="8" t="s">
        <v>2416</v>
      </c>
      <c r="I972" s="2" t="str">
        <f t="shared" si="75"/>
        <v>Aug</v>
      </c>
      <c r="J972" s="2">
        <f t="shared" si="76"/>
        <v>8</v>
      </c>
      <c r="K972" s="2">
        <f t="shared" si="77"/>
        <v>2024</v>
      </c>
      <c r="L972" s="2">
        <f t="shared" si="78"/>
        <v>3</v>
      </c>
      <c r="M972" s="8">
        <v>5</v>
      </c>
      <c r="N972" s="8" t="s">
        <v>2489</v>
      </c>
      <c r="O972" s="8" t="s">
        <v>27</v>
      </c>
      <c r="P972" s="9">
        <v>1048529</v>
      </c>
      <c r="Q972" s="8"/>
      <c r="R972" s="8"/>
      <c r="S972" s="8" t="s">
        <v>1805</v>
      </c>
      <c r="T972" s="8">
        <v>28.4</v>
      </c>
      <c r="U972" s="8" t="s">
        <v>47</v>
      </c>
      <c r="V972" s="8" t="s">
        <v>163</v>
      </c>
      <c r="W972" s="67" t="str">
        <f t="shared" si="79"/>
        <v>-</v>
      </c>
    </row>
    <row r="973" spans="1:23" x14ac:dyDescent="0.3">
      <c r="A973" s="4" t="s">
        <v>2605</v>
      </c>
      <c r="B973" s="4" t="s">
        <v>2606</v>
      </c>
      <c r="C973" s="4">
        <v>9274491262</v>
      </c>
      <c r="D973" s="4" t="s">
        <v>20</v>
      </c>
      <c r="E973" s="4" t="s">
        <v>41</v>
      </c>
      <c r="F973" s="4" t="s">
        <v>151</v>
      </c>
      <c r="G973" s="4" t="s">
        <v>1677</v>
      </c>
      <c r="H973" s="4" t="s">
        <v>2416</v>
      </c>
      <c r="I973" s="2" t="str">
        <f t="shared" si="75"/>
        <v>Aug</v>
      </c>
      <c r="J973" s="2">
        <f t="shared" si="76"/>
        <v>8</v>
      </c>
      <c r="K973" s="2">
        <f t="shared" si="77"/>
        <v>2024</v>
      </c>
      <c r="L973" s="2">
        <f t="shared" si="78"/>
        <v>3</v>
      </c>
      <c r="M973" s="4">
        <v>9</v>
      </c>
      <c r="N973" s="4" t="s">
        <v>2607</v>
      </c>
      <c r="O973" s="4" t="s">
        <v>45</v>
      </c>
      <c r="P973" s="5">
        <v>1650906</v>
      </c>
      <c r="Q973" s="4"/>
      <c r="R973" s="4"/>
      <c r="S973" s="4" t="s">
        <v>1063</v>
      </c>
      <c r="T973" s="4"/>
      <c r="U973" s="4" t="s">
        <v>63</v>
      </c>
      <c r="V973" s="4" t="s">
        <v>260</v>
      </c>
      <c r="W973" s="67" t="str">
        <f t="shared" si="79"/>
        <v>-</v>
      </c>
    </row>
    <row r="974" spans="1:23" x14ac:dyDescent="0.3">
      <c r="A974" s="8" t="s">
        <v>2608</v>
      </c>
      <c r="B974" s="8" t="s">
        <v>2609</v>
      </c>
      <c r="C974" s="8">
        <v>9698671532</v>
      </c>
      <c r="D974" s="8" t="s">
        <v>59</v>
      </c>
      <c r="E974" s="8" t="s">
        <v>109</v>
      </c>
      <c r="F974" s="8" t="s">
        <v>217</v>
      </c>
      <c r="G974" s="8" t="s">
        <v>1609</v>
      </c>
      <c r="H974" s="8" t="s">
        <v>2378</v>
      </c>
      <c r="I974" s="2" t="str">
        <f t="shared" si="75"/>
        <v>Aug</v>
      </c>
      <c r="J974" s="2">
        <f t="shared" si="76"/>
        <v>8</v>
      </c>
      <c r="K974" s="2">
        <f t="shared" si="77"/>
        <v>2024</v>
      </c>
      <c r="L974" s="2">
        <f t="shared" si="78"/>
        <v>3</v>
      </c>
      <c r="M974" s="8">
        <v>2</v>
      </c>
      <c r="N974" s="8" t="s">
        <v>2447</v>
      </c>
      <c r="O974" s="8" t="s">
        <v>97</v>
      </c>
      <c r="P974" s="9">
        <v>166952</v>
      </c>
      <c r="Q974" s="9">
        <v>165519</v>
      </c>
      <c r="R974" s="8" t="s">
        <v>2610</v>
      </c>
      <c r="S974" s="8" t="s">
        <v>1805</v>
      </c>
      <c r="T974" s="8">
        <v>24.2</v>
      </c>
      <c r="U974" s="8" t="s">
        <v>63</v>
      </c>
      <c r="V974" s="8" t="s">
        <v>483</v>
      </c>
      <c r="W974" s="67" t="str">
        <f t="shared" si="79"/>
        <v>Customer</v>
      </c>
    </row>
    <row r="975" spans="1:23" x14ac:dyDescent="0.3">
      <c r="A975" s="4" t="s">
        <v>2611</v>
      </c>
      <c r="B975" s="4" t="s">
        <v>1618</v>
      </c>
      <c r="C975" s="4">
        <v>9943493564</v>
      </c>
      <c r="D975" s="4" t="s">
        <v>20</v>
      </c>
      <c r="E975" s="4" t="s">
        <v>41</v>
      </c>
      <c r="F975" s="4" t="s">
        <v>86</v>
      </c>
      <c r="G975" s="4" t="s">
        <v>69</v>
      </c>
      <c r="H975" s="4" t="s">
        <v>2378</v>
      </c>
      <c r="I975" s="2" t="str">
        <f t="shared" si="75"/>
        <v>Aug</v>
      </c>
      <c r="J975" s="2">
        <f t="shared" si="76"/>
        <v>8</v>
      </c>
      <c r="K975" s="2">
        <f t="shared" si="77"/>
        <v>2024</v>
      </c>
      <c r="L975" s="2">
        <f t="shared" si="78"/>
        <v>3</v>
      </c>
      <c r="M975" s="4">
        <v>11</v>
      </c>
      <c r="N975" s="4" t="s">
        <v>2588</v>
      </c>
      <c r="O975" s="4" t="s">
        <v>27</v>
      </c>
      <c r="P975" s="5">
        <v>120247</v>
      </c>
      <c r="Q975" s="4"/>
      <c r="R975" s="4"/>
      <c r="S975" s="4" t="s">
        <v>28</v>
      </c>
      <c r="T975" s="4">
        <v>13.3</v>
      </c>
      <c r="U975" s="4" t="s">
        <v>29</v>
      </c>
      <c r="V975" s="4" t="s">
        <v>153</v>
      </c>
      <c r="W975" s="67" t="str">
        <f t="shared" si="79"/>
        <v>-</v>
      </c>
    </row>
    <row r="976" spans="1:23" x14ac:dyDescent="0.3">
      <c r="A976" s="6" t="s">
        <v>2612</v>
      </c>
      <c r="B976" s="6" t="s">
        <v>2312</v>
      </c>
      <c r="C976" s="6">
        <v>9680017903</v>
      </c>
      <c r="D976" s="6" t="s">
        <v>20</v>
      </c>
      <c r="E976" s="6" t="s">
        <v>41</v>
      </c>
      <c r="F976" s="6" t="s">
        <v>92</v>
      </c>
      <c r="G976" s="6" t="s">
        <v>60</v>
      </c>
      <c r="H976" s="6" t="s">
        <v>2406</v>
      </c>
      <c r="I976" s="2" t="str">
        <f t="shared" si="75"/>
        <v>Aug</v>
      </c>
      <c r="J976" s="2">
        <f t="shared" si="76"/>
        <v>8</v>
      </c>
      <c r="K976" s="2">
        <f t="shared" si="77"/>
        <v>2024</v>
      </c>
      <c r="L976" s="2">
        <f t="shared" si="78"/>
        <v>3</v>
      </c>
      <c r="M976" s="6">
        <v>2</v>
      </c>
      <c r="N976" s="6" t="s">
        <v>2555</v>
      </c>
      <c r="O976" s="6" t="s">
        <v>97</v>
      </c>
      <c r="P976" s="7">
        <v>188618</v>
      </c>
      <c r="Q976" s="7">
        <v>192968</v>
      </c>
      <c r="R976" s="6" t="s">
        <v>2379</v>
      </c>
      <c r="S976" s="6" t="s">
        <v>1063</v>
      </c>
      <c r="T976" s="6">
        <v>13.1</v>
      </c>
      <c r="U976" s="6" t="s">
        <v>63</v>
      </c>
      <c r="V976" s="6"/>
      <c r="W976" s="67" t="str">
        <f t="shared" si="79"/>
        <v>Customer</v>
      </c>
    </row>
    <row r="977" spans="1:23" x14ac:dyDescent="0.3">
      <c r="A977" s="4" t="s">
        <v>2613</v>
      </c>
      <c r="B977" s="4" t="s">
        <v>2614</v>
      </c>
      <c r="C977" s="4">
        <v>9315074907</v>
      </c>
      <c r="D977" s="4" t="s">
        <v>59</v>
      </c>
      <c r="E977" s="4" t="s">
        <v>648</v>
      </c>
      <c r="F977" s="4" t="s">
        <v>649</v>
      </c>
      <c r="G977" s="4" t="s">
        <v>60</v>
      </c>
      <c r="H977" s="4" t="s">
        <v>2406</v>
      </c>
      <c r="I977" s="2" t="str">
        <f t="shared" si="75"/>
        <v>Aug</v>
      </c>
      <c r="J977" s="2">
        <f t="shared" si="76"/>
        <v>8</v>
      </c>
      <c r="K977" s="2">
        <f t="shared" si="77"/>
        <v>2024</v>
      </c>
      <c r="L977" s="2">
        <f t="shared" si="78"/>
        <v>3</v>
      </c>
      <c r="M977" s="4">
        <v>8</v>
      </c>
      <c r="N977" s="4" t="s">
        <v>2539</v>
      </c>
      <c r="O977" s="4" t="s">
        <v>45</v>
      </c>
      <c r="P977" s="5">
        <v>215469</v>
      </c>
      <c r="Q977" s="4"/>
      <c r="R977" s="4"/>
      <c r="S977" s="4" t="s">
        <v>1063</v>
      </c>
      <c r="T977" s="4">
        <v>44.4</v>
      </c>
      <c r="U977" s="4" t="s">
        <v>47</v>
      </c>
      <c r="V977" s="4" t="s">
        <v>77</v>
      </c>
      <c r="W977" s="67" t="str">
        <f t="shared" si="79"/>
        <v>-</v>
      </c>
    </row>
    <row r="978" spans="1:23" x14ac:dyDescent="0.3">
      <c r="A978" s="2" t="s">
        <v>2615</v>
      </c>
      <c r="B978" s="2" t="s">
        <v>2616</v>
      </c>
      <c r="C978" s="2">
        <v>9209081737</v>
      </c>
      <c r="D978" s="2" t="s">
        <v>59</v>
      </c>
      <c r="E978" s="2" t="s">
        <v>67</v>
      </c>
      <c r="F978" s="2" t="s">
        <v>80</v>
      </c>
      <c r="G978" s="2" t="s">
        <v>87</v>
      </c>
      <c r="H978" s="2" t="s">
        <v>2469</v>
      </c>
      <c r="I978" s="2" t="str">
        <f t="shared" si="75"/>
        <v>Aug</v>
      </c>
      <c r="J978" s="2">
        <f t="shared" si="76"/>
        <v>8</v>
      </c>
      <c r="K978" s="2">
        <f t="shared" si="77"/>
        <v>2024</v>
      </c>
      <c r="L978" s="2">
        <f t="shared" si="78"/>
        <v>3</v>
      </c>
      <c r="M978" s="2">
        <v>10</v>
      </c>
      <c r="N978" s="2" t="s">
        <v>2591</v>
      </c>
      <c r="O978" s="2" t="s">
        <v>62</v>
      </c>
      <c r="P978" s="3">
        <v>183143</v>
      </c>
      <c r="Q978" s="2"/>
      <c r="R978" s="2"/>
      <c r="S978" s="2" t="s">
        <v>1063</v>
      </c>
      <c r="T978" s="2">
        <v>44.1</v>
      </c>
      <c r="U978" s="2" t="s">
        <v>47</v>
      </c>
      <c r="V978" s="2" t="s">
        <v>89</v>
      </c>
      <c r="W978" s="67" t="str">
        <f t="shared" si="79"/>
        <v>-</v>
      </c>
    </row>
    <row r="979" spans="1:23" x14ac:dyDescent="0.3">
      <c r="A979" s="4" t="s">
        <v>2617</v>
      </c>
      <c r="B979" s="4" t="s">
        <v>2618</v>
      </c>
      <c r="C979" s="4">
        <v>9161559681</v>
      </c>
      <c r="D979" s="4" t="s">
        <v>51</v>
      </c>
      <c r="E979" s="4" t="s">
        <v>41</v>
      </c>
      <c r="F979" s="4" t="s">
        <v>86</v>
      </c>
      <c r="G979" s="4" t="s">
        <v>60</v>
      </c>
      <c r="H979" s="4" t="s">
        <v>2469</v>
      </c>
      <c r="I979" s="2" t="str">
        <f t="shared" si="75"/>
        <v>Aug</v>
      </c>
      <c r="J979" s="2">
        <f t="shared" si="76"/>
        <v>8</v>
      </c>
      <c r="K979" s="2">
        <f t="shared" si="77"/>
        <v>2024</v>
      </c>
      <c r="L979" s="2">
        <f t="shared" si="78"/>
        <v>3</v>
      </c>
      <c r="M979" s="4">
        <v>12</v>
      </c>
      <c r="N979" s="4" t="s">
        <v>2607</v>
      </c>
      <c r="O979" s="4" t="s">
        <v>45</v>
      </c>
      <c r="P979" s="5">
        <v>183449</v>
      </c>
      <c r="Q979" s="4"/>
      <c r="R979" s="4"/>
      <c r="S979" s="4" t="s">
        <v>28</v>
      </c>
      <c r="T979" s="4">
        <v>32</v>
      </c>
      <c r="U979" s="4" t="s">
        <v>63</v>
      </c>
      <c r="V979" s="4" t="s">
        <v>668</v>
      </c>
      <c r="W979" s="67" t="str">
        <f t="shared" si="79"/>
        <v>-</v>
      </c>
    </row>
    <row r="980" spans="1:23" x14ac:dyDescent="0.3">
      <c r="A980" s="2" t="s">
        <v>2619</v>
      </c>
      <c r="B980" s="2" t="s">
        <v>2620</v>
      </c>
      <c r="C980" s="2">
        <v>9561705191</v>
      </c>
      <c r="D980" s="2" t="s">
        <v>20</v>
      </c>
      <c r="E980" s="2" t="s">
        <v>33</v>
      </c>
      <c r="F980" s="2" t="s">
        <v>102</v>
      </c>
      <c r="G980" s="2" t="s">
        <v>23</v>
      </c>
      <c r="H980" s="2" t="s">
        <v>2469</v>
      </c>
      <c r="I980" s="2" t="str">
        <f t="shared" si="75"/>
        <v>Aug</v>
      </c>
      <c r="J980" s="2">
        <f t="shared" si="76"/>
        <v>8</v>
      </c>
      <c r="K980" s="2">
        <f t="shared" si="77"/>
        <v>2024</v>
      </c>
      <c r="L980" s="2">
        <f t="shared" si="78"/>
        <v>3</v>
      </c>
      <c r="M980" s="2">
        <v>3</v>
      </c>
      <c r="N980" s="2" t="s">
        <v>2621</v>
      </c>
      <c r="O980" s="2" t="s">
        <v>62</v>
      </c>
      <c r="P980" s="3">
        <v>388591</v>
      </c>
      <c r="Q980" s="2"/>
      <c r="R980" s="2"/>
      <c r="S980" s="2" t="s">
        <v>28</v>
      </c>
      <c r="T980" s="2">
        <v>8</v>
      </c>
      <c r="U980" s="2" t="s">
        <v>47</v>
      </c>
      <c r="V980" s="2" t="s">
        <v>310</v>
      </c>
      <c r="W980" s="67" t="str">
        <f t="shared" si="79"/>
        <v>-</v>
      </c>
    </row>
    <row r="981" spans="1:23" x14ac:dyDescent="0.3">
      <c r="A981" s="4" t="s">
        <v>2622</v>
      </c>
      <c r="B981" s="4" t="s">
        <v>2068</v>
      </c>
      <c r="C981" s="4">
        <v>9707816823</v>
      </c>
      <c r="D981" s="4" t="s">
        <v>20</v>
      </c>
      <c r="E981" s="4" t="s">
        <v>73</v>
      </c>
      <c r="F981" s="4" t="s">
        <v>74</v>
      </c>
      <c r="G981" s="4" t="s">
        <v>52</v>
      </c>
      <c r="H981" s="4" t="s">
        <v>2404</v>
      </c>
      <c r="I981" s="2" t="str">
        <f t="shared" si="75"/>
        <v>Aug</v>
      </c>
      <c r="J981" s="2">
        <f t="shared" si="76"/>
        <v>8</v>
      </c>
      <c r="K981" s="2">
        <f t="shared" si="77"/>
        <v>2024</v>
      </c>
      <c r="L981" s="2">
        <f t="shared" si="78"/>
        <v>3</v>
      </c>
      <c r="M981" s="4">
        <v>5</v>
      </c>
      <c r="N981" s="4" t="s">
        <v>2623</v>
      </c>
      <c r="O981" s="4" t="s">
        <v>62</v>
      </c>
      <c r="P981" s="5">
        <v>524971</v>
      </c>
      <c r="Q981" s="4"/>
      <c r="R981" s="4"/>
      <c r="S981" s="4" t="s">
        <v>5819</v>
      </c>
      <c r="T981" s="4">
        <v>14.7</v>
      </c>
      <c r="U981" s="4" t="s">
        <v>47</v>
      </c>
      <c r="V981" s="4" t="s">
        <v>487</v>
      </c>
      <c r="W981" s="67" t="str">
        <f t="shared" si="79"/>
        <v>-</v>
      </c>
    </row>
    <row r="982" spans="1:23" x14ac:dyDescent="0.3">
      <c r="A982" s="2" t="s">
        <v>2624</v>
      </c>
      <c r="B982" s="2" t="s">
        <v>208</v>
      </c>
      <c r="C982" s="2">
        <v>9956779135</v>
      </c>
      <c r="D982" s="2" t="s">
        <v>59</v>
      </c>
      <c r="E982" s="2" t="s">
        <v>41</v>
      </c>
      <c r="F982" s="2" t="s">
        <v>42</v>
      </c>
      <c r="G982" s="2" t="s">
        <v>1609</v>
      </c>
      <c r="H982" s="2" t="s">
        <v>2404</v>
      </c>
      <c r="I982" s="2" t="str">
        <f t="shared" si="75"/>
        <v>Aug</v>
      </c>
      <c r="J982" s="2">
        <f t="shared" si="76"/>
        <v>8</v>
      </c>
      <c r="K982" s="2">
        <f t="shared" si="77"/>
        <v>2024</v>
      </c>
      <c r="L982" s="2">
        <f t="shared" si="78"/>
        <v>3</v>
      </c>
      <c r="M982" s="2">
        <v>0</v>
      </c>
      <c r="N982" s="2" t="s">
        <v>2565</v>
      </c>
      <c r="O982" s="2" t="s">
        <v>62</v>
      </c>
      <c r="P982" s="3">
        <v>271819</v>
      </c>
      <c r="Q982" s="2"/>
      <c r="R982" s="2"/>
      <c r="S982" s="2" t="s">
        <v>1063</v>
      </c>
      <c r="T982" s="2">
        <v>43.2</v>
      </c>
      <c r="U982" s="2" t="s">
        <v>29</v>
      </c>
      <c r="V982" s="2" t="s">
        <v>247</v>
      </c>
      <c r="W982" s="67" t="str">
        <f t="shared" si="79"/>
        <v>-</v>
      </c>
    </row>
    <row r="983" spans="1:23" x14ac:dyDescent="0.3">
      <c r="A983" s="4" t="s">
        <v>2625</v>
      </c>
      <c r="B983" s="4" t="s">
        <v>2626</v>
      </c>
      <c r="C983" s="4">
        <v>9343888017</v>
      </c>
      <c r="D983" s="4" t="s">
        <v>59</v>
      </c>
      <c r="E983" s="4" t="s">
        <v>73</v>
      </c>
      <c r="F983" s="4" t="s">
        <v>74</v>
      </c>
      <c r="G983" s="4" t="s">
        <v>643</v>
      </c>
      <c r="H983" s="4" t="s">
        <v>2404</v>
      </c>
      <c r="I983" s="2" t="str">
        <f t="shared" si="75"/>
        <v>Aug</v>
      </c>
      <c r="J983" s="2">
        <f t="shared" si="76"/>
        <v>8</v>
      </c>
      <c r="K983" s="2">
        <f t="shared" si="77"/>
        <v>2024</v>
      </c>
      <c r="L983" s="2">
        <f t="shared" si="78"/>
        <v>3</v>
      </c>
      <c r="M983" s="4">
        <v>2</v>
      </c>
      <c r="N983" s="4" t="s">
        <v>2627</v>
      </c>
      <c r="O983" s="4" t="s">
        <v>45</v>
      </c>
      <c r="P983" s="5">
        <v>1089529</v>
      </c>
      <c r="Q983" s="4"/>
      <c r="R983" s="4"/>
      <c r="S983" s="4" t="s">
        <v>5819</v>
      </c>
      <c r="T983" s="4">
        <v>19.7</v>
      </c>
      <c r="U983" s="4" t="s">
        <v>63</v>
      </c>
      <c r="V983" s="4" t="s">
        <v>64</v>
      </c>
      <c r="W983" s="67" t="str">
        <f t="shared" si="79"/>
        <v>-</v>
      </c>
    </row>
    <row r="984" spans="1:23" x14ac:dyDescent="0.3">
      <c r="A984" s="6" t="s">
        <v>2628</v>
      </c>
      <c r="B984" s="6" t="s">
        <v>2629</v>
      </c>
      <c r="C984" s="6">
        <v>9621406398</v>
      </c>
      <c r="D984" s="6" t="s">
        <v>20</v>
      </c>
      <c r="E984" s="6" t="s">
        <v>21</v>
      </c>
      <c r="F984" s="6" t="s">
        <v>230</v>
      </c>
      <c r="G984" s="6" t="s">
        <v>52</v>
      </c>
      <c r="H984" s="6" t="s">
        <v>2404</v>
      </c>
      <c r="I984" s="2" t="str">
        <f t="shared" si="75"/>
        <v>Aug</v>
      </c>
      <c r="J984" s="2">
        <f t="shared" si="76"/>
        <v>8</v>
      </c>
      <c r="K984" s="2">
        <f t="shared" si="77"/>
        <v>2024</v>
      </c>
      <c r="L984" s="2">
        <f t="shared" si="78"/>
        <v>3</v>
      </c>
      <c r="M984" s="6">
        <v>4</v>
      </c>
      <c r="N984" s="6" t="s">
        <v>2479</v>
      </c>
      <c r="O984" s="6" t="s">
        <v>97</v>
      </c>
      <c r="P984" s="7">
        <v>337874</v>
      </c>
      <c r="Q984" s="7">
        <v>338234</v>
      </c>
      <c r="R984" s="6" t="s">
        <v>2630</v>
      </c>
      <c r="S984" s="6" t="s">
        <v>28</v>
      </c>
      <c r="T984" s="6">
        <v>14.4</v>
      </c>
      <c r="U984" s="6" t="s">
        <v>63</v>
      </c>
      <c r="V984" s="6" t="s">
        <v>341</v>
      </c>
      <c r="W984" s="67" t="str">
        <f t="shared" si="79"/>
        <v>Customer</v>
      </c>
    </row>
    <row r="985" spans="1:23" x14ac:dyDescent="0.3">
      <c r="A985" s="8" t="s">
        <v>2631</v>
      </c>
      <c r="B985" s="8" t="s">
        <v>2632</v>
      </c>
      <c r="C985" s="8">
        <v>9609131114</v>
      </c>
      <c r="D985" s="8" t="s">
        <v>108</v>
      </c>
      <c r="E985" s="8" t="s">
        <v>73</v>
      </c>
      <c r="F985" s="8" t="s">
        <v>126</v>
      </c>
      <c r="G985" s="8" t="s">
        <v>35</v>
      </c>
      <c r="H985" s="8" t="s">
        <v>2404</v>
      </c>
      <c r="I985" s="2" t="str">
        <f t="shared" si="75"/>
        <v>Aug</v>
      </c>
      <c r="J985" s="2">
        <f t="shared" si="76"/>
        <v>8</v>
      </c>
      <c r="K985" s="2">
        <f t="shared" si="77"/>
        <v>2024</v>
      </c>
      <c r="L985" s="2">
        <f t="shared" si="78"/>
        <v>3</v>
      </c>
      <c r="M985" s="8">
        <v>4</v>
      </c>
      <c r="N985" s="8" t="s">
        <v>2379</v>
      </c>
      <c r="O985" s="8" t="s">
        <v>45</v>
      </c>
      <c r="P985" s="9">
        <v>184419</v>
      </c>
      <c r="Q985" s="8"/>
      <c r="R985" s="8"/>
      <c r="S985" s="8" t="s">
        <v>1805</v>
      </c>
      <c r="T985" s="8">
        <v>15.9</v>
      </c>
      <c r="U985" s="8" t="s">
        <v>47</v>
      </c>
      <c r="V985" s="8" t="s">
        <v>89</v>
      </c>
      <c r="W985" s="67" t="str">
        <f t="shared" si="79"/>
        <v>-</v>
      </c>
    </row>
    <row r="986" spans="1:23" x14ac:dyDescent="0.3">
      <c r="A986" s="2" t="s">
        <v>2633</v>
      </c>
      <c r="B986" s="2" t="s">
        <v>1807</v>
      </c>
      <c r="C986" s="2">
        <v>9307813331</v>
      </c>
      <c r="D986" s="2" t="s">
        <v>121</v>
      </c>
      <c r="E986" s="2" t="s">
        <v>648</v>
      </c>
      <c r="F986" s="2" t="s">
        <v>822</v>
      </c>
      <c r="G986" s="2" t="s">
        <v>643</v>
      </c>
      <c r="H986" s="2" t="s">
        <v>2487</v>
      </c>
      <c r="I986" s="2" t="str">
        <f t="shared" si="75"/>
        <v>Aug</v>
      </c>
      <c r="J986" s="2">
        <f t="shared" si="76"/>
        <v>8</v>
      </c>
      <c r="K986" s="2">
        <f t="shared" si="77"/>
        <v>2024</v>
      </c>
      <c r="L986" s="2">
        <f t="shared" si="78"/>
        <v>3</v>
      </c>
      <c r="M986" s="2">
        <v>6</v>
      </c>
      <c r="N986" s="2" t="s">
        <v>2634</v>
      </c>
      <c r="O986" s="2" t="s">
        <v>45</v>
      </c>
      <c r="P986" s="3">
        <v>695013</v>
      </c>
      <c r="Q986" s="2"/>
      <c r="R986" s="2"/>
      <c r="S986" s="2" t="s">
        <v>5819</v>
      </c>
      <c r="T986" s="2">
        <v>41</v>
      </c>
      <c r="U986" s="2" t="s">
        <v>47</v>
      </c>
      <c r="V986" s="2" t="s">
        <v>48</v>
      </c>
      <c r="W986" s="67" t="str">
        <f t="shared" si="79"/>
        <v>-</v>
      </c>
    </row>
    <row r="987" spans="1:23" x14ac:dyDescent="0.3">
      <c r="A987" s="6" t="s">
        <v>2635</v>
      </c>
      <c r="B987" s="6" t="s">
        <v>452</v>
      </c>
      <c r="C987" s="6">
        <v>9168815053</v>
      </c>
      <c r="D987" s="6" t="s">
        <v>20</v>
      </c>
      <c r="E987" s="6" t="s">
        <v>648</v>
      </c>
      <c r="F987" s="6" t="s">
        <v>822</v>
      </c>
      <c r="G987" s="6" t="s">
        <v>52</v>
      </c>
      <c r="H987" s="6" t="s">
        <v>2487</v>
      </c>
      <c r="I987" s="2" t="str">
        <f t="shared" si="75"/>
        <v>Aug</v>
      </c>
      <c r="J987" s="2">
        <f t="shared" si="76"/>
        <v>8</v>
      </c>
      <c r="K987" s="2">
        <f t="shared" si="77"/>
        <v>2024</v>
      </c>
      <c r="L987" s="2">
        <f t="shared" si="78"/>
        <v>3</v>
      </c>
      <c r="M987" s="6">
        <v>12</v>
      </c>
      <c r="N987" s="6" t="s">
        <v>2636</v>
      </c>
      <c r="O987" s="6" t="s">
        <v>97</v>
      </c>
      <c r="P987" s="7">
        <v>304343</v>
      </c>
      <c r="Q987" s="7">
        <v>279836</v>
      </c>
      <c r="R987" s="6" t="s">
        <v>2637</v>
      </c>
      <c r="S987" s="6" t="s">
        <v>5819</v>
      </c>
      <c r="T987" s="6">
        <v>44.3</v>
      </c>
      <c r="U987" s="6" t="s">
        <v>63</v>
      </c>
      <c r="V987" s="6" t="s">
        <v>907</v>
      </c>
      <c r="W987" s="67" t="str">
        <f t="shared" si="79"/>
        <v>Customer</v>
      </c>
    </row>
    <row r="988" spans="1:23" x14ac:dyDescent="0.3">
      <c r="A988" s="2" t="s">
        <v>2638</v>
      </c>
      <c r="B988" s="2" t="s">
        <v>2639</v>
      </c>
      <c r="C988" s="2">
        <v>9335514710</v>
      </c>
      <c r="D988" s="2" t="s">
        <v>20</v>
      </c>
      <c r="E988" s="2" t="s">
        <v>1632</v>
      </c>
      <c r="F988" s="2" t="s">
        <v>1682</v>
      </c>
      <c r="G988" s="2" t="s">
        <v>35</v>
      </c>
      <c r="H988" s="2" t="s">
        <v>2362</v>
      </c>
      <c r="I988" s="2" t="str">
        <f t="shared" si="75"/>
        <v>Aug</v>
      </c>
      <c r="J988" s="2">
        <f t="shared" si="76"/>
        <v>8</v>
      </c>
      <c r="K988" s="2">
        <f t="shared" si="77"/>
        <v>2024</v>
      </c>
      <c r="L988" s="2">
        <f t="shared" si="78"/>
        <v>3</v>
      </c>
      <c r="M988" s="2">
        <v>1</v>
      </c>
      <c r="N988" s="2" t="s">
        <v>2489</v>
      </c>
      <c r="O988" s="2" t="s">
        <v>45</v>
      </c>
      <c r="P988" s="3">
        <v>270472</v>
      </c>
      <c r="Q988" s="2"/>
      <c r="R988" s="2"/>
      <c r="S988" s="2" t="s">
        <v>1063</v>
      </c>
      <c r="T988" s="2">
        <v>8.6</v>
      </c>
      <c r="U988" s="2" t="s">
        <v>63</v>
      </c>
      <c r="V988" s="2"/>
      <c r="W988" s="67" t="str">
        <f t="shared" si="79"/>
        <v>-</v>
      </c>
    </row>
    <row r="989" spans="1:23" x14ac:dyDescent="0.3">
      <c r="A989" s="4" t="s">
        <v>2640</v>
      </c>
      <c r="B989" s="4" t="s">
        <v>1446</v>
      </c>
      <c r="C989" s="4"/>
      <c r="D989" s="4" t="s">
        <v>59</v>
      </c>
      <c r="E989" s="4" t="s">
        <v>641</v>
      </c>
      <c r="F989" s="4" t="s">
        <v>717</v>
      </c>
      <c r="G989" s="4" t="s">
        <v>1677</v>
      </c>
      <c r="H989" s="4" t="s">
        <v>2517</v>
      </c>
      <c r="I989" s="2" t="str">
        <f t="shared" si="75"/>
        <v>Aug</v>
      </c>
      <c r="J989" s="2">
        <f t="shared" si="76"/>
        <v>8</v>
      </c>
      <c r="K989" s="2">
        <f t="shared" si="77"/>
        <v>2024</v>
      </c>
      <c r="L989" s="2">
        <f t="shared" si="78"/>
        <v>3</v>
      </c>
      <c r="M989" s="4">
        <v>5</v>
      </c>
      <c r="N989" s="4" t="s">
        <v>2623</v>
      </c>
      <c r="O989" s="4" t="s">
        <v>27</v>
      </c>
      <c r="P989" s="5">
        <v>1473717</v>
      </c>
      <c r="Q989" s="4"/>
      <c r="R989" s="4"/>
      <c r="S989" s="4" t="s">
        <v>5573</v>
      </c>
      <c r="T989" s="4">
        <v>34.4</v>
      </c>
      <c r="U989" s="4" t="s">
        <v>29</v>
      </c>
      <c r="V989" s="4" t="s">
        <v>2286</v>
      </c>
      <c r="W989" s="67" t="str">
        <f t="shared" si="79"/>
        <v>-</v>
      </c>
    </row>
    <row r="990" spans="1:23" x14ac:dyDescent="0.3">
      <c r="A990" s="2" t="s">
        <v>2641</v>
      </c>
      <c r="B990" s="2" t="s">
        <v>2211</v>
      </c>
      <c r="C990" s="2">
        <v>9869003668</v>
      </c>
      <c r="D990" s="2" t="s">
        <v>51</v>
      </c>
      <c r="E990" s="2" t="s">
        <v>641</v>
      </c>
      <c r="F990" s="2" t="s">
        <v>717</v>
      </c>
      <c r="G990" s="2" t="s">
        <v>1609</v>
      </c>
      <c r="H990" s="2" t="s">
        <v>2642</v>
      </c>
      <c r="I990" s="2" t="str">
        <f t="shared" si="75"/>
        <v>Aug</v>
      </c>
      <c r="J990" s="2">
        <f t="shared" si="76"/>
        <v>8</v>
      </c>
      <c r="K990" s="2">
        <f t="shared" si="77"/>
        <v>2024</v>
      </c>
      <c r="L990" s="2">
        <f t="shared" si="78"/>
        <v>3</v>
      </c>
      <c r="M990" s="2">
        <v>5</v>
      </c>
      <c r="N990" s="2" t="s">
        <v>2576</v>
      </c>
      <c r="O990" s="2" t="s">
        <v>27</v>
      </c>
      <c r="P990" s="3">
        <v>318824</v>
      </c>
      <c r="Q990" s="2"/>
      <c r="R990" s="2"/>
      <c r="S990" s="2" t="s">
        <v>5573</v>
      </c>
      <c r="T990" s="2">
        <v>12.6</v>
      </c>
      <c r="U990" s="2" t="s">
        <v>29</v>
      </c>
      <c r="V990" s="2" t="s">
        <v>157</v>
      </c>
      <c r="W990" s="67" t="str">
        <f t="shared" si="79"/>
        <v>-</v>
      </c>
    </row>
    <row r="991" spans="1:23" x14ac:dyDescent="0.3">
      <c r="A991" s="4" t="s">
        <v>2643</v>
      </c>
      <c r="B991" s="4" t="s">
        <v>2644</v>
      </c>
      <c r="C991" s="4">
        <v>9588419169</v>
      </c>
      <c r="D991" s="4" t="s">
        <v>121</v>
      </c>
      <c r="E991" s="4" t="s">
        <v>109</v>
      </c>
      <c r="F991" s="4" t="s">
        <v>217</v>
      </c>
      <c r="G991" s="4" t="s">
        <v>60</v>
      </c>
      <c r="H991" s="4" t="s">
        <v>2544</v>
      </c>
      <c r="I991" s="2" t="str">
        <f t="shared" si="75"/>
        <v>Aug</v>
      </c>
      <c r="J991" s="2">
        <f t="shared" si="76"/>
        <v>8</v>
      </c>
      <c r="K991" s="2">
        <f t="shared" si="77"/>
        <v>2024</v>
      </c>
      <c r="L991" s="2">
        <f t="shared" si="78"/>
        <v>3</v>
      </c>
      <c r="M991" s="4">
        <v>12</v>
      </c>
      <c r="N991" s="4" t="s">
        <v>2645</v>
      </c>
      <c r="O991" s="4" t="s">
        <v>27</v>
      </c>
      <c r="P991" s="5">
        <v>159881</v>
      </c>
      <c r="Q991" s="4"/>
      <c r="R991" s="4"/>
      <c r="S991" s="4" t="s">
        <v>5573</v>
      </c>
      <c r="T991" s="4">
        <v>30.7</v>
      </c>
      <c r="U991" s="4" t="s">
        <v>47</v>
      </c>
      <c r="V991" s="4" t="s">
        <v>202</v>
      </c>
      <c r="W991" s="67" t="str">
        <f t="shared" si="79"/>
        <v>-</v>
      </c>
    </row>
    <row r="992" spans="1:23" x14ac:dyDescent="0.3">
      <c r="A992" s="2" t="s">
        <v>2646</v>
      </c>
      <c r="B992" s="2" t="s">
        <v>2647</v>
      </c>
      <c r="C992" s="2"/>
      <c r="D992" s="2" t="s">
        <v>20</v>
      </c>
      <c r="E992" s="2" t="s">
        <v>641</v>
      </c>
      <c r="F992" s="2" t="s">
        <v>727</v>
      </c>
      <c r="G992" s="2" t="s">
        <v>52</v>
      </c>
      <c r="H992" s="2" t="s">
        <v>2396</v>
      </c>
      <c r="I992" s="2" t="str">
        <f t="shared" si="75"/>
        <v>Sep</v>
      </c>
      <c r="J992" s="2">
        <f t="shared" si="76"/>
        <v>9</v>
      </c>
      <c r="K992" s="2">
        <f t="shared" si="77"/>
        <v>2024</v>
      </c>
      <c r="L992" s="2">
        <f t="shared" si="78"/>
        <v>3</v>
      </c>
      <c r="M992" s="2">
        <v>7</v>
      </c>
      <c r="N992" s="2" t="s">
        <v>2539</v>
      </c>
      <c r="O992" s="2" t="s">
        <v>27</v>
      </c>
      <c r="P992" s="3">
        <v>301992</v>
      </c>
      <c r="Q992" s="2"/>
      <c r="R992" s="2"/>
      <c r="S992" s="2" t="s">
        <v>5573</v>
      </c>
      <c r="T992" s="2">
        <v>36.700000000000003</v>
      </c>
      <c r="U992" s="2" t="s">
        <v>29</v>
      </c>
      <c r="V992" s="2" t="s">
        <v>2286</v>
      </c>
      <c r="W992" s="67" t="str">
        <f t="shared" si="79"/>
        <v>-</v>
      </c>
    </row>
    <row r="993" spans="1:23" x14ac:dyDescent="0.3">
      <c r="A993" s="4" t="s">
        <v>2648</v>
      </c>
      <c r="B993" s="4" t="s">
        <v>2649</v>
      </c>
      <c r="C993" s="4">
        <v>9654220401</v>
      </c>
      <c r="D993" s="4" t="s">
        <v>20</v>
      </c>
      <c r="E993" s="4" t="s">
        <v>33</v>
      </c>
      <c r="F993" s="4" t="s">
        <v>102</v>
      </c>
      <c r="G993" s="4" t="s">
        <v>23</v>
      </c>
      <c r="H993" s="4" t="s">
        <v>2396</v>
      </c>
      <c r="I993" s="2" t="str">
        <f t="shared" si="75"/>
        <v>Sep</v>
      </c>
      <c r="J993" s="2">
        <f t="shared" si="76"/>
        <v>9</v>
      </c>
      <c r="K993" s="2">
        <f t="shared" si="77"/>
        <v>2024</v>
      </c>
      <c r="L993" s="2">
        <f t="shared" si="78"/>
        <v>3</v>
      </c>
      <c r="M993" s="4">
        <v>9</v>
      </c>
      <c r="N993" s="4" t="s">
        <v>2574</v>
      </c>
      <c r="O993" s="4" t="s">
        <v>27</v>
      </c>
      <c r="P993" s="5">
        <v>795220</v>
      </c>
      <c r="Q993" s="4"/>
      <c r="R993" s="4"/>
      <c r="S993" s="4" t="s">
        <v>5573</v>
      </c>
      <c r="T993" s="4">
        <v>20</v>
      </c>
      <c r="U993" s="4" t="s">
        <v>29</v>
      </c>
      <c r="V993" s="4"/>
      <c r="W993" s="67" t="str">
        <f t="shared" si="79"/>
        <v>-</v>
      </c>
    </row>
    <row r="994" spans="1:23" x14ac:dyDescent="0.3">
      <c r="A994" s="8" t="s">
        <v>2650</v>
      </c>
      <c r="B994" s="8" t="s">
        <v>2651</v>
      </c>
      <c r="C994" s="8">
        <v>9913855409</v>
      </c>
      <c r="D994" s="8" t="s">
        <v>59</v>
      </c>
      <c r="E994" s="8" t="s">
        <v>109</v>
      </c>
      <c r="F994" s="8" t="s">
        <v>331</v>
      </c>
      <c r="G994" s="8" t="s">
        <v>23</v>
      </c>
      <c r="H994" s="8" t="s">
        <v>2396</v>
      </c>
      <c r="I994" s="2" t="str">
        <f t="shared" si="75"/>
        <v>Sep</v>
      </c>
      <c r="J994" s="2">
        <f t="shared" si="76"/>
        <v>9</v>
      </c>
      <c r="K994" s="2">
        <f t="shared" si="77"/>
        <v>2024</v>
      </c>
      <c r="L994" s="2">
        <f t="shared" si="78"/>
        <v>3</v>
      </c>
      <c r="M994" s="8">
        <v>7</v>
      </c>
      <c r="N994" s="8" t="s">
        <v>2591</v>
      </c>
      <c r="O994" s="8" t="s">
        <v>62</v>
      </c>
      <c r="P994" s="9">
        <v>542740</v>
      </c>
      <c r="Q994" s="8"/>
      <c r="R994" s="8"/>
      <c r="S994" s="8" t="s">
        <v>5573</v>
      </c>
      <c r="T994" s="8">
        <v>35</v>
      </c>
      <c r="U994" s="8" t="s">
        <v>47</v>
      </c>
      <c r="V994" s="8"/>
      <c r="W994" s="67" t="str">
        <f t="shared" si="79"/>
        <v>-</v>
      </c>
    </row>
    <row r="995" spans="1:23" x14ac:dyDescent="0.3">
      <c r="A995" s="8" t="s">
        <v>2652</v>
      </c>
      <c r="B995" s="8" t="s">
        <v>1271</v>
      </c>
      <c r="C995" s="8">
        <v>9650807925</v>
      </c>
      <c r="D995" s="8" t="s">
        <v>20</v>
      </c>
      <c r="E995" s="8" t="s">
        <v>109</v>
      </c>
      <c r="F995" s="8" t="s">
        <v>110</v>
      </c>
      <c r="G995" s="8" t="s">
        <v>60</v>
      </c>
      <c r="H995" s="8" t="s">
        <v>2396</v>
      </c>
      <c r="I995" s="2" t="str">
        <f t="shared" si="75"/>
        <v>Sep</v>
      </c>
      <c r="J995" s="2">
        <f t="shared" si="76"/>
        <v>9</v>
      </c>
      <c r="K995" s="2">
        <f t="shared" si="77"/>
        <v>2024</v>
      </c>
      <c r="L995" s="2">
        <f t="shared" si="78"/>
        <v>3</v>
      </c>
      <c r="M995" s="8">
        <v>9</v>
      </c>
      <c r="N995" s="8" t="s">
        <v>2653</v>
      </c>
      <c r="O995" s="8" t="s">
        <v>27</v>
      </c>
      <c r="P995" s="9">
        <v>154578</v>
      </c>
      <c r="Q995" s="8"/>
      <c r="R995" s="8"/>
      <c r="S995" s="8" t="s">
        <v>5573</v>
      </c>
      <c r="T995" s="8">
        <v>10.4</v>
      </c>
      <c r="U995" s="8" t="s">
        <v>47</v>
      </c>
      <c r="V995" s="8" t="s">
        <v>202</v>
      </c>
      <c r="W995" s="67" t="str">
        <f t="shared" si="79"/>
        <v>-</v>
      </c>
    </row>
    <row r="996" spans="1:23" x14ac:dyDescent="0.3">
      <c r="A996" s="2" t="s">
        <v>2654</v>
      </c>
      <c r="B996" s="2" t="s">
        <v>2655</v>
      </c>
      <c r="C996" s="2">
        <v>9765409860</v>
      </c>
      <c r="D996" s="2" t="s">
        <v>108</v>
      </c>
      <c r="E996" s="2" t="s">
        <v>641</v>
      </c>
      <c r="F996" s="2" t="s">
        <v>642</v>
      </c>
      <c r="G996" s="2" t="s">
        <v>616</v>
      </c>
      <c r="H996" s="2" t="s">
        <v>2396</v>
      </c>
      <c r="I996" s="2" t="str">
        <f t="shared" si="75"/>
        <v>Sep</v>
      </c>
      <c r="J996" s="2">
        <f t="shared" si="76"/>
        <v>9</v>
      </c>
      <c r="K996" s="2">
        <f t="shared" si="77"/>
        <v>2024</v>
      </c>
      <c r="L996" s="2">
        <f t="shared" si="78"/>
        <v>3</v>
      </c>
      <c r="M996" s="2">
        <v>1</v>
      </c>
      <c r="N996" s="2" t="s">
        <v>2478</v>
      </c>
      <c r="O996" s="2" t="s">
        <v>27</v>
      </c>
      <c r="P996" s="3">
        <v>122661</v>
      </c>
      <c r="Q996" s="2"/>
      <c r="R996" s="2"/>
      <c r="S996" s="2" t="s">
        <v>5573</v>
      </c>
      <c r="T996" s="2">
        <v>39.6</v>
      </c>
      <c r="U996" s="2" t="s">
        <v>29</v>
      </c>
      <c r="V996" s="2" t="s">
        <v>38</v>
      </c>
      <c r="W996" s="67" t="str">
        <f t="shared" si="79"/>
        <v>-</v>
      </c>
    </row>
    <row r="997" spans="1:23" x14ac:dyDescent="0.3">
      <c r="A997" s="4" t="s">
        <v>2656</v>
      </c>
      <c r="B997" s="4" t="s">
        <v>1725</v>
      </c>
      <c r="C997" s="4">
        <v>9131468795</v>
      </c>
      <c r="D997" s="4" t="s">
        <v>59</v>
      </c>
      <c r="E997" s="4" t="s">
        <v>41</v>
      </c>
      <c r="F997" s="4" t="s">
        <v>92</v>
      </c>
      <c r="G997" s="4" t="s">
        <v>52</v>
      </c>
      <c r="H997" s="4" t="s">
        <v>2396</v>
      </c>
      <c r="I997" s="2" t="str">
        <f t="shared" si="75"/>
        <v>Sep</v>
      </c>
      <c r="J997" s="2">
        <f t="shared" si="76"/>
        <v>9</v>
      </c>
      <c r="K997" s="2">
        <f t="shared" si="77"/>
        <v>2024</v>
      </c>
      <c r="L997" s="2">
        <f t="shared" si="78"/>
        <v>3</v>
      </c>
      <c r="M997" s="4">
        <v>1</v>
      </c>
      <c r="N997" s="4" t="s">
        <v>2657</v>
      </c>
      <c r="O997" s="4" t="s">
        <v>55</v>
      </c>
      <c r="P997" s="5">
        <v>358503</v>
      </c>
      <c r="Q997" s="4"/>
      <c r="R997" s="4"/>
      <c r="S997" s="4" t="s">
        <v>5573</v>
      </c>
      <c r="T997" s="4">
        <v>15.6</v>
      </c>
      <c r="U997" s="4" t="s">
        <v>29</v>
      </c>
      <c r="V997" s="4" t="s">
        <v>442</v>
      </c>
      <c r="W997" s="67" t="str">
        <f t="shared" si="79"/>
        <v>-</v>
      </c>
    </row>
    <row r="998" spans="1:23" x14ac:dyDescent="0.3">
      <c r="A998" s="2" t="s">
        <v>2658</v>
      </c>
      <c r="B998" s="2" t="s">
        <v>2010</v>
      </c>
      <c r="C998" s="2">
        <v>9938242627</v>
      </c>
      <c r="D998" s="2" t="s">
        <v>121</v>
      </c>
      <c r="E998" s="2" t="s">
        <v>109</v>
      </c>
      <c r="F998" s="2" t="s">
        <v>217</v>
      </c>
      <c r="G998" s="2" t="s">
        <v>87</v>
      </c>
      <c r="H998" s="2" t="s">
        <v>2396</v>
      </c>
      <c r="I998" s="2" t="str">
        <f t="shared" si="75"/>
        <v>Sep</v>
      </c>
      <c r="J998" s="2">
        <f t="shared" si="76"/>
        <v>9</v>
      </c>
      <c r="K998" s="2">
        <f t="shared" si="77"/>
        <v>2024</v>
      </c>
      <c r="L998" s="2">
        <f t="shared" si="78"/>
        <v>3</v>
      </c>
      <c r="M998" s="2">
        <v>12</v>
      </c>
      <c r="N998" s="2" t="s">
        <v>2660</v>
      </c>
      <c r="O998" s="2" t="s">
        <v>62</v>
      </c>
      <c r="P998" s="3">
        <v>218244</v>
      </c>
      <c r="Q998" s="2"/>
      <c r="R998" s="2"/>
      <c r="S998" s="2" t="s">
        <v>5573</v>
      </c>
      <c r="T998" s="2">
        <v>5.6</v>
      </c>
      <c r="U998" s="2" t="s">
        <v>47</v>
      </c>
      <c r="V998" s="2" t="s">
        <v>137</v>
      </c>
      <c r="W998" s="67" t="str">
        <f t="shared" si="79"/>
        <v>-</v>
      </c>
    </row>
    <row r="999" spans="1:23" x14ac:dyDescent="0.3">
      <c r="A999" s="4" t="s">
        <v>2661</v>
      </c>
      <c r="B999" s="4" t="s">
        <v>2662</v>
      </c>
      <c r="C999" s="4">
        <v>9558719363</v>
      </c>
      <c r="D999" s="4" t="s">
        <v>121</v>
      </c>
      <c r="E999" s="4" t="s">
        <v>67</v>
      </c>
      <c r="F999" s="4" t="s">
        <v>80</v>
      </c>
      <c r="G999" s="4" t="s">
        <v>52</v>
      </c>
      <c r="H999" s="4" t="s">
        <v>2396</v>
      </c>
      <c r="I999" s="2" t="str">
        <f t="shared" si="75"/>
        <v>Sep</v>
      </c>
      <c r="J999" s="2">
        <f t="shared" si="76"/>
        <v>9</v>
      </c>
      <c r="K999" s="2">
        <f t="shared" si="77"/>
        <v>2024</v>
      </c>
      <c r="L999" s="2">
        <f t="shared" si="78"/>
        <v>3</v>
      </c>
      <c r="M999" s="4">
        <v>3</v>
      </c>
      <c r="N999" s="4" t="s">
        <v>2627</v>
      </c>
      <c r="O999" s="4" t="s">
        <v>27</v>
      </c>
      <c r="P999" s="5">
        <v>391473</v>
      </c>
      <c r="Q999" s="4"/>
      <c r="R999" s="4"/>
      <c r="S999" s="4" t="s">
        <v>5573</v>
      </c>
      <c r="T999" s="4">
        <v>36</v>
      </c>
      <c r="U999" s="4" t="s">
        <v>29</v>
      </c>
      <c r="V999" s="4" t="s">
        <v>30</v>
      </c>
      <c r="W999" s="67" t="str">
        <f t="shared" si="79"/>
        <v>-</v>
      </c>
    </row>
    <row r="1000" spans="1:23" x14ac:dyDescent="0.3">
      <c r="A1000" s="2" t="s">
        <v>2663</v>
      </c>
      <c r="B1000" s="2" t="s">
        <v>2664</v>
      </c>
      <c r="C1000" s="2">
        <v>9960465290</v>
      </c>
      <c r="D1000" s="2" t="s">
        <v>20</v>
      </c>
      <c r="E1000" s="2" t="s">
        <v>1632</v>
      </c>
      <c r="F1000" s="2" t="s">
        <v>1694</v>
      </c>
      <c r="G1000" s="2" t="s">
        <v>643</v>
      </c>
      <c r="H1000" s="2" t="s">
        <v>2396</v>
      </c>
      <c r="I1000" s="2" t="str">
        <f t="shared" si="75"/>
        <v>Sep</v>
      </c>
      <c r="J1000" s="2">
        <f t="shared" si="76"/>
        <v>9</v>
      </c>
      <c r="K1000" s="2">
        <f t="shared" si="77"/>
        <v>2024</v>
      </c>
      <c r="L1000" s="2">
        <f t="shared" si="78"/>
        <v>3</v>
      </c>
      <c r="M1000" s="2">
        <v>12</v>
      </c>
      <c r="N1000" s="2" t="s">
        <v>2665</v>
      </c>
      <c r="O1000" s="2" t="s">
        <v>27</v>
      </c>
      <c r="P1000" s="3">
        <v>1174931</v>
      </c>
      <c r="Q1000" s="2"/>
      <c r="R1000" s="2"/>
      <c r="S1000" s="2" t="s">
        <v>5573</v>
      </c>
      <c r="T1000" s="2">
        <v>42.1</v>
      </c>
      <c r="U1000" s="2" t="s">
        <v>29</v>
      </c>
      <c r="V1000" s="2" t="s">
        <v>38</v>
      </c>
      <c r="W1000" s="67" t="str">
        <f t="shared" si="79"/>
        <v>-</v>
      </c>
    </row>
    <row r="1001" spans="1:23" x14ac:dyDescent="0.3">
      <c r="A1001" s="4" t="s">
        <v>2666</v>
      </c>
      <c r="B1001" s="4" t="s">
        <v>208</v>
      </c>
      <c r="C1001" s="4">
        <v>9835227852</v>
      </c>
      <c r="D1001" s="4" t="s">
        <v>51</v>
      </c>
      <c r="E1001" s="4" t="s">
        <v>41</v>
      </c>
      <c r="F1001" s="4" t="s">
        <v>151</v>
      </c>
      <c r="G1001" s="4" t="s">
        <v>60</v>
      </c>
      <c r="H1001" s="4" t="s">
        <v>2396</v>
      </c>
      <c r="I1001" s="2" t="str">
        <f t="shared" si="75"/>
        <v>Sep</v>
      </c>
      <c r="J1001" s="2">
        <f t="shared" si="76"/>
        <v>9</v>
      </c>
      <c r="K1001" s="2">
        <f t="shared" si="77"/>
        <v>2024</v>
      </c>
      <c r="L1001" s="2">
        <f t="shared" si="78"/>
        <v>3</v>
      </c>
      <c r="M1001" s="4">
        <v>7</v>
      </c>
      <c r="N1001" s="4" t="s">
        <v>2562</v>
      </c>
      <c r="O1001" s="4" t="s">
        <v>62</v>
      </c>
      <c r="P1001" s="5">
        <v>177791</v>
      </c>
      <c r="Q1001" s="4"/>
      <c r="R1001" s="4"/>
      <c r="S1001" s="4" t="s">
        <v>5573</v>
      </c>
      <c r="T1001" s="4">
        <v>13.2</v>
      </c>
      <c r="U1001" s="4" t="s">
        <v>47</v>
      </c>
      <c r="V1001" s="4" t="s">
        <v>381</v>
      </c>
      <c r="W1001" s="67" t="str">
        <f t="shared" si="79"/>
        <v>-</v>
      </c>
    </row>
    <row r="1002" spans="1:23" x14ac:dyDescent="0.3">
      <c r="A1002" s="2" t="s">
        <v>2667</v>
      </c>
      <c r="B1002" s="2" t="s">
        <v>132</v>
      </c>
      <c r="C1002" s="2">
        <v>9651575951</v>
      </c>
      <c r="D1002" s="2" t="s">
        <v>20</v>
      </c>
      <c r="E1002" s="2" t="s">
        <v>73</v>
      </c>
      <c r="F1002" s="2" t="s">
        <v>126</v>
      </c>
      <c r="G1002" s="2" t="s">
        <v>643</v>
      </c>
      <c r="H1002" s="2" t="s">
        <v>2565</v>
      </c>
      <c r="I1002" s="2" t="str">
        <f t="shared" si="75"/>
        <v>Sep</v>
      </c>
      <c r="J1002" s="2">
        <f t="shared" si="76"/>
        <v>9</v>
      </c>
      <c r="K1002" s="2">
        <f t="shared" si="77"/>
        <v>2024</v>
      </c>
      <c r="L1002" s="2">
        <f t="shared" si="78"/>
        <v>3</v>
      </c>
      <c r="M1002" s="2">
        <v>7</v>
      </c>
      <c r="N1002" s="2" t="s">
        <v>2668</v>
      </c>
      <c r="O1002" s="2" t="s">
        <v>55</v>
      </c>
      <c r="P1002" s="3">
        <v>1087449</v>
      </c>
      <c r="Q1002" s="2"/>
      <c r="R1002" s="2"/>
      <c r="S1002" s="2" t="s">
        <v>5573</v>
      </c>
      <c r="T1002" s="2">
        <v>42.6</v>
      </c>
      <c r="U1002" s="2" t="s">
        <v>29</v>
      </c>
      <c r="V1002" s="2" t="s">
        <v>589</v>
      </c>
      <c r="W1002" s="67" t="str">
        <f t="shared" si="79"/>
        <v>-</v>
      </c>
    </row>
    <row r="1003" spans="1:23" x14ac:dyDescent="0.3">
      <c r="A1003" s="4" t="s">
        <v>2669</v>
      </c>
      <c r="B1003" s="4" t="s">
        <v>2456</v>
      </c>
      <c r="C1003" s="4">
        <v>9646652839</v>
      </c>
      <c r="D1003" s="4" t="s">
        <v>121</v>
      </c>
      <c r="E1003" s="4" t="s">
        <v>33</v>
      </c>
      <c r="F1003" s="4" t="s">
        <v>102</v>
      </c>
      <c r="G1003" s="4" t="s">
        <v>60</v>
      </c>
      <c r="H1003" s="4" t="s">
        <v>2555</v>
      </c>
      <c r="I1003" s="2" t="str">
        <f t="shared" si="75"/>
        <v>Sep</v>
      </c>
      <c r="J1003" s="2">
        <f t="shared" si="76"/>
        <v>9</v>
      </c>
      <c r="K1003" s="2">
        <f t="shared" si="77"/>
        <v>2024</v>
      </c>
      <c r="L1003" s="2">
        <f t="shared" si="78"/>
        <v>3</v>
      </c>
      <c r="M1003" s="4">
        <v>6</v>
      </c>
      <c r="N1003" s="4" t="s">
        <v>2533</v>
      </c>
      <c r="O1003" s="4" t="s">
        <v>27</v>
      </c>
      <c r="P1003" s="5">
        <v>116584</v>
      </c>
      <c r="Q1003" s="4"/>
      <c r="R1003" s="4"/>
      <c r="S1003" s="4" t="s">
        <v>5573</v>
      </c>
      <c r="T1003" s="4">
        <v>13.4</v>
      </c>
      <c r="U1003" s="4" t="s">
        <v>29</v>
      </c>
      <c r="V1003" s="4" t="s">
        <v>202</v>
      </c>
      <c r="W1003" s="67" t="str">
        <f t="shared" si="79"/>
        <v>-</v>
      </c>
    </row>
    <row r="1004" spans="1:23" x14ac:dyDescent="0.3">
      <c r="A1004" s="2" t="s">
        <v>2670</v>
      </c>
      <c r="B1004" s="2" t="s">
        <v>2671</v>
      </c>
      <c r="C1004" s="2">
        <v>9897300155</v>
      </c>
      <c r="D1004" s="2" t="s">
        <v>59</v>
      </c>
      <c r="E1004" s="2" t="s">
        <v>109</v>
      </c>
      <c r="F1004" s="2" t="s">
        <v>331</v>
      </c>
      <c r="G1004" s="2" t="s">
        <v>1599</v>
      </c>
      <c r="H1004" s="2" t="s">
        <v>2555</v>
      </c>
      <c r="I1004" s="2" t="str">
        <f t="shared" si="75"/>
        <v>Sep</v>
      </c>
      <c r="J1004" s="2">
        <f t="shared" si="76"/>
        <v>9</v>
      </c>
      <c r="K1004" s="2">
        <f t="shared" si="77"/>
        <v>2024</v>
      </c>
      <c r="L1004" s="2">
        <f t="shared" si="78"/>
        <v>3</v>
      </c>
      <c r="M1004" s="2"/>
      <c r="N1004" s="2" t="s">
        <v>2672</v>
      </c>
      <c r="O1004" s="2" t="s">
        <v>27</v>
      </c>
      <c r="P1004" s="3">
        <v>685561</v>
      </c>
      <c r="Q1004" s="2"/>
      <c r="R1004" s="2"/>
      <c r="S1004" s="2" t="s">
        <v>5573</v>
      </c>
      <c r="T1004" s="2">
        <v>1.5</v>
      </c>
      <c r="U1004" s="2" t="s">
        <v>29</v>
      </c>
      <c r="V1004" s="2" t="s">
        <v>157</v>
      </c>
      <c r="W1004" s="67" t="str">
        <f t="shared" si="79"/>
        <v>-</v>
      </c>
    </row>
    <row r="1005" spans="1:23" x14ac:dyDescent="0.3">
      <c r="A1005" s="4" t="s">
        <v>2673</v>
      </c>
      <c r="B1005" s="4" t="s">
        <v>2674</v>
      </c>
      <c r="C1005" s="4">
        <v>9241459717</v>
      </c>
      <c r="D1005" s="4" t="s">
        <v>59</v>
      </c>
      <c r="E1005" s="4" t="s">
        <v>648</v>
      </c>
      <c r="F1005" s="4" t="s">
        <v>656</v>
      </c>
      <c r="G1005" s="4" t="s">
        <v>52</v>
      </c>
      <c r="H1005" s="4" t="s">
        <v>2555</v>
      </c>
      <c r="I1005" s="2" t="str">
        <f t="shared" si="75"/>
        <v>Sep</v>
      </c>
      <c r="J1005" s="2">
        <f t="shared" si="76"/>
        <v>9</v>
      </c>
      <c r="K1005" s="2">
        <f t="shared" si="77"/>
        <v>2024</v>
      </c>
      <c r="L1005" s="2">
        <f t="shared" si="78"/>
        <v>3</v>
      </c>
      <c r="M1005" s="4">
        <v>3</v>
      </c>
      <c r="N1005" s="4" t="s">
        <v>2623</v>
      </c>
      <c r="O1005" s="4" t="s">
        <v>27</v>
      </c>
      <c r="P1005" s="5">
        <v>492011</v>
      </c>
      <c r="Q1005" s="4"/>
      <c r="R1005" s="4"/>
      <c r="S1005" s="4" t="s">
        <v>5573</v>
      </c>
      <c r="T1005" s="4">
        <v>3.5</v>
      </c>
      <c r="U1005" s="4" t="s">
        <v>29</v>
      </c>
      <c r="V1005" s="4" t="s">
        <v>153</v>
      </c>
      <c r="W1005" s="67" t="str">
        <f t="shared" si="79"/>
        <v>-</v>
      </c>
    </row>
    <row r="1006" spans="1:23" x14ac:dyDescent="0.3">
      <c r="A1006" s="6" t="s">
        <v>2675</v>
      </c>
      <c r="B1006" s="6" t="s">
        <v>612</v>
      </c>
      <c r="C1006" s="6">
        <v>9961771921</v>
      </c>
      <c r="D1006" s="6" t="s">
        <v>20</v>
      </c>
      <c r="E1006" s="6" t="s">
        <v>1632</v>
      </c>
      <c r="F1006" s="6" t="s">
        <v>1694</v>
      </c>
      <c r="G1006" s="6" t="s">
        <v>35</v>
      </c>
      <c r="H1006" s="6" t="s">
        <v>2555</v>
      </c>
      <c r="I1006" s="2" t="str">
        <f t="shared" si="75"/>
        <v>Sep</v>
      </c>
      <c r="J1006" s="2">
        <f t="shared" si="76"/>
        <v>9</v>
      </c>
      <c r="K1006" s="2">
        <f t="shared" si="77"/>
        <v>2024</v>
      </c>
      <c r="L1006" s="2">
        <f t="shared" si="78"/>
        <v>3</v>
      </c>
      <c r="M1006" s="6">
        <v>2</v>
      </c>
      <c r="N1006" s="6" t="s">
        <v>2528</v>
      </c>
      <c r="O1006" s="6" t="s">
        <v>97</v>
      </c>
      <c r="P1006" s="7">
        <v>248886</v>
      </c>
      <c r="Q1006" s="7">
        <v>255764</v>
      </c>
      <c r="R1006" s="6" t="s">
        <v>2676</v>
      </c>
      <c r="S1006" s="6" t="s">
        <v>5573</v>
      </c>
      <c r="T1006" s="6">
        <v>31.7</v>
      </c>
      <c r="U1006" s="6" t="s">
        <v>63</v>
      </c>
      <c r="V1006" s="6" t="s">
        <v>99</v>
      </c>
      <c r="W1006" s="67" t="str">
        <f t="shared" si="79"/>
        <v>Customer</v>
      </c>
    </row>
    <row r="1007" spans="1:23" x14ac:dyDescent="0.3">
      <c r="A1007" s="8" t="s">
        <v>2677</v>
      </c>
      <c r="B1007" s="8" t="s">
        <v>2678</v>
      </c>
      <c r="C1007" s="8">
        <v>9343401206</v>
      </c>
      <c r="D1007" s="8" t="s">
        <v>121</v>
      </c>
      <c r="E1007" s="8" t="s">
        <v>109</v>
      </c>
      <c r="F1007" s="8" t="s">
        <v>331</v>
      </c>
      <c r="G1007" s="8" t="s">
        <v>1609</v>
      </c>
      <c r="H1007" s="8" t="s">
        <v>2659</v>
      </c>
      <c r="I1007" s="2" t="str">
        <f t="shared" si="75"/>
        <v>Sep</v>
      </c>
      <c r="J1007" s="2">
        <f t="shared" si="76"/>
        <v>9</v>
      </c>
      <c r="K1007" s="2">
        <f t="shared" si="77"/>
        <v>2024</v>
      </c>
      <c r="L1007" s="2">
        <f t="shared" si="78"/>
        <v>3</v>
      </c>
      <c r="M1007" s="8">
        <v>8</v>
      </c>
      <c r="N1007" s="8" t="s">
        <v>2576</v>
      </c>
      <c r="O1007" s="8" t="s">
        <v>62</v>
      </c>
      <c r="P1007" s="9">
        <v>287795</v>
      </c>
      <c r="Q1007" s="8"/>
      <c r="R1007" s="8"/>
      <c r="S1007" s="8" t="s">
        <v>5573</v>
      </c>
      <c r="T1007" s="8"/>
      <c r="U1007" s="8" t="s">
        <v>63</v>
      </c>
      <c r="V1007" s="8" t="s">
        <v>559</v>
      </c>
      <c r="W1007" s="67" t="str">
        <f t="shared" si="79"/>
        <v>-</v>
      </c>
    </row>
    <row r="1008" spans="1:23" x14ac:dyDescent="0.3">
      <c r="A1008" s="6" t="s">
        <v>2679</v>
      </c>
      <c r="B1008" s="6" t="s">
        <v>2680</v>
      </c>
      <c r="C1008" s="6">
        <v>9185669964</v>
      </c>
      <c r="D1008" s="6" t="s">
        <v>121</v>
      </c>
      <c r="E1008" s="6" t="s">
        <v>1632</v>
      </c>
      <c r="F1008" s="6" t="s">
        <v>1659</v>
      </c>
      <c r="G1008" s="6" t="s">
        <v>60</v>
      </c>
      <c r="H1008" s="6" t="s">
        <v>2379</v>
      </c>
      <c r="I1008" s="2" t="str">
        <f t="shared" si="75"/>
        <v>Sep</v>
      </c>
      <c r="J1008" s="2">
        <f t="shared" si="76"/>
        <v>9</v>
      </c>
      <c r="K1008" s="2">
        <f t="shared" si="77"/>
        <v>2024</v>
      </c>
      <c r="L1008" s="2">
        <f t="shared" si="78"/>
        <v>3</v>
      </c>
      <c r="M1008" s="6"/>
      <c r="N1008" s="6" t="s">
        <v>2681</v>
      </c>
      <c r="O1008" s="6" t="s">
        <v>97</v>
      </c>
      <c r="P1008" s="7">
        <v>106868</v>
      </c>
      <c r="Q1008" s="7">
        <v>109929</v>
      </c>
      <c r="R1008" s="6" t="s">
        <v>2682</v>
      </c>
      <c r="S1008" s="6" t="s">
        <v>5573</v>
      </c>
      <c r="T1008" s="6">
        <v>26.2</v>
      </c>
      <c r="U1008" s="6" t="s">
        <v>63</v>
      </c>
      <c r="V1008" s="6" t="s">
        <v>286</v>
      </c>
      <c r="W1008" s="67" t="str">
        <f t="shared" si="79"/>
        <v>Customer</v>
      </c>
    </row>
    <row r="1009" spans="1:23" x14ac:dyDescent="0.3">
      <c r="A1009" s="6" t="s">
        <v>2683</v>
      </c>
      <c r="B1009" s="6" t="s">
        <v>2684</v>
      </c>
      <c r="C1009" s="6">
        <v>9379127209</v>
      </c>
      <c r="D1009" s="6" t="s">
        <v>121</v>
      </c>
      <c r="E1009" s="6" t="s">
        <v>41</v>
      </c>
      <c r="F1009" s="6" t="s">
        <v>151</v>
      </c>
      <c r="G1009" s="6" t="s">
        <v>1735</v>
      </c>
      <c r="H1009" s="6" t="s">
        <v>2417</v>
      </c>
      <c r="I1009" s="2" t="str">
        <f t="shared" si="75"/>
        <v>Sep</v>
      </c>
      <c r="J1009" s="2">
        <f t="shared" si="76"/>
        <v>9</v>
      </c>
      <c r="K1009" s="2">
        <f t="shared" si="77"/>
        <v>2024</v>
      </c>
      <c r="L1009" s="2">
        <f t="shared" si="78"/>
        <v>3</v>
      </c>
      <c r="M1009" s="6">
        <v>1</v>
      </c>
      <c r="N1009" s="6" t="s">
        <v>2478</v>
      </c>
      <c r="O1009" s="6" t="s">
        <v>97</v>
      </c>
      <c r="P1009" s="7">
        <v>1594876</v>
      </c>
      <c r="Q1009" s="7">
        <v>1450942</v>
      </c>
      <c r="R1009" s="6" t="s">
        <v>2685</v>
      </c>
      <c r="S1009" s="6" t="s">
        <v>5573</v>
      </c>
      <c r="T1009" s="6">
        <v>6.3</v>
      </c>
      <c r="U1009" s="6" t="s">
        <v>63</v>
      </c>
      <c r="V1009" s="6" t="s">
        <v>295</v>
      </c>
      <c r="W1009" s="67" t="str">
        <f t="shared" si="79"/>
        <v>Architect</v>
      </c>
    </row>
    <row r="1010" spans="1:23" x14ac:dyDescent="0.3">
      <c r="A1010" s="2" t="s">
        <v>2686</v>
      </c>
      <c r="B1010" s="2" t="s">
        <v>2687</v>
      </c>
      <c r="C1010" s="2">
        <v>9612912295</v>
      </c>
      <c r="D1010" s="2" t="s">
        <v>20</v>
      </c>
      <c r="E1010" s="2" t="s">
        <v>1632</v>
      </c>
      <c r="F1010" s="2" t="s">
        <v>1633</v>
      </c>
      <c r="G1010" s="2" t="s">
        <v>69</v>
      </c>
      <c r="H1010" s="2" t="s">
        <v>2528</v>
      </c>
      <c r="I1010" s="2" t="str">
        <f t="shared" si="75"/>
        <v>Sep</v>
      </c>
      <c r="J1010" s="2">
        <f t="shared" si="76"/>
        <v>9</v>
      </c>
      <c r="K1010" s="2">
        <f t="shared" si="77"/>
        <v>2024</v>
      </c>
      <c r="L1010" s="2">
        <f t="shared" si="78"/>
        <v>3</v>
      </c>
      <c r="M1010" s="2">
        <v>1</v>
      </c>
      <c r="N1010" s="2" t="s">
        <v>2478</v>
      </c>
      <c r="O1010" s="2" t="s">
        <v>27</v>
      </c>
      <c r="P1010" s="3">
        <v>97015</v>
      </c>
      <c r="Q1010" s="2"/>
      <c r="R1010" s="2"/>
      <c r="S1010" s="2" t="s">
        <v>5573</v>
      </c>
      <c r="T1010" s="2">
        <v>18.8</v>
      </c>
      <c r="U1010" s="2" t="s">
        <v>29</v>
      </c>
      <c r="V1010" s="2" t="s">
        <v>238</v>
      </c>
      <c r="W1010" s="67" t="str">
        <f t="shared" si="79"/>
        <v>-</v>
      </c>
    </row>
    <row r="1011" spans="1:23" x14ac:dyDescent="0.3">
      <c r="A1011" s="4" t="s">
        <v>2688</v>
      </c>
      <c r="B1011" s="4" t="s">
        <v>281</v>
      </c>
      <c r="C1011" s="4">
        <v>9978466067</v>
      </c>
      <c r="D1011" s="4" t="s">
        <v>108</v>
      </c>
      <c r="E1011" s="4" t="s">
        <v>33</v>
      </c>
      <c r="F1011" s="4" t="s">
        <v>102</v>
      </c>
      <c r="G1011" s="4" t="s">
        <v>1623</v>
      </c>
      <c r="H1011" s="4" t="s">
        <v>2528</v>
      </c>
      <c r="I1011" s="2" t="str">
        <f t="shared" si="75"/>
        <v>Sep</v>
      </c>
      <c r="J1011" s="2">
        <f t="shared" si="76"/>
        <v>9</v>
      </c>
      <c r="K1011" s="2">
        <f t="shared" si="77"/>
        <v>2024</v>
      </c>
      <c r="L1011" s="2">
        <f t="shared" si="78"/>
        <v>3</v>
      </c>
      <c r="M1011" s="4">
        <v>10</v>
      </c>
      <c r="N1011" s="4" t="s">
        <v>2542</v>
      </c>
      <c r="O1011" s="4" t="s">
        <v>27</v>
      </c>
      <c r="P1011" s="5">
        <v>439369</v>
      </c>
      <c r="Q1011" s="4"/>
      <c r="R1011" s="4"/>
      <c r="S1011" s="4" t="s">
        <v>5573</v>
      </c>
      <c r="T1011" s="4">
        <v>46.1</v>
      </c>
      <c r="U1011" s="4" t="s">
        <v>29</v>
      </c>
      <c r="V1011" s="4" t="s">
        <v>238</v>
      </c>
      <c r="W1011" s="67" t="str">
        <f t="shared" si="79"/>
        <v>-</v>
      </c>
    </row>
    <row r="1012" spans="1:23" x14ac:dyDescent="0.3">
      <c r="A1012" s="2" t="s">
        <v>2689</v>
      </c>
      <c r="B1012" s="2" t="s">
        <v>898</v>
      </c>
      <c r="C1012" s="2">
        <v>9410296315</v>
      </c>
      <c r="D1012" s="2" t="s">
        <v>108</v>
      </c>
      <c r="E1012" s="2" t="s">
        <v>1632</v>
      </c>
      <c r="F1012" s="2" t="s">
        <v>1717</v>
      </c>
      <c r="G1012" s="2" t="s">
        <v>1623</v>
      </c>
      <c r="H1012" s="2" t="s">
        <v>2528</v>
      </c>
      <c r="I1012" s="2" t="str">
        <f t="shared" si="75"/>
        <v>Sep</v>
      </c>
      <c r="J1012" s="2">
        <f t="shared" si="76"/>
        <v>9</v>
      </c>
      <c r="K1012" s="2">
        <f t="shared" si="77"/>
        <v>2024</v>
      </c>
      <c r="L1012" s="2">
        <f t="shared" si="78"/>
        <v>3</v>
      </c>
      <c r="M1012" s="2">
        <v>8</v>
      </c>
      <c r="N1012" s="2" t="s">
        <v>2668</v>
      </c>
      <c r="O1012" s="2" t="s">
        <v>62</v>
      </c>
      <c r="P1012" s="3">
        <v>399076</v>
      </c>
      <c r="Q1012" s="2"/>
      <c r="R1012" s="2"/>
      <c r="S1012" s="2" t="s">
        <v>5573</v>
      </c>
      <c r="T1012" s="2">
        <v>7.5</v>
      </c>
      <c r="U1012" s="2" t="s">
        <v>63</v>
      </c>
      <c r="V1012" s="2" t="s">
        <v>260</v>
      </c>
      <c r="W1012" s="67" t="str">
        <f t="shared" si="79"/>
        <v>-</v>
      </c>
    </row>
    <row r="1013" spans="1:23" x14ac:dyDescent="0.3">
      <c r="A1013" s="8" t="s">
        <v>2690</v>
      </c>
      <c r="B1013" s="8" t="s">
        <v>898</v>
      </c>
      <c r="C1013" s="8">
        <v>9476971843</v>
      </c>
      <c r="D1013" s="8" t="s">
        <v>108</v>
      </c>
      <c r="E1013" s="8" t="s">
        <v>1632</v>
      </c>
      <c r="F1013" s="8" t="s">
        <v>1659</v>
      </c>
      <c r="G1013" s="8" t="s">
        <v>52</v>
      </c>
      <c r="H1013" s="8" t="s">
        <v>2501</v>
      </c>
      <c r="I1013" s="2" t="str">
        <f t="shared" si="75"/>
        <v>Sep</v>
      </c>
      <c r="J1013" s="2">
        <f t="shared" si="76"/>
        <v>9</v>
      </c>
      <c r="K1013" s="2">
        <f t="shared" si="77"/>
        <v>2024</v>
      </c>
      <c r="L1013" s="2">
        <f t="shared" si="78"/>
        <v>3</v>
      </c>
      <c r="M1013" s="8">
        <v>6</v>
      </c>
      <c r="N1013" s="8" t="s">
        <v>2668</v>
      </c>
      <c r="O1013" s="8" t="s">
        <v>45</v>
      </c>
      <c r="P1013" s="9">
        <v>519404</v>
      </c>
      <c r="Q1013" s="8"/>
      <c r="R1013" s="8"/>
      <c r="S1013" s="8" t="s">
        <v>5573</v>
      </c>
      <c r="T1013" s="8">
        <v>47.4</v>
      </c>
      <c r="U1013" s="8" t="s">
        <v>47</v>
      </c>
      <c r="V1013" s="8" t="s">
        <v>256</v>
      </c>
      <c r="W1013" s="67" t="str">
        <f t="shared" si="79"/>
        <v>-</v>
      </c>
    </row>
    <row r="1014" spans="1:23" x14ac:dyDescent="0.3">
      <c r="A1014" s="2" t="s">
        <v>2691</v>
      </c>
      <c r="B1014" s="2" t="s">
        <v>2692</v>
      </c>
      <c r="C1014" s="2">
        <v>9743478813</v>
      </c>
      <c r="D1014" s="2" t="s">
        <v>20</v>
      </c>
      <c r="E1014" s="2" t="s">
        <v>67</v>
      </c>
      <c r="F1014" s="2" t="s">
        <v>80</v>
      </c>
      <c r="G1014" s="2" t="s">
        <v>35</v>
      </c>
      <c r="H1014" s="2" t="s">
        <v>2501</v>
      </c>
      <c r="I1014" s="2" t="str">
        <f t="shared" si="75"/>
        <v>Sep</v>
      </c>
      <c r="J1014" s="2">
        <f t="shared" si="76"/>
        <v>9</v>
      </c>
      <c r="K1014" s="2">
        <f t="shared" si="77"/>
        <v>2024</v>
      </c>
      <c r="L1014" s="2">
        <f t="shared" si="78"/>
        <v>3</v>
      </c>
      <c r="M1014" s="2">
        <v>0</v>
      </c>
      <c r="N1014" s="2" t="s">
        <v>2693</v>
      </c>
      <c r="O1014" s="2" t="s">
        <v>55</v>
      </c>
      <c r="P1014" s="3">
        <v>125146</v>
      </c>
      <c r="Q1014" s="2"/>
      <c r="R1014" s="2"/>
      <c r="S1014" s="2" t="s">
        <v>5573</v>
      </c>
      <c r="T1014" s="2">
        <v>4.0999999999999996</v>
      </c>
      <c r="U1014" s="2" t="s">
        <v>47</v>
      </c>
      <c r="V1014" s="2" t="s">
        <v>597</v>
      </c>
      <c r="W1014" s="67" t="str">
        <f t="shared" si="79"/>
        <v>-</v>
      </c>
    </row>
    <row r="1015" spans="1:23" x14ac:dyDescent="0.3">
      <c r="A1015" s="4" t="s">
        <v>2694</v>
      </c>
      <c r="B1015" s="4" t="s">
        <v>2290</v>
      </c>
      <c r="C1015" s="4">
        <v>9427986788</v>
      </c>
      <c r="D1015" s="4" t="s">
        <v>59</v>
      </c>
      <c r="E1015" s="4" t="s">
        <v>33</v>
      </c>
      <c r="F1015" s="4" t="s">
        <v>102</v>
      </c>
      <c r="G1015" s="4" t="s">
        <v>643</v>
      </c>
      <c r="H1015" s="4" t="s">
        <v>2676</v>
      </c>
      <c r="I1015" s="2" t="str">
        <f t="shared" si="75"/>
        <v>Sep</v>
      </c>
      <c r="J1015" s="2">
        <f t="shared" si="76"/>
        <v>9</v>
      </c>
      <c r="K1015" s="2">
        <f t="shared" si="77"/>
        <v>2024</v>
      </c>
      <c r="L1015" s="2">
        <f t="shared" si="78"/>
        <v>3</v>
      </c>
      <c r="M1015" s="4">
        <v>4</v>
      </c>
      <c r="N1015" s="4" t="s">
        <v>2695</v>
      </c>
      <c r="O1015" s="4" t="s">
        <v>27</v>
      </c>
      <c r="P1015" s="5">
        <v>1193867</v>
      </c>
      <c r="Q1015" s="4"/>
      <c r="R1015" s="4"/>
      <c r="S1015" s="4" t="s">
        <v>5573</v>
      </c>
      <c r="T1015" s="4">
        <v>42.9</v>
      </c>
      <c r="U1015" s="4" t="s">
        <v>29</v>
      </c>
      <c r="V1015" s="4" t="s">
        <v>118</v>
      </c>
      <c r="W1015" s="67" t="str">
        <f t="shared" si="79"/>
        <v>-</v>
      </c>
    </row>
    <row r="1016" spans="1:23" x14ac:dyDescent="0.3">
      <c r="A1016" s="2" t="s">
        <v>2696</v>
      </c>
      <c r="B1016" s="2" t="s">
        <v>2697</v>
      </c>
      <c r="C1016" s="2">
        <v>9986339543</v>
      </c>
      <c r="D1016" s="2" t="s">
        <v>20</v>
      </c>
      <c r="E1016" s="2" t="s">
        <v>1632</v>
      </c>
      <c r="F1016" s="2" t="s">
        <v>1659</v>
      </c>
      <c r="G1016" s="2" t="s">
        <v>35</v>
      </c>
      <c r="H1016" s="2" t="s">
        <v>2676</v>
      </c>
      <c r="I1016" s="2" t="str">
        <f t="shared" si="75"/>
        <v>Sep</v>
      </c>
      <c r="J1016" s="2">
        <f t="shared" si="76"/>
        <v>9</v>
      </c>
      <c r="K1016" s="2">
        <f t="shared" si="77"/>
        <v>2024</v>
      </c>
      <c r="L1016" s="2">
        <f t="shared" si="78"/>
        <v>3</v>
      </c>
      <c r="M1016" s="2">
        <v>4</v>
      </c>
      <c r="N1016" s="2" t="s">
        <v>2588</v>
      </c>
      <c r="O1016" s="2" t="s">
        <v>27</v>
      </c>
      <c r="P1016" s="3">
        <v>237862</v>
      </c>
      <c r="Q1016" s="2"/>
      <c r="R1016" s="2"/>
      <c r="S1016" s="2" t="s">
        <v>5573</v>
      </c>
      <c r="T1016" s="2">
        <v>45.7</v>
      </c>
      <c r="U1016" s="2" t="s">
        <v>29</v>
      </c>
      <c r="V1016" s="2" t="s">
        <v>163</v>
      </c>
      <c r="W1016" s="67" t="str">
        <f t="shared" si="79"/>
        <v>-</v>
      </c>
    </row>
    <row r="1017" spans="1:23" x14ac:dyDescent="0.3">
      <c r="A1017" s="4" t="s">
        <v>2698</v>
      </c>
      <c r="B1017" s="4" t="s">
        <v>2699</v>
      </c>
      <c r="C1017" s="4"/>
      <c r="D1017" s="4" t="s">
        <v>121</v>
      </c>
      <c r="E1017" s="4" t="s">
        <v>1632</v>
      </c>
      <c r="F1017" s="4" t="s">
        <v>1682</v>
      </c>
      <c r="G1017" s="4" t="s">
        <v>1623</v>
      </c>
      <c r="H1017" s="4" t="s">
        <v>2676</v>
      </c>
      <c r="I1017" s="2" t="str">
        <f t="shared" si="75"/>
        <v>Sep</v>
      </c>
      <c r="J1017" s="2">
        <f t="shared" si="76"/>
        <v>9</v>
      </c>
      <c r="K1017" s="2">
        <f t="shared" si="77"/>
        <v>2024</v>
      </c>
      <c r="L1017" s="2">
        <f t="shared" si="78"/>
        <v>3</v>
      </c>
      <c r="M1017" s="4">
        <v>8</v>
      </c>
      <c r="N1017" s="4" t="s">
        <v>2700</v>
      </c>
      <c r="O1017" s="4" t="s">
        <v>55</v>
      </c>
      <c r="P1017" s="5">
        <v>465672</v>
      </c>
      <c r="Q1017" s="4"/>
      <c r="R1017" s="4"/>
      <c r="S1017" s="4" t="s">
        <v>5573</v>
      </c>
      <c r="T1017" s="4">
        <v>31.5</v>
      </c>
      <c r="U1017" s="4" t="s">
        <v>47</v>
      </c>
      <c r="V1017" s="4" t="s">
        <v>1685</v>
      </c>
      <c r="W1017" s="67" t="str">
        <f t="shared" si="79"/>
        <v>-</v>
      </c>
    </row>
    <row r="1018" spans="1:23" x14ac:dyDescent="0.3">
      <c r="A1018" s="6" t="s">
        <v>2701</v>
      </c>
      <c r="B1018" s="6" t="s">
        <v>2702</v>
      </c>
      <c r="C1018" s="6">
        <v>9882691805</v>
      </c>
      <c r="D1018" s="6" t="s">
        <v>20</v>
      </c>
      <c r="E1018" s="6" t="s">
        <v>73</v>
      </c>
      <c r="F1018" s="6" t="s">
        <v>126</v>
      </c>
      <c r="G1018" s="6" t="s">
        <v>643</v>
      </c>
      <c r="H1018" s="6" t="s">
        <v>2676</v>
      </c>
      <c r="I1018" s="2" t="str">
        <f t="shared" si="75"/>
        <v>Sep</v>
      </c>
      <c r="J1018" s="2">
        <f t="shared" si="76"/>
        <v>9</v>
      </c>
      <c r="K1018" s="2">
        <f t="shared" si="77"/>
        <v>2024</v>
      </c>
      <c r="L1018" s="2">
        <f t="shared" si="78"/>
        <v>3</v>
      </c>
      <c r="M1018" s="6">
        <v>1</v>
      </c>
      <c r="N1018" s="6" t="s">
        <v>2693</v>
      </c>
      <c r="O1018" s="6" t="s">
        <v>97</v>
      </c>
      <c r="P1018" s="7">
        <v>898011</v>
      </c>
      <c r="Q1018" s="7">
        <v>855448</v>
      </c>
      <c r="R1018" s="6" t="s">
        <v>2695</v>
      </c>
      <c r="S1018" s="6" t="s">
        <v>5573</v>
      </c>
      <c r="T1018" s="6">
        <v>3.9</v>
      </c>
      <c r="U1018" s="6" t="s">
        <v>63</v>
      </c>
      <c r="V1018" s="6" t="s">
        <v>99</v>
      </c>
      <c r="W1018" s="67" t="str">
        <f t="shared" si="79"/>
        <v>Customer</v>
      </c>
    </row>
    <row r="1019" spans="1:23" x14ac:dyDescent="0.3">
      <c r="A1019" s="4" t="s">
        <v>2703</v>
      </c>
      <c r="B1019" s="4" t="s">
        <v>2103</v>
      </c>
      <c r="C1019" s="4">
        <v>9341037744</v>
      </c>
      <c r="D1019" s="4" t="s">
        <v>20</v>
      </c>
      <c r="E1019" s="4" t="s">
        <v>1632</v>
      </c>
      <c r="F1019" s="4" t="s">
        <v>1694</v>
      </c>
      <c r="G1019" s="4" t="s">
        <v>643</v>
      </c>
      <c r="H1019" s="4" t="s">
        <v>2672</v>
      </c>
      <c r="I1019" s="2" t="str">
        <f t="shared" si="75"/>
        <v>Sep</v>
      </c>
      <c r="J1019" s="2">
        <f t="shared" si="76"/>
        <v>9</v>
      </c>
      <c r="K1019" s="2">
        <f t="shared" si="77"/>
        <v>2024</v>
      </c>
      <c r="L1019" s="2">
        <f t="shared" si="78"/>
        <v>3</v>
      </c>
      <c r="M1019" s="4">
        <v>9</v>
      </c>
      <c r="N1019" s="4" t="s">
        <v>2704</v>
      </c>
      <c r="O1019" s="4" t="s">
        <v>27</v>
      </c>
      <c r="P1019" s="5">
        <v>1096205</v>
      </c>
      <c r="Q1019" s="4"/>
      <c r="R1019" s="4"/>
      <c r="S1019" s="4" t="s">
        <v>5573</v>
      </c>
      <c r="T1019" s="4">
        <v>35.9</v>
      </c>
      <c r="U1019" s="4" t="s">
        <v>29</v>
      </c>
      <c r="V1019" s="4" t="s">
        <v>30</v>
      </c>
      <c r="W1019" s="67" t="str">
        <f t="shared" si="79"/>
        <v>-</v>
      </c>
    </row>
    <row r="1020" spans="1:23" x14ac:dyDescent="0.3">
      <c r="A1020" s="2" t="s">
        <v>2705</v>
      </c>
      <c r="B1020" s="2" t="s">
        <v>766</v>
      </c>
      <c r="C1020" s="2">
        <v>9725818533</v>
      </c>
      <c r="D1020" s="2" t="s">
        <v>51</v>
      </c>
      <c r="E1020" s="2" t="s">
        <v>1632</v>
      </c>
      <c r="F1020" s="2" t="s">
        <v>1849</v>
      </c>
      <c r="G1020" s="2" t="s">
        <v>616</v>
      </c>
      <c r="H1020" s="2" t="s">
        <v>2672</v>
      </c>
      <c r="I1020" s="2" t="str">
        <f t="shared" si="75"/>
        <v>Sep</v>
      </c>
      <c r="J1020" s="2">
        <f t="shared" si="76"/>
        <v>9</v>
      </c>
      <c r="K1020" s="2">
        <f t="shared" si="77"/>
        <v>2024</v>
      </c>
      <c r="L1020" s="2">
        <f t="shared" si="78"/>
        <v>3</v>
      </c>
      <c r="M1020" s="2">
        <v>4</v>
      </c>
      <c r="N1020" s="2" t="s">
        <v>2706</v>
      </c>
      <c r="O1020" s="2" t="s">
        <v>62</v>
      </c>
      <c r="P1020" s="3">
        <v>165606</v>
      </c>
      <c r="Q1020" s="2"/>
      <c r="R1020" s="2"/>
      <c r="S1020" s="2" t="s">
        <v>5573</v>
      </c>
      <c r="T1020" s="2">
        <v>45.1</v>
      </c>
      <c r="U1020" s="2" t="s">
        <v>63</v>
      </c>
      <c r="V1020" s="2" t="s">
        <v>260</v>
      </c>
      <c r="W1020" s="67" t="str">
        <f t="shared" si="79"/>
        <v>-</v>
      </c>
    </row>
    <row r="1021" spans="1:23" x14ac:dyDescent="0.3">
      <c r="A1021" s="4" t="s">
        <v>2707</v>
      </c>
      <c r="B1021" s="4" t="s">
        <v>2708</v>
      </c>
      <c r="C1021" s="4">
        <v>9283576774</v>
      </c>
      <c r="D1021" s="4" t="s">
        <v>20</v>
      </c>
      <c r="E1021" s="4" t="s">
        <v>641</v>
      </c>
      <c r="F1021" s="4" t="s">
        <v>727</v>
      </c>
      <c r="G1021" s="4" t="s">
        <v>52</v>
      </c>
      <c r="H1021" s="4" t="s">
        <v>2621</v>
      </c>
      <c r="I1021" s="2" t="str">
        <f t="shared" si="75"/>
        <v>Sep</v>
      </c>
      <c r="J1021" s="2">
        <f t="shared" si="76"/>
        <v>9</v>
      </c>
      <c r="K1021" s="2">
        <f t="shared" si="77"/>
        <v>2024</v>
      </c>
      <c r="L1021" s="2">
        <f t="shared" si="78"/>
        <v>3</v>
      </c>
      <c r="M1021" s="4">
        <v>11</v>
      </c>
      <c r="N1021" s="4" t="s">
        <v>2709</v>
      </c>
      <c r="O1021" s="4" t="s">
        <v>45</v>
      </c>
      <c r="P1021" s="5">
        <v>500252</v>
      </c>
      <c r="Q1021" s="4"/>
      <c r="R1021" s="4"/>
      <c r="S1021" s="4" t="s">
        <v>5573</v>
      </c>
      <c r="T1021" s="4">
        <v>17.3</v>
      </c>
      <c r="U1021" s="4" t="s">
        <v>63</v>
      </c>
      <c r="V1021" s="4" t="s">
        <v>678</v>
      </c>
      <c r="W1021" s="67" t="str">
        <f t="shared" si="79"/>
        <v>-</v>
      </c>
    </row>
    <row r="1022" spans="1:23" x14ac:dyDescent="0.3">
      <c r="A1022" s="2" t="s">
        <v>2710</v>
      </c>
      <c r="B1022" s="2" t="s">
        <v>548</v>
      </c>
      <c r="C1022" s="2">
        <v>9587944577</v>
      </c>
      <c r="D1022" s="2" t="s">
        <v>108</v>
      </c>
      <c r="E1022" s="2" t="s">
        <v>109</v>
      </c>
      <c r="F1022" s="2" t="s">
        <v>217</v>
      </c>
      <c r="G1022" s="2" t="s">
        <v>1609</v>
      </c>
      <c r="H1022" s="2" t="s">
        <v>2621</v>
      </c>
      <c r="I1022" s="2" t="str">
        <f t="shared" si="75"/>
        <v>Sep</v>
      </c>
      <c r="J1022" s="2">
        <f t="shared" si="76"/>
        <v>9</v>
      </c>
      <c r="K1022" s="2">
        <f t="shared" si="77"/>
        <v>2024</v>
      </c>
      <c r="L1022" s="2">
        <f t="shared" si="78"/>
        <v>3</v>
      </c>
      <c r="M1022" s="2">
        <v>4</v>
      </c>
      <c r="N1022" s="2" t="s">
        <v>2533</v>
      </c>
      <c r="O1022" s="2" t="s">
        <v>62</v>
      </c>
      <c r="P1022" s="3">
        <v>476703</v>
      </c>
      <c r="Q1022" s="2"/>
      <c r="R1022" s="2"/>
      <c r="S1022" s="2" t="s">
        <v>5573</v>
      </c>
      <c r="T1022" s="2">
        <v>46.6</v>
      </c>
      <c r="U1022" s="2" t="s">
        <v>47</v>
      </c>
      <c r="V1022" s="2" t="s">
        <v>310</v>
      </c>
      <c r="W1022" s="67" t="str">
        <f t="shared" si="79"/>
        <v>-</v>
      </c>
    </row>
    <row r="1023" spans="1:23" x14ac:dyDescent="0.3">
      <c r="A1023" s="6" t="s">
        <v>2711</v>
      </c>
      <c r="B1023" s="6" t="s">
        <v>2614</v>
      </c>
      <c r="C1023" s="6">
        <v>9391395622</v>
      </c>
      <c r="D1023" s="6" t="s">
        <v>59</v>
      </c>
      <c r="E1023" s="6" t="s">
        <v>1632</v>
      </c>
      <c r="F1023" s="6" t="s">
        <v>1659</v>
      </c>
      <c r="G1023" s="6" t="s">
        <v>23</v>
      </c>
      <c r="H1023" s="6" t="s">
        <v>2621</v>
      </c>
      <c r="I1023" s="2" t="str">
        <f t="shared" si="75"/>
        <v>Sep</v>
      </c>
      <c r="J1023" s="2">
        <f t="shared" si="76"/>
        <v>9</v>
      </c>
      <c r="K1023" s="2">
        <f t="shared" si="77"/>
        <v>2024</v>
      </c>
      <c r="L1023" s="2">
        <f t="shared" si="78"/>
        <v>3</v>
      </c>
      <c r="M1023" s="6">
        <v>10</v>
      </c>
      <c r="N1023" s="6" t="s">
        <v>2712</v>
      </c>
      <c r="O1023" s="6" t="s">
        <v>97</v>
      </c>
      <c r="P1023" s="7">
        <v>355525</v>
      </c>
      <c r="Q1023" s="7">
        <v>352332</v>
      </c>
      <c r="R1023" s="6" t="s">
        <v>2713</v>
      </c>
      <c r="S1023" s="6" t="s">
        <v>5573</v>
      </c>
      <c r="T1023" s="6">
        <v>2.6</v>
      </c>
      <c r="U1023" s="6" t="s">
        <v>63</v>
      </c>
      <c r="V1023" s="6"/>
      <c r="W1023" s="67" t="str">
        <f t="shared" si="79"/>
        <v>Customer</v>
      </c>
    </row>
    <row r="1024" spans="1:23" x14ac:dyDescent="0.3">
      <c r="A1024" s="2" t="s">
        <v>2714</v>
      </c>
      <c r="B1024" s="2" t="s">
        <v>2715</v>
      </c>
      <c r="C1024" s="2">
        <v>9688070959</v>
      </c>
      <c r="D1024" s="2" t="s">
        <v>108</v>
      </c>
      <c r="E1024" s="2" t="s">
        <v>648</v>
      </c>
      <c r="F1024" s="2" t="s">
        <v>822</v>
      </c>
      <c r="G1024" s="2" t="s">
        <v>643</v>
      </c>
      <c r="H1024" s="2" t="s">
        <v>2478</v>
      </c>
      <c r="I1024" s="2" t="str">
        <f t="shared" si="75"/>
        <v>Sep</v>
      </c>
      <c r="J1024" s="2">
        <f t="shared" si="76"/>
        <v>9</v>
      </c>
      <c r="K1024" s="2">
        <f t="shared" si="77"/>
        <v>2024</v>
      </c>
      <c r="L1024" s="2">
        <f t="shared" si="78"/>
        <v>3</v>
      </c>
      <c r="M1024" s="2">
        <v>4</v>
      </c>
      <c r="N1024" s="2" t="s">
        <v>2716</v>
      </c>
      <c r="O1024" s="2" t="s">
        <v>55</v>
      </c>
      <c r="P1024" s="3">
        <v>1135119</v>
      </c>
      <c r="Q1024" s="2"/>
      <c r="R1024" s="2"/>
      <c r="S1024" s="2" t="s">
        <v>5573</v>
      </c>
      <c r="T1024" s="2">
        <v>10.8</v>
      </c>
      <c r="U1024" s="2" t="s">
        <v>29</v>
      </c>
      <c r="V1024" s="2" t="s">
        <v>589</v>
      </c>
      <c r="W1024" s="67" t="str">
        <f t="shared" si="79"/>
        <v>-</v>
      </c>
    </row>
    <row r="1025" spans="1:23" x14ac:dyDescent="0.3">
      <c r="A1025" s="4" t="s">
        <v>2717</v>
      </c>
      <c r="B1025" s="4" t="s">
        <v>2718</v>
      </c>
      <c r="C1025" s="4">
        <v>9777155904</v>
      </c>
      <c r="D1025" s="4" t="s">
        <v>108</v>
      </c>
      <c r="E1025" s="4" t="s">
        <v>648</v>
      </c>
      <c r="F1025" s="4" t="s">
        <v>656</v>
      </c>
      <c r="G1025" s="4" t="s">
        <v>23</v>
      </c>
      <c r="H1025" s="4" t="s">
        <v>2657</v>
      </c>
      <c r="I1025" s="2" t="str">
        <f t="shared" si="75"/>
        <v>Sep</v>
      </c>
      <c r="J1025" s="2">
        <f t="shared" si="76"/>
        <v>9</v>
      </c>
      <c r="K1025" s="2">
        <f t="shared" si="77"/>
        <v>2024</v>
      </c>
      <c r="L1025" s="2">
        <f t="shared" si="78"/>
        <v>3</v>
      </c>
      <c r="M1025" s="4">
        <v>5</v>
      </c>
      <c r="N1025" s="4" t="s">
        <v>2704</v>
      </c>
      <c r="O1025" s="4" t="s">
        <v>27</v>
      </c>
      <c r="P1025" s="5">
        <v>324358</v>
      </c>
      <c r="Q1025" s="4"/>
      <c r="R1025" s="4"/>
      <c r="S1025" s="4" t="s">
        <v>5573</v>
      </c>
      <c r="T1025" s="4">
        <v>24.3</v>
      </c>
      <c r="U1025" s="4" t="s">
        <v>47</v>
      </c>
      <c r="V1025" s="4" t="s">
        <v>30</v>
      </c>
      <c r="W1025" s="67" t="str">
        <f t="shared" si="79"/>
        <v>-</v>
      </c>
    </row>
    <row r="1026" spans="1:23" x14ac:dyDescent="0.3">
      <c r="A1026" s="2" t="s">
        <v>2719</v>
      </c>
      <c r="B1026" s="2" t="s">
        <v>2720</v>
      </c>
      <c r="C1026" s="2">
        <v>9222859966</v>
      </c>
      <c r="D1026" s="2" t="s">
        <v>121</v>
      </c>
      <c r="E1026" s="2" t="s">
        <v>1632</v>
      </c>
      <c r="F1026" s="2" t="s">
        <v>1717</v>
      </c>
      <c r="G1026" s="2" t="s">
        <v>69</v>
      </c>
      <c r="H1026" s="2" t="s">
        <v>2657</v>
      </c>
      <c r="I1026" s="2" t="str">
        <f t="shared" ref="I1026:I1089" si="80">TEXT(H1026,"mmm")</f>
        <v>Sep</v>
      </c>
      <c r="J1026" s="2">
        <f t="shared" ref="J1026:J1089" si="81">MONTH(H1026)</f>
        <v>9</v>
      </c>
      <c r="K1026" s="2">
        <f t="shared" ref="K1026:K1089" si="82">YEAR(H1026)</f>
        <v>2024</v>
      </c>
      <c r="L1026" s="2">
        <f t="shared" ref="L1026:L1089" si="83">ROUNDUP(MONTH(H1026)/3,0)</f>
        <v>3</v>
      </c>
      <c r="M1026" s="2">
        <v>9</v>
      </c>
      <c r="N1026" s="2" t="s">
        <v>2681</v>
      </c>
      <c r="O1026" s="2" t="s">
        <v>27</v>
      </c>
      <c r="P1026" s="3">
        <v>188972</v>
      </c>
      <c r="Q1026" s="2"/>
      <c r="R1026" s="2"/>
      <c r="S1026" s="2" t="s">
        <v>5573</v>
      </c>
      <c r="T1026" s="2">
        <v>46.8</v>
      </c>
      <c r="U1026" s="2" t="s">
        <v>29</v>
      </c>
      <c r="V1026" s="2" t="s">
        <v>153</v>
      </c>
      <c r="W1026" s="67" t="str">
        <f t="shared" ref="W1026:W1089" si="84">IF($O1026&lt;&gt;"Converted","-",IF(ISNUMBER(SEARCH("Architect",$F1026)),"Architect","Customer"))</f>
        <v>-</v>
      </c>
    </row>
    <row r="1027" spans="1:23" x14ac:dyDescent="0.3">
      <c r="A1027" s="6" t="s">
        <v>2721</v>
      </c>
      <c r="B1027" s="6" t="s">
        <v>1778</v>
      </c>
      <c r="C1027" s="6">
        <v>9771636160</v>
      </c>
      <c r="D1027" s="6" t="s">
        <v>59</v>
      </c>
      <c r="E1027" s="6" t="s">
        <v>41</v>
      </c>
      <c r="F1027" s="6" t="s">
        <v>92</v>
      </c>
      <c r="G1027" s="6" t="s">
        <v>1677</v>
      </c>
      <c r="H1027" s="6" t="s">
        <v>2581</v>
      </c>
      <c r="I1027" s="2" t="str">
        <f t="shared" si="80"/>
        <v>Sep</v>
      </c>
      <c r="J1027" s="2">
        <f t="shared" si="81"/>
        <v>9</v>
      </c>
      <c r="K1027" s="2">
        <f t="shared" si="82"/>
        <v>2024</v>
      </c>
      <c r="L1027" s="2">
        <f t="shared" si="83"/>
        <v>3</v>
      </c>
      <c r="M1027" s="6">
        <v>2</v>
      </c>
      <c r="N1027" s="6" t="s">
        <v>2681</v>
      </c>
      <c r="O1027" s="6" t="s">
        <v>97</v>
      </c>
      <c r="P1027" s="7">
        <v>1329145</v>
      </c>
      <c r="Q1027" s="7">
        <v>1257867</v>
      </c>
      <c r="R1027" s="6" t="s">
        <v>2682</v>
      </c>
      <c r="S1027" s="6" t="s">
        <v>5573</v>
      </c>
      <c r="T1027" s="6">
        <v>22</v>
      </c>
      <c r="U1027" s="6" t="s">
        <v>63</v>
      </c>
      <c r="V1027" s="6" t="s">
        <v>113</v>
      </c>
      <c r="W1027" s="67" t="str">
        <f t="shared" si="84"/>
        <v>Customer</v>
      </c>
    </row>
    <row r="1028" spans="1:23" x14ac:dyDescent="0.3">
      <c r="A1028" s="2" t="s">
        <v>2722</v>
      </c>
      <c r="B1028" s="2" t="s">
        <v>391</v>
      </c>
      <c r="C1028" s="2">
        <v>9285900374</v>
      </c>
      <c r="D1028" s="2" t="s">
        <v>20</v>
      </c>
      <c r="E1028" s="2" t="s">
        <v>41</v>
      </c>
      <c r="F1028" s="2" t="s">
        <v>92</v>
      </c>
      <c r="G1028" s="2" t="s">
        <v>60</v>
      </c>
      <c r="H1028" s="2" t="s">
        <v>2581</v>
      </c>
      <c r="I1028" s="2" t="str">
        <f t="shared" si="80"/>
        <v>Sep</v>
      </c>
      <c r="J1028" s="2">
        <f t="shared" si="81"/>
        <v>9</v>
      </c>
      <c r="K1028" s="2">
        <f t="shared" si="82"/>
        <v>2024</v>
      </c>
      <c r="L1028" s="2">
        <f t="shared" si="83"/>
        <v>3</v>
      </c>
      <c r="M1028" s="2">
        <v>10</v>
      </c>
      <c r="N1028" s="2" t="s">
        <v>2723</v>
      </c>
      <c r="O1028" s="2" t="s">
        <v>27</v>
      </c>
      <c r="P1028" s="3">
        <v>114844</v>
      </c>
      <c r="Q1028" s="2"/>
      <c r="R1028" s="2"/>
      <c r="S1028" s="2" t="s">
        <v>5573</v>
      </c>
      <c r="T1028" s="2">
        <v>13.2</v>
      </c>
      <c r="U1028" s="2" t="s">
        <v>29</v>
      </c>
      <c r="V1028" s="2" t="s">
        <v>118</v>
      </c>
      <c r="W1028" s="67" t="str">
        <f t="shared" si="84"/>
        <v>-</v>
      </c>
    </row>
    <row r="1029" spans="1:23" x14ac:dyDescent="0.3">
      <c r="A1029" s="4" t="s">
        <v>2724</v>
      </c>
      <c r="B1029" s="4" t="s">
        <v>2725</v>
      </c>
      <c r="C1029" s="4">
        <v>9397477863</v>
      </c>
      <c r="D1029" s="4" t="s">
        <v>59</v>
      </c>
      <c r="E1029" s="4" t="s">
        <v>109</v>
      </c>
      <c r="F1029" s="4" t="s">
        <v>217</v>
      </c>
      <c r="G1029" s="4" t="s">
        <v>52</v>
      </c>
      <c r="H1029" s="4" t="s">
        <v>2581</v>
      </c>
      <c r="I1029" s="2" t="str">
        <f t="shared" si="80"/>
        <v>Sep</v>
      </c>
      <c r="J1029" s="2">
        <f t="shared" si="81"/>
        <v>9</v>
      </c>
      <c r="K1029" s="2">
        <f t="shared" si="82"/>
        <v>2024</v>
      </c>
      <c r="L1029" s="2">
        <f t="shared" si="83"/>
        <v>3</v>
      </c>
      <c r="M1029" s="4">
        <v>4</v>
      </c>
      <c r="N1029" s="4" t="s">
        <v>2695</v>
      </c>
      <c r="O1029" s="4" t="s">
        <v>27</v>
      </c>
      <c r="P1029" s="5">
        <v>336745</v>
      </c>
      <c r="Q1029" s="4"/>
      <c r="R1029" s="4"/>
      <c r="S1029" s="4" t="s">
        <v>5573</v>
      </c>
      <c r="T1029" s="4">
        <v>23.7</v>
      </c>
      <c r="U1029" s="4" t="s">
        <v>47</v>
      </c>
      <c r="V1029" s="4" t="s">
        <v>123</v>
      </c>
      <c r="W1029" s="67" t="str">
        <f t="shared" si="84"/>
        <v>-</v>
      </c>
    </row>
    <row r="1030" spans="1:23" x14ac:dyDescent="0.3">
      <c r="A1030" s="6" t="s">
        <v>2726</v>
      </c>
      <c r="B1030" s="6" t="s">
        <v>32</v>
      </c>
      <c r="C1030" s="6">
        <v>9757622966</v>
      </c>
      <c r="D1030" s="6" t="s">
        <v>20</v>
      </c>
      <c r="E1030" s="6" t="s">
        <v>1632</v>
      </c>
      <c r="F1030" s="6" t="s">
        <v>1849</v>
      </c>
      <c r="G1030" s="6" t="s">
        <v>1677</v>
      </c>
      <c r="H1030" s="6" t="s">
        <v>2623</v>
      </c>
      <c r="I1030" s="2" t="str">
        <f t="shared" si="80"/>
        <v>Sep</v>
      </c>
      <c r="J1030" s="2">
        <f t="shared" si="81"/>
        <v>9</v>
      </c>
      <c r="K1030" s="2">
        <f t="shared" si="82"/>
        <v>2024</v>
      </c>
      <c r="L1030" s="2">
        <f t="shared" si="83"/>
        <v>3</v>
      </c>
      <c r="M1030" s="6">
        <v>12</v>
      </c>
      <c r="N1030" s="6" t="s">
        <v>2727</v>
      </c>
      <c r="O1030" s="6" t="s">
        <v>97</v>
      </c>
      <c r="P1030" s="7">
        <v>1052835</v>
      </c>
      <c r="Q1030" s="7">
        <v>982750</v>
      </c>
      <c r="R1030" s="6" t="s">
        <v>2728</v>
      </c>
      <c r="S1030" s="6" t="s">
        <v>5573</v>
      </c>
      <c r="T1030" s="6">
        <v>19.8</v>
      </c>
      <c r="U1030" s="6" t="s">
        <v>63</v>
      </c>
      <c r="V1030" s="6" t="s">
        <v>341</v>
      </c>
      <c r="W1030" s="67" t="str">
        <f t="shared" si="84"/>
        <v>Customer</v>
      </c>
    </row>
    <row r="1031" spans="1:23" x14ac:dyDescent="0.3">
      <c r="A1031" s="4" t="s">
        <v>2729</v>
      </c>
      <c r="B1031" s="4" t="s">
        <v>2730</v>
      </c>
      <c r="C1031" s="4">
        <v>9540083002</v>
      </c>
      <c r="D1031" s="4" t="s">
        <v>121</v>
      </c>
      <c r="E1031" s="4" t="s">
        <v>33</v>
      </c>
      <c r="F1031" s="4" t="s">
        <v>201</v>
      </c>
      <c r="G1031" s="4" t="s">
        <v>1609</v>
      </c>
      <c r="H1031" s="4" t="s">
        <v>2623</v>
      </c>
      <c r="I1031" s="2" t="str">
        <f t="shared" si="80"/>
        <v>Sep</v>
      </c>
      <c r="J1031" s="2">
        <f t="shared" si="81"/>
        <v>9</v>
      </c>
      <c r="K1031" s="2">
        <f t="shared" si="82"/>
        <v>2024</v>
      </c>
      <c r="L1031" s="2">
        <f t="shared" si="83"/>
        <v>3</v>
      </c>
      <c r="M1031" s="4">
        <v>9</v>
      </c>
      <c r="N1031" s="4" t="s">
        <v>2731</v>
      </c>
      <c r="O1031" s="4" t="s">
        <v>62</v>
      </c>
      <c r="P1031" s="5">
        <v>504073</v>
      </c>
      <c r="Q1031" s="4"/>
      <c r="R1031" s="4"/>
      <c r="S1031" s="4" t="s">
        <v>5573</v>
      </c>
      <c r="T1031" s="4">
        <v>41.2</v>
      </c>
      <c r="U1031" s="4" t="s">
        <v>47</v>
      </c>
      <c r="V1031" s="4" t="s">
        <v>77</v>
      </c>
      <c r="W1031" s="67" t="str">
        <f t="shared" si="84"/>
        <v>-</v>
      </c>
    </row>
    <row r="1032" spans="1:23" x14ac:dyDescent="0.3">
      <c r="A1032" s="2" t="s">
        <v>2732</v>
      </c>
      <c r="B1032" s="2" t="s">
        <v>2733</v>
      </c>
      <c r="C1032" s="2">
        <v>9337308920</v>
      </c>
      <c r="D1032" s="2" t="s">
        <v>59</v>
      </c>
      <c r="E1032" s="2" t="s">
        <v>1632</v>
      </c>
      <c r="F1032" s="2" t="s">
        <v>1682</v>
      </c>
      <c r="G1032" s="2" t="s">
        <v>1623</v>
      </c>
      <c r="H1032" s="2" t="s">
        <v>2623</v>
      </c>
      <c r="I1032" s="2" t="str">
        <f t="shared" si="80"/>
        <v>Sep</v>
      </c>
      <c r="J1032" s="2">
        <f t="shared" si="81"/>
        <v>9</v>
      </c>
      <c r="K1032" s="2">
        <f t="shared" si="82"/>
        <v>2024</v>
      </c>
      <c r="L1032" s="2">
        <f t="shared" si="83"/>
        <v>3</v>
      </c>
      <c r="M1032" s="2">
        <v>8</v>
      </c>
      <c r="N1032" s="2" t="s">
        <v>2727</v>
      </c>
      <c r="O1032" s="2" t="s">
        <v>45</v>
      </c>
      <c r="P1032" s="3">
        <v>207671</v>
      </c>
      <c r="Q1032" s="2"/>
      <c r="R1032" s="2"/>
      <c r="S1032" s="2" t="s">
        <v>5573</v>
      </c>
      <c r="T1032" s="2">
        <v>18.399999999999999</v>
      </c>
      <c r="U1032" s="2" t="s">
        <v>47</v>
      </c>
      <c r="V1032" s="2" t="s">
        <v>276</v>
      </c>
      <c r="W1032" s="67" t="str">
        <f t="shared" si="84"/>
        <v>-</v>
      </c>
    </row>
    <row r="1033" spans="1:23" x14ac:dyDescent="0.3">
      <c r="A1033" s="6" t="s">
        <v>2734</v>
      </c>
      <c r="B1033" s="6" t="s">
        <v>2735</v>
      </c>
      <c r="C1033" s="6">
        <v>9963572942</v>
      </c>
      <c r="D1033" s="6" t="s">
        <v>121</v>
      </c>
      <c r="E1033" s="6" t="s">
        <v>21</v>
      </c>
      <c r="F1033" s="6" t="s">
        <v>230</v>
      </c>
      <c r="G1033" s="6" t="s">
        <v>52</v>
      </c>
      <c r="H1033" s="6" t="s">
        <v>2479</v>
      </c>
      <c r="I1033" s="2" t="str">
        <f t="shared" si="80"/>
        <v>Sep</v>
      </c>
      <c r="J1033" s="2">
        <f t="shared" si="81"/>
        <v>9</v>
      </c>
      <c r="K1033" s="2">
        <f t="shared" si="82"/>
        <v>2024</v>
      </c>
      <c r="L1033" s="2">
        <f t="shared" si="83"/>
        <v>3</v>
      </c>
      <c r="M1033" s="6">
        <v>1</v>
      </c>
      <c r="N1033" s="6" t="s">
        <v>2685</v>
      </c>
      <c r="O1033" s="6" t="s">
        <v>97</v>
      </c>
      <c r="P1033" s="7">
        <v>363503</v>
      </c>
      <c r="Q1033" s="7">
        <v>320893</v>
      </c>
      <c r="R1033" s="6" t="s">
        <v>2736</v>
      </c>
      <c r="S1033" s="6" t="s">
        <v>5573</v>
      </c>
      <c r="T1033" s="6">
        <v>35.9</v>
      </c>
      <c r="U1033" s="6" t="s">
        <v>63</v>
      </c>
      <c r="V1033" s="6" t="s">
        <v>113</v>
      </c>
      <c r="W1033" s="67" t="str">
        <f t="shared" si="84"/>
        <v>Customer</v>
      </c>
    </row>
    <row r="1034" spans="1:23" x14ac:dyDescent="0.3">
      <c r="A1034" s="6" t="s">
        <v>2737</v>
      </c>
      <c r="B1034" s="6" t="s">
        <v>2738</v>
      </c>
      <c r="C1034" s="6">
        <v>9699506853</v>
      </c>
      <c r="D1034" s="6" t="s">
        <v>20</v>
      </c>
      <c r="E1034" s="6" t="s">
        <v>41</v>
      </c>
      <c r="F1034" s="6" t="s">
        <v>92</v>
      </c>
      <c r="G1034" s="6" t="s">
        <v>35</v>
      </c>
      <c r="H1034" s="6" t="s">
        <v>2479</v>
      </c>
      <c r="I1034" s="2" t="str">
        <f t="shared" si="80"/>
        <v>Sep</v>
      </c>
      <c r="J1034" s="2">
        <f t="shared" si="81"/>
        <v>9</v>
      </c>
      <c r="K1034" s="2">
        <f t="shared" si="82"/>
        <v>2024</v>
      </c>
      <c r="L1034" s="2">
        <f t="shared" si="83"/>
        <v>3</v>
      </c>
      <c r="M1034" s="6">
        <v>11</v>
      </c>
      <c r="N1034" s="6" t="s">
        <v>2727</v>
      </c>
      <c r="O1034" s="6" t="s">
        <v>97</v>
      </c>
      <c r="P1034" s="7">
        <v>197800</v>
      </c>
      <c r="Q1034" s="7">
        <v>197440</v>
      </c>
      <c r="R1034" s="6" t="s">
        <v>2739</v>
      </c>
      <c r="S1034" s="6" t="s">
        <v>5573</v>
      </c>
      <c r="T1034" s="6">
        <v>34.799999999999997</v>
      </c>
      <c r="U1034" s="6" t="s">
        <v>63</v>
      </c>
      <c r="V1034" s="6" t="s">
        <v>483</v>
      </c>
      <c r="W1034" s="67" t="str">
        <f t="shared" si="84"/>
        <v>Customer</v>
      </c>
    </row>
    <row r="1035" spans="1:23" x14ac:dyDescent="0.3">
      <c r="A1035" s="4" t="s">
        <v>2740</v>
      </c>
      <c r="B1035" s="4" t="s">
        <v>2741</v>
      </c>
      <c r="C1035" s="4">
        <v>9632940741</v>
      </c>
      <c r="D1035" s="4" t="s">
        <v>59</v>
      </c>
      <c r="E1035" s="4" t="s">
        <v>648</v>
      </c>
      <c r="F1035" s="4" t="s">
        <v>656</v>
      </c>
      <c r="G1035" s="4" t="s">
        <v>643</v>
      </c>
      <c r="H1035" s="4" t="s">
        <v>2479</v>
      </c>
      <c r="I1035" s="2" t="str">
        <f t="shared" si="80"/>
        <v>Sep</v>
      </c>
      <c r="J1035" s="2">
        <f t="shared" si="81"/>
        <v>9</v>
      </c>
      <c r="K1035" s="2">
        <f t="shared" si="82"/>
        <v>2024</v>
      </c>
      <c r="L1035" s="2">
        <f t="shared" si="83"/>
        <v>3</v>
      </c>
      <c r="M1035" s="4">
        <v>12</v>
      </c>
      <c r="N1035" s="4" t="s">
        <v>2700</v>
      </c>
      <c r="O1035" s="4" t="s">
        <v>27</v>
      </c>
      <c r="P1035" s="5">
        <v>972150</v>
      </c>
      <c r="Q1035" s="4"/>
      <c r="R1035" s="4"/>
      <c r="S1035" s="4" t="s">
        <v>5573</v>
      </c>
      <c r="T1035" s="4">
        <v>46.4</v>
      </c>
      <c r="U1035" s="4" t="s">
        <v>29</v>
      </c>
      <c r="V1035" s="4" t="s">
        <v>153</v>
      </c>
      <c r="W1035" s="67" t="str">
        <f t="shared" si="84"/>
        <v>-</v>
      </c>
    </row>
    <row r="1036" spans="1:23" x14ac:dyDescent="0.3">
      <c r="A1036" s="6" t="s">
        <v>2742</v>
      </c>
      <c r="B1036" s="6" t="s">
        <v>2743</v>
      </c>
      <c r="C1036" s="6">
        <v>9165494534</v>
      </c>
      <c r="D1036" s="6" t="s">
        <v>59</v>
      </c>
      <c r="E1036" s="6" t="s">
        <v>41</v>
      </c>
      <c r="F1036" s="6" t="s">
        <v>92</v>
      </c>
      <c r="G1036" s="6" t="s">
        <v>69</v>
      </c>
      <c r="H1036" s="6" t="s">
        <v>2479</v>
      </c>
      <c r="I1036" s="2" t="str">
        <f t="shared" si="80"/>
        <v>Sep</v>
      </c>
      <c r="J1036" s="2">
        <f t="shared" si="81"/>
        <v>9</v>
      </c>
      <c r="K1036" s="2">
        <f t="shared" si="82"/>
        <v>2024</v>
      </c>
      <c r="L1036" s="2">
        <f t="shared" si="83"/>
        <v>3</v>
      </c>
      <c r="M1036" s="6">
        <v>12</v>
      </c>
      <c r="N1036" s="6" t="s">
        <v>2744</v>
      </c>
      <c r="O1036" s="6" t="s">
        <v>97</v>
      </c>
      <c r="P1036" s="7">
        <v>134378</v>
      </c>
      <c r="Q1036" s="7">
        <v>120196</v>
      </c>
      <c r="R1036" s="6" t="s">
        <v>2745</v>
      </c>
      <c r="S1036" s="6" t="s">
        <v>5573</v>
      </c>
      <c r="T1036" s="6">
        <v>16.399999999999999</v>
      </c>
      <c r="U1036" s="6" t="s">
        <v>63</v>
      </c>
      <c r="V1036" s="6" t="s">
        <v>465</v>
      </c>
      <c r="W1036" s="67" t="str">
        <f t="shared" si="84"/>
        <v>Customer</v>
      </c>
    </row>
    <row r="1037" spans="1:23" x14ac:dyDescent="0.3">
      <c r="A1037" s="6" t="s">
        <v>2746</v>
      </c>
      <c r="B1037" s="6" t="s">
        <v>2747</v>
      </c>
      <c r="C1037" s="6">
        <v>9154398124</v>
      </c>
      <c r="D1037" s="6" t="s">
        <v>20</v>
      </c>
      <c r="E1037" s="6" t="s">
        <v>648</v>
      </c>
      <c r="F1037" s="6" t="s">
        <v>899</v>
      </c>
      <c r="G1037" s="6" t="s">
        <v>23</v>
      </c>
      <c r="H1037" s="6" t="s">
        <v>2693</v>
      </c>
      <c r="I1037" s="2" t="str">
        <f t="shared" si="80"/>
        <v>Sep</v>
      </c>
      <c r="J1037" s="2">
        <f t="shared" si="81"/>
        <v>9</v>
      </c>
      <c r="K1037" s="2">
        <f t="shared" si="82"/>
        <v>2024</v>
      </c>
      <c r="L1037" s="2">
        <f t="shared" si="83"/>
        <v>3</v>
      </c>
      <c r="M1037" s="6">
        <v>8</v>
      </c>
      <c r="N1037" s="6" t="s">
        <v>2592</v>
      </c>
      <c r="O1037" s="6" t="s">
        <v>97</v>
      </c>
      <c r="P1037" s="7">
        <v>319199</v>
      </c>
      <c r="Q1037" s="7">
        <v>315813</v>
      </c>
      <c r="R1037" s="6" t="s">
        <v>2709</v>
      </c>
      <c r="S1037" s="6" t="s">
        <v>5573</v>
      </c>
      <c r="T1037" s="6">
        <v>40.6</v>
      </c>
      <c r="U1037" s="6" t="s">
        <v>63</v>
      </c>
      <c r="V1037" s="6" t="s">
        <v>243</v>
      </c>
      <c r="W1037" s="67" t="str">
        <f t="shared" si="84"/>
        <v>Customer</v>
      </c>
    </row>
    <row r="1038" spans="1:23" x14ac:dyDescent="0.3">
      <c r="A1038" s="8" t="s">
        <v>2748</v>
      </c>
      <c r="B1038" s="8" t="s">
        <v>1985</v>
      </c>
      <c r="C1038" s="8">
        <v>9359839605</v>
      </c>
      <c r="D1038" s="8" t="s">
        <v>20</v>
      </c>
      <c r="E1038" s="8" t="s">
        <v>641</v>
      </c>
      <c r="F1038" s="8" t="s">
        <v>681</v>
      </c>
      <c r="G1038" s="8" t="s">
        <v>643</v>
      </c>
      <c r="H1038" s="8" t="s">
        <v>2693</v>
      </c>
      <c r="I1038" s="2" t="str">
        <f t="shared" si="80"/>
        <v>Sep</v>
      </c>
      <c r="J1038" s="2">
        <f t="shared" si="81"/>
        <v>9</v>
      </c>
      <c r="K1038" s="2">
        <f t="shared" si="82"/>
        <v>2024</v>
      </c>
      <c r="L1038" s="2">
        <f t="shared" si="83"/>
        <v>3</v>
      </c>
      <c r="M1038" s="8">
        <v>11</v>
      </c>
      <c r="N1038" s="8" t="s">
        <v>2723</v>
      </c>
      <c r="O1038" s="8" t="s">
        <v>27</v>
      </c>
      <c r="P1038" s="9">
        <v>959989</v>
      </c>
      <c r="Q1038" s="8"/>
      <c r="R1038" s="8"/>
      <c r="S1038" s="8" t="s">
        <v>5573</v>
      </c>
      <c r="T1038" s="8">
        <v>33.4</v>
      </c>
      <c r="U1038" s="8" t="s">
        <v>47</v>
      </c>
      <c r="V1038" s="8" t="s">
        <v>202</v>
      </c>
      <c r="W1038" s="67" t="str">
        <f t="shared" si="84"/>
        <v>-</v>
      </c>
    </row>
    <row r="1039" spans="1:23" x14ac:dyDescent="0.3">
      <c r="A1039" s="4" t="s">
        <v>2749</v>
      </c>
      <c r="B1039" s="4" t="s">
        <v>2750</v>
      </c>
      <c r="C1039" s="4">
        <v>9388853213</v>
      </c>
      <c r="D1039" s="4" t="s">
        <v>59</v>
      </c>
      <c r="E1039" s="4" t="s">
        <v>1632</v>
      </c>
      <c r="F1039" s="4" t="s">
        <v>1682</v>
      </c>
      <c r="G1039" s="4" t="s">
        <v>1677</v>
      </c>
      <c r="H1039" s="4" t="s">
        <v>2539</v>
      </c>
      <c r="I1039" s="2" t="str">
        <f t="shared" si="80"/>
        <v>Sep</v>
      </c>
      <c r="J1039" s="2">
        <f t="shared" si="81"/>
        <v>9</v>
      </c>
      <c r="K1039" s="2">
        <f t="shared" si="82"/>
        <v>2024</v>
      </c>
      <c r="L1039" s="2">
        <f t="shared" si="83"/>
        <v>3</v>
      </c>
      <c r="M1039" s="4">
        <v>12</v>
      </c>
      <c r="N1039" s="4" t="s">
        <v>2728</v>
      </c>
      <c r="O1039" s="4" t="s">
        <v>62</v>
      </c>
      <c r="P1039" s="5">
        <v>1194823</v>
      </c>
      <c r="Q1039" s="4"/>
      <c r="R1039" s="4"/>
      <c r="S1039" s="4" t="s">
        <v>5573</v>
      </c>
      <c r="T1039" s="4">
        <v>7</v>
      </c>
      <c r="U1039" s="4" t="s">
        <v>47</v>
      </c>
      <c r="V1039" s="4" t="s">
        <v>310</v>
      </c>
      <c r="W1039" s="67" t="str">
        <f t="shared" si="84"/>
        <v>-</v>
      </c>
    </row>
    <row r="1040" spans="1:23" x14ac:dyDescent="0.3">
      <c r="A1040" s="6" t="s">
        <v>2751</v>
      </c>
      <c r="B1040" s="6" t="s">
        <v>2752</v>
      </c>
      <c r="C1040" s="6">
        <v>9207029277</v>
      </c>
      <c r="D1040" s="6" t="s">
        <v>51</v>
      </c>
      <c r="E1040" s="6" t="s">
        <v>41</v>
      </c>
      <c r="F1040" s="6" t="s">
        <v>42</v>
      </c>
      <c r="G1040" s="6" t="s">
        <v>87</v>
      </c>
      <c r="H1040" s="6" t="s">
        <v>2539</v>
      </c>
      <c r="I1040" s="2" t="str">
        <f t="shared" si="80"/>
        <v>Sep</v>
      </c>
      <c r="J1040" s="2">
        <f t="shared" si="81"/>
        <v>9</v>
      </c>
      <c r="K1040" s="2">
        <f t="shared" si="82"/>
        <v>2024</v>
      </c>
      <c r="L1040" s="2">
        <f t="shared" si="83"/>
        <v>3</v>
      </c>
      <c r="M1040" s="6">
        <v>2</v>
      </c>
      <c r="N1040" s="6" t="s">
        <v>2753</v>
      </c>
      <c r="O1040" s="6" t="s">
        <v>97</v>
      </c>
      <c r="P1040" s="7">
        <v>220992</v>
      </c>
      <c r="Q1040" s="7">
        <v>194887</v>
      </c>
      <c r="R1040" s="6" t="s">
        <v>2607</v>
      </c>
      <c r="S1040" s="6" t="s">
        <v>5573</v>
      </c>
      <c r="T1040" s="6">
        <v>15</v>
      </c>
      <c r="U1040" s="6" t="s">
        <v>63</v>
      </c>
      <c r="V1040" s="6" t="s">
        <v>99</v>
      </c>
      <c r="W1040" s="67" t="str">
        <f t="shared" si="84"/>
        <v>Customer</v>
      </c>
    </row>
    <row r="1041" spans="1:23" x14ac:dyDescent="0.3">
      <c r="A1041" s="4" t="s">
        <v>2754</v>
      </c>
      <c r="B1041" s="4" t="s">
        <v>1107</v>
      </c>
      <c r="C1041" s="4">
        <v>9185706314</v>
      </c>
      <c r="D1041" s="4" t="s">
        <v>121</v>
      </c>
      <c r="E1041" s="4" t="s">
        <v>641</v>
      </c>
      <c r="F1041" s="4" t="s">
        <v>717</v>
      </c>
      <c r="G1041" s="4" t="s">
        <v>1677</v>
      </c>
      <c r="H1041" s="4" t="s">
        <v>2539</v>
      </c>
      <c r="I1041" s="2" t="str">
        <f t="shared" si="80"/>
        <v>Sep</v>
      </c>
      <c r="J1041" s="2">
        <f t="shared" si="81"/>
        <v>9</v>
      </c>
      <c r="K1041" s="2">
        <f t="shared" si="82"/>
        <v>2024</v>
      </c>
      <c r="L1041" s="2">
        <f t="shared" si="83"/>
        <v>3</v>
      </c>
      <c r="M1041" s="4">
        <v>1</v>
      </c>
      <c r="N1041" s="4" t="s">
        <v>2653</v>
      </c>
      <c r="O1041" s="4" t="s">
        <v>45</v>
      </c>
      <c r="P1041" s="5">
        <v>929143</v>
      </c>
      <c r="Q1041" s="4"/>
      <c r="R1041" s="4"/>
      <c r="S1041" s="4" t="s">
        <v>5573</v>
      </c>
      <c r="T1041" s="4">
        <v>36.1</v>
      </c>
      <c r="U1041" s="4" t="s">
        <v>47</v>
      </c>
      <c r="V1041" s="4" t="s">
        <v>310</v>
      </c>
      <c r="W1041" s="67" t="str">
        <f t="shared" si="84"/>
        <v>-</v>
      </c>
    </row>
    <row r="1042" spans="1:23" x14ac:dyDescent="0.3">
      <c r="A1042" s="2" t="s">
        <v>2755</v>
      </c>
      <c r="B1042" s="2" t="s">
        <v>1699</v>
      </c>
      <c r="C1042" s="2">
        <v>9299648752</v>
      </c>
      <c r="D1042" s="2" t="s">
        <v>20</v>
      </c>
      <c r="E1042" s="2" t="s">
        <v>21</v>
      </c>
      <c r="F1042" s="2" t="s">
        <v>160</v>
      </c>
      <c r="G1042" s="2" t="s">
        <v>23</v>
      </c>
      <c r="H1042" s="2" t="s">
        <v>2529</v>
      </c>
      <c r="I1042" s="2" t="str">
        <f t="shared" si="80"/>
        <v>Sep</v>
      </c>
      <c r="J1042" s="2">
        <f t="shared" si="81"/>
        <v>9</v>
      </c>
      <c r="K1042" s="2">
        <f t="shared" si="82"/>
        <v>2024</v>
      </c>
      <c r="L1042" s="2">
        <f t="shared" si="83"/>
        <v>3</v>
      </c>
      <c r="M1042" s="2">
        <v>6</v>
      </c>
      <c r="N1042" s="2" t="s">
        <v>2744</v>
      </c>
      <c r="O1042" s="2" t="s">
        <v>45</v>
      </c>
      <c r="P1042" s="3">
        <v>775352</v>
      </c>
      <c r="Q1042" s="2"/>
      <c r="R1042" s="2"/>
      <c r="S1042" s="2" t="s">
        <v>5573</v>
      </c>
      <c r="T1042" s="2">
        <v>16.7</v>
      </c>
      <c r="U1042" s="2" t="s">
        <v>63</v>
      </c>
      <c r="V1042" s="2" t="s">
        <v>260</v>
      </c>
      <c r="W1042" s="67" t="str">
        <f t="shared" si="84"/>
        <v>-</v>
      </c>
    </row>
    <row r="1043" spans="1:23" x14ac:dyDescent="0.3">
      <c r="A1043" s="4" t="s">
        <v>2756</v>
      </c>
      <c r="B1043" s="4" t="s">
        <v>2757</v>
      </c>
      <c r="C1043" s="4">
        <v>9534244788</v>
      </c>
      <c r="D1043" s="4" t="s">
        <v>20</v>
      </c>
      <c r="E1043" s="4" t="s">
        <v>1632</v>
      </c>
      <c r="F1043" s="4" t="s">
        <v>1717</v>
      </c>
      <c r="G1043" s="4" t="s">
        <v>23</v>
      </c>
      <c r="H1043" s="4" t="s">
        <v>2634</v>
      </c>
      <c r="I1043" s="2" t="str">
        <f t="shared" si="80"/>
        <v>Sep</v>
      </c>
      <c r="J1043" s="2">
        <f t="shared" si="81"/>
        <v>9</v>
      </c>
      <c r="K1043" s="2">
        <f t="shared" si="82"/>
        <v>2024</v>
      </c>
      <c r="L1043" s="2">
        <f t="shared" si="83"/>
        <v>3</v>
      </c>
      <c r="M1043" s="4">
        <v>6</v>
      </c>
      <c r="N1043" s="4" t="s">
        <v>2758</v>
      </c>
      <c r="O1043" s="4" t="s">
        <v>27</v>
      </c>
      <c r="P1043" s="5">
        <v>709093</v>
      </c>
      <c r="Q1043" s="4"/>
      <c r="R1043" s="4"/>
      <c r="S1043" s="4" t="s">
        <v>5573</v>
      </c>
      <c r="T1043" s="4">
        <v>2.4</v>
      </c>
      <c r="U1043" s="4" t="s">
        <v>29</v>
      </c>
      <c r="V1043" s="4" t="s">
        <v>153</v>
      </c>
      <c r="W1043" s="67" t="str">
        <f t="shared" si="84"/>
        <v>-</v>
      </c>
    </row>
    <row r="1044" spans="1:23" x14ac:dyDescent="0.3">
      <c r="A1044" s="2" t="s">
        <v>2759</v>
      </c>
      <c r="B1044" s="2" t="s">
        <v>663</v>
      </c>
      <c r="C1044" s="2">
        <v>9896893126</v>
      </c>
      <c r="D1044" s="2" t="s">
        <v>20</v>
      </c>
      <c r="E1044" s="2" t="s">
        <v>33</v>
      </c>
      <c r="F1044" s="2" t="s">
        <v>102</v>
      </c>
      <c r="G1044" s="2" t="s">
        <v>23</v>
      </c>
      <c r="H1044" s="2" t="s">
        <v>2634</v>
      </c>
      <c r="I1044" s="2" t="str">
        <f t="shared" si="80"/>
        <v>Sep</v>
      </c>
      <c r="J1044" s="2">
        <f t="shared" si="81"/>
        <v>9</v>
      </c>
      <c r="K1044" s="2">
        <f t="shared" si="82"/>
        <v>2024</v>
      </c>
      <c r="L1044" s="2">
        <f t="shared" si="83"/>
        <v>3</v>
      </c>
      <c r="M1044" s="2">
        <v>2</v>
      </c>
      <c r="N1044" s="2" t="s">
        <v>2760</v>
      </c>
      <c r="O1044" s="2" t="s">
        <v>55</v>
      </c>
      <c r="P1044" s="3">
        <v>429325</v>
      </c>
      <c r="Q1044" s="2"/>
      <c r="R1044" s="2"/>
      <c r="S1044" s="2" t="s">
        <v>5573</v>
      </c>
      <c r="T1044" s="2">
        <v>30.5</v>
      </c>
      <c r="U1044" s="2" t="s">
        <v>29</v>
      </c>
      <c r="V1044" s="2" t="s">
        <v>613</v>
      </c>
      <c r="W1044" s="67" t="str">
        <f t="shared" si="84"/>
        <v>-</v>
      </c>
    </row>
    <row r="1045" spans="1:23" x14ac:dyDescent="0.3">
      <c r="A1045" s="6" t="s">
        <v>2761</v>
      </c>
      <c r="B1045" s="6" t="s">
        <v>2762</v>
      </c>
      <c r="C1045" s="6">
        <v>9670470132</v>
      </c>
      <c r="D1045" s="6" t="s">
        <v>121</v>
      </c>
      <c r="E1045" s="6" t="s">
        <v>21</v>
      </c>
      <c r="F1045" s="6" t="s">
        <v>160</v>
      </c>
      <c r="G1045" s="6" t="s">
        <v>87</v>
      </c>
      <c r="H1045" s="6" t="s">
        <v>2634</v>
      </c>
      <c r="I1045" s="2" t="str">
        <f t="shared" si="80"/>
        <v>Sep</v>
      </c>
      <c r="J1045" s="2">
        <f t="shared" si="81"/>
        <v>9</v>
      </c>
      <c r="K1045" s="2">
        <f t="shared" si="82"/>
        <v>2024</v>
      </c>
      <c r="L1045" s="2">
        <f t="shared" si="83"/>
        <v>3</v>
      </c>
      <c r="M1045" s="6">
        <v>8</v>
      </c>
      <c r="N1045" s="6" t="s">
        <v>2637</v>
      </c>
      <c r="O1045" s="6" t="s">
        <v>97</v>
      </c>
      <c r="P1045" s="7">
        <v>126980</v>
      </c>
      <c r="Q1045" s="7">
        <v>113525</v>
      </c>
      <c r="R1045" s="6" t="s">
        <v>2763</v>
      </c>
      <c r="S1045" s="6" t="s">
        <v>5573</v>
      </c>
      <c r="T1045" s="6">
        <v>2.7</v>
      </c>
      <c r="U1045" s="6" t="s">
        <v>63</v>
      </c>
      <c r="V1045" s="6" t="s">
        <v>99</v>
      </c>
      <c r="W1045" s="67" t="str">
        <f t="shared" si="84"/>
        <v>Customer</v>
      </c>
    </row>
    <row r="1046" spans="1:23" x14ac:dyDescent="0.3">
      <c r="A1046" s="2" t="s">
        <v>2764</v>
      </c>
      <c r="B1046" s="2" t="s">
        <v>2594</v>
      </c>
      <c r="C1046" s="2">
        <v>9414778396</v>
      </c>
      <c r="D1046" s="2" t="s">
        <v>20</v>
      </c>
      <c r="E1046" s="2" t="s">
        <v>41</v>
      </c>
      <c r="F1046" s="2" t="s">
        <v>92</v>
      </c>
      <c r="G1046" s="2" t="s">
        <v>616</v>
      </c>
      <c r="H1046" s="2" t="s">
        <v>2634</v>
      </c>
      <c r="I1046" s="2" t="str">
        <f t="shared" si="80"/>
        <v>Sep</v>
      </c>
      <c r="J1046" s="2">
        <f t="shared" si="81"/>
        <v>9</v>
      </c>
      <c r="K1046" s="2">
        <f t="shared" si="82"/>
        <v>2024</v>
      </c>
      <c r="L1046" s="2">
        <f t="shared" si="83"/>
        <v>3</v>
      </c>
      <c r="M1046" s="2">
        <v>0</v>
      </c>
      <c r="N1046" s="2" t="s">
        <v>2550</v>
      </c>
      <c r="O1046" s="2" t="s">
        <v>45</v>
      </c>
      <c r="P1046" s="3">
        <v>196628</v>
      </c>
      <c r="Q1046" s="2"/>
      <c r="R1046" s="2"/>
      <c r="S1046" s="2" t="s">
        <v>5573</v>
      </c>
      <c r="T1046" s="2">
        <v>46.6</v>
      </c>
      <c r="U1046" s="2" t="s">
        <v>47</v>
      </c>
      <c r="V1046" s="2" t="s">
        <v>487</v>
      </c>
      <c r="W1046" s="67" t="str">
        <f t="shared" si="84"/>
        <v>-</v>
      </c>
    </row>
    <row r="1047" spans="1:23" x14ac:dyDescent="0.3">
      <c r="A1047" s="8" t="s">
        <v>2765</v>
      </c>
      <c r="B1047" s="8" t="s">
        <v>2766</v>
      </c>
      <c r="C1047" s="8">
        <v>9213568279</v>
      </c>
      <c r="D1047" s="8" t="s">
        <v>108</v>
      </c>
      <c r="E1047" s="8" t="s">
        <v>41</v>
      </c>
      <c r="F1047" s="8" t="s">
        <v>92</v>
      </c>
      <c r="G1047" s="8" t="s">
        <v>1623</v>
      </c>
      <c r="H1047" s="8" t="s">
        <v>2588</v>
      </c>
      <c r="I1047" s="2" t="str">
        <f t="shared" si="80"/>
        <v>Sep</v>
      </c>
      <c r="J1047" s="2">
        <f t="shared" si="81"/>
        <v>9</v>
      </c>
      <c r="K1047" s="2">
        <f t="shared" si="82"/>
        <v>2024</v>
      </c>
      <c r="L1047" s="2">
        <f t="shared" si="83"/>
        <v>3</v>
      </c>
      <c r="M1047" s="8">
        <v>5</v>
      </c>
      <c r="N1047" s="8" t="s">
        <v>2542</v>
      </c>
      <c r="O1047" s="8" t="s">
        <v>55</v>
      </c>
      <c r="P1047" s="9">
        <v>313317</v>
      </c>
      <c r="Q1047" s="8"/>
      <c r="R1047" s="8"/>
      <c r="S1047" s="8" t="s">
        <v>5573</v>
      </c>
      <c r="T1047" s="8">
        <v>17.899999999999999</v>
      </c>
      <c r="U1047" s="8" t="s">
        <v>29</v>
      </c>
      <c r="V1047" s="8"/>
      <c r="W1047" s="67" t="str">
        <f t="shared" si="84"/>
        <v>-</v>
      </c>
    </row>
    <row r="1048" spans="1:23" x14ac:dyDescent="0.3">
      <c r="A1048" s="8" t="s">
        <v>2768</v>
      </c>
      <c r="B1048" s="8" t="s">
        <v>1504</v>
      </c>
      <c r="C1048" s="8">
        <v>9806964540</v>
      </c>
      <c r="D1048" s="8" t="s">
        <v>59</v>
      </c>
      <c r="E1048" s="8" t="s">
        <v>109</v>
      </c>
      <c r="F1048" s="8" t="s">
        <v>110</v>
      </c>
      <c r="G1048" s="8" t="s">
        <v>616</v>
      </c>
      <c r="H1048" s="8" t="s">
        <v>2588</v>
      </c>
      <c r="I1048" s="2" t="str">
        <f t="shared" si="80"/>
        <v>Sep</v>
      </c>
      <c r="J1048" s="2">
        <f t="shared" si="81"/>
        <v>9</v>
      </c>
      <c r="K1048" s="2">
        <f t="shared" si="82"/>
        <v>2024</v>
      </c>
      <c r="L1048" s="2">
        <f t="shared" si="83"/>
        <v>3</v>
      </c>
      <c r="M1048" s="8">
        <v>1</v>
      </c>
      <c r="N1048" s="8" t="s">
        <v>2533</v>
      </c>
      <c r="O1048" s="8" t="s">
        <v>97</v>
      </c>
      <c r="P1048" s="9">
        <v>274564</v>
      </c>
      <c r="Q1048" s="9">
        <v>262017</v>
      </c>
      <c r="R1048" s="8" t="s">
        <v>2700</v>
      </c>
      <c r="S1048" s="8" t="s">
        <v>5573</v>
      </c>
      <c r="T1048" s="8">
        <v>35.200000000000003</v>
      </c>
      <c r="U1048" s="8" t="s">
        <v>63</v>
      </c>
      <c r="V1048" s="8" t="s">
        <v>99</v>
      </c>
      <c r="W1048" s="67" t="str">
        <f t="shared" si="84"/>
        <v>Customer</v>
      </c>
    </row>
    <row r="1049" spans="1:23" x14ac:dyDescent="0.3">
      <c r="A1049" s="8" t="s">
        <v>2769</v>
      </c>
      <c r="B1049" s="8" t="s">
        <v>304</v>
      </c>
      <c r="C1049" s="8">
        <v>9735898551</v>
      </c>
      <c r="D1049" s="8" t="s">
        <v>121</v>
      </c>
      <c r="E1049" s="8" t="s">
        <v>109</v>
      </c>
      <c r="F1049" s="8" t="s">
        <v>110</v>
      </c>
      <c r="G1049" s="8" t="s">
        <v>643</v>
      </c>
      <c r="H1049" s="8" t="s">
        <v>2588</v>
      </c>
      <c r="I1049" s="2" t="str">
        <f t="shared" si="80"/>
        <v>Sep</v>
      </c>
      <c r="J1049" s="2">
        <f t="shared" si="81"/>
        <v>9</v>
      </c>
      <c r="K1049" s="2">
        <f t="shared" si="82"/>
        <v>2024</v>
      </c>
      <c r="L1049" s="2">
        <f t="shared" si="83"/>
        <v>3</v>
      </c>
      <c r="M1049" s="8">
        <v>2</v>
      </c>
      <c r="N1049" s="8" t="s">
        <v>2576</v>
      </c>
      <c r="O1049" s="8" t="s">
        <v>97</v>
      </c>
      <c r="P1049" s="9">
        <v>882655</v>
      </c>
      <c r="Q1049" s="9">
        <v>828139</v>
      </c>
      <c r="R1049" s="8" t="s">
        <v>2665</v>
      </c>
      <c r="S1049" s="8" t="s">
        <v>5573</v>
      </c>
      <c r="T1049" s="8">
        <v>47.4</v>
      </c>
      <c r="U1049" s="8" t="s">
        <v>63</v>
      </c>
      <c r="V1049" s="8" t="s">
        <v>286</v>
      </c>
      <c r="W1049" s="67" t="str">
        <f t="shared" si="84"/>
        <v>Customer</v>
      </c>
    </row>
    <row r="1050" spans="1:23" x14ac:dyDescent="0.3">
      <c r="A1050" s="6" t="s">
        <v>2770</v>
      </c>
      <c r="B1050" s="6" t="s">
        <v>1479</v>
      </c>
      <c r="C1050" s="6">
        <v>9338848174</v>
      </c>
      <c r="D1050" s="6" t="s">
        <v>20</v>
      </c>
      <c r="E1050" s="6" t="s">
        <v>41</v>
      </c>
      <c r="F1050" s="6" t="s">
        <v>92</v>
      </c>
      <c r="G1050" s="6" t="s">
        <v>1735</v>
      </c>
      <c r="H1050" s="6" t="s">
        <v>2588</v>
      </c>
      <c r="I1050" s="2" t="str">
        <f t="shared" si="80"/>
        <v>Sep</v>
      </c>
      <c r="J1050" s="2">
        <f t="shared" si="81"/>
        <v>9</v>
      </c>
      <c r="K1050" s="2">
        <f t="shared" si="82"/>
        <v>2024</v>
      </c>
      <c r="L1050" s="2">
        <f t="shared" si="83"/>
        <v>3</v>
      </c>
      <c r="M1050" s="6">
        <v>3</v>
      </c>
      <c r="N1050" s="6" t="s">
        <v>2700</v>
      </c>
      <c r="O1050" s="6" t="s">
        <v>97</v>
      </c>
      <c r="P1050" s="7">
        <v>1761857</v>
      </c>
      <c r="Q1050" s="7">
        <v>1798184</v>
      </c>
      <c r="R1050" s="6" t="s">
        <v>2660</v>
      </c>
      <c r="S1050" s="6" t="s">
        <v>5573</v>
      </c>
      <c r="T1050" s="6">
        <v>4.0999999999999996</v>
      </c>
      <c r="U1050" s="6" t="s">
        <v>63</v>
      </c>
      <c r="V1050" s="6" t="s">
        <v>907</v>
      </c>
      <c r="W1050" s="67" t="str">
        <f t="shared" si="84"/>
        <v>Customer</v>
      </c>
    </row>
    <row r="1051" spans="1:23" x14ac:dyDescent="0.3">
      <c r="A1051" s="4" t="s">
        <v>2771</v>
      </c>
      <c r="B1051" s="4" t="s">
        <v>2772</v>
      </c>
      <c r="C1051" s="4">
        <v>9300027050</v>
      </c>
      <c r="D1051" s="4" t="s">
        <v>59</v>
      </c>
      <c r="E1051" s="4" t="s">
        <v>109</v>
      </c>
      <c r="F1051" s="4" t="s">
        <v>110</v>
      </c>
      <c r="G1051" s="4" t="s">
        <v>52</v>
      </c>
      <c r="H1051" s="4" t="s">
        <v>2588</v>
      </c>
      <c r="I1051" s="2" t="str">
        <f t="shared" si="80"/>
        <v>Sep</v>
      </c>
      <c r="J1051" s="2">
        <f t="shared" si="81"/>
        <v>9</v>
      </c>
      <c r="K1051" s="2">
        <f t="shared" si="82"/>
        <v>2024</v>
      </c>
      <c r="L1051" s="2">
        <f t="shared" si="83"/>
        <v>3</v>
      </c>
      <c r="M1051" s="4">
        <v>8</v>
      </c>
      <c r="N1051" s="4" t="s">
        <v>2712</v>
      </c>
      <c r="O1051" s="4" t="s">
        <v>45</v>
      </c>
      <c r="P1051" s="5">
        <v>373227</v>
      </c>
      <c r="Q1051" s="4"/>
      <c r="R1051" s="4"/>
      <c r="S1051" s="4" t="s">
        <v>5573</v>
      </c>
      <c r="T1051" s="4">
        <v>45.7</v>
      </c>
      <c r="U1051" s="4" t="s">
        <v>63</v>
      </c>
      <c r="V1051" s="4" t="s">
        <v>64</v>
      </c>
      <c r="W1051" s="67" t="str">
        <f t="shared" si="84"/>
        <v>-</v>
      </c>
    </row>
    <row r="1052" spans="1:23" x14ac:dyDescent="0.3">
      <c r="A1052" s="6" t="s">
        <v>2773</v>
      </c>
      <c r="B1052" s="6" t="s">
        <v>2774</v>
      </c>
      <c r="C1052" s="6">
        <v>9556145108</v>
      </c>
      <c r="D1052" s="6" t="s">
        <v>20</v>
      </c>
      <c r="E1052" s="6" t="s">
        <v>41</v>
      </c>
      <c r="F1052" s="6" t="s">
        <v>86</v>
      </c>
      <c r="G1052" s="6" t="s">
        <v>1677</v>
      </c>
      <c r="H1052" s="6" t="s">
        <v>2574</v>
      </c>
      <c r="I1052" s="2" t="str">
        <f t="shared" si="80"/>
        <v>Sep</v>
      </c>
      <c r="J1052" s="2">
        <f t="shared" si="81"/>
        <v>9</v>
      </c>
      <c r="K1052" s="2">
        <f t="shared" si="82"/>
        <v>2024</v>
      </c>
      <c r="L1052" s="2">
        <f t="shared" si="83"/>
        <v>3</v>
      </c>
      <c r="M1052" s="6">
        <v>1</v>
      </c>
      <c r="N1052" s="6" t="s">
        <v>2607</v>
      </c>
      <c r="O1052" s="6" t="s">
        <v>97</v>
      </c>
      <c r="P1052" s="7">
        <v>1153685</v>
      </c>
      <c r="Q1052" s="7">
        <v>1072750</v>
      </c>
      <c r="R1052" s="6" t="s">
        <v>2775</v>
      </c>
      <c r="S1052" s="6" t="s">
        <v>5573</v>
      </c>
      <c r="T1052" s="6">
        <v>22.3</v>
      </c>
      <c r="U1052" s="6" t="s">
        <v>63</v>
      </c>
      <c r="V1052" s="6" t="s">
        <v>465</v>
      </c>
      <c r="W1052" s="67" t="str">
        <f t="shared" si="84"/>
        <v>Customer</v>
      </c>
    </row>
    <row r="1053" spans="1:23" x14ac:dyDescent="0.3">
      <c r="A1053" s="4" t="s">
        <v>2776</v>
      </c>
      <c r="B1053" s="4" t="s">
        <v>1357</v>
      </c>
      <c r="C1053" s="4">
        <v>9251957685</v>
      </c>
      <c r="D1053" s="4" t="s">
        <v>108</v>
      </c>
      <c r="E1053" s="4" t="s">
        <v>67</v>
      </c>
      <c r="F1053" s="4" t="s">
        <v>80</v>
      </c>
      <c r="G1053" s="4" t="s">
        <v>1623</v>
      </c>
      <c r="H1053" s="4" t="s">
        <v>2550</v>
      </c>
      <c r="I1053" s="2" t="str">
        <f t="shared" si="80"/>
        <v>Sep</v>
      </c>
      <c r="J1053" s="2">
        <f t="shared" si="81"/>
        <v>9</v>
      </c>
      <c r="K1053" s="2">
        <f t="shared" si="82"/>
        <v>2024</v>
      </c>
      <c r="L1053" s="2">
        <f t="shared" si="83"/>
        <v>3</v>
      </c>
      <c r="M1053" s="4">
        <v>8</v>
      </c>
      <c r="N1053" s="4" t="s">
        <v>2777</v>
      </c>
      <c r="O1053" s="4" t="s">
        <v>55</v>
      </c>
      <c r="P1053" s="5">
        <v>226945</v>
      </c>
      <c r="Q1053" s="4"/>
      <c r="R1053" s="4"/>
      <c r="S1053" s="4" t="s">
        <v>5573</v>
      </c>
      <c r="T1053" s="4">
        <v>5.3</v>
      </c>
      <c r="U1053" s="4" t="s">
        <v>47</v>
      </c>
      <c r="V1053" s="4" t="s">
        <v>212</v>
      </c>
      <c r="W1053" s="67" t="str">
        <f t="shared" si="84"/>
        <v>-</v>
      </c>
    </row>
    <row r="1054" spans="1:23" x14ac:dyDescent="0.3">
      <c r="A1054" s="2" t="s">
        <v>2778</v>
      </c>
      <c r="B1054" s="2" t="s">
        <v>1416</v>
      </c>
      <c r="C1054" s="2">
        <v>9885042792</v>
      </c>
      <c r="D1054" s="2" t="s">
        <v>20</v>
      </c>
      <c r="E1054" s="2" t="s">
        <v>641</v>
      </c>
      <c r="F1054" s="2" t="s">
        <v>642</v>
      </c>
      <c r="G1054" s="2" t="s">
        <v>69</v>
      </c>
      <c r="H1054" s="2" t="s">
        <v>2550</v>
      </c>
      <c r="I1054" s="2" t="str">
        <f t="shared" si="80"/>
        <v>Sep</v>
      </c>
      <c r="J1054" s="2">
        <f t="shared" si="81"/>
        <v>9</v>
      </c>
      <c r="K1054" s="2">
        <f t="shared" si="82"/>
        <v>2024</v>
      </c>
      <c r="L1054" s="2">
        <f t="shared" si="83"/>
        <v>3</v>
      </c>
      <c r="M1054" s="2">
        <v>1</v>
      </c>
      <c r="N1054" s="2" t="s">
        <v>2607</v>
      </c>
      <c r="O1054" s="2" t="s">
        <v>45</v>
      </c>
      <c r="P1054" s="3">
        <v>217395</v>
      </c>
      <c r="Q1054" s="2"/>
      <c r="R1054" s="2"/>
      <c r="S1054" s="2" t="s">
        <v>5573</v>
      </c>
      <c r="T1054" s="2">
        <v>3.4</v>
      </c>
      <c r="U1054" s="2" t="s">
        <v>29</v>
      </c>
      <c r="V1054" s="2" t="s">
        <v>442</v>
      </c>
      <c r="W1054" s="67" t="str">
        <f t="shared" si="84"/>
        <v>-</v>
      </c>
    </row>
    <row r="1055" spans="1:23" x14ac:dyDescent="0.3">
      <c r="A1055" s="4" t="s">
        <v>2779</v>
      </c>
      <c r="B1055" s="4" t="s">
        <v>2780</v>
      </c>
      <c r="C1055" s="4">
        <v>9786241228</v>
      </c>
      <c r="D1055" s="4" t="s">
        <v>20</v>
      </c>
      <c r="E1055" s="4" t="s">
        <v>648</v>
      </c>
      <c r="F1055" s="4" t="s">
        <v>899</v>
      </c>
      <c r="G1055" s="4" t="s">
        <v>643</v>
      </c>
      <c r="H1055" s="4" t="s">
        <v>2550</v>
      </c>
      <c r="I1055" s="2" t="str">
        <f t="shared" si="80"/>
        <v>Sep</v>
      </c>
      <c r="J1055" s="2">
        <f t="shared" si="81"/>
        <v>9</v>
      </c>
      <c r="K1055" s="2">
        <f t="shared" si="82"/>
        <v>2024</v>
      </c>
      <c r="L1055" s="2">
        <f t="shared" si="83"/>
        <v>3</v>
      </c>
      <c r="M1055" s="4">
        <v>7</v>
      </c>
      <c r="N1055" s="4" t="s">
        <v>2781</v>
      </c>
      <c r="O1055" s="4" t="s">
        <v>62</v>
      </c>
      <c r="P1055" s="5">
        <v>727520</v>
      </c>
      <c r="Q1055" s="4"/>
      <c r="R1055" s="4"/>
      <c r="S1055" s="4" t="s">
        <v>5573</v>
      </c>
      <c r="T1055" s="4">
        <v>30.3</v>
      </c>
      <c r="U1055" s="4" t="s">
        <v>63</v>
      </c>
      <c r="V1055" s="4" t="s">
        <v>668</v>
      </c>
      <c r="W1055" s="67" t="str">
        <f t="shared" si="84"/>
        <v>-</v>
      </c>
    </row>
    <row r="1056" spans="1:23" x14ac:dyDescent="0.3">
      <c r="A1056" s="2" t="s">
        <v>2782</v>
      </c>
      <c r="B1056" s="2" t="s">
        <v>2783</v>
      </c>
      <c r="C1056" s="2">
        <v>9181836665</v>
      </c>
      <c r="D1056" s="2" t="s">
        <v>108</v>
      </c>
      <c r="E1056" s="2" t="s">
        <v>21</v>
      </c>
      <c r="F1056" s="2" t="s">
        <v>22</v>
      </c>
      <c r="G1056" s="2" t="s">
        <v>1677</v>
      </c>
      <c r="H1056" s="2" t="s">
        <v>2767</v>
      </c>
      <c r="I1056" s="2" t="str">
        <f t="shared" si="80"/>
        <v>Oct</v>
      </c>
      <c r="J1056" s="2">
        <f t="shared" si="81"/>
        <v>10</v>
      </c>
      <c r="K1056" s="2">
        <f t="shared" si="82"/>
        <v>2024</v>
      </c>
      <c r="L1056" s="2">
        <f t="shared" si="83"/>
        <v>4</v>
      </c>
      <c r="M1056" s="2">
        <v>11</v>
      </c>
      <c r="N1056" s="2" t="s">
        <v>2784</v>
      </c>
      <c r="O1056" s="2" t="s">
        <v>27</v>
      </c>
      <c r="P1056" s="3">
        <v>1230073</v>
      </c>
      <c r="Q1056" s="2"/>
      <c r="R1056" s="2"/>
      <c r="S1056" s="2" t="s">
        <v>5573</v>
      </c>
      <c r="T1056" s="2">
        <v>44.4</v>
      </c>
      <c r="U1056" s="2" t="s">
        <v>29</v>
      </c>
      <c r="V1056" s="2" t="s">
        <v>157</v>
      </c>
      <c r="W1056" s="67" t="str">
        <f t="shared" si="84"/>
        <v>-</v>
      </c>
    </row>
    <row r="1057" spans="1:23" x14ac:dyDescent="0.3">
      <c r="A1057" s="4" t="s">
        <v>2785</v>
      </c>
      <c r="B1057" s="4" t="s">
        <v>2786</v>
      </c>
      <c r="C1057" s="4">
        <v>9269736666</v>
      </c>
      <c r="D1057" s="4" t="s">
        <v>59</v>
      </c>
      <c r="E1057" s="4" t="s">
        <v>109</v>
      </c>
      <c r="F1057" s="4" t="s">
        <v>110</v>
      </c>
      <c r="G1057" s="4" t="s">
        <v>1599</v>
      </c>
      <c r="H1057" s="4" t="s">
        <v>2767</v>
      </c>
      <c r="I1057" s="2" t="str">
        <f t="shared" si="80"/>
        <v>Oct</v>
      </c>
      <c r="J1057" s="2">
        <f t="shared" si="81"/>
        <v>10</v>
      </c>
      <c r="K1057" s="2">
        <f t="shared" si="82"/>
        <v>2024</v>
      </c>
      <c r="L1057" s="2">
        <f t="shared" si="83"/>
        <v>4</v>
      </c>
      <c r="M1057" s="4">
        <v>2</v>
      </c>
      <c r="N1057" s="4" t="s">
        <v>2685</v>
      </c>
      <c r="O1057" s="4" t="s">
        <v>45</v>
      </c>
      <c r="P1057" s="5">
        <v>930066</v>
      </c>
      <c r="Q1057" s="4"/>
      <c r="R1057" s="4"/>
      <c r="S1057" s="4" t="s">
        <v>5573</v>
      </c>
      <c r="T1057" s="4">
        <v>2.4</v>
      </c>
      <c r="U1057" s="4" t="s">
        <v>63</v>
      </c>
      <c r="V1057" s="4" t="s">
        <v>260</v>
      </c>
      <c r="W1057" s="67" t="str">
        <f t="shared" si="84"/>
        <v>-</v>
      </c>
    </row>
    <row r="1058" spans="1:23" x14ac:dyDescent="0.3">
      <c r="A1058" s="6" t="s">
        <v>2787</v>
      </c>
      <c r="B1058" s="6" t="s">
        <v>2788</v>
      </c>
      <c r="C1058" s="6">
        <v>9228899367</v>
      </c>
      <c r="D1058" s="6" t="s">
        <v>20</v>
      </c>
      <c r="E1058" s="6" t="s">
        <v>21</v>
      </c>
      <c r="F1058" s="6" t="s">
        <v>22</v>
      </c>
      <c r="G1058" s="6" t="s">
        <v>1599</v>
      </c>
      <c r="H1058" s="6" t="s">
        <v>2767</v>
      </c>
      <c r="I1058" s="2" t="str">
        <f t="shared" si="80"/>
        <v>Oct</v>
      </c>
      <c r="J1058" s="2">
        <f t="shared" si="81"/>
        <v>10</v>
      </c>
      <c r="K1058" s="2">
        <f t="shared" si="82"/>
        <v>2024</v>
      </c>
      <c r="L1058" s="2">
        <f t="shared" si="83"/>
        <v>4</v>
      </c>
      <c r="M1058" s="6">
        <v>8</v>
      </c>
      <c r="N1058" s="6" t="s">
        <v>2789</v>
      </c>
      <c r="O1058" s="6" t="s">
        <v>97</v>
      </c>
      <c r="P1058" s="7">
        <v>792923</v>
      </c>
      <c r="Q1058" s="7">
        <v>718159</v>
      </c>
      <c r="R1058" s="6" t="s">
        <v>2790</v>
      </c>
      <c r="S1058" s="6" t="s">
        <v>5573</v>
      </c>
      <c r="T1058" s="6">
        <v>19.399999999999999</v>
      </c>
      <c r="U1058" s="6" t="s">
        <v>63</v>
      </c>
      <c r="V1058" s="6" t="s">
        <v>465</v>
      </c>
      <c r="W1058" s="67" t="str">
        <f t="shared" si="84"/>
        <v>Customer</v>
      </c>
    </row>
    <row r="1059" spans="1:23" x14ac:dyDescent="0.3">
      <c r="A1059" s="4" t="s">
        <v>2791</v>
      </c>
      <c r="B1059" s="4" t="s">
        <v>2792</v>
      </c>
      <c r="C1059" s="4">
        <v>9540569808</v>
      </c>
      <c r="D1059" s="4" t="s">
        <v>108</v>
      </c>
      <c r="E1059" s="4" t="s">
        <v>41</v>
      </c>
      <c r="F1059" s="4" t="s">
        <v>42</v>
      </c>
      <c r="G1059" s="4" t="s">
        <v>643</v>
      </c>
      <c r="H1059" s="4" t="s">
        <v>2767</v>
      </c>
      <c r="I1059" s="2" t="str">
        <f t="shared" si="80"/>
        <v>Oct</v>
      </c>
      <c r="J1059" s="2">
        <f t="shared" si="81"/>
        <v>10</v>
      </c>
      <c r="K1059" s="2">
        <f t="shared" si="82"/>
        <v>2024</v>
      </c>
      <c r="L1059" s="2">
        <f t="shared" si="83"/>
        <v>4</v>
      </c>
      <c r="M1059" s="4">
        <v>2</v>
      </c>
      <c r="N1059" s="4" t="s">
        <v>2542</v>
      </c>
      <c r="O1059" s="4" t="s">
        <v>45</v>
      </c>
      <c r="P1059" s="5">
        <v>1175496</v>
      </c>
      <c r="Q1059" s="4"/>
      <c r="R1059" s="4"/>
      <c r="S1059" s="4" t="s">
        <v>5573</v>
      </c>
      <c r="T1059" s="4">
        <v>43.5</v>
      </c>
      <c r="U1059" s="4" t="s">
        <v>47</v>
      </c>
      <c r="V1059" s="4" t="s">
        <v>256</v>
      </c>
      <c r="W1059" s="67" t="str">
        <f t="shared" si="84"/>
        <v>-</v>
      </c>
    </row>
    <row r="1060" spans="1:23" x14ac:dyDescent="0.3">
      <c r="A1060" s="6" t="s">
        <v>2793</v>
      </c>
      <c r="B1060" s="6" t="s">
        <v>2373</v>
      </c>
      <c r="C1060" s="6">
        <v>9185998255</v>
      </c>
      <c r="D1060" s="6" t="s">
        <v>121</v>
      </c>
      <c r="E1060" s="6" t="s">
        <v>41</v>
      </c>
      <c r="F1060" s="6" t="s">
        <v>151</v>
      </c>
      <c r="G1060" s="6" t="s">
        <v>35</v>
      </c>
      <c r="H1060" s="6" t="s">
        <v>2767</v>
      </c>
      <c r="I1060" s="2" t="str">
        <f t="shared" si="80"/>
        <v>Oct</v>
      </c>
      <c r="J1060" s="2">
        <f t="shared" si="81"/>
        <v>10</v>
      </c>
      <c r="K1060" s="2">
        <f t="shared" si="82"/>
        <v>2024</v>
      </c>
      <c r="L1060" s="2">
        <f t="shared" si="83"/>
        <v>4</v>
      </c>
      <c r="M1060" s="6">
        <v>7</v>
      </c>
      <c r="N1060" s="6" t="s">
        <v>2601</v>
      </c>
      <c r="O1060" s="6" t="s">
        <v>97</v>
      </c>
      <c r="P1060" s="7">
        <v>157541</v>
      </c>
      <c r="Q1060" s="7">
        <v>157056</v>
      </c>
      <c r="R1060" s="6" t="s">
        <v>2794</v>
      </c>
      <c r="S1060" s="6" t="s">
        <v>5573</v>
      </c>
      <c r="T1060" s="6">
        <v>28.2</v>
      </c>
      <c r="U1060" s="6" t="s">
        <v>63</v>
      </c>
      <c r="V1060" s="6" t="s">
        <v>170</v>
      </c>
      <c r="W1060" s="67" t="str">
        <f t="shared" si="84"/>
        <v>Architect</v>
      </c>
    </row>
    <row r="1061" spans="1:23" x14ac:dyDescent="0.3">
      <c r="A1061" s="8" t="s">
        <v>2795</v>
      </c>
      <c r="B1061" s="8" t="s">
        <v>898</v>
      </c>
      <c r="C1061" s="8">
        <v>9787862511</v>
      </c>
      <c r="D1061" s="8" t="s">
        <v>20</v>
      </c>
      <c r="E1061" s="8" t="s">
        <v>109</v>
      </c>
      <c r="F1061" s="8" t="s">
        <v>110</v>
      </c>
      <c r="G1061" s="8" t="s">
        <v>643</v>
      </c>
      <c r="H1061" s="8" t="s">
        <v>2767</v>
      </c>
      <c r="I1061" s="2" t="str">
        <f t="shared" si="80"/>
        <v>Oct</v>
      </c>
      <c r="J1061" s="2">
        <f t="shared" si="81"/>
        <v>10</v>
      </c>
      <c r="K1061" s="2">
        <f t="shared" si="82"/>
        <v>2024</v>
      </c>
      <c r="L1061" s="2">
        <f t="shared" si="83"/>
        <v>4</v>
      </c>
      <c r="M1061" s="8">
        <v>0</v>
      </c>
      <c r="N1061" s="8" t="s">
        <v>2753</v>
      </c>
      <c r="O1061" s="8" t="s">
        <v>97</v>
      </c>
      <c r="P1061" s="9">
        <v>1308954</v>
      </c>
      <c r="Q1061" s="9">
        <v>1293445</v>
      </c>
      <c r="R1061" s="8" t="s">
        <v>2607</v>
      </c>
      <c r="S1061" s="8" t="s">
        <v>5573</v>
      </c>
      <c r="T1061" s="8">
        <v>15</v>
      </c>
      <c r="U1061" s="8" t="s">
        <v>63</v>
      </c>
      <c r="V1061" s="8"/>
      <c r="W1061" s="67" t="str">
        <f t="shared" si="84"/>
        <v>Customer</v>
      </c>
    </row>
    <row r="1062" spans="1:23" x14ac:dyDescent="0.3">
      <c r="A1062" s="2" t="s">
        <v>2796</v>
      </c>
      <c r="B1062" s="2" t="s">
        <v>362</v>
      </c>
      <c r="C1062" s="2">
        <v>9517386186</v>
      </c>
      <c r="D1062" s="2" t="s">
        <v>59</v>
      </c>
      <c r="E1062" s="2" t="s">
        <v>73</v>
      </c>
      <c r="F1062" s="2" t="s">
        <v>74</v>
      </c>
      <c r="G1062" s="2" t="s">
        <v>87</v>
      </c>
      <c r="H1062" s="2" t="s">
        <v>2533</v>
      </c>
      <c r="I1062" s="2" t="str">
        <f t="shared" si="80"/>
        <v>Oct</v>
      </c>
      <c r="J1062" s="2">
        <f t="shared" si="81"/>
        <v>10</v>
      </c>
      <c r="K1062" s="2">
        <f t="shared" si="82"/>
        <v>2024</v>
      </c>
      <c r="L1062" s="2">
        <f t="shared" si="83"/>
        <v>4</v>
      </c>
      <c r="M1062" s="2">
        <v>5</v>
      </c>
      <c r="N1062" s="2" t="s">
        <v>2601</v>
      </c>
      <c r="O1062" s="2" t="s">
        <v>27</v>
      </c>
      <c r="P1062" s="3">
        <v>195155</v>
      </c>
      <c r="Q1062" s="2"/>
      <c r="R1062" s="2"/>
      <c r="S1062" s="2" t="s">
        <v>5573</v>
      </c>
      <c r="T1062" s="2">
        <v>8.9</v>
      </c>
      <c r="U1062" s="2" t="s">
        <v>29</v>
      </c>
      <c r="V1062" s="2" t="s">
        <v>238</v>
      </c>
      <c r="W1062" s="67" t="str">
        <f t="shared" si="84"/>
        <v>-</v>
      </c>
    </row>
    <row r="1063" spans="1:23" x14ac:dyDescent="0.3">
      <c r="A1063" s="4" t="s">
        <v>2797</v>
      </c>
      <c r="B1063" s="4" t="s">
        <v>2798</v>
      </c>
      <c r="C1063" s="4">
        <v>9554785704</v>
      </c>
      <c r="D1063" s="4" t="s">
        <v>59</v>
      </c>
      <c r="E1063" s="4" t="s">
        <v>648</v>
      </c>
      <c r="F1063" s="4" t="s">
        <v>899</v>
      </c>
      <c r="G1063" s="4" t="s">
        <v>60</v>
      </c>
      <c r="H1063" s="4" t="s">
        <v>2576</v>
      </c>
      <c r="I1063" s="2" t="str">
        <f t="shared" si="80"/>
        <v>Oct</v>
      </c>
      <c r="J1063" s="2">
        <f t="shared" si="81"/>
        <v>10</v>
      </c>
      <c r="K1063" s="2">
        <f t="shared" si="82"/>
        <v>2024</v>
      </c>
      <c r="L1063" s="2">
        <f t="shared" si="83"/>
        <v>4</v>
      </c>
      <c r="M1063" s="4">
        <v>1</v>
      </c>
      <c r="N1063" s="4" t="s">
        <v>2542</v>
      </c>
      <c r="O1063" s="4" t="s">
        <v>27</v>
      </c>
      <c r="P1063" s="5">
        <v>179661</v>
      </c>
      <c r="Q1063" s="4"/>
      <c r="R1063" s="4"/>
      <c r="S1063" s="4" t="s">
        <v>5573</v>
      </c>
      <c r="T1063" s="4">
        <v>4.5999999999999996</v>
      </c>
      <c r="U1063" s="4" t="s">
        <v>29</v>
      </c>
      <c r="V1063" s="4" t="s">
        <v>238</v>
      </c>
      <c r="W1063" s="67" t="str">
        <f t="shared" si="84"/>
        <v>-</v>
      </c>
    </row>
    <row r="1064" spans="1:23" x14ac:dyDescent="0.3">
      <c r="A1064" s="2" t="s">
        <v>2799</v>
      </c>
      <c r="B1064" s="2" t="s">
        <v>2302</v>
      </c>
      <c r="C1064" s="2">
        <v>9517614209</v>
      </c>
      <c r="D1064" s="2" t="s">
        <v>121</v>
      </c>
      <c r="E1064" s="2" t="s">
        <v>41</v>
      </c>
      <c r="F1064" s="2" t="s">
        <v>92</v>
      </c>
      <c r="G1064" s="2" t="s">
        <v>1599</v>
      </c>
      <c r="H1064" s="2" t="s">
        <v>2695</v>
      </c>
      <c r="I1064" s="2" t="str">
        <f t="shared" si="80"/>
        <v>Oct</v>
      </c>
      <c r="J1064" s="2">
        <f t="shared" si="81"/>
        <v>10</v>
      </c>
      <c r="K1064" s="2">
        <f t="shared" si="82"/>
        <v>2024</v>
      </c>
      <c r="L1064" s="2">
        <f t="shared" si="83"/>
        <v>4</v>
      </c>
      <c r="M1064" s="2">
        <v>4</v>
      </c>
      <c r="N1064" s="2" t="s">
        <v>2601</v>
      </c>
      <c r="O1064" s="2" t="s">
        <v>45</v>
      </c>
      <c r="P1064" s="3">
        <v>837573</v>
      </c>
      <c r="Q1064" s="2"/>
      <c r="R1064" s="2"/>
      <c r="S1064" s="2" t="s">
        <v>5573</v>
      </c>
      <c r="T1064" s="2">
        <v>17.600000000000001</v>
      </c>
      <c r="U1064" s="2" t="s">
        <v>47</v>
      </c>
      <c r="V1064" s="2" t="s">
        <v>487</v>
      </c>
      <c r="W1064" s="67" t="str">
        <f t="shared" si="84"/>
        <v>-</v>
      </c>
    </row>
    <row r="1065" spans="1:23" x14ac:dyDescent="0.3">
      <c r="A1065" s="4" t="s">
        <v>2800</v>
      </c>
      <c r="B1065" s="4" t="s">
        <v>2801</v>
      </c>
      <c r="C1065" s="4">
        <v>9917971316</v>
      </c>
      <c r="D1065" s="4" t="s">
        <v>20</v>
      </c>
      <c r="E1065" s="4" t="s">
        <v>33</v>
      </c>
      <c r="F1065" s="4" t="s">
        <v>34</v>
      </c>
      <c r="G1065" s="4" t="s">
        <v>23</v>
      </c>
      <c r="H1065" s="4" t="s">
        <v>2695</v>
      </c>
      <c r="I1065" s="2" t="str">
        <f t="shared" si="80"/>
        <v>Oct</v>
      </c>
      <c r="J1065" s="2">
        <f t="shared" si="81"/>
        <v>10</v>
      </c>
      <c r="K1065" s="2">
        <f t="shared" si="82"/>
        <v>2024</v>
      </c>
      <c r="L1065" s="2">
        <f t="shared" si="83"/>
        <v>4</v>
      </c>
      <c r="M1065" s="4">
        <v>3</v>
      </c>
      <c r="N1065" s="4" t="s">
        <v>2700</v>
      </c>
      <c r="O1065" s="4" t="s">
        <v>27</v>
      </c>
      <c r="P1065" s="5">
        <v>538984</v>
      </c>
      <c r="Q1065" s="4"/>
      <c r="R1065" s="4"/>
      <c r="S1065" s="4" t="s">
        <v>5573</v>
      </c>
      <c r="T1065" s="4">
        <v>46.6</v>
      </c>
      <c r="U1065" s="4" t="s">
        <v>29</v>
      </c>
      <c r="V1065" s="4" t="s">
        <v>38</v>
      </c>
      <c r="W1065" s="67" t="str">
        <f t="shared" si="84"/>
        <v>-</v>
      </c>
    </row>
    <row r="1066" spans="1:23" x14ac:dyDescent="0.3">
      <c r="A1066" s="2" t="s">
        <v>2802</v>
      </c>
      <c r="B1066" s="2" t="s">
        <v>419</v>
      </c>
      <c r="C1066" s="2">
        <v>9509266882</v>
      </c>
      <c r="D1066" s="2" t="s">
        <v>20</v>
      </c>
      <c r="E1066" s="2" t="s">
        <v>41</v>
      </c>
      <c r="F1066" s="2" t="s">
        <v>42</v>
      </c>
      <c r="G1066" s="2" t="s">
        <v>1623</v>
      </c>
      <c r="H1066" s="2" t="s">
        <v>2695</v>
      </c>
      <c r="I1066" s="2" t="str">
        <f t="shared" si="80"/>
        <v>Oct</v>
      </c>
      <c r="J1066" s="2">
        <f t="shared" si="81"/>
        <v>10</v>
      </c>
      <c r="K1066" s="2">
        <f t="shared" si="82"/>
        <v>2024</v>
      </c>
      <c r="L1066" s="2">
        <f t="shared" si="83"/>
        <v>4</v>
      </c>
      <c r="M1066" s="2">
        <v>3</v>
      </c>
      <c r="N1066" s="2" t="s">
        <v>2706</v>
      </c>
      <c r="O1066" s="2" t="s">
        <v>55</v>
      </c>
      <c r="P1066" s="3">
        <v>150708</v>
      </c>
      <c r="Q1066" s="2"/>
      <c r="R1066" s="2"/>
      <c r="S1066" s="2" t="s">
        <v>5573</v>
      </c>
      <c r="T1066" s="2">
        <v>19.8</v>
      </c>
      <c r="U1066" s="2" t="s">
        <v>29</v>
      </c>
      <c r="V1066" s="2" t="s">
        <v>613</v>
      </c>
      <c r="W1066" s="67" t="str">
        <f t="shared" si="84"/>
        <v>-</v>
      </c>
    </row>
    <row r="1067" spans="1:23" x14ac:dyDescent="0.3">
      <c r="A1067" s="4" t="s">
        <v>2803</v>
      </c>
      <c r="B1067" s="4" t="s">
        <v>2804</v>
      </c>
      <c r="C1067" s="4">
        <v>9904145191</v>
      </c>
      <c r="D1067" s="4" t="s">
        <v>20</v>
      </c>
      <c r="E1067" s="4" t="s">
        <v>21</v>
      </c>
      <c r="F1067" s="4" t="s">
        <v>160</v>
      </c>
      <c r="G1067" s="4" t="s">
        <v>1623</v>
      </c>
      <c r="H1067" s="4" t="s">
        <v>2653</v>
      </c>
      <c r="I1067" s="2" t="str">
        <f t="shared" si="80"/>
        <v>Oct</v>
      </c>
      <c r="J1067" s="2">
        <f t="shared" si="81"/>
        <v>10</v>
      </c>
      <c r="K1067" s="2">
        <f t="shared" si="82"/>
        <v>2024</v>
      </c>
      <c r="L1067" s="2">
        <f t="shared" si="83"/>
        <v>4</v>
      </c>
      <c r="M1067" s="4">
        <v>3</v>
      </c>
      <c r="N1067" s="4" t="s">
        <v>2805</v>
      </c>
      <c r="O1067" s="4" t="s">
        <v>27</v>
      </c>
      <c r="P1067" s="5">
        <v>205886</v>
      </c>
      <c r="Q1067" s="4"/>
      <c r="R1067" s="4"/>
      <c r="S1067" s="4" t="s">
        <v>5573</v>
      </c>
      <c r="T1067" s="4">
        <v>31.3</v>
      </c>
      <c r="U1067" s="4" t="s">
        <v>47</v>
      </c>
      <c r="V1067" s="4" t="s">
        <v>157</v>
      </c>
      <c r="W1067" s="67" t="str">
        <f t="shared" si="84"/>
        <v>-</v>
      </c>
    </row>
    <row r="1068" spans="1:23" x14ac:dyDescent="0.3">
      <c r="A1068" s="2" t="s">
        <v>2806</v>
      </c>
      <c r="B1068" s="2" t="s">
        <v>1018</v>
      </c>
      <c r="C1068" s="2">
        <v>9559676548</v>
      </c>
      <c r="D1068" s="2" t="s">
        <v>20</v>
      </c>
      <c r="E1068" s="2" t="s">
        <v>41</v>
      </c>
      <c r="F1068" s="2" t="s">
        <v>86</v>
      </c>
      <c r="G1068" s="2" t="s">
        <v>23</v>
      </c>
      <c r="H1068" s="2" t="s">
        <v>2653</v>
      </c>
      <c r="I1068" s="2" t="str">
        <f t="shared" si="80"/>
        <v>Oct</v>
      </c>
      <c r="J1068" s="2">
        <f t="shared" si="81"/>
        <v>10</v>
      </c>
      <c r="K1068" s="2">
        <f t="shared" si="82"/>
        <v>2024</v>
      </c>
      <c r="L1068" s="2">
        <f t="shared" si="83"/>
        <v>4</v>
      </c>
      <c r="M1068" s="2">
        <v>0</v>
      </c>
      <c r="N1068" s="2" t="s">
        <v>2591</v>
      </c>
      <c r="O1068" s="2" t="s">
        <v>45</v>
      </c>
      <c r="P1068" s="3">
        <v>483018</v>
      </c>
      <c r="Q1068" s="2"/>
      <c r="R1068" s="2"/>
      <c r="S1068" s="2" t="s">
        <v>5573</v>
      </c>
      <c r="T1068" s="2">
        <v>12</v>
      </c>
      <c r="U1068" s="2" t="s">
        <v>47</v>
      </c>
      <c r="V1068" s="2" t="s">
        <v>89</v>
      </c>
      <c r="W1068" s="67" t="str">
        <f t="shared" si="84"/>
        <v>-</v>
      </c>
    </row>
    <row r="1069" spans="1:23" x14ac:dyDescent="0.3">
      <c r="A1069" s="4" t="s">
        <v>2807</v>
      </c>
      <c r="B1069" s="4" t="s">
        <v>506</v>
      </c>
      <c r="C1069" s="4">
        <v>9890224337</v>
      </c>
      <c r="D1069" s="4" t="s">
        <v>108</v>
      </c>
      <c r="E1069" s="4" t="s">
        <v>41</v>
      </c>
      <c r="F1069" s="4" t="s">
        <v>86</v>
      </c>
      <c r="G1069" s="4" t="s">
        <v>1609</v>
      </c>
      <c r="H1069" s="4" t="s">
        <v>2653</v>
      </c>
      <c r="I1069" s="2" t="str">
        <f t="shared" si="80"/>
        <v>Oct</v>
      </c>
      <c r="J1069" s="2">
        <f t="shared" si="81"/>
        <v>10</v>
      </c>
      <c r="K1069" s="2">
        <f t="shared" si="82"/>
        <v>2024</v>
      </c>
      <c r="L1069" s="2">
        <f t="shared" si="83"/>
        <v>4</v>
      </c>
      <c r="M1069" s="4">
        <v>11</v>
      </c>
      <c r="N1069" s="4" t="s">
        <v>2808</v>
      </c>
      <c r="O1069" s="4" t="s">
        <v>62</v>
      </c>
      <c r="P1069" s="5">
        <v>450940</v>
      </c>
      <c r="Q1069" s="4"/>
      <c r="R1069" s="4"/>
      <c r="S1069" s="4" t="s">
        <v>5573</v>
      </c>
      <c r="T1069" s="4">
        <v>39.5</v>
      </c>
      <c r="U1069" s="4" t="s">
        <v>63</v>
      </c>
      <c r="V1069" s="4" t="s">
        <v>621</v>
      </c>
      <c r="W1069" s="67" t="str">
        <f t="shared" si="84"/>
        <v>-</v>
      </c>
    </row>
    <row r="1070" spans="1:23" x14ac:dyDescent="0.3">
      <c r="A1070" s="2" t="s">
        <v>2809</v>
      </c>
      <c r="B1070" s="2" t="s">
        <v>2810</v>
      </c>
      <c r="C1070" s="2">
        <v>9454329269</v>
      </c>
      <c r="D1070" s="2" t="s">
        <v>59</v>
      </c>
      <c r="E1070" s="2" t="s">
        <v>67</v>
      </c>
      <c r="F1070" s="2" t="s">
        <v>80</v>
      </c>
      <c r="G1070" s="2" t="s">
        <v>35</v>
      </c>
      <c r="H1070" s="2" t="s">
        <v>2653</v>
      </c>
      <c r="I1070" s="2" t="str">
        <f t="shared" si="80"/>
        <v>Oct</v>
      </c>
      <c r="J1070" s="2">
        <f t="shared" si="81"/>
        <v>10</v>
      </c>
      <c r="K1070" s="2">
        <f t="shared" si="82"/>
        <v>2024</v>
      </c>
      <c r="L1070" s="2">
        <f t="shared" si="83"/>
        <v>4</v>
      </c>
      <c r="M1070" s="2"/>
      <c r="N1070" s="2" t="s">
        <v>2727</v>
      </c>
      <c r="O1070" s="2" t="s">
        <v>27</v>
      </c>
      <c r="P1070" s="3">
        <v>175525</v>
      </c>
      <c r="Q1070" s="2"/>
      <c r="R1070" s="2"/>
      <c r="S1070" s="2" t="s">
        <v>5573</v>
      </c>
      <c r="T1070" s="2">
        <v>19.2</v>
      </c>
      <c r="U1070" s="2" t="s">
        <v>29</v>
      </c>
      <c r="V1070" s="2" t="s">
        <v>105</v>
      </c>
      <c r="W1070" s="67" t="str">
        <f t="shared" si="84"/>
        <v>-</v>
      </c>
    </row>
    <row r="1071" spans="1:23" x14ac:dyDescent="0.3">
      <c r="A1071" s="4" t="s">
        <v>2811</v>
      </c>
      <c r="B1071" s="4" t="s">
        <v>503</v>
      </c>
      <c r="C1071" s="4">
        <v>9538614065</v>
      </c>
      <c r="D1071" s="4" t="s">
        <v>121</v>
      </c>
      <c r="E1071" s="4" t="s">
        <v>648</v>
      </c>
      <c r="F1071" s="4" t="s">
        <v>656</v>
      </c>
      <c r="G1071" s="4" t="s">
        <v>1735</v>
      </c>
      <c r="H1071" s="4" t="s">
        <v>2653</v>
      </c>
      <c r="I1071" s="2" t="str">
        <f t="shared" si="80"/>
        <v>Oct</v>
      </c>
      <c r="J1071" s="2">
        <f t="shared" si="81"/>
        <v>10</v>
      </c>
      <c r="K1071" s="2">
        <f t="shared" si="82"/>
        <v>2024</v>
      </c>
      <c r="L1071" s="2">
        <f t="shared" si="83"/>
        <v>4</v>
      </c>
      <c r="M1071" s="4">
        <v>3</v>
      </c>
      <c r="N1071" s="4" t="s">
        <v>2636</v>
      </c>
      <c r="O1071" s="4" t="s">
        <v>45</v>
      </c>
      <c r="P1071" s="5">
        <v>1823734</v>
      </c>
      <c r="Q1071" s="4"/>
      <c r="R1071" s="4"/>
      <c r="S1071" s="4" t="s">
        <v>5573</v>
      </c>
      <c r="T1071" s="4">
        <v>5</v>
      </c>
      <c r="U1071" s="4" t="s">
        <v>29</v>
      </c>
      <c r="V1071" s="4" t="s">
        <v>389</v>
      </c>
      <c r="W1071" s="67" t="str">
        <f t="shared" si="84"/>
        <v>-</v>
      </c>
    </row>
    <row r="1072" spans="1:23" x14ac:dyDescent="0.3">
      <c r="A1072" s="2" t="s">
        <v>2812</v>
      </c>
      <c r="B1072" s="2" t="s">
        <v>1427</v>
      </c>
      <c r="C1072" s="2">
        <v>9463868619</v>
      </c>
      <c r="D1072" s="2" t="s">
        <v>59</v>
      </c>
      <c r="E1072" s="2" t="s">
        <v>1632</v>
      </c>
      <c r="F1072" s="2" t="s">
        <v>1849</v>
      </c>
      <c r="G1072" s="2" t="s">
        <v>1735</v>
      </c>
      <c r="H1072" s="2" t="s">
        <v>2685</v>
      </c>
      <c r="I1072" s="2" t="str">
        <f t="shared" si="80"/>
        <v>Oct</v>
      </c>
      <c r="J1072" s="2">
        <f t="shared" si="81"/>
        <v>10</v>
      </c>
      <c r="K1072" s="2">
        <f t="shared" si="82"/>
        <v>2024</v>
      </c>
      <c r="L1072" s="2">
        <f t="shared" si="83"/>
        <v>4</v>
      </c>
      <c r="M1072" s="2">
        <v>2</v>
      </c>
      <c r="N1072" s="2" t="s">
        <v>2682</v>
      </c>
      <c r="O1072" s="2" t="s">
        <v>62</v>
      </c>
      <c r="P1072" s="3">
        <v>1516737</v>
      </c>
      <c r="Q1072" s="2"/>
      <c r="R1072" s="2"/>
      <c r="S1072" s="2" t="s">
        <v>5573</v>
      </c>
      <c r="T1072" s="2">
        <v>41</v>
      </c>
      <c r="U1072" s="2" t="s">
        <v>63</v>
      </c>
      <c r="V1072" s="2" t="s">
        <v>221</v>
      </c>
      <c r="W1072" s="67" t="str">
        <f t="shared" si="84"/>
        <v>-</v>
      </c>
    </row>
    <row r="1073" spans="1:23" x14ac:dyDescent="0.3">
      <c r="A1073" s="4" t="s">
        <v>2813</v>
      </c>
      <c r="B1073" s="4" t="s">
        <v>2814</v>
      </c>
      <c r="C1073" s="4">
        <v>9123290626</v>
      </c>
      <c r="D1073" s="4" t="s">
        <v>20</v>
      </c>
      <c r="E1073" s="4" t="s">
        <v>21</v>
      </c>
      <c r="F1073" s="4" t="s">
        <v>230</v>
      </c>
      <c r="G1073" s="4" t="s">
        <v>643</v>
      </c>
      <c r="H1073" s="4" t="s">
        <v>2685</v>
      </c>
      <c r="I1073" s="2" t="str">
        <f t="shared" si="80"/>
        <v>Oct</v>
      </c>
      <c r="J1073" s="2">
        <f t="shared" si="81"/>
        <v>10</v>
      </c>
      <c r="K1073" s="2">
        <f t="shared" si="82"/>
        <v>2024</v>
      </c>
      <c r="L1073" s="2">
        <f t="shared" si="83"/>
        <v>4</v>
      </c>
      <c r="M1073" s="4">
        <v>0</v>
      </c>
      <c r="N1073" s="4" t="s">
        <v>2665</v>
      </c>
      <c r="O1073" s="4" t="s">
        <v>45</v>
      </c>
      <c r="P1073" s="4"/>
      <c r="Q1073" s="4"/>
      <c r="R1073" s="4"/>
      <c r="S1073" s="4" t="s">
        <v>5573</v>
      </c>
      <c r="T1073" s="4">
        <v>16.899999999999999</v>
      </c>
      <c r="U1073" s="4" t="s">
        <v>47</v>
      </c>
      <c r="V1073" s="4" t="s">
        <v>310</v>
      </c>
      <c r="W1073" s="67" t="str">
        <f t="shared" si="84"/>
        <v>-</v>
      </c>
    </row>
    <row r="1074" spans="1:23" x14ac:dyDescent="0.3">
      <c r="A1074" s="2" t="s">
        <v>2815</v>
      </c>
      <c r="B1074" s="2" t="s">
        <v>1812</v>
      </c>
      <c r="C1074" s="2">
        <v>9109763308</v>
      </c>
      <c r="D1074" s="2" t="s">
        <v>121</v>
      </c>
      <c r="E1074" s="2" t="s">
        <v>109</v>
      </c>
      <c r="F1074" s="2" t="s">
        <v>110</v>
      </c>
      <c r="G1074" s="2" t="s">
        <v>1677</v>
      </c>
      <c r="H1074" s="2" t="s">
        <v>2685</v>
      </c>
      <c r="I1074" s="2" t="str">
        <f t="shared" si="80"/>
        <v>Oct</v>
      </c>
      <c r="J1074" s="2">
        <f t="shared" si="81"/>
        <v>10</v>
      </c>
      <c r="K1074" s="2">
        <f t="shared" si="82"/>
        <v>2024</v>
      </c>
      <c r="L1074" s="2">
        <f t="shared" si="83"/>
        <v>4</v>
      </c>
      <c r="M1074" s="2">
        <v>9</v>
      </c>
      <c r="N1074" s="2" t="s">
        <v>2808</v>
      </c>
      <c r="O1074" s="2" t="s">
        <v>27</v>
      </c>
      <c r="P1074" s="3">
        <v>1294476</v>
      </c>
      <c r="Q1074" s="2"/>
      <c r="R1074" s="2"/>
      <c r="S1074" s="2" t="s">
        <v>5573</v>
      </c>
      <c r="T1074" s="2">
        <v>32</v>
      </c>
      <c r="U1074" s="2" t="s">
        <v>29</v>
      </c>
      <c r="V1074" s="2" t="s">
        <v>123</v>
      </c>
      <c r="W1074" s="67" t="str">
        <f t="shared" si="84"/>
        <v>-</v>
      </c>
    </row>
    <row r="1075" spans="1:23" x14ac:dyDescent="0.3">
      <c r="A1075" s="4" t="s">
        <v>2816</v>
      </c>
      <c r="B1075" s="4" t="s">
        <v>2817</v>
      </c>
      <c r="C1075" s="4">
        <v>9951009338</v>
      </c>
      <c r="D1075" s="4" t="s">
        <v>108</v>
      </c>
      <c r="E1075" s="4" t="s">
        <v>41</v>
      </c>
      <c r="F1075" s="4" t="s">
        <v>92</v>
      </c>
      <c r="G1075" s="4" t="s">
        <v>643</v>
      </c>
      <c r="H1075" s="4" t="s">
        <v>2685</v>
      </c>
      <c r="I1075" s="2" t="str">
        <f t="shared" si="80"/>
        <v>Oct</v>
      </c>
      <c r="J1075" s="2">
        <f t="shared" si="81"/>
        <v>10</v>
      </c>
      <c r="K1075" s="2">
        <f t="shared" si="82"/>
        <v>2024</v>
      </c>
      <c r="L1075" s="2">
        <f t="shared" si="83"/>
        <v>4</v>
      </c>
      <c r="M1075" s="4">
        <v>12</v>
      </c>
      <c r="N1075" s="4" t="s">
        <v>2818</v>
      </c>
      <c r="O1075" s="4" t="s">
        <v>27</v>
      </c>
      <c r="P1075" s="5">
        <v>875469</v>
      </c>
      <c r="Q1075" s="4"/>
      <c r="R1075" s="4"/>
      <c r="S1075" s="4" t="s">
        <v>5573</v>
      </c>
      <c r="T1075" s="4">
        <v>6.2</v>
      </c>
      <c r="U1075" s="4" t="s">
        <v>29</v>
      </c>
      <c r="V1075" s="4"/>
      <c r="W1075" s="67" t="str">
        <f t="shared" si="84"/>
        <v>-</v>
      </c>
    </row>
    <row r="1076" spans="1:23" x14ac:dyDescent="0.3">
      <c r="A1076" s="2" t="s">
        <v>2819</v>
      </c>
      <c r="B1076" s="2" t="s">
        <v>2820</v>
      </c>
      <c r="C1076" s="2">
        <v>9511621499</v>
      </c>
      <c r="D1076" s="2" t="s">
        <v>121</v>
      </c>
      <c r="E1076" s="2" t="s">
        <v>648</v>
      </c>
      <c r="F1076" s="2" t="s">
        <v>899</v>
      </c>
      <c r="G1076" s="2" t="s">
        <v>35</v>
      </c>
      <c r="H1076" s="2" t="s">
        <v>2753</v>
      </c>
      <c r="I1076" s="2" t="str">
        <f t="shared" si="80"/>
        <v>Oct</v>
      </c>
      <c r="J1076" s="2">
        <f t="shared" si="81"/>
        <v>10</v>
      </c>
      <c r="K1076" s="2">
        <f t="shared" si="82"/>
        <v>2024</v>
      </c>
      <c r="L1076" s="2">
        <f t="shared" si="83"/>
        <v>4</v>
      </c>
      <c r="M1076" s="2">
        <v>12</v>
      </c>
      <c r="N1076" s="2" t="s">
        <v>2821</v>
      </c>
      <c r="O1076" s="2" t="s">
        <v>27</v>
      </c>
      <c r="P1076" s="3">
        <v>302043</v>
      </c>
      <c r="Q1076" s="2"/>
      <c r="R1076" s="2"/>
      <c r="S1076" s="2" t="s">
        <v>5573</v>
      </c>
      <c r="T1076" s="2">
        <v>45.1</v>
      </c>
      <c r="U1076" s="2" t="s">
        <v>29</v>
      </c>
      <c r="V1076" s="2" t="s">
        <v>30</v>
      </c>
      <c r="W1076" s="67" t="str">
        <f t="shared" si="84"/>
        <v>-</v>
      </c>
    </row>
    <row r="1077" spans="1:23" x14ac:dyDescent="0.3">
      <c r="A1077" s="4" t="s">
        <v>2822</v>
      </c>
      <c r="B1077" s="4" t="s">
        <v>2180</v>
      </c>
      <c r="C1077" s="4">
        <v>9486418967</v>
      </c>
      <c r="D1077" s="4" t="s">
        <v>59</v>
      </c>
      <c r="E1077" s="4" t="s">
        <v>1632</v>
      </c>
      <c r="F1077" s="4" t="s">
        <v>1633</v>
      </c>
      <c r="G1077" s="4" t="s">
        <v>1609</v>
      </c>
      <c r="H1077" s="4" t="s">
        <v>2753</v>
      </c>
      <c r="I1077" s="2" t="str">
        <f t="shared" si="80"/>
        <v>Oct</v>
      </c>
      <c r="J1077" s="2">
        <f t="shared" si="81"/>
        <v>10</v>
      </c>
      <c r="K1077" s="2">
        <f t="shared" si="82"/>
        <v>2024</v>
      </c>
      <c r="L1077" s="2">
        <f t="shared" si="83"/>
        <v>4</v>
      </c>
      <c r="M1077" s="4">
        <v>9</v>
      </c>
      <c r="N1077" s="4" t="s">
        <v>2790</v>
      </c>
      <c r="O1077" s="4" t="s">
        <v>62</v>
      </c>
      <c r="P1077" s="5">
        <v>367623</v>
      </c>
      <c r="Q1077" s="4"/>
      <c r="R1077" s="4"/>
      <c r="S1077" s="4" t="s">
        <v>5573</v>
      </c>
      <c r="T1077" s="4">
        <v>38.9</v>
      </c>
      <c r="U1077" s="4" t="s">
        <v>29</v>
      </c>
      <c r="V1077" s="4"/>
      <c r="W1077" s="67" t="str">
        <f t="shared" si="84"/>
        <v>-</v>
      </c>
    </row>
    <row r="1078" spans="1:23" x14ac:dyDescent="0.3">
      <c r="A1078" s="8" t="s">
        <v>2823</v>
      </c>
      <c r="B1078" s="8" t="s">
        <v>2824</v>
      </c>
      <c r="C1078" s="8">
        <v>9246143511</v>
      </c>
      <c r="D1078" s="8" t="s">
        <v>108</v>
      </c>
      <c r="E1078" s="8" t="s">
        <v>1632</v>
      </c>
      <c r="F1078" s="8" t="s">
        <v>1633</v>
      </c>
      <c r="G1078" s="8" t="s">
        <v>1677</v>
      </c>
      <c r="H1078" s="8" t="s">
        <v>2681</v>
      </c>
      <c r="I1078" s="2" t="str">
        <f t="shared" si="80"/>
        <v>Oct</v>
      </c>
      <c r="J1078" s="2">
        <f t="shared" si="81"/>
        <v>10</v>
      </c>
      <c r="K1078" s="2">
        <f t="shared" si="82"/>
        <v>2024</v>
      </c>
      <c r="L1078" s="2">
        <f t="shared" si="83"/>
        <v>4</v>
      </c>
      <c r="M1078" s="8">
        <v>0</v>
      </c>
      <c r="N1078" s="8" t="s">
        <v>2789</v>
      </c>
      <c r="O1078" s="8" t="s">
        <v>45</v>
      </c>
      <c r="P1078" s="9">
        <v>875887</v>
      </c>
      <c r="Q1078" s="8"/>
      <c r="R1078" s="8"/>
      <c r="S1078" s="8" t="s">
        <v>5573</v>
      </c>
      <c r="T1078" s="8">
        <v>25.3</v>
      </c>
      <c r="U1078" s="8" t="s">
        <v>63</v>
      </c>
      <c r="V1078" s="8" t="s">
        <v>64</v>
      </c>
      <c r="W1078" s="67" t="str">
        <f t="shared" si="84"/>
        <v>-</v>
      </c>
    </row>
    <row r="1079" spans="1:23" x14ac:dyDescent="0.3">
      <c r="A1079" s="8" t="s">
        <v>2825</v>
      </c>
      <c r="B1079" s="8" t="s">
        <v>695</v>
      </c>
      <c r="C1079" s="8">
        <v>9914402326</v>
      </c>
      <c r="D1079" s="8" t="s">
        <v>20</v>
      </c>
      <c r="E1079" s="8" t="s">
        <v>1632</v>
      </c>
      <c r="F1079" s="8" t="s">
        <v>1849</v>
      </c>
      <c r="G1079" s="8" t="s">
        <v>1677</v>
      </c>
      <c r="H1079" s="8" t="s">
        <v>2681</v>
      </c>
      <c r="I1079" s="2" t="str">
        <f t="shared" si="80"/>
        <v>Oct</v>
      </c>
      <c r="J1079" s="2">
        <f t="shared" si="81"/>
        <v>10</v>
      </c>
      <c r="K1079" s="2">
        <f t="shared" si="82"/>
        <v>2024</v>
      </c>
      <c r="L1079" s="2">
        <f t="shared" si="83"/>
        <v>4</v>
      </c>
      <c r="M1079" s="8">
        <v>11</v>
      </c>
      <c r="N1079" s="8" t="s">
        <v>2808</v>
      </c>
      <c r="O1079" s="8" t="s">
        <v>27</v>
      </c>
      <c r="P1079" s="9">
        <v>835054</v>
      </c>
      <c r="Q1079" s="8"/>
      <c r="R1079" s="8"/>
      <c r="S1079" s="8" t="s">
        <v>5573</v>
      </c>
      <c r="T1079" s="8">
        <v>28.4</v>
      </c>
      <c r="U1079" s="8" t="s">
        <v>29</v>
      </c>
      <c r="V1079" s="8" t="s">
        <v>38</v>
      </c>
      <c r="W1079" s="67" t="str">
        <f t="shared" si="84"/>
        <v>-</v>
      </c>
    </row>
    <row r="1080" spans="1:23" x14ac:dyDescent="0.3">
      <c r="A1080" s="2" t="s">
        <v>2826</v>
      </c>
      <c r="B1080" s="2" t="s">
        <v>2827</v>
      </c>
      <c r="C1080" s="2">
        <v>9704325139</v>
      </c>
      <c r="D1080" s="2" t="s">
        <v>121</v>
      </c>
      <c r="E1080" s="2" t="s">
        <v>41</v>
      </c>
      <c r="F1080" s="2" t="s">
        <v>151</v>
      </c>
      <c r="G1080" s="2" t="s">
        <v>1599</v>
      </c>
      <c r="H1080" s="2" t="s">
        <v>2681</v>
      </c>
      <c r="I1080" s="2" t="str">
        <f t="shared" si="80"/>
        <v>Oct</v>
      </c>
      <c r="J1080" s="2">
        <f t="shared" si="81"/>
        <v>10</v>
      </c>
      <c r="K1080" s="2">
        <f t="shared" si="82"/>
        <v>2024</v>
      </c>
      <c r="L1080" s="2">
        <f t="shared" si="83"/>
        <v>4</v>
      </c>
      <c r="M1080" s="2">
        <v>8</v>
      </c>
      <c r="N1080" s="2" t="s">
        <v>2758</v>
      </c>
      <c r="O1080" s="2" t="s">
        <v>62</v>
      </c>
      <c r="P1080" s="3">
        <v>746470</v>
      </c>
      <c r="Q1080" s="2"/>
      <c r="R1080" s="2"/>
      <c r="S1080" s="2" t="s">
        <v>5573</v>
      </c>
      <c r="T1080" s="2">
        <v>21.4</v>
      </c>
      <c r="U1080" s="2" t="s">
        <v>47</v>
      </c>
      <c r="V1080" s="2" t="s">
        <v>137</v>
      </c>
      <c r="W1080" s="67" t="str">
        <f t="shared" si="84"/>
        <v>-</v>
      </c>
    </row>
    <row r="1081" spans="1:23" x14ac:dyDescent="0.3">
      <c r="A1081" s="4" t="s">
        <v>2828</v>
      </c>
      <c r="B1081" s="4" t="s">
        <v>1004</v>
      </c>
      <c r="C1081" s="4">
        <v>9964908666</v>
      </c>
      <c r="D1081" s="4" t="s">
        <v>121</v>
      </c>
      <c r="E1081" s="4" t="s">
        <v>21</v>
      </c>
      <c r="F1081" s="4" t="s">
        <v>160</v>
      </c>
      <c r="G1081" s="4" t="s">
        <v>1735</v>
      </c>
      <c r="H1081" s="4" t="s">
        <v>2681</v>
      </c>
      <c r="I1081" s="2" t="str">
        <f t="shared" si="80"/>
        <v>Oct</v>
      </c>
      <c r="J1081" s="2">
        <f t="shared" si="81"/>
        <v>10</v>
      </c>
      <c r="K1081" s="2">
        <f t="shared" si="82"/>
        <v>2024</v>
      </c>
      <c r="L1081" s="2">
        <f t="shared" si="83"/>
        <v>4</v>
      </c>
      <c r="M1081" s="4">
        <v>8</v>
      </c>
      <c r="N1081" s="4" t="s">
        <v>2712</v>
      </c>
      <c r="O1081" s="4" t="s">
        <v>27</v>
      </c>
      <c r="P1081" s="5">
        <v>1383128</v>
      </c>
      <c r="Q1081" s="4"/>
      <c r="R1081" s="4"/>
      <c r="S1081" s="4" t="s">
        <v>5573</v>
      </c>
      <c r="T1081" s="4">
        <v>22.7</v>
      </c>
      <c r="U1081" s="4" t="s">
        <v>47</v>
      </c>
      <c r="V1081" s="4" t="s">
        <v>38</v>
      </c>
      <c r="W1081" s="67" t="str">
        <f t="shared" si="84"/>
        <v>-</v>
      </c>
    </row>
    <row r="1082" spans="1:23" x14ac:dyDescent="0.3">
      <c r="A1082" s="8" t="s">
        <v>2829</v>
      </c>
      <c r="B1082" s="8" t="s">
        <v>637</v>
      </c>
      <c r="C1082" s="8">
        <v>9882966815</v>
      </c>
      <c r="D1082" s="8" t="s">
        <v>51</v>
      </c>
      <c r="E1082" s="8" t="s">
        <v>641</v>
      </c>
      <c r="F1082" s="8" t="s">
        <v>717</v>
      </c>
      <c r="G1082" s="8" t="s">
        <v>1623</v>
      </c>
      <c r="H1082" s="8" t="s">
        <v>2607</v>
      </c>
      <c r="I1082" s="2" t="str">
        <f t="shared" si="80"/>
        <v>Oct</v>
      </c>
      <c r="J1082" s="2">
        <f t="shared" si="81"/>
        <v>10</v>
      </c>
      <c r="K1082" s="2">
        <f t="shared" si="82"/>
        <v>2024</v>
      </c>
      <c r="L1082" s="2">
        <f t="shared" si="83"/>
        <v>4</v>
      </c>
      <c r="M1082" s="8">
        <v>6</v>
      </c>
      <c r="N1082" s="8" t="s">
        <v>2601</v>
      </c>
      <c r="O1082" s="8" t="s">
        <v>62</v>
      </c>
      <c r="P1082" s="9">
        <v>437634</v>
      </c>
      <c r="Q1082" s="8"/>
      <c r="R1082" s="8"/>
      <c r="S1082" s="8" t="s">
        <v>5573</v>
      </c>
      <c r="T1082" s="8">
        <v>36.299999999999997</v>
      </c>
      <c r="U1082" s="8" t="s">
        <v>63</v>
      </c>
      <c r="V1082" s="8" t="s">
        <v>260</v>
      </c>
      <c r="W1082" s="67" t="str">
        <f t="shared" si="84"/>
        <v>-</v>
      </c>
    </row>
    <row r="1083" spans="1:23" x14ac:dyDescent="0.3">
      <c r="A1083" s="8" t="s">
        <v>2830</v>
      </c>
      <c r="B1083" s="8" t="s">
        <v>2192</v>
      </c>
      <c r="C1083" s="8">
        <v>9593927755</v>
      </c>
      <c r="D1083" s="8" t="s">
        <v>121</v>
      </c>
      <c r="E1083" s="8" t="s">
        <v>1632</v>
      </c>
      <c r="F1083" s="8" t="s">
        <v>1682</v>
      </c>
      <c r="G1083" s="8" t="s">
        <v>35</v>
      </c>
      <c r="H1083" s="8" t="s">
        <v>2607</v>
      </c>
      <c r="I1083" s="2" t="str">
        <f t="shared" si="80"/>
        <v>Oct</v>
      </c>
      <c r="J1083" s="2">
        <f t="shared" si="81"/>
        <v>10</v>
      </c>
      <c r="K1083" s="2">
        <f t="shared" si="82"/>
        <v>2024</v>
      </c>
      <c r="L1083" s="2">
        <f t="shared" si="83"/>
        <v>4</v>
      </c>
      <c r="M1083" s="8">
        <v>11</v>
      </c>
      <c r="N1083" s="8" t="s">
        <v>2831</v>
      </c>
      <c r="O1083" s="8" t="s">
        <v>27</v>
      </c>
      <c r="P1083" s="9">
        <v>224082</v>
      </c>
      <c r="Q1083" s="8"/>
      <c r="R1083" s="8"/>
      <c r="S1083" s="8" t="s">
        <v>5573</v>
      </c>
      <c r="T1083" s="8">
        <v>10.199999999999999</v>
      </c>
      <c r="U1083" s="8" t="s">
        <v>29</v>
      </c>
      <c r="V1083" s="8" t="s">
        <v>157</v>
      </c>
      <c r="W1083" s="67" t="str">
        <f t="shared" si="84"/>
        <v>-</v>
      </c>
    </row>
    <row r="1084" spans="1:23" x14ac:dyDescent="0.3">
      <c r="A1084" s="2" t="s">
        <v>2832</v>
      </c>
      <c r="B1084" s="2" t="s">
        <v>2833</v>
      </c>
      <c r="C1084" s="2">
        <v>9997533747</v>
      </c>
      <c r="D1084" s="2" t="s">
        <v>59</v>
      </c>
      <c r="E1084" s="2" t="s">
        <v>73</v>
      </c>
      <c r="F1084" s="2" t="s">
        <v>74</v>
      </c>
      <c r="G1084" s="2" t="s">
        <v>1621</v>
      </c>
      <c r="H1084" s="2" t="s">
        <v>2607</v>
      </c>
      <c r="I1084" s="2" t="str">
        <f t="shared" si="80"/>
        <v>Oct</v>
      </c>
      <c r="J1084" s="2">
        <f t="shared" si="81"/>
        <v>10</v>
      </c>
      <c r="K1084" s="2">
        <f t="shared" si="82"/>
        <v>2024</v>
      </c>
      <c r="L1084" s="2">
        <f t="shared" si="83"/>
        <v>4</v>
      </c>
      <c r="M1084" s="2">
        <v>8</v>
      </c>
      <c r="N1084" s="2" t="s">
        <v>2818</v>
      </c>
      <c r="O1084" s="2" t="s">
        <v>62</v>
      </c>
      <c r="P1084" s="3">
        <v>314924</v>
      </c>
      <c r="Q1084" s="2"/>
      <c r="R1084" s="2"/>
      <c r="S1084" s="2" t="s">
        <v>5573</v>
      </c>
      <c r="T1084" s="2">
        <v>17</v>
      </c>
      <c r="U1084" s="2" t="s">
        <v>63</v>
      </c>
      <c r="V1084" s="2" t="s">
        <v>195</v>
      </c>
      <c r="W1084" s="67" t="str">
        <f t="shared" si="84"/>
        <v>-</v>
      </c>
    </row>
    <row r="1085" spans="1:23" x14ac:dyDescent="0.3">
      <c r="A1085" s="4" t="s">
        <v>2834</v>
      </c>
      <c r="B1085" s="4" t="s">
        <v>2835</v>
      </c>
      <c r="C1085" s="4">
        <v>9139196925</v>
      </c>
      <c r="D1085" s="4" t="s">
        <v>20</v>
      </c>
      <c r="E1085" s="4" t="s">
        <v>41</v>
      </c>
      <c r="F1085" s="4" t="s">
        <v>42</v>
      </c>
      <c r="G1085" s="4" t="s">
        <v>23</v>
      </c>
      <c r="H1085" s="4" t="s">
        <v>2607</v>
      </c>
      <c r="I1085" s="2" t="str">
        <f t="shared" si="80"/>
        <v>Oct</v>
      </c>
      <c r="J1085" s="2">
        <f t="shared" si="81"/>
        <v>10</v>
      </c>
      <c r="K1085" s="2">
        <f t="shared" si="82"/>
        <v>2024</v>
      </c>
      <c r="L1085" s="2">
        <f t="shared" si="83"/>
        <v>4</v>
      </c>
      <c r="M1085" s="4">
        <v>12</v>
      </c>
      <c r="N1085" s="4" t="s">
        <v>2836</v>
      </c>
      <c r="O1085" s="4" t="s">
        <v>45</v>
      </c>
      <c r="P1085" s="5">
        <v>383957</v>
      </c>
      <c r="Q1085" s="4"/>
      <c r="R1085" s="4"/>
      <c r="S1085" s="4" t="s">
        <v>5573</v>
      </c>
      <c r="T1085" s="4">
        <v>12.1</v>
      </c>
      <c r="U1085" s="4" t="s">
        <v>63</v>
      </c>
      <c r="V1085" s="4"/>
      <c r="W1085" s="67" t="str">
        <f t="shared" si="84"/>
        <v>-</v>
      </c>
    </row>
    <row r="1086" spans="1:23" x14ac:dyDescent="0.3">
      <c r="A1086" s="2" t="s">
        <v>2837</v>
      </c>
      <c r="B1086" s="2" t="s">
        <v>2578</v>
      </c>
      <c r="C1086" s="2">
        <v>9473512658</v>
      </c>
      <c r="D1086" s="2" t="s">
        <v>108</v>
      </c>
      <c r="E1086" s="2" t="s">
        <v>41</v>
      </c>
      <c r="F1086" s="2" t="s">
        <v>86</v>
      </c>
      <c r="G1086" s="2" t="s">
        <v>1677</v>
      </c>
      <c r="H1086" s="2" t="s">
        <v>2665</v>
      </c>
      <c r="I1086" s="2" t="str">
        <f t="shared" si="80"/>
        <v>Oct</v>
      </c>
      <c r="J1086" s="2">
        <f t="shared" si="81"/>
        <v>10</v>
      </c>
      <c r="K1086" s="2">
        <f t="shared" si="82"/>
        <v>2024</v>
      </c>
      <c r="L1086" s="2">
        <f t="shared" si="83"/>
        <v>4</v>
      </c>
      <c r="M1086" s="2">
        <v>1</v>
      </c>
      <c r="N1086" s="2" t="s">
        <v>2601</v>
      </c>
      <c r="O1086" s="2" t="s">
        <v>45</v>
      </c>
      <c r="P1086" s="3">
        <v>1509369</v>
      </c>
      <c r="Q1086" s="2"/>
      <c r="R1086" s="2"/>
      <c r="S1086" s="2" t="s">
        <v>5573</v>
      </c>
      <c r="T1086" s="2">
        <v>1.8</v>
      </c>
      <c r="U1086" s="2" t="s">
        <v>63</v>
      </c>
      <c r="V1086" s="2" t="s">
        <v>221</v>
      </c>
      <c r="W1086" s="67" t="str">
        <f t="shared" si="84"/>
        <v>-</v>
      </c>
    </row>
    <row r="1087" spans="1:23" x14ac:dyDescent="0.3">
      <c r="A1087" s="6" t="s">
        <v>2838</v>
      </c>
      <c r="B1087" s="6" t="s">
        <v>2247</v>
      </c>
      <c r="C1087" s="6">
        <v>9844895323</v>
      </c>
      <c r="D1087" s="6" t="s">
        <v>59</v>
      </c>
      <c r="E1087" s="6" t="s">
        <v>641</v>
      </c>
      <c r="F1087" s="6" t="s">
        <v>681</v>
      </c>
      <c r="G1087" s="6" t="s">
        <v>643</v>
      </c>
      <c r="H1087" s="6" t="s">
        <v>2665</v>
      </c>
      <c r="I1087" s="2" t="str">
        <f t="shared" si="80"/>
        <v>Oct</v>
      </c>
      <c r="J1087" s="2">
        <f t="shared" si="81"/>
        <v>10</v>
      </c>
      <c r="K1087" s="2">
        <f t="shared" si="82"/>
        <v>2024</v>
      </c>
      <c r="L1087" s="2">
        <f t="shared" si="83"/>
        <v>4</v>
      </c>
      <c r="M1087" s="6">
        <v>8</v>
      </c>
      <c r="N1087" s="6" t="s">
        <v>2839</v>
      </c>
      <c r="O1087" s="6" t="s">
        <v>97</v>
      </c>
      <c r="P1087" s="7">
        <v>1170024</v>
      </c>
      <c r="Q1087" s="7">
        <v>1084314</v>
      </c>
      <c r="R1087" s="6" t="s">
        <v>2818</v>
      </c>
      <c r="S1087" s="6" t="s">
        <v>5573</v>
      </c>
      <c r="T1087" s="6">
        <v>13.8</v>
      </c>
      <c r="U1087" s="6" t="s">
        <v>47</v>
      </c>
      <c r="V1087" s="6" t="s">
        <v>113</v>
      </c>
      <c r="W1087" s="67" t="str">
        <f t="shared" si="84"/>
        <v>Customer</v>
      </c>
    </row>
    <row r="1088" spans="1:23" x14ac:dyDescent="0.3">
      <c r="A1088" s="2" t="s">
        <v>2840</v>
      </c>
      <c r="B1088" s="2" t="s">
        <v>2841</v>
      </c>
      <c r="C1088" s="2">
        <v>9244929032</v>
      </c>
      <c r="D1088" s="2" t="s">
        <v>20</v>
      </c>
      <c r="E1088" s="2" t="s">
        <v>648</v>
      </c>
      <c r="F1088" s="2" t="s">
        <v>822</v>
      </c>
      <c r="G1088" s="2" t="s">
        <v>643</v>
      </c>
      <c r="H1088" s="2" t="s">
        <v>2665</v>
      </c>
      <c r="I1088" s="2" t="str">
        <f t="shared" si="80"/>
        <v>Oct</v>
      </c>
      <c r="J1088" s="2">
        <f t="shared" si="81"/>
        <v>10</v>
      </c>
      <c r="K1088" s="2">
        <f t="shared" si="82"/>
        <v>2024</v>
      </c>
      <c r="L1088" s="2">
        <f t="shared" si="83"/>
        <v>4</v>
      </c>
      <c r="M1088" s="2">
        <v>11</v>
      </c>
      <c r="N1088" s="2" t="s">
        <v>2808</v>
      </c>
      <c r="O1088" s="2" t="s">
        <v>45</v>
      </c>
      <c r="P1088" s="3">
        <v>1099907</v>
      </c>
      <c r="Q1088" s="2"/>
      <c r="R1088" s="2"/>
      <c r="S1088" s="2" t="s">
        <v>5573</v>
      </c>
      <c r="T1088" s="2">
        <v>46.7</v>
      </c>
      <c r="U1088" s="2" t="s">
        <v>47</v>
      </c>
      <c r="V1088" s="2" t="s">
        <v>256</v>
      </c>
      <c r="W1088" s="67" t="str">
        <f t="shared" si="84"/>
        <v>-</v>
      </c>
    </row>
    <row r="1089" spans="1:23" x14ac:dyDescent="0.3">
      <c r="A1089" s="4" t="s">
        <v>2842</v>
      </c>
      <c r="B1089" s="4" t="s">
        <v>413</v>
      </c>
      <c r="C1089" s="4">
        <v>9695265285</v>
      </c>
      <c r="D1089" s="4" t="s">
        <v>108</v>
      </c>
      <c r="E1089" s="4" t="s">
        <v>33</v>
      </c>
      <c r="F1089" s="4" t="s">
        <v>102</v>
      </c>
      <c r="G1089" s="4" t="s">
        <v>52</v>
      </c>
      <c r="H1089" s="4" t="s">
        <v>2562</v>
      </c>
      <c r="I1089" s="2" t="str">
        <f t="shared" si="80"/>
        <v>Oct</v>
      </c>
      <c r="J1089" s="2">
        <f t="shared" si="81"/>
        <v>10</v>
      </c>
      <c r="K1089" s="2">
        <f t="shared" si="82"/>
        <v>2024</v>
      </c>
      <c r="L1089" s="2">
        <f t="shared" si="83"/>
        <v>4</v>
      </c>
      <c r="M1089" s="4">
        <v>3</v>
      </c>
      <c r="N1089" s="4" t="s">
        <v>2682</v>
      </c>
      <c r="O1089" s="4" t="s">
        <v>62</v>
      </c>
      <c r="P1089" s="5">
        <v>203583</v>
      </c>
      <c r="Q1089" s="4"/>
      <c r="R1089" s="4"/>
      <c r="S1089" s="4" t="s">
        <v>5573</v>
      </c>
      <c r="T1089" s="4">
        <v>33.1</v>
      </c>
      <c r="U1089" s="4" t="s">
        <v>47</v>
      </c>
      <c r="V1089" s="4" t="s">
        <v>174</v>
      </c>
      <c r="W1089" s="67" t="str">
        <f t="shared" si="84"/>
        <v>-</v>
      </c>
    </row>
    <row r="1090" spans="1:23" x14ac:dyDescent="0.3">
      <c r="A1090" s="2" t="s">
        <v>2843</v>
      </c>
      <c r="B1090" s="2" t="s">
        <v>2456</v>
      </c>
      <c r="C1090" s="2">
        <v>9629351158</v>
      </c>
      <c r="D1090" s="2" t="s">
        <v>5357</v>
      </c>
      <c r="E1090" s="2" t="s">
        <v>109</v>
      </c>
      <c r="F1090" s="2" t="s">
        <v>331</v>
      </c>
      <c r="G1090" s="2" t="s">
        <v>52</v>
      </c>
      <c r="H1090" s="2" t="s">
        <v>2562</v>
      </c>
      <c r="I1090" s="2" t="str">
        <f t="shared" ref="I1090:I1153" si="85">TEXT(H1090,"mmm")</f>
        <v>Oct</v>
      </c>
      <c r="J1090" s="2">
        <f t="shared" ref="J1090:J1153" si="86">MONTH(H1090)</f>
        <v>10</v>
      </c>
      <c r="K1090" s="2">
        <f t="shared" ref="K1090:K1153" si="87">YEAR(H1090)</f>
        <v>2024</v>
      </c>
      <c r="L1090" s="2">
        <f t="shared" ref="L1090:L1153" si="88">ROUNDUP(MONTH(H1090)/3,0)</f>
        <v>4</v>
      </c>
      <c r="M1090" s="2">
        <v>2</v>
      </c>
      <c r="N1090" s="2" t="s">
        <v>2682</v>
      </c>
      <c r="O1090" s="2" t="s">
        <v>45</v>
      </c>
      <c r="P1090" s="3">
        <v>477654</v>
      </c>
      <c r="Q1090" s="2"/>
      <c r="R1090" s="2"/>
      <c r="S1090" s="2" t="s">
        <v>5573</v>
      </c>
      <c r="T1090" s="2">
        <v>26.1</v>
      </c>
      <c r="U1090" s="2" t="s">
        <v>47</v>
      </c>
      <c r="V1090" s="2" t="s">
        <v>212</v>
      </c>
      <c r="W1090" s="67" t="str">
        <f t="shared" ref="W1090:W1153" si="89">IF($O1090&lt;&gt;"Converted","-",IF(ISNUMBER(SEARCH("Architect",$F1090)),"Architect","Customer"))</f>
        <v>-</v>
      </c>
    </row>
    <row r="1091" spans="1:23" x14ac:dyDescent="0.3">
      <c r="A1091" s="4" t="s">
        <v>2844</v>
      </c>
      <c r="B1091" s="4" t="s">
        <v>2845</v>
      </c>
      <c r="C1091" s="4"/>
      <c r="D1091" s="4" t="s">
        <v>121</v>
      </c>
      <c r="E1091" s="4" t="s">
        <v>1632</v>
      </c>
      <c r="F1091" s="4" t="s">
        <v>1849</v>
      </c>
      <c r="G1091" s="4" t="s">
        <v>60</v>
      </c>
      <c r="H1091" s="4" t="s">
        <v>2562</v>
      </c>
      <c r="I1091" s="2" t="str">
        <f t="shared" si="85"/>
        <v>Oct</v>
      </c>
      <c r="J1091" s="2">
        <f t="shared" si="86"/>
        <v>10</v>
      </c>
      <c r="K1091" s="2">
        <f t="shared" si="87"/>
        <v>2024</v>
      </c>
      <c r="L1091" s="2">
        <f t="shared" si="88"/>
        <v>4</v>
      </c>
      <c r="M1091" s="4">
        <v>10</v>
      </c>
      <c r="N1091" s="4" t="s">
        <v>2846</v>
      </c>
      <c r="O1091" s="4" t="s">
        <v>27</v>
      </c>
      <c r="P1091" s="5">
        <v>56819</v>
      </c>
      <c r="Q1091" s="4"/>
      <c r="R1091" s="4"/>
      <c r="S1091" s="4" t="s">
        <v>5573</v>
      </c>
      <c r="T1091" s="4">
        <v>7.6</v>
      </c>
      <c r="U1091" s="4" t="s">
        <v>29</v>
      </c>
      <c r="V1091" s="4" t="s">
        <v>2847</v>
      </c>
      <c r="W1091" s="67" t="str">
        <f t="shared" si="89"/>
        <v>-</v>
      </c>
    </row>
    <row r="1092" spans="1:23" x14ac:dyDescent="0.3">
      <c r="A1092" s="2" t="s">
        <v>2848</v>
      </c>
      <c r="B1092" s="2" t="s">
        <v>628</v>
      </c>
      <c r="C1092" s="2">
        <v>9535107177</v>
      </c>
      <c r="D1092" s="2" t="s">
        <v>59</v>
      </c>
      <c r="E1092" s="2" t="s">
        <v>1632</v>
      </c>
      <c r="F1092" s="2" t="s">
        <v>1694</v>
      </c>
      <c r="G1092" s="2" t="s">
        <v>69</v>
      </c>
      <c r="H1092" s="2" t="s">
        <v>2542</v>
      </c>
      <c r="I1092" s="2" t="str">
        <f t="shared" si="85"/>
        <v>Oct</v>
      </c>
      <c r="J1092" s="2">
        <f t="shared" si="86"/>
        <v>10</v>
      </c>
      <c r="K1092" s="2">
        <f t="shared" si="87"/>
        <v>2024</v>
      </c>
      <c r="L1092" s="2">
        <f t="shared" si="88"/>
        <v>4</v>
      </c>
      <c r="M1092" s="2">
        <v>6</v>
      </c>
      <c r="N1092" s="2" t="s">
        <v>2839</v>
      </c>
      <c r="O1092" s="2" t="s">
        <v>45</v>
      </c>
      <c r="P1092" s="3">
        <v>212221</v>
      </c>
      <c r="Q1092" s="2"/>
      <c r="R1092" s="2"/>
      <c r="S1092" s="2" t="s">
        <v>5573</v>
      </c>
      <c r="T1092" s="2">
        <v>44.3</v>
      </c>
      <c r="U1092" s="2" t="s">
        <v>47</v>
      </c>
      <c r="V1092" s="2" t="s">
        <v>174</v>
      </c>
      <c r="W1092" s="67" t="str">
        <f t="shared" si="89"/>
        <v>-</v>
      </c>
    </row>
    <row r="1093" spans="1:23" x14ac:dyDescent="0.3">
      <c r="A1093" s="8" t="s">
        <v>2849</v>
      </c>
      <c r="B1093" s="8" t="s">
        <v>1887</v>
      </c>
      <c r="C1093" s="8">
        <v>9423418414</v>
      </c>
      <c r="D1093" s="8" t="s">
        <v>59</v>
      </c>
      <c r="E1093" s="8" t="s">
        <v>73</v>
      </c>
      <c r="F1093" s="8" t="s">
        <v>126</v>
      </c>
      <c r="G1093" s="8" t="s">
        <v>60</v>
      </c>
      <c r="H1093" s="8" t="s">
        <v>2542</v>
      </c>
      <c r="I1093" s="2" t="str">
        <f t="shared" si="85"/>
        <v>Oct</v>
      </c>
      <c r="J1093" s="2">
        <f t="shared" si="86"/>
        <v>10</v>
      </c>
      <c r="K1093" s="2">
        <f t="shared" si="87"/>
        <v>2024</v>
      </c>
      <c r="L1093" s="2">
        <f t="shared" si="88"/>
        <v>4</v>
      </c>
      <c r="M1093" s="8">
        <v>11</v>
      </c>
      <c r="N1093" s="8" t="s">
        <v>2777</v>
      </c>
      <c r="O1093" s="8" t="s">
        <v>45</v>
      </c>
      <c r="P1093" s="8"/>
      <c r="Q1093" s="8"/>
      <c r="R1093" s="8"/>
      <c r="S1093" s="8" t="s">
        <v>5573</v>
      </c>
      <c r="T1093" s="8">
        <v>46.9</v>
      </c>
      <c r="U1093" s="8" t="s">
        <v>47</v>
      </c>
      <c r="V1093" s="8" t="s">
        <v>48</v>
      </c>
      <c r="W1093" s="67" t="str">
        <f t="shared" si="89"/>
        <v>-</v>
      </c>
    </row>
    <row r="1094" spans="1:23" x14ac:dyDescent="0.3">
      <c r="A1094" s="2" t="s">
        <v>2850</v>
      </c>
      <c r="B1094" s="2" t="s">
        <v>2851</v>
      </c>
      <c r="C1094" s="2">
        <v>9891602149</v>
      </c>
      <c r="D1094" s="2" t="s">
        <v>108</v>
      </c>
      <c r="E1094" s="2" t="s">
        <v>41</v>
      </c>
      <c r="F1094" s="2" t="s">
        <v>92</v>
      </c>
      <c r="G1094" s="2" t="s">
        <v>35</v>
      </c>
      <c r="H1094" s="2" t="s">
        <v>2542</v>
      </c>
      <c r="I1094" s="2" t="str">
        <f t="shared" si="85"/>
        <v>Oct</v>
      </c>
      <c r="J1094" s="2">
        <f t="shared" si="86"/>
        <v>10</v>
      </c>
      <c r="K1094" s="2">
        <f t="shared" si="87"/>
        <v>2024</v>
      </c>
      <c r="L1094" s="2">
        <f t="shared" si="88"/>
        <v>4</v>
      </c>
      <c r="M1094" s="2">
        <v>9</v>
      </c>
      <c r="N1094" s="2" t="s">
        <v>2852</v>
      </c>
      <c r="O1094" s="2" t="s">
        <v>55</v>
      </c>
      <c r="P1094" s="3">
        <v>116345</v>
      </c>
      <c r="Q1094" s="2"/>
      <c r="R1094" s="2"/>
      <c r="S1094" s="2" t="s">
        <v>5573</v>
      </c>
      <c r="T1094" s="2">
        <v>29.7</v>
      </c>
      <c r="U1094" s="2" t="s">
        <v>29</v>
      </c>
      <c r="V1094" s="2" t="s">
        <v>805</v>
      </c>
      <c r="W1094" s="67" t="str">
        <f t="shared" si="89"/>
        <v>-</v>
      </c>
    </row>
    <row r="1095" spans="1:23" x14ac:dyDescent="0.3">
      <c r="A1095" s="6" t="s">
        <v>2853</v>
      </c>
      <c r="B1095" s="6" t="s">
        <v>2854</v>
      </c>
      <c r="C1095" s="6">
        <v>9609238563</v>
      </c>
      <c r="D1095" s="6" t="s">
        <v>20</v>
      </c>
      <c r="E1095" s="6" t="s">
        <v>648</v>
      </c>
      <c r="F1095" s="6" t="s">
        <v>649</v>
      </c>
      <c r="G1095" s="6" t="s">
        <v>1609</v>
      </c>
      <c r="H1095" s="6" t="s">
        <v>2542</v>
      </c>
      <c r="I1095" s="2" t="str">
        <f t="shared" si="85"/>
        <v>Oct</v>
      </c>
      <c r="J1095" s="2">
        <f t="shared" si="86"/>
        <v>10</v>
      </c>
      <c r="K1095" s="2">
        <f t="shared" si="87"/>
        <v>2024</v>
      </c>
      <c r="L1095" s="2">
        <f t="shared" si="88"/>
        <v>4</v>
      </c>
      <c r="M1095" s="6">
        <v>12</v>
      </c>
      <c r="N1095" s="6" t="s">
        <v>2846</v>
      </c>
      <c r="O1095" s="6" t="s">
        <v>97</v>
      </c>
      <c r="P1095" s="7">
        <v>432327</v>
      </c>
      <c r="Q1095" s="7">
        <v>396497</v>
      </c>
      <c r="R1095" s="6" t="s">
        <v>2855</v>
      </c>
      <c r="S1095" s="6" t="s">
        <v>5573</v>
      </c>
      <c r="T1095" s="6">
        <v>13.2</v>
      </c>
      <c r="U1095" s="6" t="s">
        <v>63</v>
      </c>
      <c r="V1095" s="6" t="s">
        <v>295</v>
      </c>
      <c r="W1095" s="67" t="str">
        <f t="shared" si="89"/>
        <v>Customer</v>
      </c>
    </row>
    <row r="1096" spans="1:23" x14ac:dyDescent="0.3">
      <c r="A1096" s="2" t="s">
        <v>2856</v>
      </c>
      <c r="B1096" s="2" t="s">
        <v>795</v>
      </c>
      <c r="C1096" s="2">
        <v>9795689887</v>
      </c>
      <c r="D1096" s="2" t="s">
        <v>20</v>
      </c>
      <c r="E1096" s="2" t="s">
        <v>33</v>
      </c>
      <c r="F1096" s="2" t="s">
        <v>34</v>
      </c>
      <c r="G1096" s="2" t="s">
        <v>1677</v>
      </c>
      <c r="H1096" s="2" t="s">
        <v>2542</v>
      </c>
      <c r="I1096" s="2" t="str">
        <f t="shared" si="85"/>
        <v>Oct</v>
      </c>
      <c r="J1096" s="2">
        <f t="shared" si="86"/>
        <v>10</v>
      </c>
      <c r="K1096" s="2">
        <f t="shared" si="87"/>
        <v>2024</v>
      </c>
      <c r="L1096" s="2">
        <f t="shared" si="88"/>
        <v>4</v>
      </c>
      <c r="M1096" s="2">
        <v>1</v>
      </c>
      <c r="N1096" s="2" t="s">
        <v>2601</v>
      </c>
      <c r="O1096" s="2" t="s">
        <v>62</v>
      </c>
      <c r="P1096" s="3">
        <v>1219371</v>
      </c>
      <c r="Q1096" s="2"/>
      <c r="R1096" s="2"/>
      <c r="S1096" s="2" t="s">
        <v>5573</v>
      </c>
      <c r="T1096" s="2">
        <v>27.8</v>
      </c>
      <c r="U1096" s="2" t="s">
        <v>47</v>
      </c>
      <c r="V1096" s="2"/>
      <c r="W1096" s="67" t="str">
        <f t="shared" si="89"/>
        <v>-</v>
      </c>
    </row>
    <row r="1097" spans="1:23" x14ac:dyDescent="0.3">
      <c r="A1097" s="4" t="s">
        <v>2857</v>
      </c>
      <c r="B1097" s="4" t="s">
        <v>197</v>
      </c>
      <c r="C1097" s="4">
        <v>9393697349</v>
      </c>
      <c r="D1097" s="4" t="s">
        <v>121</v>
      </c>
      <c r="E1097" s="4" t="s">
        <v>73</v>
      </c>
      <c r="F1097" s="4" t="s">
        <v>126</v>
      </c>
      <c r="G1097" s="4" t="s">
        <v>1677</v>
      </c>
      <c r="H1097" s="4" t="s">
        <v>2542</v>
      </c>
      <c r="I1097" s="2" t="str">
        <f t="shared" si="85"/>
        <v>Oct</v>
      </c>
      <c r="J1097" s="2">
        <f t="shared" si="86"/>
        <v>10</v>
      </c>
      <c r="K1097" s="2">
        <f t="shared" si="87"/>
        <v>2024</v>
      </c>
      <c r="L1097" s="2">
        <f t="shared" si="88"/>
        <v>4</v>
      </c>
      <c r="M1097" s="4">
        <v>1</v>
      </c>
      <c r="N1097" s="4" t="s">
        <v>2704</v>
      </c>
      <c r="O1097" s="4" t="s">
        <v>27</v>
      </c>
      <c r="P1097" s="5">
        <v>1228395</v>
      </c>
      <c r="Q1097" s="4"/>
      <c r="R1097" s="4"/>
      <c r="S1097" s="4" t="s">
        <v>5573</v>
      </c>
      <c r="T1097" s="4">
        <v>9.5</v>
      </c>
      <c r="U1097" s="4" t="s">
        <v>29</v>
      </c>
      <c r="V1097" s="4" t="s">
        <v>123</v>
      </c>
      <c r="W1097" s="67" t="str">
        <f t="shared" si="89"/>
        <v>-</v>
      </c>
    </row>
    <row r="1098" spans="1:23" x14ac:dyDescent="0.3">
      <c r="A1098" s="6" t="s">
        <v>2858</v>
      </c>
      <c r="B1098" s="6" t="s">
        <v>2859</v>
      </c>
      <c r="C1098" s="6">
        <v>9270494328</v>
      </c>
      <c r="D1098" s="6" t="s">
        <v>20</v>
      </c>
      <c r="E1098" s="6" t="s">
        <v>109</v>
      </c>
      <c r="F1098" s="6" t="s">
        <v>110</v>
      </c>
      <c r="G1098" s="6" t="s">
        <v>1735</v>
      </c>
      <c r="H1098" s="6" t="s">
        <v>2542</v>
      </c>
      <c r="I1098" s="2" t="str">
        <f t="shared" si="85"/>
        <v>Oct</v>
      </c>
      <c r="J1098" s="2">
        <f t="shared" si="86"/>
        <v>10</v>
      </c>
      <c r="K1098" s="2">
        <f t="shared" si="87"/>
        <v>2024</v>
      </c>
      <c r="L1098" s="2">
        <f t="shared" si="88"/>
        <v>4</v>
      </c>
      <c r="M1098" s="6">
        <v>8</v>
      </c>
      <c r="N1098" s="6" t="s">
        <v>2860</v>
      </c>
      <c r="O1098" s="6" t="s">
        <v>97</v>
      </c>
      <c r="P1098" s="7">
        <v>1692998</v>
      </c>
      <c r="Q1098" s="7">
        <v>1598353</v>
      </c>
      <c r="R1098" s="6" t="s">
        <v>2861</v>
      </c>
      <c r="S1098" s="6" t="s">
        <v>5573</v>
      </c>
      <c r="T1098" s="6">
        <v>3.7</v>
      </c>
      <c r="U1098" s="6" t="s">
        <v>63</v>
      </c>
      <c r="V1098" s="6" t="s">
        <v>907</v>
      </c>
      <c r="W1098" s="67" t="str">
        <f t="shared" si="89"/>
        <v>Customer</v>
      </c>
    </row>
    <row r="1099" spans="1:23" x14ac:dyDescent="0.3">
      <c r="A1099" s="6" t="s">
        <v>2862</v>
      </c>
      <c r="B1099" s="6" t="s">
        <v>2215</v>
      </c>
      <c r="C1099" s="6">
        <v>9360996106</v>
      </c>
      <c r="D1099" s="6" t="s">
        <v>59</v>
      </c>
      <c r="E1099" s="6" t="s">
        <v>41</v>
      </c>
      <c r="F1099" s="6" t="s">
        <v>86</v>
      </c>
      <c r="G1099" s="6" t="s">
        <v>52</v>
      </c>
      <c r="H1099" s="6" t="s">
        <v>2542</v>
      </c>
      <c r="I1099" s="2" t="str">
        <f t="shared" si="85"/>
        <v>Oct</v>
      </c>
      <c r="J1099" s="2">
        <f t="shared" si="86"/>
        <v>10</v>
      </c>
      <c r="K1099" s="2">
        <f t="shared" si="87"/>
        <v>2024</v>
      </c>
      <c r="L1099" s="2">
        <f t="shared" si="88"/>
        <v>4</v>
      </c>
      <c r="M1099" s="6">
        <v>11</v>
      </c>
      <c r="N1099" s="6" t="s">
        <v>2863</v>
      </c>
      <c r="O1099" s="6" t="s">
        <v>97</v>
      </c>
      <c r="P1099" s="7">
        <v>246764</v>
      </c>
      <c r="Q1099" s="7">
        <v>224803</v>
      </c>
      <c r="R1099" s="6" t="s">
        <v>2864</v>
      </c>
      <c r="S1099" s="6" t="s">
        <v>5573</v>
      </c>
      <c r="T1099" s="6">
        <v>24.6</v>
      </c>
      <c r="U1099" s="6" t="s">
        <v>63</v>
      </c>
      <c r="V1099" s="6" t="s">
        <v>483</v>
      </c>
      <c r="W1099" s="67" t="str">
        <f t="shared" si="89"/>
        <v>Customer</v>
      </c>
    </row>
    <row r="1100" spans="1:23" x14ac:dyDescent="0.3">
      <c r="A1100" s="2" t="s">
        <v>2865</v>
      </c>
      <c r="B1100" s="2" t="s">
        <v>2866</v>
      </c>
      <c r="C1100" s="2">
        <v>9856146133</v>
      </c>
      <c r="D1100" s="2" t="s">
        <v>121</v>
      </c>
      <c r="E1100" s="2" t="s">
        <v>648</v>
      </c>
      <c r="F1100" s="2" t="s">
        <v>656</v>
      </c>
      <c r="G1100" s="2" t="s">
        <v>23</v>
      </c>
      <c r="H1100" s="2" t="s">
        <v>2542</v>
      </c>
      <c r="I1100" s="2" t="str">
        <f t="shared" si="85"/>
        <v>Oct</v>
      </c>
      <c r="J1100" s="2">
        <f t="shared" si="86"/>
        <v>10</v>
      </c>
      <c r="K1100" s="2">
        <f t="shared" si="87"/>
        <v>2024</v>
      </c>
      <c r="L1100" s="2">
        <f t="shared" si="88"/>
        <v>4</v>
      </c>
      <c r="M1100" s="2"/>
      <c r="N1100" s="2" t="s">
        <v>2808</v>
      </c>
      <c r="O1100" s="2" t="s">
        <v>62</v>
      </c>
      <c r="P1100" s="3">
        <v>658428</v>
      </c>
      <c r="Q1100" s="2"/>
      <c r="R1100" s="2"/>
      <c r="S1100" s="2" t="s">
        <v>5573</v>
      </c>
      <c r="T1100" s="2">
        <v>9.6</v>
      </c>
      <c r="U1100" s="2" t="s">
        <v>63</v>
      </c>
      <c r="V1100" s="2" t="s">
        <v>64</v>
      </c>
      <c r="W1100" s="67" t="str">
        <f t="shared" si="89"/>
        <v>-</v>
      </c>
    </row>
    <row r="1101" spans="1:23" x14ac:dyDescent="0.3">
      <c r="A1101" s="4" t="s">
        <v>2867</v>
      </c>
      <c r="B1101" s="4" t="s">
        <v>2868</v>
      </c>
      <c r="C1101" s="4">
        <v>9973173811</v>
      </c>
      <c r="D1101" s="4" t="s">
        <v>59</v>
      </c>
      <c r="E1101" s="4" t="s">
        <v>641</v>
      </c>
      <c r="F1101" s="4" t="s">
        <v>727</v>
      </c>
      <c r="G1101" s="4" t="s">
        <v>1621</v>
      </c>
      <c r="H1101" s="4" t="s">
        <v>2706</v>
      </c>
      <c r="I1101" s="2" t="str">
        <f t="shared" si="85"/>
        <v>Oct</v>
      </c>
      <c r="J1101" s="2">
        <f t="shared" si="86"/>
        <v>10</v>
      </c>
      <c r="K1101" s="2">
        <f t="shared" si="87"/>
        <v>2024</v>
      </c>
      <c r="L1101" s="2">
        <f t="shared" si="88"/>
        <v>4</v>
      </c>
      <c r="M1101" s="4">
        <v>7</v>
      </c>
      <c r="N1101" s="4" t="s">
        <v>2869</v>
      </c>
      <c r="O1101" s="4" t="s">
        <v>27</v>
      </c>
      <c r="P1101" s="5">
        <v>249714</v>
      </c>
      <c r="Q1101" s="4"/>
      <c r="R1101" s="4"/>
      <c r="S1101" s="4" t="s">
        <v>5573</v>
      </c>
      <c r="T1101" s="4">
        <v>39.799999999999997</v>
      </c>
      <c r="U1101" s="4" t="s">
        <v>29</v>
      </c>
      <c r="V1101" s="4" t="s">
        <v>30</v>
      </c>
      <c r="W1101" s="67" t="str">
        <f t="shared" si="89"/>
        <v>-</v>
      </c>
    </row>
    <row r="1102" spans="1:23" x14ac:dyDescent="0.3">
      <c r="A1102" s="2" t="s">
        <v>2870</v>
      </c>
      <c r="B1102" s="2" t="s">
        <v>1637</v>
      </c>
      <c r="C1102" s="2">
        <v>9492093935</v>
      </c>
      <c r="D1102" s="2" t="s">
        <v>121</v>
      </c>
      <c r="E1102" s="2" t="s">
        <v>33</v>
      </c>
      <c r="F1102" s="2" t="s">
        <v>34</v>
      </c>
      <c r="G1102" s="2" t="s">
        <v>87</v>
      </c>
      <c r="H1102" s="2" t="s">
        <v>2706</v>
      </c>
      <c r="I1102" s="2" t="str">
        <f t="shared" si="85"/>
        <v>Oct</v>
      </c>
      <c r="J1102" s="2">
        <f t="shared" si="86"/>
        <v>10</v>
      </c>
      <c r="K1102" s="2">
        <f t="shared" si="87"/>
        <v>2024</v>
      </c>
      <c r="L1102" s="2">
        <f t="shared" si="88"/>
        <v>4</v>
      </c>
      <c r="M1102" s="2">
        <v>5</v>
      </c>
      <c r="N1102" s="2" t="s">
        <v>2871</v>
      </c>
      <c r="O1102" s="2" t="s">
        <v>62</v>
      </c>
      <c r="P1102" s="3">
        <v>79360</v>
      </c>
      <c r="Q1102" s="2"/>
      <c r="R1102" s="2"/>
      <c r="S1102" s="2" t="s">
        <v>5573</v>
      </c>
      <c r="T1102" s="2">
        <v>1.8</v>
      </c>
      <c r="U1102" s="2" t="s">
        <v>29</v>
      </c>
      <c r="V1102" s="2" t="s">
        <v>697</v>
      </c>
      <c r="W1102" s="67" t="str">
        <f t="shared" si="89"/>
        <v>-</v>
      </c>
    </row>
    <row r="1103" spans="1:23" x14ac:dyDescent="0.3">
      <c r="A1103" s="4" t="s">
        <v>2872</v>
      </c>
      <c r="B1103" s="4" t="s">
        <v>1795</v>
      </c>
      <c r="C1103" s="4">
        <v>9152458441</v>
      </c>
      <c r="D1103" s="4" t="s">
        <v>108</v>
      </c>
      <c r="E1103" s="4" t="s">
        <v>41</v>
      </c>
      <c r="F1103" s="4" t="s">
        <v>42</v>
      </c>
      <c r="G1103" s="4" t="s">
        <v>1599</v>
      </c>
      <c r="H1103" s="4" t="s">
        <v>2760</v>
      </c>
      <c r="I1103" s="2" t="str">
        <f t="shared" si="85"/>
        <v>Oct</v>
      </c>
      <c r="J1103" s="2">
        <f t="shared" si="86"/>
        <v>10</v>
      </c>
      <c r="K1103" s="2">
        <f t="shared" si="87"/>
        <v>2024</v>
      </c>
      <c r="L1103" s="2">
        <f t="shared" si="88"/>
        <v>4</v>
      </c>
      <c r="M1103" s="4">
        <v>1</v>
      </c>
      <c r="N1103" s="4" t="s">
        <v>2700</v>
      </c>
      <c r="O1103" s="4" t="s">
        <v>45</v>
      </c>
      <c r="P1103" s="5">
        <v>736881</v>
      </c>
      <c r="Q1103" s="4"/>
      <c r="R1103" s="4"/>
      <c r="S1103" s="4" t="s">
        <v>5573</v>
      </c>
      <c r="T1103" s="4">
        <v>21.4</v>
      </c>
      <c r="U1103" s="4" t="s">
        <v>29</v>
      </c>
      <c r="V1103" s="4" t="s">
        <v>247</v>
      </c>
      <c r="W1103" s="67" t="str">
        <f t="shared" si="89"/>
        <v>-</v>
      </c>
    </row>
    <row r="1104" spans="1:23" x14ac:dyDescent="0.3">
      <c r="A1104" s="8" t="s">
        <v>2873</v>
      </c>
      <c r="B1104" s="8" t="s">
        <v>2431</v>
      </c>
      <c r="C1104" s="8">
        <v>9664489247</v>
      </c>
      <c r="D1104" s="8" t="s">
        <v>5357</v>
      </c>
      <c r="E1104" s="8" t="s">
        <v>1632</v>
      </c>
      <c r="F1104" s="8" t="s">
        <v>1849</v>
      </c>
      <c r="G1104" s="8" t="s">
        <v>23</v>
      </c>
      <c r="H1104" s="8" t="s">
        <v>2760</v>
      </c>
      <c r="I1104" s="2" t="str">
        <f t="shared" si="85"/>
        <v>Oct</v>
      </c>
      <c r="J1104" s="2">
        <f t="shared" si="86"/>
        <v>10</v>
      </c>
      <c r="K1104" s="2">
        <f t="shared" si="87"/>
        <v>2024</v>
      </c>
      <c r="L1104" s="2">
        <f t="shared" si="88"/>
        <v>4</v>
      </c>
      <c r="M1104" s="8">
        <v>7</v>
      </c>
      <c r="N1104" s="8" t="s">
        <v>2723</v>
      </c>
      <c r="O1104" s="8" t="s">
        <v>27</v>
      </c>
      <c r="P1104" s="9">
        <v>693181</v>
      </c>
      <c r="Q1104" s="8"/>
      <c r="R1104" s="8"/>
      <c r="S1104" s="8" t="s">
        <v>5573</v>
      </c>
      <c r="T1104" s="8">
        <v>40.1</v>
      </c>
      <c r="U1104" s="8" t="s">
        <v>29</v>
      </c>
      <c r="V1104" s="8" t="s">
        <v>123</v>
      </c>
      <c r="W1104" s="67" t="str">
        <f t="shared" si="89"/>
        <v>-</v>
      </c>
    </row>
    <row r="1105" spans="1:23" x14ac:dyDescent="0.3">
      <c r="A1105" s="4" t="s">
        <v>2874</v>
      </c>
      <c r="B1105" s="4" t="s">
        <v>2750</v>
      </c>
      <c r="C1105" s="4">
        <v>9788344795</v>
      </c>
      <c r="D1105" s="4" t="s">
        <v>20</v>
      </c>
      <c r="E1105" s="4" t="s">
        <v>41</v>
      </c>
      <c r="F1105" s="4" t="s">
        <v>86</v>
      </c>
      <c r="G1105" s="4" t="s">
        <v>23</v>
      </c>
      <c r="H1105" s="4" t="s">
        <v>2591</v>
      </c>
      <c r="I1105" s="2" t="str">
        <f t="shared" si="85"/>
        <v>Oct</v>
      </c>
      <c r="J1105" s="2">
        <f t="shared" si="86"/>
        <v>10</v>
      </c>
      <c r="K1105" s="2">
        <f t="shared" si="87"/>
        <v>2024</v>
      </c>
      <c r="L1105" s="2">
        <f t="shared" si="88"/>
        <v>4</v>
      </c>
      <c r="M1105" s="4">
        <v>5</v>
      </c>
      <c r="N1105" s="4" t="s">
        <v>2601</v>
      </c>
      <c r="O1105" s="4" t="s">
        <v>62</v>
      </c>
      <c r="P1105" s="5">
        <v>353795</v>
      </c>
      <c r="Q1105" s="4"/>
      <c r="R1105" s="4"/>
      <c r="S1105" s="4" t="s">
        <v>5573</v>
      </c>
      <c r="T1105" s="4">
        <v>12.2</v>
      </c>
      <c r="U1105" s="4" t="s">
        <v>47</v>
      </c>
      <c r="V1105" s="4" t="s">
        <v>183</v>
      </c>
      <c r="W1105" s="67" t="str">
        <f t="shared" si="89"/>
        <v>-</v>
      </c>
    </row>
    <row r="1106" spans="1:23" x14ac:dyDescent="0.3">
      <c r="A1106" s="6" t="s">
        <v>2875</v>
      </c>
      <c r="B1106" s="6" t="s">
        <v>2876</v>
      </c>
      <c r="C1106" s="6">
        <v>9172304458</v>
      </c>
      <c r="D1106" s="6" t="s">
        <v>51</v>
      </c>
      <c r="E1106" s="6" t="s">
        <v>1632</v>
      </c>
      <c r="F1106" s="6" t="s">
        <v>1682</v>
      </c>
      <c r="G1106" s="6" t="s">
        <v>60</v>
      </c>
      <c r="H1106" s="6" t="s">
        <v>2591</v>
      </c>
      <c r="I1106" s="2" t="str">
        <f t="shared" si="85"/>
        <v>Oct</v>
      </c>
      <c r="J1106" s="2">
        <f t="shared" si="86"/>
        <v>10</v>
      </c>
      <c r="K1106" s="2">
        <f t="shared" si="87"/>
        <v>2024</v>
      </c>
      <c r="L1106" s="2">
        <f t="shared" si="88"/>
        <v>4</v>
      </c>
      <c r="M1106" s="6">
        <v>0</v>
      </c>
      <c r="N1106" s="6" t="s">
        <v>2601</v>
      </c>
      <c r="O1106" s="6" t="s">
        <v>97</v>
      </c>
      <c r="P1106" s="7">
        <v>244602</v>
      </c>
      <c r="Q1106" s="7">
        <v>237628</v>
      </c>
      <c r="R1106" s="6" t="s">
        <v>2846</v>
      </c>
      <c r="S1106" s="6" t="s">
        <v>5573</v>
      </c>
      <c r="T1106" s="6">
        <v>4.0999999999999996</v>
      </c>
      <c r="U1106" s="6" t="s">
        <v>63</v>
      </c>
      <c r="V1106" s="6" t="s">
        <v>295</v>
      </c>
      <c r="W1106" s="67" t="str">
        <f t="shared" si="89"/>
        <v>Customer</v>
      </c>
    </row>
    <row r="1107" spans="1:23" x14ac:dyDescent="0.3">
      <c r="A1107" s="4" t="s">
        <v>2877</v>
      </c>
      <c r="B1107" s="4" t="s">
        <v>2878</v>
      </c>
      <c r="C1107" s="4">
        <v>9371224762</v>
      </c>
      <c r="D1107" s="4" t="s">
        <v>121</v>
      </c>
      <c r="E1107" s="4" t="s">
        <v>33</v>
      </c>
      <c r="F1107" s="4" t="s">
        <v>102</v>
      </c>
      <c r="G1107" s="4" t="s">
        <v>35</v>
      </c>
      <c r="H1107" s="4" t="s">
        <v>2591</v>
      </c>
      <c r="I1107" s="2" t="str">
        <f t="shared" si="85"/>
        <v>Oct</v>
      </c>
      <c r="J1107" s="2">
        <f t="shared" si="86"/>
        <v>10</v>
      </c>
      <c r="K1107" s="2">
        <f t="shared" si="87"/>
        <v>2024</v>
      </c>
      <c r="L1107" s="2">
        <f t="shared" si="88"/>
        <v>4</v>
      </c>
      <c r="M1107" s="4">
        <v>9</v>
      </c>
      <c r="N1107" s="4" t="s">
        <v>2846</v>
      </c>
      <c r="O1107" s="4" t="s">
        <v>27</v>
      </c>
      <c r="P1107" s="5">
        <v>243557</v>
      </c>
      <c r="Q1107" s="4"/>
      <c r="R1107" s="4"/>
      <c r="S1107" s="4" t="s">
        <v>5573</v>
      </c>
      <c r="T1107" s="4">
        <v>42.5</v>
      </c>
      <c r="U1107" s="4" t="s">
        <v>47</v>
      </c>
      <c r="V1107" s="4" t="s">
        <v>38</v>
      </c>
      <c r="W1107" s="67" t="str">
        <f t="shared" si="89"/>
        <v>-</v>
      </c>
    </row>
    <row r="1108" spans="1:23" x14ac:dyDescent="0.3">
      <c r="A1108" s="2" t="s">
        <v>2879</v>
      </c>
      <c r="B1108" s="2" t="s">
        <v>2880</v>
      </c>
      <c r="C1108" s="2">
        <v>9258081685</v>
      </c>
      <c r="D1108" s="2" t="s">
        <v>20</v>
      </c>
      <c r="E1108" s="2" t="s">
        <v>109</v>
      </c>
      <c r="F1108" s="2" t="s">
        <v>110</v>
      </c>
      <c r="G1108" s="2" t="s">
        <v>52</v>
      </c>
      <c r="H1108" s="2" t="s">
        <v>2591</v>
      </c>
      <c r="I1108" s="2" t="str">
        <f t="shared" si="85"/>
        <v>Oct</v>
      </c>
      <c r="J1108" s="2">
        <f t="shared" si="86"/>
        <v>10</v>
      </c>
      <c r="K1108" s="2">
        <f t="shared" si="87"/>
        <v>2024</v>
      </c>
      <c r="L1108" s="2">
        <f t="shared" si="88"/>
        <v>4</v>
      </c>
      <c r="M1108" s="2">
        <v>11</v>
      </c>
      <c r="N1108" s="2" t="s">
        <v>2637</v>
      </c>
      <c r="O1108" s="2" t="s">
        <v>27</v>
      </c>
      <c r="P1108" s="3">
        <v>383436</v>
      </c>
      <c r="Q1108" s="2"/>
      <c r="R1108" s="2"/>
      <c r="S1108" s="2" t="s">
        <v>5573</v>
      </c>
      <c r="T1108" s="2">
        <v>10.7</v>
      </c>
      <c r="U1108" s="2" t="s">
        <v>29</v>
      </c>
      <c r="V1108" s="2" t="s">
        <v>123</v>
      </c>
      <c r="W1108" s="67" t="str">
        <f t="shared" si="89"/>
        <v>-</v>
      </c>
    </row>
    <row r="1109" spans="1:23" x14ac:dyDescent="0.3">
      <c r="A1109" s="6" t="s">
        <v>2881</v>
      </c>
      <c r="B1109" s="6" t="s">
        <v>391</v>
      </c>
      <c r="C1109" s="6">
        <v>9506488935</v>
      </c>
      <c r="D1109" s="6" t="s">
        <v>59</v>
      </c>
      <c r="E1109" s="6" t="s">
        <v>641</v>
      </c>
      <c r="F1109" s="6" t="s">
        <v>681</v>
      </c>
      <c r="G1109" s="6" t="s">
        <v>23</v>
      </c>
      <c r="H1109" s="6" t="s">
        <v>2716</v>
      </c>
      <c r="I1109" s="2" t="str">
        <f t="shared" si="85"/>
        <v>Oct</v>
      </c>
      <c r="J1109" s="2">
        <f t="shared" si="86"/>
        <v>10</v>
      </c>
      <c r="K1109" s="2">
        <f t="shared" si="87"/>
        <v>2024</v>
      </c>
      <c r="L1109" s="2">
        <f t="shared" si="88"/>
        <v>4</v>
      </c>
      <c r="M1109" s="6">
        <v>3</v>
      </c>
      <c r="N1109" s="6" t="s">
        <v>2704</v>
      </c>
      <c r="O1109" s="6" t="s">
        <v>97</v>
      </c>
      <c r="P1109" s="7">
        <v>443210</v>
      </c>
      <c r="Q1109" s="7">
        <v>408299</v>
      </c>
      <c r="R1109" s="6" t="s">
        <v>2636</v>
      </c>
      <c r="S1109" s="6" t="s">
        <v>5573</v>
      </c>
      <c r="T1109" s="6">
        <v>5.4</v>
      </c>
      <c r="U1109" s="6" t="s">
        <v>63</v>
      </c>
      <c r="V1109" s="6" t="s">
        <v>113</v>
      </c>
      <c r="W1109" s="67" t="str">
        <f t="shared" si="89"/>
        <v>Customer</v>
      </c>
    </row>
    <row r="1110" spans="1:23" x14ac:dyDescent="0.3">
      <c r="A1110" s="2" t="s">
        <v>2882</v>
      </c>
      <c r="B1110" s="2" t="s">
        <v>2883</v>
      </c>
      <c r="C1110" s="2">
        <v>9284423041</v>
      </c>
      <c r="D1110" s="2" t="s">
        <v>20</v>
      </c>
      <c r="E1110" s="2" t="s">
        <v>21</v>
      </c>
      <c r="F1110" s="2" t="s">
        <v>230</v>
      </c>
      <c r="G1110" s="2" t="s">
        <v>87</v>
      </c>
      <c r="H1110" s="2" t="s">
        <v>2716</v>
      </c>
      <c r="I1110" s="2" t="str">
        <f t="shared" si="85"/>
        <v>Oct</v>
      </c>
      <c r="J1110" s="2">
        <f t="shared" si="86"/>
        <v>10</v>
      </c>
      <c r="K1110" s="2">
        <f t="shared" si="87"/>
        <v>2024</v>
      </c>
      <c r="L1110" s="2">
        <f t="shared" si="88"/>
        <v>4</v>
      </c>
      <c r="M1110" s="2">
        <v>8</v>
      </c>
      <c r="N1110" s="2" t="s">
        <v>2727</v>
      </c>
      <c r="O1110" s="2" t="s">
        <v>27</v>
      </c>
      <c r="P1110" s="3">
        <v>172948</v>
      </c>
      <c r="Q1110" s="2"/>
      <c r="R1110" s="2"/>
      <c r="S1110" s="2" t="s">
        <v>5573</v>
      </c>
      <c r="T1110" s="2">
        <v>2</v>
      </c>
      <c r="U1110" s="2" t="s">
        <v>29</v>
      </c>
      <c r="V1110" s="2" t="s">
        <v>38</v>
      </c>
      <c r="W1110" s="67" t="str">
        <f t="shared" si="89"/>
        <v>-</v>
      </c>
    </row>
    <row r="1111" spans="1:23" x14ac:dyDescent="0.3">
      <c r="A1111" s="6" t="s">
        <v>2884</v>
      </c>
      <c r="B1111" s="6" t="s">
        <v>2885</v>
      </c>
      <c r="C1111" s="6">
        <v>9451355158</v>
      </c>
      <c r="D1111" s="6" t="s">
        <v>108</v>
      </c>
      <c r="E1111" s="6" t="s">
        <v>33</v>
      </c>
      <c r="F1111" s="6" t="s">
        <v>34</v>
      </c>
      <c r="G1111" s="6" t="s">
        <v>60</v>
      </c>
      <c r="H1111" s="6" t="s">
        <v>2789</v>
      </c>
      <c r="I1111" s="2" t="str">
        <f t="shared" si="85"/>
        <v>Oct</v>
      </c>
      <c r="J1111" s="2">
        <f t="shared" si="86"/>
        <v>10</v>
      </c>
      <c r="K1111" s="2">
        <f t="shared" si="87"/>
        <v>2024</v>
      </c>
      <c r="L1111" s="2">
        <f t="shared" si="88"/>
        <v>4</v>
      </c>
      <c r="M1111" s="6">
        <v>7</v>
      </c>
      <c r="N1111" s="6" t="s">
        <v>2869</v>
      </c>
      <c r="O1111" s="6" t="s">
        <v>97</v>
      </c>
      <c r="P1111" s="7">
        <v>219211</v>
      </c>
      <c r="Q1111" s="7">
        <v>193382</v>
      </c>
      <c r="R1111" s="6" t="s">
        <v>2794</v>
      </c>
      <c r="S1111" s="6" t="s">
        <v>5573</v>
      </c>
      <c r="T1111" s="6">
        <v>8.1999999999999993</v>
      </c>
      <c r="U1111" s="6" t="s">
        <v>63</v>
      </c>
      <c r="V1111" s="6" t="s">
        <v>170</v>
      </c>
      <c r="W1111" s="67" t="str">
        <f t="shared" si="89"/>
        <v>Customer</v>
      </c>
    </row>
    <row r="1112" spans="1:23" x14ac:dyDescent="0.3">
      <c r="A1112" s="6" t="s">
        <v>2886</v>
      </c>
      <c r="B1112" s="6" t="s">
        <v>2887</v>
      </c>
      <c r="C1112" s="6">
        <v>9490819134</v>
      </c>
      <c r="D1112" s="6" t="s">
        <v>59</v>
      </c>
      <c r="E1112" s="6" t="s">
        <v>41</v>
      </c>
      <c r="F1112" s="6" t="s">
        <v>151</v>
      </c>
      <c r="G1112" s="6" t="s">
        <v>1609</v>
      </c>
      <c r="H1112" s="6" t="s">
        <v>2789</v>
      </c>
      <c r="I1112" s="2" t="str">
        <f t="shared" si="85"/>
        <v>Oct</v>
      </c>
      <c r="J1112" s="2">
        <f t="shared" si="86"/>
        <v>10</v>
      </c>
      <c r="K1112" s="2">
        <f t="shared" si="87"/>
        <v>2024</v>
      </c>
      <c r="L1112" s="2">
        <f t="shared" si="88"/>
        <v>4</v>
      </c>
      <c r="M1112" s="6">
        <v>6</v>
      </c>
      <c r="N1112" s="6" t="s">
        <v>2790</v>
      </c>
      <c r="O1112" s="6" t="s">
        <v>97</v>
      </c>
      <c r="P1112" s="7">
        <v>178877</v>
      </c>
      <c r="Q1112" s="7">
        <v>166775</v>
      </c>
      <c r="R1112" s="6" t="s">
        <v>2728</v>
      </c>
      <c r="S1112" s="6" t="s">
        <v>5573</v>
      </c>
      <c r="T1112" s="6">
        <v>15</v>
      </c>
      <c r="U1112" s="6" t="s">
        <v>63</v>
      </c>
      <c r="V1112" s="6" t="s">
        <v>465</v>
      </c>
      <c r="W1112" s="67" t="str">
        <f t="shared" si="89"/>
        <v>Architect</v>
      </c>
    </row>
    <row r="1113" spans="1:23" x14ac:dyDescent="0.3">
      <c r="A1113" s="8" t="s">
        <v>2888</v>
      </c>
      <c r="B1113" s="8" t="s">
        <v>2609</v>
      </c>
      <c r="C1113" s="8">
        <v>9663107636</v>
      </c>
      <c r="D1113" s="8" t="s">
        <v>20</v>
      </c>
      <c r="E1113" s="8" t="s">
        <v>33</v>
      </c>
      <c r="F1113" s="8" t="s">
        <v>34</v>
      </c>
      <c r="G1113" s="8" t="s">
        <v>52</v>
      </c>
      <c r="H1113" s="8" t="s">
        <v>2789</v>
      </c>
      <c r="I1113" s="2" t="str">
        <f t="shared" si="85"/>
        <v>Oct</v>
      </c>
      <c r="J1113" s="2">
        <f t="shared" si="86"/>
        <v>10</v>
      </c>
      <c r="K1113" s="2">
        <f t="shared" si="87"/>
        <v>2024</v>
      </c>
      <c r="L1113" s="2">
        <f t="shared" si="88"/>
        <v>4</v>
      </c>
      <c r="M1113" s="8">
        <v>2</v>
      </c>
      <c r="N1113" s="8" t="s">
        <v>2758</v>
      </c>
      <c r="O1113" s="8" t="s">
        <v>27</v>
      </c>
      <c r="P1113" s="9">
        <v>329233</v>
      </c>
      <c r="Q1113" s="8"/>
      <c r="R1113" s="8"/>
      <c r="S1113" s="8" t="s">
        <v>5573</v>
      </c>
      <c r="T1113" s="8">
        <v>32.299999999999997</v>
      </c>
      <c r="U1113" s="8" t="s">
        <v>29</v>
      </c>
      <c r="V1113" s="8" t="s">
        <v>153</v>
      </c>
      <c r="W1113" s="67" t="str">
        <f t="shared" si="89"/>
        <v>-</v>
      </c>
    </row>
    <row r="1114" spans="1:23" x14ac:dyDescent="0.3">
      <c r="A1114" s="2" t="s">
        <v>2889</v>
      </c>
      <c r="B1114" s="2" t="s">
        <v>2121</v>
      </c>
      <c r="C1114" s="2">
        <v>9719682691</v>
      </c>
      <c r="D1114" s="2" t="s">
        <v>51</v>
      </c>
      <c r="E1114" s="2" t="s">
        <v>641</v>
      </c>
      <c r="F1114" s="2" t="s">
        <v>717</v>
      </c>
      <c r="G1114" s="2" t="s">
        <v>643</v>
      </c>
      <c r="H1114" s="2" t="s">
        <v>2736</v>
      </c>
      <c r="I1114" s="2" t="str">
        <f t="shared" si="85"/>
        <v>Oct</v>
      </c>
      <c r="J1114" s="2">
        <f t="shared" si="86"/>
        <v>10</v>
      </c>
      <c r="K1114" s="2">
        <f t="shared" si="87"/>
        <v>2024</v>
      </c>
      <c r="L1114" s="2">
        <f t="shared" si="88"/>
        <v>4</v>
      </c>
      <c r="M1114" s="2">
        <v>5</v>
      </c>
      <c r="N1114" s="2" t="s">
        <v>2731</v>
      </c>
      <c r="O1114" s="2" t="s">
        <v>55</v>
      </c>
      <c r="P1114" s="3">
        <v>913011</v>
      </c>
      <c r="Q1114" s="2"/>
      <c r="R1114" s="2"/>
      <c r="S1114" s="2" t="s">
        <v>5573</v>
      </c>
      <c r="T1114" s="2">
        <v>8.4</v>
      </c>
      <c r="U1114" s="2" t="s">
        <v>29</v>
      </c>
      <c r="V1114" s="2" t="s">
        <v>247</v>
      </c>
      <c r="W1114" s="67" t="str">
        <f t="shared" si="89"/>
        <v>-</v>
      </c>
    </row>
    <row r="1115" spans="1:23" x14ac:dyDescent="0.3">
      <c r="A1115" s="4" t="s">
        <v>2890</v>
      </c>
      <c r="B1115" s="4" t="s">
        <v>2891</v>
      </c>
      <c r="C1115" s="4">
        <v>9298762013</v>
      </c>
      <c r="D1115" s="4" t="s">
        <v>59</v>
      </c>
      <c r="E1115" s="4" t="s">
        <v>41</v>
      </c>
      <c r="F1115" s="4" t="s">
        <v>151</v>
      </c>
      <c r="G1115" s="4" t="s">
        <v>35</v>
      </c>
      <c r="H1115" s="4" t="s">
        <v>2736</v>
      </c>
      <c r="I1115" s="2" t="str">
        <f t="shared" si="85"/>
        <v>Oct</v>
      </c>
      <c r="J1115" s="2">
        <f t="shared" si="86"/>
        <v>10</v>
      </c>
      <c r="K1115" s="2">
        <f t="shared" si="87"/>
        <v>2024</v>
      </c>
      <c r="L1115" s="2">
        <f t="shared" si="88"/>
        <v>4</v>
      </c>
      <c r="M1115" s="4">
        <v>0</v>
      </c>
      <c r="N1115" s="4" t="s">
        <v>2636</v>
      </c>
      <c r="O1115" s="4" t="s">
        <v>62</v>
      </c>
      <c r="P1115" s="5">
        <v>314645</v>
      </c>
      <c r="Q1115" s="4"/>
      <c r="R1115" s="4"/>
      <c r="S1115" s="4" t="s">
        <v>5573</v>
      </c>
      <c r="T1115" s="4">
        <v>13.3</v>
      </c>
      <c r="U1115" s="4" t="s">
        <v>47</v>
      </c>
      <c r="V1115" s="4" t="s">
        <v>212</v>
      </c>
      <c r="W1115" s="67" t="str">
        <f t="shared" si="89"/>
        <v>-</v>
      </c>
    </row>
    <row r="1116" spans="1:23" x14ac:dyDescent="0.3">
      <c r="A1116" s="6" t="s">
        <v>2892</v>
      </c>
      <c r="B1116" s="6" t="s">
        <v>2893</v>
      </c>
      <c r="C1116" s="6">
        <v>9381159559</v>
      </c>
      <c r="D1116" s="6" t="s">
        <v>51</v>
      </c>
      <c r="E1116" s="6" t="s">
        <v>41</v>
      </c>
      <c r="F1116" s="6" t="s">
        <v>86</v>
      </c>
      <c r="G1116" s="6" t="s">
        <v>643</v>
      </c>
      <c r="H1116" s="6" t="s">
        <v>2736</v>
      </c>
      <c r="I1116" s="2" t="str">
        <f t="shared" si="85"/>
        <v>Oct</v>
      </c>
      <c r="J1116" s="2">
        <f t="shared" si="86"/>
        <v>10</v>
      </c>
      <c r="K1116" s="2">
        <f t="shared" si="87"/>
        <v>2024</v>
      </c>
      <c r="L1116" s="2">
        <f t="shared" si="88"/>
        <v>4</v>
      </c>
      <c r="M1116" s="6">
        <v>12</v>
      </c>
      <c r="N1116" s="6" t="s">
        <v>2894</v>
      </c>
      <c r="O1116" s="6" t="s">
        <v>97</v>
      </c>
      <c r="P1116" s="7">
        <v>1312978</v>
      </c>
      <c r="Q1116" s="7">
        <v>1220956</v>
      </c>
      <c r="R1116" s="6" t="s">
        <v>2895</v>
      </c>
      <c r="S1116" s="6" t="s">
        <v>5573</v>
      </c>
      <c r="T1116" s="6">
        <v>28.7</v>
      </c>
      <c r="U1116" s="6" t="s">
        <v>63</v>
      </c>
      <c r="V1116" s="6" t="s">
        <v>286</v>
      </c>
      <c r="W1116" s="67" t="str">
        <f t="shared" si="89"/>
        <v>Customer</v>
      </c>
    </row>
    <row r="1117" spans="1:23" x14ac:dyDescent="0.3">
      <c r="A1117" s="4" t="s">
        <v>2896</v>
      </c>
      <c r="B1117" s="4" t="s">
        <v>1280</v>
      </c>
      <c r="C1117" s="4">
        <v>9476199474</v>
      </c>
      <c r="D1117" s="4" t="s">
        <v>108</v>
      </c>
      <c r="E1117" s="4" t="s">
        <v>648</v>
      </c>
      <c r="F1117" s="4" t="s">
        <v>649</v>
      </c>
      <c r="G1117" s="4" t="s">
        <v>1735</v>
      </c>
      <c r="H1117" s="4" t="s">
        <v>2781</v>
      </c>
      <c r="I1117" s="2" t="str">
        <f t="shared" si="85"/>
        <v>Oct</v>
      </c>
      <c r="J1117" s="2">
        <f t="shared" si="86"/>
        <v>10</v>
      </c>
      <c r="K1117" s="2">
        <f t="shared" si="87"/>
        <v>2024</v>
      </c>
      <c r="L1117" s="2">
        <f t="shared" si="88"/>
        <v>4</v>
      </c>
      <c r="M1117" s="4">
        <v>6</v>
      </c>
      <c r="N1117" s="4" t="s">
        <v>2839</v>
      </c>
      <c r="O1117" s="4" t="s">
        <v>27</v>
      </c>
      <c r="P1117" s="5">
        <v>1298000</v>
      </c>
      <c r="Q1117" s="4"/>
      <c r="R1117" s="4"/>
      <c r="S1117" s="4" t="s">
        <v>5573</v>
      </c>
      <c r="T1117" s="4">
        <v>18.5</v>
      </c>
      <c r="U1117" s="4" t="s">
        <v>29</v>
      </c>
      <c r="V1117" s="4" t="s">
        <v>163</v>
      </c>
      <c r="W1117" s="67" t="str">
        <f t="shared" si="89"/>
        <v>-</v>
      </c>
    </row>
    <row r="1118" spans="1:23" x14ac:dyDescent="0.3">
      <c r="A1118" s="2" t="s">
        <v>2897</v>
      </c>
      <c r="B1118" s="2" t="s">
        <v>2175</v>
      </c>
      <c r="C1118" s="2">
        <v>9755514857</v>
      </c>
      <c r="D1118" s="2" t="s">
        <v>20</v>
      </c>
      <c r="E1118" s="2" t="s">
        <v>1632</v>
      </c>
      <c r="F1118" s="2" t="s">
        <v>1717</v>
      </c>
      <c r="G1118" s="2" t="s">
        <v>60</v>
      </c>
      <c r="H1118" s="2" t="s">
        <v>2781</v>
      </c>
      <c r="I1118" s="2" t="str">
        <f t="shared" si="85"/>
        <v>Oct</v>
      </c>
      <c r="J1118" s="2">
        <f t="shared" si="86"/>
        <v>10</v>
      </c>
      <c r="K1118" s="2">
        <f t="shared" si="87"/>
        <v>2024</v>
      </c>
      <c r="L1118" s="2">
        <f t="shared" si="88"/>
        <v>4</v>
      </c>
      <c r="M1118" s="2">
        <v>1</v>
      </c>
      <c r="N1118" s="2" t="s">
        <v>2601</v>
      </c>
      <c r="O1118" s="2" t="s">
        <v>45</v>
      </c>
      <c r="P1118" s="3">
        <v>220649</v>
      </c>
      <c r="Q1118" s="2"/>
      <c r="R1118" s="2"/>
      <c r="S1118" s="2" t="s">
        <v>5573</v>
      </c>
      <c r="T1118" s="2">
        <v>29.3</v>
      </c>
      <c r="U1118" s="2" t="s">
        <v>29</v>
      </c>
      <c r="V1118" s="2" t="s">
        <v>187</v>
      </c>
      <c r="W1118" s="67" t="str">
        <f t="shared" si="89"/>
        <v>-</v>
      </c>
    </row>
    <row r="1119" spans="1:23" x14ac:dyDescent="0.3">
      <c r="A1119" s="4" t="s">
        <v>2898</v>
      </c>
      <c r="B1119" s="4" t="s">
        <v>2899</v>
      </c>
      <c r="C1119" s="4">
        <v>9640239828</v>
      </c>
      <c r="D1119" s="4" t="s">
        <v>108</v>
      </c>
      <c r="E1119" s="4" t="s">
        <v>648</v>
      </c>
      <c r="F1119" s="4" t="s">
        <v>649</v>
      </c>
      <c r="G1119" s="4" t="s">
        <v>60</v>
      </c>
      <c r="H1119" s="4" t="s">
        <v>2700</v>
      </c>
      <c r="I1119" s="2" t="str">
        <f t="shared" si="85"/>
        <v>Oct</v>
      </c>
      <c r="J1119" s="2">
        <f t="shared" si="86"/>
        <v>10</v>
      </c>
      <c r="K1119" s="2">
        <f t="shared" si="87"/>
        <v>2024</v>
      </c>
      <c r="L1119" s="2">
        <f t="shared" si="88"/>
        <v>4</v>
      </c>
      <c r="M1119" s="4">
        <v>7</v>
      </c>
      <c r="N1119" s="4" t="s">
        <v>2777</v>
      </c>
      <c r="O1119" s="4" t="s">
        <v>45</v>
      </c>
      <c r="P1119" s="5">
        <v>116076</v>
      </c>
      <c r="Q1119" s="4"/>
      <c r="R1119" s="4"/>
      <c r="S1119" s="4" t="s">
        <v>5573</v>
      </c>
      <c r="T1119" s="4">
        <v>44.8</v>
      </c>
      <c r="U1119" s="4" t="s">
        <v>63</v>
      </c>
      <c r="V1119" s="4" t="s">
        <v>535</v>
      </c>
      <c r="W1119" s="67" t="str">
        <f t="shared" si="89"/>
        <v>-</v>
      </c>
    </row>
    <row r="1120" spans="1:23" x14ac:dyDescent="0.3">
      <c r="A1120" s="2" t="s">
        <v>2900</v>
      </c>
      <c r="B1120" s="2" t="s">
        <v>2901</v>
      </c>
      <c r="C1120" s="2">
        <v>9752170882</v>
      </c>
      <c r="D1120" s="2" t="s">
        <v>121</v>
      </c>
      <c r="E1120" s="2" t="s">
        <v>109</v>
      </c>
      <c r="F1120" s="2" t="s">
        <v>110</v>
      </c>
      <c r="G1120" s="2" t="s">
        <v>69</v>
      </c>
      <c r="H1120" s="2" t="s">
        <v>2700</v>
      </c>
      <c r="I1120" s="2" t="str">
        <f t="shared" si="85"/>
        <v>Oct</v>
      </c>
      <c r="J1120" s="2">
        <f t="shared" si="86"/>
        <v>10</v>
      </c>
      <c r="K1120" s="2">
        <f t="shared" si="87"/>
        <v>2024</v>
      </c>
      <c r="L1120" s="2">
        <f t="shared" si="88"/>
        <v>4</v>
      </c>
      <c r="M1120" s="2">
        <v>8</v>
      </c>
      <c r="N1120" s="2" t="s">
        <v>2895</v>
      </c>
      <c r="O1120" s="2" t="s">
        <v>45</v>
      </c>
      <c r="P1120" s="3">
        <v>123102</v>
      </c>
      <c r="Q1120" s="2"/>
      <c r="R1120" s="2"/>
      <c r="S1120" s="2" t="s">
        <v>5573</v>
      </c>
      <c r="T1120" s="2">
        <v>29.4</v>
      </c>
      <c r="U1120" s="2" t="s">
        <v>63</v>
      </c>
      <c r="V1120" s="2" t="s">
        <v>221</v>
      </c>
      <c r="W1120" s="67" t="str">
        <f t="shared" si="89"/>
        <v>-</v>
      </c>
    </row>
    <row r="1121" spans="1:23" x14ac:dyDescent="0.3">
      <c r="A1121" s="6" t="s">
        <v>2902</v>
      </c>
      <c r="B1121" s="6" t="s">
        <v>2903</v>
      </c>
      <c r="C1121" s="6">
        <v>9275949363</v>
      </c>
      <c r="D1121" s="6" t="s">
        <v>108</v>
      </c>
      <c r="E1121" s="6" t="s">
        <v>648</v>
      </c>
      <c r="F1121" s="6" t="s">
        <v>899</v>
      </c>
      <c r="G1121" s="6" t="s">
        <v>1609</v>
      </c>
      <c r="H1121" s="6" t="s">
        <v>2700</v>
      </c>
      <c r="I1121" s="2" t="str">
        <f t="shared" si="85"/>
        <v>Oct</v>
      </c>
      <c r="J1121" s="2">
        <f t="shared" si="86"/>
        <v>10</v>
      </c>
      <c r="K1121" s="2">
        <f t="shared" si="87"/>
        <v>2024</v>
      </c>
      <c r="L1121" s="2">
        <f t="shared" si="88"/>
        <v>4</v>
      </c>
      <c r="M1121" s="6">
        <v>0</v>
      </c>
      <c r="N1121" s="6" t="s">
        <v>2601</v>
      </c>
      <c r="O1121" s="6" t="s">
        <v>97</v>
      </c>
      <c r="P1121" s="7">
        <v>270175</v>
      </c>
      <c r="Q1121" s="7">
        <v>244872</v>
      </c>
      <c r="R1121" s="6" t="s">
        <v>2894</v>
      </c>
      <c r="S1121" s="6" t="s">
        <v>5573</v>
      </c>
      <c r="T1121" s="6">
        <v>20</v>
      </c>
      <c r="U1121" s="6" t="s">
        <v>47</v>
      </c>
      <c r="V1121" s="6" t="s">
        <v>907</v>
      </c>
      <c r="W1121" s="67" t="str">
        <f t="shared" si="89"/>
        <v>Customer</v>
      </c>
    </row>
    <row r="1122" spans="1:23" x14ac:dyDescent="0.3">
      <c r="A1122" s="2" t="s">
        <v>2904</v>
      </c>
      <c r="B1122" s="2" t="s">
        <v>2905</v>
      </c>
      <c r="C1122" s="2">
        <v>9527748330</v>
      </c>
      <c r="D1122" s="2" t="s">
        <v>108</v>
      </c>
      <c r="E1122" s="2" t="s">
        <v>1632</v>
      </c>
      <c r="F1122" s="2" t="s">
        <v>1849</v>
      </c>
      <c r="G1122" s="2" t="s">
        <v>52</v>
      </c>
      <c r="H1122" s="2" t="s">
        <v>2668</v>
      </c>
      <c r="I1122" s="2" t="str">
        <f t="shared" si="85"/>
        <v>Oct</v>
      </c>
      <c r="J1122" s="2">
        <f t="shared" si="86"/>
        <v>10</v>
      </c>
      <c r="K1122" s="2">
        <f t="shared" si="87"/>
        <v>2024</v>
      </c>
      <c r="L1122" s="2">
        <f t="shared" si="88"/>
        <v>4</v>
      </c>
      <c r="M1122" s="2">
        <v>3</v>
      </c>
      <c r="N1122" s="2" t="s">
        <v>2871</v>
      </c>
      <c r="O1122" s="2" t="s">
        <v>62</v>
      </c>
      <c r="P1122" s="2"/>
      <c r="Q1122" s="2"/>
      <c r="R1122" s="2"/>
      <c r="S1122" s="2" t="s">
        <v>5573</v>
      </c>
      <c r="T1122" s="2">
        <v>19.399999999999999</v>
      </c>
      <c r="U1122" s="2" t="s">
        <v>29</v>
      </c>
      <c r="V1122" s="2" t="s">
        <v>83</v>
      </c>
      <c r="W1122" s="67" t="str">
        <f t="shared" si="89"/>
        <v>-</v>
      </c>
    </row>
    <row r="1123" spans="1:23" x14ac:dyDescent="0.3">
      <c r="A1123" s="4" t="s">
        <v>2906</v>
      </c>
      <c r="B1123" s="4" t="s">
        <v>2907</v>
      </c>
      <c r="C1123" s="4">
        <v>9448233398</v>
      </c>
      <c r="D1123" s="4" t="s">
        <v>20</v>
      </c>
      <c r="E1123" s="4" t="s">
        <v>33</v>
      </c>
      <c r="F1123" s="4" t="s">
        <v>201</v>
      </c>
      <c r="G1123" s="4" t="s">
        <v>60</v>
      </c>
      <c r="H1123" s="4" t="s">
        <v>2668</v>
      </c>
      <c r="I1123" s="2" t="str">
        <f t="shared" si="85"/>
        <v>Oct</v>
      </c>
      <c r="J1123" s="2">
        <f t="shared" si="86"/>
        <v>10</v>
      </c>
      <c r="K1123" s="2">
        <f t="shared" si="87"/>
        <v>2024</v>
      </c>
      <c r="L1123" s="2">
        <f t="shared" si="88"/>
        <v>4</v>
      </c>
      <c r="M1123" s="4">
        <v>1</v>
      </c>
      <c r="N1123" s="4" t="s">
        <v>2846</v>
      </c>
      <c r="O1123" s="4" t="s">
        <v>27</v>
      </c>
      <c r="P1123" s="5">
        <v>68720</v>
      </c>
      <c r="Q1123" s="4"/>
      <c r="R1123" s="4"/>
      <c r="S1123" s="4" t="s">
        <v>5573</v>
      </c>
      <c r="T1123" s="4">
        <v>42.8</v>
      </c>
      <c r="U1123" s="4" t="s">
        <v>29</v>
      </c>
      <c r="V1123" s="4" t="s">
        <v>153</v>
      </c>
      <c r="W1123" s="67" t="str">
        <f t="shared" si="89"/>
        <v>-</v>
      </c>
    </row>
    <row r="1124" spans="1:23" x14ac:dyDescent="0.3">
      <c r="A1124" s="6" t="s">
        <v>2908</v>
      </c>
      <c r="B1124" s="6" t="s">
        <v>1725</v>
      </c>
      <c r="C1124" s="6">
        <v>9516200262</v>
      </c>
      <c r="D1124" s="6" t="s">
        <v>20</v>
      </c>
      <c r="E1124" s="6" t="s">
        <v>648</v>
      </c>
      <c r="F1124" s="6" t="s">
        <v>822</v>
      </c>
      <c r="G1124" s="6" t="s">
        <v>616</v>
      </c>
      <c r="H1124" s="6" t="s">
        <v>2668</v>
      </c>
      <c r="I1124" s="2" t="str">
        <f t="shared" si="85"/>
        <v>Oct</v>
      </c>
      <c r="J1124" s="2">
        <f t="shared" si="86"/>
        <v>10</v>
      </c>
      <c r="K1124" s="2">
        <f t="shared" si="87"/>
        <v>2024</v>
      </c>
      <c r="L1124" s="2">
        <f t="shared" si="88"/>
        <v>4</v>
      </c>
      <c r="M1124" s="6">
        <v>2</v>
      </c>
      <c r="N1124" s="6" t="s">
        <v>2839</v>
      </c>
      <c r="O1124" s="6" t="s">
        <v>97</v>
      </c>
      <c r="P1124" s="7">
        <v>370305</v>
      </c>
      <c r="Q1124" s="7">
        <v>341383</v>
      </c>
      <c r="R1124" s="6" t="s">
        <v>2709</v>
      </c>
      <c r="S1124" s="6" t="s">
        <v>5573</v>
      </c>
      <c r="T1124" s="6">
        <v>33.9</v>
      </c>
      <c r="U1124" s="6" t="s">
        <v>63</v>
      </c>
      <c r="V1124" s="6" t="s">
        <v>295</v>
      </c>
      <c r="W1124" s="67" t="str">
        <f t="shared" si="89"/>
        <v>Customer</v>
      </c>
    </row>
    <row r="1125" spans="1:23" x14ac:dyDescent="0.3">
      <c r="A1125" s="4" t="s">
        <v>2909</v>
      </c>
      <c r="B1125" s="4" t="s">
        <v>2780</v>
      </c>
      <c r="C1125" s="4">
        <v>9106215913</v>
      </c>
      <c r="D1125" s="4" t="s">
        <v>20</v>
      </c>
      <c r="E1125" s="4" t="s">
        <v>1632</v>
      </c>
      <c r="F1125" s="4" t="s">
        <v>1682</v>
      </c>
      <c r="G1125" s="4" t="s">
        <v>23</v>
      </c>
      <c r="H1125" s="4" t="s">
        <v>2668</v>
      </c>
      <c r="I1125" s="2" t="str">
        <f t="shared" si="85"/>
        <v>Oct</v>
      </c>
      <c r="J1125" s="2">
        <f t="shared" si="86"/>
        <v>10</v>
      </c>
      <c r="K1125" s="2">
        <f t="shared" si="87"/>
        <v>2024</v>
      </c>
      <c r="L1125" s="2">
        <f t="shared" si="88"/>
        <v>4</v>
      </c>
      <c r="M1125" s="4">
        <v>7</v>
      </c>
      <c r="N1125" s="4" t="s">
        <v>2869</v>
      </c>
      <c r="O1125" s="4" t="s">
        <v>27</v>
      </c>
      <c r="P1125" s="5">
        <v>678353</v>
      </c>
      <c r="Q1125" s="4"/>
      <c r="R1125" s="4"/>
      <c r="S1125" s="4" t="s">
        <v>5573</v>
      </c>
      <c r="T1125" s="4">
        <v>7.3</v>
      </c>
      <c r="U1125" s="4" t="s">
        <v>29</v>
      </c>
      <c r="V1125" s="4" t="s">
        <v>38</v>
      </c>
      <c r="W1125" s="67" t="str">
        <f t="shared" si="89"/>
        <v>-</v>
      </c>
    </row>
    <row r="1126" spans="1:23" x14ac:dyDescent="0.3">
      <c r="A1126" s="2" t="s">
        <v>2910</v>
      </c>
      <c r="B1126" s="2" t="s">
        <v>2911</v>
      </c>
      <c r="C1126" s="2">
        <v>9477315779</v>
      </c>
      <c r="D1126" s="2" t="s">
        <v>59</v>
      </c>
      <c r="E1126" s="2" t="s">
        <v>67</v>
      </c>
      <c r="F1126" s="2" t="s">
        <v>80</v>
      </c>
      <c r="G1126" s="2" t="s">
        <v>87</v>
      </c>
      <c r="H1126" s="2" t="s">
        <v>2668</v>
      </c>
      <c r="I1126" s="2" t="str">
        <f t="shared" si="85"/>
        <v>Oct</v>
      </c>
      <c r="J1126" s="2">
        <f t="shared" si="86"/>
        <v>10</v>
      </c>
      <c r="K1126" s="2">
        <f t="shared" si="87"/>
        <v>2024</v>
      </c>
      <c r="L1126" s="2">
        <f t="shared" si="88"/>
        <v>4</v>
      </c>
      <c r="M1126" s="2">
        <v>1</v>
      </c>
      <c r="N1126" s="2" t="s">
        <v>2731</v>
      </c>
      <c r="O1126" s="2" t="s">
        <v>27</v>
      </c>
      <c r="P1126" s="3">
        <v>173261</v>
      </c>
      <c r="Q1126" s="2"/>
      <c r="R1126" s="2"/>
      <c r="S1126" s="2" t="s">
        <v>5573</v>
      </c>
      <c r="T1126" s="2">
        <v>3.4</v>
      </c>
      <c r="U1126" s="2" t="s">
        <v>29</v>
      </c>
      <c r="V1126" s="2" t="s">
        <v>157</v>
      </c>
      <c r="W1126" s="67" t="str">
        <f t="shared" si="89"/>
        <v>-</v>
      </c>
    </row>
    <row r="1127" spans="1:23" x14ac:dyDescent="0.3">
      <c r="A1127" s="4" t="s">
        <v>2912</v>
      </c>
      <c r="B1127" s="4" t="s">
        <v>2913</v>
      </c>
      <c r="C1127" s="4">
        <v>9499104745</v>
      </c>
      <c r="D1127" s="4" t="s">
        <v>20</v>
      </c>
      <c r="E1127" s="4" t="s">
        <v>648</v>
      </c>
      <c r="F1127" s="4" t="s">
        <v>822</v>
      </c>
      <c r="G1127" s="4" t="s">
        <v>35</v>
      </c>
      <c r="H1127" s="4" t="s">
        <v>2744</v>
      </c>
      <c r="I1127" s="2" t="str">
        <f t="shared" si="85"/>
        <v>Oct</v>
      </c>
      <c r="J1127" s="2">
        <f t="shared" si="86"/>
        <v>10</v>
      </c>
      <c r="K1127" s="2">
        <f t="shared" si="87"/>
        <v>2024</v>
      </c>
      <c r="L1127" s="2">
        <f t="shared" si="88"/>
        <v>4</v>
      </c>
      <c r="M1127" s="4">
        <v>1</v>
      </c>
      <c r="N1127" s="4" t="s">
        <v>2727</v>
      </c>
      <c r="O1127" s="4" t="s">
        <v>62</v>
      </c>
      <c r="P1127" s="5">
        <v>232685</v>
      </c>
      <c r="Q1127" s="4"/>
      <c r="R1127" s="4"/>
      <c r="S1127" s="4" t="s">
        <v>5573</v>
      </c>
      <c r="T1127" s="4">
        <v>24.3</v>
      </c>
      <c r="U1127" s="4" t="s">
        <v>63</v>
      </c>
      <c r="V1127" s="4" t="s">
        <v>559</v>
      </c>
      <c r="W1127" s="67" t="str">
        <f t="shared" si="89"/>
        <v>-</v>
      </c>
    </row>
    <row r="1128" spans="1:23" x14ac:dyDescent="0.3">
      <c r="A1128" s="2" t="s">
        <v>2914</v>
      </c>
      <c r="B1128" s="2" t="s">
        <v>2915</v>
      </c>
      <c r="C1128" s="2">
        <v>9441436663</v>
      </c>
      <c r="D1128" s="2" t="s">
        <v>20</v>
      </c>
      <c r="E1128" s="2" t="s">
        <v>1632</v>
      </c>
      <c r="F1128" s="2" t="s">
        <v>1659</v>
      </c>
      <c r="G1128" s="2" t="s">
        <v>1621</v>
      </c>
      <c r="H1128" s="2" t="s">
        <v>2744</v>
      </c>
      <c r="I1128" s="2" t="str">
        <f t="shared" si="85"/>
        <v>Oct</v>
      </c>
      <c r="J1128" s="2">
        <f t="shared" si="86"/>
        <v>10</v>
      </c>
      <c r="K1128" s="2">
        <f t="shared" si="87"/>
        <v>2024</v>
      </c>
      <c r="L1128" s="2">
        <f t="shared" si="88"/>
        <v>4</v>
      </c>
      <c r="M1128" s="2">
        <v>7</v>
      </c>
      <c r="N1128" s="2" t="s">
        <v>2818</v>
      </c>
      <c r="O1128" s="2" t="s">
        <v>45</v>
      </c>
      <c r="P1128" s="3">
        <v>363645</v>
      </c>
      <c r="Q1128" s="2"/>
      <c r="R1128" s="2"/>
      <c r="S1128" s="2" t="s">
        <v>5573</v>
      </c>
      <c r="T1128" s="2">
        <v>12.7</v>
      </c>
      <c r="U1128" s="2" t="s">
        <v>63</v>
      </c>
      <c r="V1128" s="2" t="s">
        <v>621</v>
      </c>
      <c r="W1128" s="67" t="str">
        <f t="shared" si="89"/>
        <v>-</v>
      </c>
    </row>
    <row r="1129" spans="1:23" x14ac:dyDescent="0.3">
      <c r="A1129" s="6" t="s">
        <v>2916</v>
      </c>
      <c r="B1129" s="6" t="s">
        <v>2917</v>
      </c>
      <c r="C1129" s="6">
        <v>9219364759</v>
      </c>
      <c r="D1129" s="6" t="s">
        <v>20</v>
      </c>
      <c r="E1129" s="6" t="s">
        <v>41</v>
      </c>
      <c r="F1129" s="6" t="s">
        <v>42</v>
      </c>
      <c r="G1129" s="6" t="s">
        <v>643</v>
      </c>
      <c r="H1129" s="6" t="s">
        <v>2744</v>
      </c>
      <c r="I1129" s="2" t="str">
        <f t="shared" si="85"/>
        <v>Oct</v>
      </c>
      <c r="J1129" s="2">
        <f t="shared" si="86"/>
        <v>10</v>
      </c>
      <c r="K1129" s="2">
        <f t="shared" si="87"/>
        <v>2024</v>
      </c>
      <c r="L1129" s="2">
        <f t="shared" si="88"/>
        <v>4</v>
      </c>
      <c r="M1129" s="6">
        <v>5</v>
      </c>
      <c r="N1129" s="6" t="s">
        <v>2637</v>
      </c>
      <c r="O1129" s="6" t="s">
        <v>97</v>
      </c>
      <c r="P1129" s="7">
        <v>1286026</v>
      </c>
      <c r="Q1129" s="7">
        <v>1247507</v>
      </c>
      <c r="R1129" s="6" t="s">
        <v>2918</v>
      </c>
      <c r="S1129" s="6" t="s">
        <v>5573</v>
      </c>
      <c r="T1129" s="6">
        <v>38</v>
      </c>
      <c r="U1129" s="6" t="s">
        <v>47</v>
      </c>
      <c r="V1129" s="6" t="s">
        <v>907</v>
      </c>
      <c r="W1129" s="67" t="str">
        <f t="shared" si="89"/>
        <v>Customer</v>
      </c>
    </row>
    <row r="1130" spans="1:23" x14ac:dyDescent="0.3">
      <c r="A1130" s="2" t="s">
        <v>2919</v>
      </c>
      <c r="B1130" s="2" t="s">
        <v>2920</v>
      </c>
      <c r="C1130" s="2">
        <v>9164221002</v>
      </c>
      <c r="D1130" s="2" t="s">
        <v>121</v>
      </c>
      <c r="E1130" s="2" t="s">
        <v>109</v>
      </c>
      <c r="F1130" s="2" t="s">
        <v>331</v>
      </c>
      <c r="G1130" s="2" t="s">
        <v>35</v>
      </c>
      <c r="H1130" s="2" t="s">
        <v>2744</v>
      </c>
      <c r="I1130" s="2" t="str">
        <f t="shared" si="85"/>
        <v>Oct</v>
      </c>
      <c r="J1130" s="2">
        <f t="shared" si="86"/>
        <v>10</v>
      </c>
      <c r="K1130" s="2">
        <f t="shared" si="87"/>
        <v>2024</v>
      </c>
      <c r="L1130" s="2">
        <f t="shared" si="88"/>
        <v>4</v>
      </c>
      <c r="M1130" s="2">
        <v>8</v>
      </c>
      <c r="N1130" s="2" t="s">
        <v>2921</v>
      </c>
      <c r="O1130" s="2" t="s">
        <v>62</v>
      </c>
      <c r="P1130" s="3">
        <v>199364</v>
      </c>
      <c r="Q1130" s="2"/>
      <c r="R1130" s="2"/>
      <c r="S1130" s="2" t="s">
        <v>5573</v>
      </c>
      <c r="T1130" s="2">
        <v>5.0999999999999996</v>
      </c>
      <c r="U1130" s="2" t="s">
        <v>29</v>
      </c>
      <c r="V1130" s="2"/>
      <c r="W1130" s="67" t="str">
        <f t="shared" si="89"/>
        <v>-</v>
      </c>
    </row>
    <row r="1131" spans="1:23" x14ac:dyDescent="0.3">
      <c r="A1131" s="6" t="s">
        <v>2922</v>
      </c>
      <c r="B1131" s="6" t="s">
        <v>2923</v>
      </c>
      <c r="C1131" s="6">
        <v>9971467813</v>
      </c>
      <c r="D1131" s="6" t="s">
        <v>59</v>
      </c>
      <c r="E1131" s="6" t="s">
        <v>41</v>
      </c>
      <c r="F1131" s="6" t="s">
        <v>42</v>
      </c>
      <c r="G1131" s="6" t="s">
        <v>35</v>
      </c>
      <c r="H1131" s="6" t="s">
        <v>2744</v>
      </c>
      <c r="I1131" s="2" t="str">
        <f t="shared" si="85"/>
        <v>Oct</v>
      </c>
      <c r="J1131" s="2">
        <f t="shared" si="86"/>
        <v>10</v>
      </c>
      <c r="K1131" s="2">
        <f t="shared" si="87"/>
        <v>2024</v>
      </c>
      <c r="L1131" s="2">
        <f t="shared" si="88"/>
        <v>4</v>
      </c>
      <c r="M1131" s="6">
        <v>7</v>
      </c>
      <c r="N1131" s="6" t="s">
        <v>2645</v>
      </c>
      <c r="O1131" s="6" t="s">
        <v>97</v>
      </c>
      <c r="P1131" s="7">
        <v>252860</v>
      </c>
      <c r="Q1131" s="7">
        <v>243861</v>
      </c>
      <c r="R1131" s="6" t="s">
        <v>2818</v>
      </c>
      <c r="S1131" s="6" t="s">
        <v>5573</v>
      </c>
      <c r="T1131" s="6">
        <v>6.8</v>
      </c>
      <c r="U1131" s="6" t="s">
        <v>63</v>
      </c>
      <c r="V1131" s="6"/>
      <c r="W1131" s="67" t="str">
        <f t="shared" si="89"/>
        <v>Customer</v>
      </c>
    </row>
    <row r="1132" spans="1:23" x14ac:dyDescent="0.3">
      <c r="A1132" s="2" t="s">
        <v>2924</v>
      </c>
      <c r="B1132" s="2" t="s">
        <v>2925</v>
      </c>
      <c r="C1132" s="2">
        <v>9605070693</v>
      </c>
      <c r="D1132" s="2" t="s">
        <v>59</v>
      </c>
      <c r="E1132" s="2" t="s">
        <v>41</v>
      </c>
      <c r="F1132" s="2" t="s">
        <v>151</v>
      </c>
      <c r="G1132" s="2" t="s">
        <v>60</v>
      </c>
      <c r="H1132" s="2" t="s">
        <v>2758</v>
      </c>
      <c r="I1132" s="2" t="str">
        <f t="shared" si="85"/>
        <v>Oct</v>
      </c>
      <c r="J1132" s="2">
        <f t="shared" si="86"/>
        <v>10</v>
      </c>
      <c r="K1132" s="2">
        <f t="shared" si="87"/>
        <v>2024</v>
      </c>
      <c r="L1132" s="2">
        <f t="shared" si="88"/>
        <v>4</v>
      </c>
      <c r="M1132" s="2">
        <v>2</v>
      </c>
      <c r="N1132" s="2" t="s">
        <v>2926</v>
      </c>
      <c r="O1132" s="2" t="s">
        <v>45</v>
      </c>
      <c r="P1132" s="3">
        <v>177569</v>
      </c>
      <c r="Q1132" s="2"/>
      <c r="R1132" s="2"/>
      <c r="S1132" s="2" t="s">
        <v>5573</v>
      </c>
      <c r="T1132" s="2">
        <v>47.7</v>
      </c>
      <c r="U1132" s="2" t="s">
        <v>63</v>
      </c>
      <c r="V1132" s="2" t="s">
        <v>678</v>
      </c>
      <c r="W1132" s="67" t="str">
        <f t="shared" si="89"/>
        <v>-</v>
      </c>
    </row>
    <row r="1133" spans="1:23" x14ac:dyDescent="0.3">
      <c r="A1133" s="4" t="s">
        <v>2927</v>
      </c>
      <c r="B1133" s="4" t="s">
        <v>2928</v>
      </c>
      <c r="C1133" s="4">
        <v>9395345217</v>
      </c>
      <c r="D1133" s="4" t="s">
        <v>121</v>
      </c>
      <c r="E1133" s="4" t="s">
        <v>648</v>
      </c>
      <c r="F1133" s="4" t="s">
        <v>656</v>
      </c>
      <c r="G1133" s="4" t="s">
        <v>1599</v>
      </c>
      <c r="H1133" s="4" t="s">
        <v>2601</v>
      </c>
      <c r="I1133" s="2" t="str">
        <f t="shared" si="85"/>
        <v>Oct</v>
      </c>
      <c r="J1133" s="2">
        <f t="shared" si="86"/>
        <v>10</v>
      </c>
      <c r="K1133" s="2">
        <f t="shared" si="87"/>
        <v>2024</v>
      </c>
      <c r="L1133" s="2">
        <f t="shared" si="88"/>
        <v>4</v>
      </c>
      <c r="M1133" s="4">
        <v>12</v>
      </c>
      <c r="N1133" s="4" t="s">
        <v>2860</v>
      </c>
      <c r="O1133" s="4" t="s">
        <v>45</v>
      </c>
      <c r="P1133" s="5">
        <v>908683</v>
      </c>
      <c r="Q1133" s="4"/>
      <c r="R1133" s="4"/>
      <c r="S1133" s="4" t="s">
        <v>5573</v>
      </c>
      <c r="T1133" s="4">
        <v>9.9</v>
      </c>
      <c r="U1133" s="4" t="s">
        <v>47</v>
      </c>
      <c r="V1133" s="4" t="s">
        <v>597</v>
      </c>
      <c r="W1133" s="67" t="str">
        <f t="shared" si="89"/>
        <v>-</v>
      </c>
    </row>
    <row r="1134" spans="1:23" x14ac:dyDescent="0.3">
      <c r="A1134" s="8" t="s">
        <v>2929</v>
      </c>
      <c r="B1134" s="8" t="s">
        <v>1416</v>
      </c>
      <c r="C1134" s="8">
        <v>9423655601</v>
      </c>
      <c r="D1134" s="8" t="s">
        <v>20</v>
      </c>
      <c r="E1134" s="8" t="s">
        <v>109</v>
      </c>
      <c r="F1134" s="8" t="s">
        <v>331</v>
      </c>
      <c r="G1134" s="8" t="s">
        <v>1609</v>
      </c>
      <c r="H1134" s="8" t="s">
        <v>2601</v>
      </c>
      <c r="I1134" s="2" t="str">
        <f t="shared" si="85"/>
        <v>Oct</v>
      </c>
      <c r="J1134" s="2">
        <f t="shared" si="86"/>
        <v>10</v>
      </c>
      <c r="K1134" s="2">
        <f t="shared" si="87"/>
        <v>2024</v>
      </c>
      <c r="L1134" s="2">
        <f t="shared" si="88"/>
        <v>4</v>
      </c>
      <c r="M1134" s="8">
        <v>8</v>
      </c>
      <c r="N1134" s="8" t="s">
        <v>2637</v>
      </c>
      <c r="O1134" s="8" t="s">
        <v>45</v>
      </c>
      <c r="P1134" s="9">
        <v>314922</v>
      </c>
      <c r="Q1134" s="8"/>
      <c r="R1134" s="8"/>
      <c r="S1134" s="8" t="s">
        <v>5573</v>
      </c>
      <c r="T1134" s="8">
        <v>14.6</v>
      </c>
      <c r="U1134" s="8" t="s">
        <v>47</v>
      </c>
      <c r="V1134" s="8"/>
      <c r="W1134" s="67" t="str">
        <f t="shared" si="89"/>
        <v>-</v>
      </c>
    </row>
    <row r="1135" spans="1:23" x14ac:dyDescent="0.3">
      <c r="A1135" s="4" t="s">
        <v>2930</v>
      </c>
      <c r="B1135" s="4" t="s">
        <v>2931</v>
      </c>
      <c r="C1135" s="4">
        <v>9187440056</v>
      </c>
      <c r="D1135" s="4" t="s">
        <v>51</v>
      </c>
      <c r="E1135" s="4" t="s">
        <v>33</v>
      </c>
      <c r="F1135" s="4" t="s">
        <v>34</v>
      </c>
      <c r="G1135" s="4" t="s">
        <v>1623</v>
      </c>
      <c r="H1135" s="4" t="s">
        <v>2601</v>
      </c>
      <c r="I1135" s="2" t="str">
        <f t="shared" si="85"/>
        <v>Oct</v>
      </c>
      <c r="J1135" s="2">
        <f t="shared" si="86"/>
        <v>10</v>
      </c>
      <c r="K1135" s="2">
        <f t="shared" si="87"/>
        <v>2024</v>
      </c>
      <c r="L1135" s="2">
        <f t="shared" si="88"/>
        <v>4</v>
      </c>
      <c r="M1135" s="4">
        <v>9</v>
      </c>
      <c r="N1135" s="4" t="s">
        <v>2932</v>
      </c>
      <c r="O1135" s="4" t="s">
        <v>27</v>
      </c>
      <c r="P1135" s="5">
        <v>420549</v>
      </c>
      <c r="Q1135" s="4"/>
      <c r="R1135" s="4"/>
      <c r="S1135" s="4" t="s">
        <v>5573</v>
      </c>
      <c r="T1135" s="4">
        <v>47.7</v>
      </c>
      <c r="U1135" s="4" t="s">
        <v>29</v>
      </c>
      <c r="V1135" s="4" t="s">
        <v>163</v>
      </c>
      <c r="W1135" s="67" t="str">
        <f t="shared" si="89"/>
        <v>-</v>
      </c>
    </row>
    <row r="1136" spans="1:23" x14ac:dyDescent="0.3">
      <c r="A1136" s="8" t="s">
        <v>2933</v>
      </c>
      <c r="B1136" s="8" t="s">
        <v>2934</v>
      </c>
      <c r="C1136" s="8">
        <v>9135324099</v>
      </c>
      <c r="D1136" s="8" t="s">
        <v>20</v>
      </c>
      <c r="E1136" s="8" t="s">
        <v>33</v>
      </c>
      <c r="F1136" s="8" t="s">
        <v>34</v>
      </c>
      <c r="G1136" s="8" t="s">
        <v>643</v>
      </c>
      <c r="H1136" s="8" t="s">
        <v>2601</v>
      </c>
      <c r="I1136" s="2" t="str">
        <f t="shared" si="85"/>
        <v>Oct</v>
      </c>
      <c r="J1136" s="2">
        <f t="shared" si="86"/>
        <v>10</v>
      </c>
      <c r="K1136" s="2">
        <f t="shared" si="87"/>
        <v>2024</v>
      </c>
      <c r="L1136" s="2">
        <f t="shared" si="88"/>
        <v>4</v>
      </c>
      <c r="M1136" s="8">
        <v>7</v>
      </c>
      <c r="N1136" s="8" t="s">
        <v>2869</v>
      </c>
      <c r="O1136" s="8" t="s">
        <v>62</v>
      </c>
      <c r="P1136" s="9">
        <v>1076234</v>
      </c>
      <c r="Q1136" s="8"/>
      <c r="R1136" s="8"/>
      <c r="S1136" s="8" t="s">
        <v>5573</v>
      </c>
      <c r="T1136" s="8">
        <v>4.8</v>
      </c>
      <c r="U1136" s="8" t="s">
        <v>29</v>
      </c>
      <c r="V1136" s="8" t="s">
        <v>187</v>
      </c>
      <c r="W1136" s="67" t="str">
        <f t="shared" si="89"/>
        <v>-</v>
      </c>
    </row>
    <row r="1137" spans="1:23" x14ac:dyDescent="0.3">
      <c r="A1137" s="4" t="s">
        <v>2935</v>
      </c>
      <c r="B1137" s="4" t="s">
        <v>2936</v>
      </c>
      <c r="C1137" s="4">
        <v>9858166756</v>
      </c>
      <c r="D1137" s="4" t="s">
        <v>59</v>
      </c>
      <c r="E1137" s="4" t="s">
        <v>41</v>
      </c>
      <c r="F1137" s="4" t="s">
        <v>86</v>
      </c>
      <c r="G1137" s="4" t="s">
        <v>1735</v>
      </c>
      <c r="H1137" s="4" t="s">
        <v>2601</v>
      </c>
      <c r="I1137" s="2" t="str">
        <f t="shared" si="85"/>
        <v>Oct</v>
      </c>
      <c r="J1137" s="2">
        <f t="shared" si="86"/>
        <v>10</v>
      </c>
      <c r="K1137" s="2">
        <f t="shared" si="87"/>
        <v>2024</v>
      </c>
      <c r="L1137" s="2">
        <f t="shared" si="88"/>
        <v>4</v>
      </c>
      <c r="M1137" s="4">
        <v>2</v>
      </c>
      <c r="N1137" s="4" t="s">
        <v>2846</v>
      </c>
      <c r="O1137" s="4" t="s">
        <v>45</v>
      </c>
      <c r="P1137" s="5">
        <v>1367091</v>
      </c>
      <c r="Q1137" s="4"/>
      <c r="R1137" s="4"/>
      <c r="S1137" s="4" t="s">
        <v>5573</v>
      </c>
      <c r="T1137" s="4">
        <v>2.9</v>
      </c>
      <c r="U1137" s="4" t="s">
        <v>47</v>
      </c>
      <c r="V1137" s="4" t="s">
        <v>137</v>
      </c>
      <c r="W1137" s="67" t="str">
        <f t="shared" si="89"/>
        <v>-</v>
      </c>
    </row>
    <row r="1138" spans="1:23" x14ac:dyDescent="0.3">
      <c r="A1138" s="2" t="s">
        <v>2937</v>
      </c>
      <c r="B1138" s="2" t="s">
        <v>730</v>
      </c>
      <c r="C1138" s="2">
        <v>9869241149</v>
      </c>
      <c r="D1138" s="2" t="s">
        <v>59</v>
      </c>
      <c r="E1138" s="2" t="s">
        <v>648</v>
      </c>
      <c r="F1138" s="2" t="s">
        <v>649</v>
      </c>
      <c r="G1138" s="2" t="s">
        <v>60</v>
      </c>
      <c r="H1138" s="2" t="s">
        <v>2601</v>
      </c>
      <c r="I1138" s="2" t="str">
        <f t="shared" si="85"/>
        <v>Oct</v>
      </c>
      <c r="J1138" s="2">
        <f t="shared" si="86"/>
        <v>10</v>
      </c>
      <c r="K1138" s="2">
        <f t="shared" si="87"/>
        <v>2024</v>
      </c>
      <c r="L1138" s="2">
        <f t="shared" si="88"/>
        <v>4</v>
      </c>
      <c r="M1138" s="2">
        <v>9</v>
      </c>
      <c r="N1138" s="2" t="s">
        <v>2871</v>
      </c>
      <c r="O1138" s="2" t="s">
        <v>62</v>
      </c>
      <c r="P1138" s="3">
        <v>221809</v>
      </c>
      <c r="Q1138" s="2"/>
      <c r="R1138" s="2"/>
      <c r="S1138" s="2" t="s">
        <v>5573</v>
      </c>
      <c r="T1138" s="2">
        <v>17.7</v>
      </c>
      <c r="U1138" s="2" t="s">
        <v>47</v>
      </c>
      <c r="V1138" s="2" t="s">
        <v>183</v>
      </c>
      <c r="W1138" s="67" t="str">
        <f t="shared" si="89"/>
        <v>-</v>
      </c>
    </row>
    <row r="1139" spans="1:23" x14ac:dyDescent="0.3">
      <c r="A1139" s="8" t="s">
        <v>2938</v>
      </c>
      <c r="B1139" s="8" t="s">
        <v>2939</v>
      </c>
      <c r="C1139" s="8">
        <v>9280144580</v>
      </c>
      <c r="D1139" s="8" t="s">
        <v>59</v>
      </c>
      <c r="E1139" s="8" t="s">
        <v>41</v>
      </c>
      <c r="F1139" s="8" t="s">
        <v>92</v>
      </c>
      <c r="G1139" s="8" t="s">
        <v>60</v>
      </c>
      <c r="H1139" s="8" t="s">
        <v>2601</v>
      </c>
      <c r="I1139" s="2" t="str">
        <f t="shared" si="85"/>
        <v>Oct</v>
      </c>
      <c r="J1139" s="2">
        <f t="shared" si="86"/>
        <v>10</v>
      </c>
      <c r="K1139" s="2">
        <f t="shared" si="87"/>
        <v>2024</v>
      </c>
      <c r="L1139" s="2">
        <f t="shared" si="88"/>
        <v>4</v>
      </c>
      <c r="M1139" s="8">
        <v>5</v>
      </c>
      <c r="N1139" s="8" t="s">
        <v>2863</v>
      </c>
      <c r="O1139" s="8" t="s">
        <v>97</v>
      </c>
      <c r="P1139" s="9">
        <v>52393</v>
      </c>
      <c r="Q1139" s="9">
        <v>46141</v>
      </c>
      <c r="R1139" s="8" t="s">
        <v>2852</v>
      </c>
      <c r="S1139" s="8" t="s">
        <v>5573</v>
      </c>
      <c r="T1139" s="8">
        <v>9.1</v>
      </c>
      <c r="U1139" s="8" t="s">
        <v>63</v>
      </c>
      <c r="V1139" s="8"/>
      <c r="W1139" s="67" t="str">
        <f t="shared" si="89"/>
        <v>Customer</v>
      </c>
    </row>
    <row r="1140" spans="1:23" x14ac:dyDescent="0.3">
      <c r="A1140" s="8" t="s">
        <v>2940</v>
      </c>
      <c r="B1140" s="8" t="s">
        <v>1416</v>
      </c>
      <c r="C1140" s="8">
        <v>9423655601</v>
      </c>
      <c r="D1140" s="8" t="s">
        <v>59</v>
      </c>
      <c r="E1140" s="8" t="s">
        <v>109</v>
      </c>
      <c r="F1140" s="8" t="s">
        <v>331</v>
      </c>
      <c r="G1140" s="8" t="s">
        <v>1609</v>
      </c>
      <c r="H1140" s="8" t="s">
        <v>2601</v>
      </c>
      <c r="I1140" s="2" t="str">
        <f t="shared" si="85"/>
        <v>Oct</v>
      </c>
      <c r="J1140" s="2">
        <f t="shared" si="86"/>
        <v>10</v>
      </c>
      <c r="K1140" s="2">
        <f t="shared" si="87"/>
        <v>2024</v>
      </c>
      <c r="L1140" s="2">
        <f t="shared" si="88"/>
        <v>4</v>
      </c>
      <c r="M1140" s="8">
        <v>8</v>
      </c>
      <c r="N1140" s="8" t="s">
        <v>2637</v>
      </c>
      <c r="O1140" s="8" t="s">
        <v>45</v>
      </c>
      <c r="P1140" s="9">
        <v>452145</v>
      </c>
      <c r="Q1140" s="8"/>
      <c r="R1140" s="8"/>
      <c r="S1140" s="8" t="s">
        <v>5573</v>
      </c>
      <c r="T1140" s="8">
        <v>14.6</v>
      </c>
      <c r="U1140" s="8" t="s">
        <v>47</v>
      </c>
      <c r="V1140" s="8"/>
      <c r="W1140" s="67" t="str">
        <f t="shared" si="89"/>
        <v>-</v>
      </c>
    </row>
    <row r="1141" spans="1:23" x14ac:dyDescent="0.3">
      <c r="A1141" s="4" t="s">
        <v>2941</v>
      </c>
      <c r="B1141" s="4" t="s">
        <v>2942</v>
      </c>
      <c r="C1141" s="4">
        <v>9672353892</v>
      </c>
      <c r="D1141" s="4" t="s">
        <v>20</v>
      </c>
      <c r="E1141" s="4" t="s">
        <v>73</v>
      </c>
      <c r="F1141" s="4" t="s">
        <v>74</v>
      </c>
      <c r="G1141" s="4" t="s">
        <v>1609</v>
      </c>
      <c r="H1141" s="4" t="s">
        <v>2704</v>
      </c>
      <c r="I1141" s="2" t="str">
        <f t="shared" si="85"/>
        <v>Oct</v>
      </c>
      <c r="J1141" s="2">
        <f t="shared" si="86"/>
        <v>10</v>
      </c>
      <c r="K1141" s="2">
        <f t="shared" si="87"/>
        <v>2024</v>
      </c>
      <c r="L1141" s="2">
        <f t="shared" si="88"/>
        <v>4</v>
      </c>
      <c r="M1141" s="4">
        <v>9</v>
      </c>
      <c r="N1141" s="4" t="s">
        <v>2777</v>
      </c>
      <c r="O1141" s="4" t="s">
        <v>62</v>
      </c>
      <c r="P1141" s="5">
        <v>366743</v>
      </c>
      <c r="Q1141" s="4"/>
      <c r="R1141" s="4"/>
      <c r="S1141" s="4" t="s">
        <v>5573</v>
      </c>
      <c r="T1141" s="4">
        <v>2.2000000000000002</v>
      </c>
      <c r="U1141" s="4" t="s">
        <v>47</v>
      </c>
      <c r="V1141" s="4" t="s">
        <v>487</v>
      </c>
      <c r="W1141" s="67" t="str">
        <f t="shared" si="89"/>
        <v>-</v>
      </c>
    </row>
    <row r="1142" spans="1:23" x14ac:dyDescent="0.3">
      <c r="A1142" s="6" t="s">
        <v>2943</v>
      </c>
      <c r="B1142" s="6" t="s">
        <v>818</v>
      </c>
      <c r="C1142" s="6">
        <v>9417006265</v>
      </c>
      <c r="D1142" s="6" t="s">
        <v>121</v>
      </c>
      <c r="E1142" s="6" t="s">
        <v>109</v>
      </c>
      <c r="F1142" s="6" t="s">
        <v>217</v>
      </c>
      <c r="G1142" s="6" t="s">
        <v>87</v>
      </c>
      <c r="H1142" s="6" t="s">
        <v>2704</v>
      </c>
      <c r="I1142" s="2" t="str">
        <f t="shared" si="85"/>
        <v>Oct</v>
      </c>
      <c r="J1142" s="2">
        <f t="shared" si="86"/>
        <v>10</v>
      </c>
      <c r="K1142" s="2">
        <f t="shared" si="87"/>
        <v>2024</v>
      </c>
      <c r="L1142" s="2">
        <f t="shared" si="88"/>
        <v>4</v>
      </c>
      <c r="M1142" s="6">
        <v>8</v>
      </c>
      <c r="N1142" s="6" t="s">
        <v>2852</v>
      </c>
      <c r="O1142" s="6" t="s">
        <v>97</v>
      </c>
      <c r="P1142" s="7">
        <v>168766</v>
      </c>
      <c r="Q1142" s="7">
        <v>157711</v>
      </c>
      <c r="R1142" s="6" t="s">
        <v>2944</v>
      </c>
      <c r="S1142" s="6" t="s">
        <v>5573</v>
      </c>
      <c r="T1142" s="6">
        <v>31.2</v>
      </c>
      <c r="U1142" s="6" t="s">
        <v>63</v>
      </c>
      <c r="V1142" s="6" t="s">
        <v>465</v>
      </c>
      <c r="W1142" s="67" t="str">
        <f t="shared" si="89"/>
        <v>Customer</v>
      </c>
    </row>
    <row r="1143" spans="1:23" x14ac:dyDescent="0.3">
      <c r="A1143" s="4" t="s">
        <v>2945</v>
      </c>
      <c r="B1143" s="4" t="s">
        <v>2946</v>
      </c>
      <c r="C1143" s="4"/>
      <c r="D1143" s="4" t="s">
        <v>51</v>
      </c>
      <c r="E1143" s="4" t="s">
        <v>73</v>
      </c>
      <c r="F1143" s="4" t="s">
        <v>74</v>
      </c>
      <c r="G1143" s="4" t="s">
        <v>87</v>
      </c>
      <c r="H1143" s="4" t="s">
        <v>2704</v>
      </c>
      <c r="I1143" s="2" t="str">
        <f t="shared" si="85"/>
        <v>Oct</v>
      </c>
      <c r="J1143" s="2">
        <f t="shared" si="86"/>
        <v>10</v>
      </c>
      <c r="K1143" s="2">
        <f t="shared" si="87"/>
        <v>2024</v>
      </c>
      <c r="L1143" s="2">
        <f t="shared" si="88"/>
        <v>4</v>
      </c>
      <c r="M1143" s="4">
        <v>9</v>
      </c>
      <c r="N1143" s="4" t="s">
        <v>2947</v>
      </c>
      <c r="O1143" s="4" t="s">
        <v>27</v>
      </c>
      <c r="P1143" s="5">
        <v>179638</v>
      </c>
      <c r="Q1143" s="4"/>
      <c r="R1143" s="4"/>
      <c r="S1143" s="4" t="s">
        <v>5573</v>
      </c>
      <c r="T1143" s="4">
        <v>26.3</v>
      </c>
      <c r="U1143" s="4" t="s">
        <v>47</v>
      </c>
      <c r="V1143" s="4" t="s">
        <v>1661</v>
      </c>
      <c r="W1143" s="67" t="str">
        <f t="shared" si="89"/>
        <v>-</v>
      </c>
    </row>
    <row r="1144" spans="1:23" x14ac:dyDescent="0.3">
      <c r="A1144" s="6" t="s">
        <v>2948</v>
      </c>
      <c r="B1144" s="6" t="s">
        <v>2949</v>
      </c>
      <c r="C1144" s="6">
        <v>9178785328</v>
      </c>
      <c r="D1144" s="6" t="s">
        <v>20</v>
      </c>
      <c r="E1144" s="6" t="s">
        <v>1632</v>
      </c>
      <c r="F1144" s="6" t="s">
        <v>1849</v>
      </c>
      <c r="G1144" s="6" t="s">
        <v>1599</v>
      </c>
      <c r="H1144" s="6" t="s">
        <v>2682</v>
      </c>
      <c r="I1144" s="2" t="str">
        <f t="shared" si="85"/>
        <v>Oct</v>
      </c>
      <c r="J1144" s="2">
        <f t="shared" si="86"/>
        <v>10</v>
      </c>
      <c r="K1144" s="2">
        <f t="shared" si="87"/>
        <v>2024</v>
      </c>
      <c r="L1144" s="2">
        <f t="shared" si="88"/>
        <v>4</v>
      </c>
      <c r="M1144" s="6"/>
      <c r="N1144" s="6" t="s">
        <v>2712</v>
      </c>
      <c r="O1144" s="6" t="s">
        <v>97</v>
      </c>
      <c r="P1144" s="7">
        <v>497913</v>
      </c>
      <c r="Q1144" s="7">
        <v>474793</v>
      </c>
      <c r="R1144" s="6" t="s">
        <v>2713</v>
      </c>
      <c r="S1144" s="6" t="s">
        <v>5573</v>
      </c>
      <c r="T1144" s="6">
        <v>17.3</v>
      </c>
      <c r="U1144" s="6" t="s">
        <v>63</v>
      </c>
      <c r="V1144" s="6" t="s">
        <v>465</v>
      </c>
      <c r="W1144" s="67" t="str">
        <f t="shared" si="89"/>
        <v>Customer</v>
      </c>
    </row>
    <row r="1145" spans="1:23" x14ac:dyDescent="0.3">
      <c r="A1145" s="4" t="s">
        <v>2950</v>
      </c>
      <c r="B1145" s="4" t="s">
        <v>1460</v>
      </c>
      <c r="C1145" s="4">
        <v>9324614789</v>
      </c>
      <c r="D1145" s="4" t="s">
        <v>59</v>
      </c>
      <c r="E1145" s="4" t="s">
        <v>67</v>
      </c>
      <c r="F1145" s="4" t="s">
        <v>68</v>
      </c>
      <c r="G1145" s="4" t="s">
        <v>643</v>
      </c>
      <c r="H1145" s="4" t="s">
        <v>2805</v>
      </c>
      <c r="I1145" s="2" t="str">
        <f t="shared" si="85"/>
        <v>Oct</v>
      </c>
      <c r="J1145" s="2">
        <f t="shared" si="86"/>
        <v>10</v>
      </c>
      <c r="K1145" s="2">
        <f t="shared" si="87"/>
        <v>2024</v>
      </c>
      <c r="L1145" s="2">
        <f t="shared" si="88"/>
        <v>4</v>
      </c>
      <c r="M1145" s="4">
        <v>2</v>
      </c>
      <c r="N1145" s="4" t="s">
        <v>2846</v>
      </c>
      <c r="O1145" s="4" t="s">
        <v>62</v>
      </c>
      <c r="P1145" s="5">
        <v>774537</v>
      </c>
      <c r="Q1145" s="4"/>
      <c r="R1145" s="4"/>
      <c r="S1145" s="4" t="s">
        <v>5573</v>
      </c>
      <c r="T1145" s="4">
        <v>27.9</v>
      </c>
      <c r="U1145" s="4" t="s">
        <v>47</v>
      </c>
      <c r="V1145" s="4" t="s">
        <v>381</v>
      </c>
      <c r="W1145" s="67" t="str">
        <f t="shared" si="89"/>
        <v>-</v>
      </c>
    </row>
    <row r="1146" spans="1:23" x14ac:dyDescent="0.3">
      <c r="A1146" s="2" t="s">
        <v>2951</v>
      </c>
      <c r="B1146" s="2" t="s">
        <v>2952</v>
      </c>
      <c r="C1146" s="2">
        <v>9445418399</v>
      </c>
      <c r="D1146" s="2" t="s">
        <v>108</v>
      </c>
      <c r="E1146" s="2" t="s">
        <v>1632</v>
      </c>
      <c r="F1146" s="2" t="s">
        <v>1717</v>
      </c>
      <c r="G1146" s="2" t="s">
        <v>1623</v>
      </c>
      <c r="H1146" s="2" t="s">
        <v>2805</v>
      </c>
      <c r="I1146" s="2" t="str">
        <f t="shared" si="85"/>
        <v>Oct</v>
      </c>
      <c r="J1146" s="2">
        <f t="shared" si="86"/>
        <v>10</v>
      </c>
      <c r="K1146" s="2">
        <f t="shared" si="87"/>
        <v>2024</v>
      </c>
      <c r="L1146" s="2">
        <f t="shared" si="88"/>
        <v>4</v>
      </c>
      <c r="M1146" s="2">
        <v>10</v>
      </c>
      <c r="N1146" s="2" t="s">
        <v>2953</v>
      </c>
      <c r="O1146" s="2" t="s">
        <v>27</v>
      </c>
      <c r="P1146" s="3">
        <v>154119</v>
      </c>
      <c r="Q1146" s="2"/>
      <c r="R1146" s="2"/>
      <c r="S1146" s="2" t="s">
        <v>5573</v>
      </c>
      <c r="T1146" s="2">
        <v>14.1</v>
      </c>
      <c r="U1146" s="2" t="s">
        <v>29</v>
      </c>
      <c r="V1146" s="2" t="s">
        <v>163</v>
      </c>
      <c r="W1146" s="67" t="str">
        <f t="shared" si="89"/>
        <v>-</v>
      </c>
    </row>
    <row r="1147" spans="1:23" x14ac:dyDescent="0.3">
      <c r="A1147" s="4" t="s">
        <v>2954</v>
      </c>
      <c r="B1147" s="4" t="s">
        <v>1456</v>
      </c>
      <c r="C1147" s="4">
        <v>9385766802</v>
      </c>
      <c r="D1147" s="4" t="s">
        <v>121</v>
      </c>
      <c r="E1147" s="4" t="s">
        <v>648</v>
      </c>
      <c r="F1147" s="4" t="s">
        <v>649</v>
      </c>
      <c r="G1147" s="4" t="s">
        <v>23</v>
      </c>
      <c r="H1147" s="4" t="s">
        <v>2805</v>
      </c>
      <c r="I1147" s="2" t="str">
        <f t="shared" si="85"/>
        <v>Oct</v>
      </c>
      <c r="J1147" s="2">
        <f t="shared" si="86"/>
        <v>10</v>
      </c>
      <c r="K1147" s="2">
        <f t="shared" si="87"/>
        <v>2024</v>
      </c>
      <c r="L1147" s="2">
        <f t="shared" si="88"/>
        <v>4</v>
      </c>
      <c r="M1147" s="4">
        <v>12</v>
      </c>
      <c r="N1147" s="4" t="s">
        <v>2836</v>
      </c>
      <c r="O1147" s="4" t="s">
        <v>27</v>
      </c>
      <c r="P1147" s="5">
        <v>640921</v>
      </c>
      <c r="Q1147" s="4"/>
      <c r="R1147" s="4"/>
      <c r="S1147" s="4" t="s">
        <v>5573</v>
      </c>
      <c r="T1147" s="4">
        <v>36.1</v>
      </c>
      <c r="U1147" s="4" t="s">
        <v>29</v>
      </c>
      <c r="V1147" s="4"/>
      <c r="W1147" s="67" t="str">
        <f t="shared" si="89"/>
        <v>-</v>
      </c>
    </row>
    <row r="1148" spans="1:23" x14ac:dyDescent="0.3">
      <c r="A1148" s="2" t="s">
        <v>2955</v>
      </c>
      <c r="B1148" s="2" t="s">
        <v>2369</v>
      </c>
      <c r="C1148" s="2">
        <v>9551211290</v>
      </c>
      <c r="D1148" s="2" t="s">
        <v>121</v>
      </c>
      <c r="E1148" s="2" t="s">
        <v>109</v>
      </c>
      <c r="F1148" s="2" t="s">
        <v>110</v>
      </c>
      <c r="G1148" s="2" t="s">
        <v>1623</v>
      </c>
      <c r="H1148" s="2" t="s">
        <v>2805</v>
      </c>
      <c r="I1148" s="2" t="str">
        <f t="shared" si="85"/>
        <v>Oct</v>
      </c>
      <c r="J1148" s="2">
        <f t="shared" si="86"/>
        <v>10</v>
      </c>
      <c r="K1148" s="2">
        <f t="shared" si="87"/>
        <v>2024</v>
      </c>
      <c r="L1148" s="2">
        <f t="shared" si="88"/>
        <v>4</v>
      </c>
      <c r="M1148" s="2">
        <v>7</v>
      </c>
      <c r="N1148" s="2" t="s">
        <v>2956</v>
      </c>
      <c r="O1148" s="2" t="s">
        <v>27</v>
      </c>
      <c r="P1148" s="3">
        <v>358538</v>
      </c>
      <c r="Q1148" s="2"/>
      <c r="R1148" s="2"/>
      <c r="S1148" s="2" t="s">
        <v>5573</v>
      </c>
      <c r="T1148" s="2">
        <v>22.6</v>
      </c>
      <c r="U1148" s="2" t="s">
        <v>29</v>
      </c>
      <c r="V1148" s="2" t="s">
        <v>163</v>
      </c>
      <c r="W1148" s="67" t="str">
        <f t="shared" si="89"/>
        <v>-</v>
      </c>
    </row>
    <row r="1149" spans="1:23" x14ac:dyDescent="0.3">
      <c r="A1149" s="6" t="s">
        <v>2957</v>
      </c>
      <c r="B1149" s="6" t="s">
        <v>2958</v>
      </c>
      <c r="C1149" s="6">
        <v>9222061664</v>
      </c>
      <c r="D1149" s="6" t="s">
        <v>20</v>
      </c>
      <c r="E1149" s="6" t="s">
        <v>641</v>
      </c>
      <c r="F1149" s="6" t="s">
        <v>642</v>
      </c>
      <c r="G1149" s="6" t="s">
        <v>60</v>
      </c>
      <c r="H1149" s="6" t="s">
        <v>2926</v>
      </c>
      <c r="I1149" s="2" t="str">
        <f t="shared" si="85"/>
        <v>Nov</v>
      </c>
      <c r="J1149" s="2">
        <f t="shared" si="86"/>
        <v>11</v>
      </c>
      <c r="K1149" s="2">
        <f t="shared" si="87"/>
        <v>2024</v>
      </c>
      <c r="L1149" s="2">
        <f t="shared" si="88"/>
        <v>4</v>
      </c>
      <c r="M1149" s="6">
        <v>8</v>
      </c>
      <c r="N1149" s="6" t="s">
        <v>2852</v>
      </c>
      <c r="O1149" s="6" t="s">
        <v>97</v>
      </c>
      <c r="P1149" s="7">
        <v>155427</v>
      </c>
      <c r="Q1149" s="7">
        <v>158467</v>
      </c>
      <c r="R1149" s="6" t="s">
        <v>2836</v>
      </c>
      <c r="S1149" s="6" t="s">
        <v>5573</v>
      </c>
      <c r="T1149" s="6">
        <v>22.6</v>
      </c>
      <c r="U1149" s="6" t="s">
        <v>63</v>
      </c>
      <c r="V1149" s="6" t="s">
        <v>907</v>
      </c>
      <c r="W1149" s="67" t="str">
        <f t="shared" si="89"/>
        <v>Customer</v>
      </c>
    </row>
    <row r="1150" spans="1:23" x14ac:dyDescent="0.3">
      <c r="A1150" s="2" t="s">
        <v>2959</v>
      </c>
      <c r="B1150" s="2" t="s">
        <v>2960</v>
      </c>
      <c r="C1150" s="2">
        <v>9766345503</v>
      </c>
      <c r="D1150" s="2" t="s">
        <v>20</v>
      </c>
      <c r="E1150" s="2" t="s">
        <v>41</v>
      </c>
      <c r="F1150" s="2" t="s">
        <v>42</v>
      </c>
      <c r="G1150" s="2" t="s">
        <v>52</v>
      </c>
      <c r="H1150" s="2" t="s">
        <v>2926</v>
      </c>
      <c r="I1150" s="2" t="str">
        <f t="shared" si="85"/>
        <v>Nov</v>
      </c>
      <c r="J1150" s="2">
        <f t="shared" si="86"/>
        <v>11</v>
      </c>
      <c r="K1150" s="2">
        <f t="shared" si="87"/>
        <v>2024</v>
      </c>
      <c r="L1150" s="2">
        <f t="shared" si="88"/>
        <v>4</v>
      </c>
      <c r="M1150" s="2">
        <v>12</v>
      </c>
      <c r="N1150" s="2" t="s">
        <v>2863</v>
      </c>
      <c r="O1150" s="2" t="s">
        <v>27</v>
      </c>
      <c r="P1150" s="3">
        <v>424663</v>
      </c>
      <c r="Q1150" s="2"/>
      <c r="R1150" s="2"/>
      <c r="S1150" s="2" t="s">
        <v>5573</v>
      </c>
      <c r="T1150" s="2">
        <v>22.3</v>
      </c>
      <c r="U1150" s="2" t="s">
        <v>47</v>
      </c>
      <c r="V1150" s="2" t="s">
        <v>105</v>
      </c>
      <c r="W1150" s="67" t="str">
        <f t="shared" si="89"/>
        <v>-</v>
      </c>
    </row>
    <row r="1151" spans="1:23" x14ac:dyDescent="0.3">
      <c r="A1151" s="4" t="s">
        <v>2961</v>
      </c>
      <c r="B1151" s="4" t="s">
        <v>1076</v>
      </c>
      <c r="C1151" s="4">
        <v>9786290977</v>
      </c>
      <c r="D1151" s="4" t="s">
        <v>20</v>
      </c>
      <c r="E1151" s="4" t="s">
        <v>41</v>
      </c>
      <c r="F1151" s="4" t="s">
        <v>92</v>
      </c>
      <c r="G1151" s="4" t="s">
        <v>69</v>
      </c>
      <c r="H1151" s="4" t="s">
        <v>2926</v>
      </c>
      <c r="I1151" s="2" t="str">
        <f t="shared" si="85"/>
        <v>Nov</v>
      </c>
      <c r="J1151" s="2">
        <f t="shared" si="86"/>
        <v>11</v>
      </c>
      <c r="K1151" s="2">
        <f t="shared" si="87"/>
        <v>2024</v>
      </c>
      <c r="L1151" s="2">
        <f t="shared" si="88"/>
        <v>4</v>
      </c>
      <c r="M1151" s="4">
        <v>0</v>
      </c>
      <c r="N1151" s="4" t="s">
        <v>2645</v>
      </c>
      <c r="O1151" s="4" t="s">
        <v>27</v>
      </c>
      <c r="P1151" s="5">
        <v>392049</v>
      </c>
      <c r="Q1151" s="4"/>
      <c r="R1151" s="4"/>
      <c r="S1151" s="4" t="s">
        <v>5573</v>
      </c>
      <c r="T1151" s="4">
        <v>24.1</v>
      </c>
      <c r="U1151" s="4" t="s">
        <v>29</v>
      </c>
      <c r="V1151" s="4" t="s">
        <v>238</v>
      </c>
      <c r="W1151" s="67" t="str">
        <f t="shared" si="89"/>
        <v>-</v>
      </c>
    </row>
    <row r="1152" spans="1:23" x14ac:dyDescent="0.3">
      <c r="A1152" s="2" t="s">
        <v>2962</v>
      </c>
      <c r="B1152" s="2" t="s">
        <v>1011</v>
      </c>
      <c r="C1152" s="2">
        <v>9231518435</v>
      </c>
      <c r="D1152" s="2" t="s">
        <v>108</v>
      </c>
      <c r="E1152" s="2" t="s">
        <v>67</v>
      </c>
      <c r="F1152" s="2" t="s">
        <v>68</v>
      </c>
      <c r="G1152" s="2" t="s">
        <v>87</v>
      </c>
      <c r="H1152" s="2" t="s">
        <v>2926</v>
      </c>
      <c r="I1152" s="2" t="str">
        <f t="shared" si="85"/>
        <v>Nov</v>
      </c>
      <c r="J1152" s="2">
        <f t="shared" si="86"/>
        <v>11</v>
      </c>
      <c r="K1152" s="2">
        <f t="shared" si="87"/>
        <v>2024</v>
      </c>
      <c r="L1152" s="2">
        <f t="shared" si="88"/>
        <v>4</v>
      </c>
      <c r="M1152" s="2">
        <v>9</v>
      </c>
      <c r="N1152" s="2" t="s">
        <v>2963</v>
      </c>
      <c r="O1152" s="2" t="s">
        <v>62</v>
      </c>
      <c r="P1152" s="3">
        <v>268660</v>
      </c>
      <c r="Q1152" s="2"/>
      <c r="R1152" s="2"/>
      <c r="S1152" s="2" t="s">
        <v>5573</v>
      </c>
      <c r="T1152" s="2">
        <v>19.2</v>
      </c>
      <c r="U1152" s="2" t="s">
        <v>29</v>
      </c>
      <c r="V1152" s="2" t="s">
        <v>697</v>
      </c>
      <c r="W1152" s="67" t="str">
        <f t="shared" si="89"/>
        <v>-</v>
      </c>
    </row>
    <row r="1153" spans="1:23" x14ac:dyDescent="0.3">
      <c r="A1153" s="8" t="s">
        <v>2964</v>
      </c>
      <c r="B1153" s="8" t="s">
        <v>2965</v>
      </c>
      <c r="C1153" s="8">
        <v>9895535798</v>
      </c>
      <c r="D1153" s="8" t="s">
        <v>20</v>
      </c>
      <c r="E1153" s="8" t="s">
        <v>41</v>
      </c>
      <c r="F1153" s="8" t="s">
        <v>92</v>
      </c>
      <c r="G1153" s="8" t="s">
        <v>23</v>
      </c>
      <c r="H1153" s="8" t="s">
        <v>2926</v>
      </c>
      <c r="I1153" s="2" t="str">
        <f t="shared" si="85"/>
        <v>Nov</v>
      </c>
      <c r="J1153" s="2">
        <f t="shared" si="86"/>
        <v>11</v>
      </c>
      <c r="K1153" s="2">
        <f t="shared" si="87"/>
        <v>2024</v>
      </c>
      <c r="L1153" s="2">
        <f t="shared" si="88"/>
        <v>4</v>
      </c>
      <c r="M1153" s="8">
        <v>11</v>
      </c>
      <c r="N1153" s="8" t="s">
        <v>2818</v>
      </c>
      <c r="O1153" s="8" t="s">
        <v>97</v>
      </c>
      <c r="P1153" s="9">
        <v>362895</v>
      </c>
      <c r="Q1153" s="9">
        <v>343599</v>
      </c>
      <c r="R1153" s="8" t="s">
        <v>2863</v>
      </c>
      <c r="S1153" s="8" t="s">
        <v>5573</v>
      </c>
      <c r="T1153" s="8">
        <v>16.8</v>
      </c>
      <c r="U1153" s="8" t="s">
        <v>63</v>
      </c>
      <c r="V1153" s="8" t="s">
        <v>113</v>
      </c>
      <c r="W1153" s="67" t="str">
        <f t="shared" si="89"/>
        <v>Customer</v>
      </c>
    </row>
    <row r="1154" spans="1:23" x14ac:dyDescent="0.3">
      <c r="A1154" s="6" t="s">
        <v>2966</v>
      </c>
      <c r="B1154" s="6" t="s">
        <v>391</v>
      </c>
      <c r="C1154" s="6">
        <v>9717352585</v>
      </c>
      <c r="D1154" s="6" t="s">
        <v>108</v>
      </c>
      <c r="E1154" s="6" t="s">
        <v>41</v>
      </c>
      <c r="F1154" s="6" t="s">
        <v>86</v>
      </c>
      <c r="G1154" s="6" t="s">
        <v>1609</v>
      </c>
      <c r="H1154" s="6" t="s">
        <v>2636</v>
      </c>
      <c r="I1154" s="2" t="str">
        <f t="shared" ref="I1154:I1217" si="90">TEXT(H1154,"mmm")</f>
        <v>Nov</v>
      </c>
      <c r="J1154" s="2">
        <f t="shared" ref="J1154:J1217" si="91">MONTH(H1154)</f>
        <v>11</v>
      </c>
      <c r="K1154" s="2">
        <f t="shared" ref="K1154:K1217" si="92">YEAR(H1154)</f>
        <v>2024</v>
      </c>
      <c r="L1154" s="2">
        <f t="shared" ref="L1154:L1217" si="93">ROUNDUP(MONTH(H1154)/3,0)</f>
        <v>4</v>
      </c>
      <c r="M1154" s="6">
        <v>9</v>
      </c>
      <c r="N1154" s="6" t="s">
        <v>2836</v>
      </c>
      <c r="O1154" s="6" t="s">
        <v>97</v>
      </c>
      <c r="P1154" s="7">
        <v>198695</v>
      </c>
      <c r="Q1154" s="7">
        <v>184577</v>
      </c>
      <c r="R1154" s="6" t="s">
        <v>2967</v>
      </c>
      <c r="S1154" s="6" t="s">
        <v>5573</v>
      </c>
      <c r="T1154" s="6">
        <v>35.4</v>
      </c>
      <c r="U1154" s="6" t="s">
        <v>63</v>
      </c>
      <c r="V1154" s="6" t="s">
        <v>286</v>
      </c>
      <c r="W1154" s="67" t="str">
        <f t="shared" ref="W1154:W1217" si="94">IF($O1154&lt;&gt;"Converted","-",IF(ISNUMBER(SEARCH("Architect",$F1154)),"Architect","Customer"))</f>
        <v>Customer</v>
      </c>
    </row>
    <row r="1155" spans="1:23" x14ac:dyDescent="0.3">
      <c r="A1155" s="6" t="s">
        <v>2968</v>
      </c>
      <c r="B1155" s="6" t="s">
        <v>2738</v>
      </c>
      <c r="C1155" s="6">
        <v>9615989236</v>
      </c>
      <c r="D1155" s="6" t="s">
        <v>59</v>
      </c>
      <c r="E1155" s="6" t="s">
        <v>109</v>
      </c>
      <c r="F1155" s="6" t="s">
        <v>110</v>
      </c>
      <c r="G1155" s="6" t="s">
        <v>69</v>
      </c>
      <c r="H1155" s="6" t="s">
        <v>2636</v>
      </c>
      <c r="I1155" s="2" t="str">
        <f t="shared" si="90"/>
        <v>Nov</v>
      </c>
      <c r="J1155" s="2">
        <f t="shared" si="91"/>
        <v>11</v>
      </c>
      <c r="K1155" s="2">
        <f t="shared" si="92"/>
        <v>2024</v>
      </c>
      <c r="L1155" s="2">
        <f t="shared" si="93"/>
        <v>4</v>
      </c>
      <c r="M1155" s="6">
        <v>1</v>
      </c>
      <c r="N1155" s="6" t="s">
        <v>2846</v>
      </c>
      <c r="O1155" s="6" t="s">
        <v>97</v>
      </c>
      <c r="P1155" s="7">
        <v>263105</v>
      </c>
      <c r="Q1155" s="7">
        <v>236639</v>
      </c>
      <c r="R1155" s="6" t="s">
        <v>2777</v>
      </c>
      <c r="S1155" s="6" t="s">
        <v>5573</v>
      </c>
      <c r="T1155" s="6">
        <v>5.5</v>
      </c>
      <c r="U1155" s="6" t="s">
        <v>47</v>
      </c>
      <c r="V1155" s="6" t="s">
        <v>341</v>
      </c>
      <c r="W1155" s="67" t="str">
        <f t="shared" si="94"/>
        <v>Customer</v>
      </c>
    </row>
    <row r="1156" spans="1:23" x14ac:dyDescent="0.3">
      <c r="A1156" s="6" t="s">
        <v>2969</v>
      </c>
      <c r="B1156" s="6" t="s">
        <v>2089</v>
      </c>
      <c r="C1156" s="6">
        <v>9390177266</v>
      </c>
      <c r="D1156" s="6" t="s">
        <v>20</v>
      </c>
      <c r="E1156" s="6" t="s">
        <v>41</v>
      </c>
      <c r="F1156" s="6" t="s">
        <v>86</v>
      </c>
      <c r="G1156" s="6" t="s">
        <v>1621</v>
      </c>
      <c r="H1156" s="6" t="s">
        <v>2636</v>
      </c>
      <c r="I1156" s="2" t="str">
        <f t="shared" si="90"/>
        <v>Nov</v>
      </c>
      <c r="J1156" s="2">
        <f t="shared" si="91"/>
        <v>11</v>
      </c>
      <c r="K1156" s="2">
        <f t="shared" si="92"/>
        <v>2024</v>
      </c>
      <c r="L1156" s="2">
        <f t="shared" si="93"/>
        <v>4</v>
      </c>
      <c r="M1156" s="6">
        <v>10</v>
      </c>
      <c r="N1156" s="6" t="s">
        <v>2947</v>
      </c>
      <c r="O1156" s="6" t="s">
        <v>97</v>
      </c>
      <c r="P1156" s="7">
        <v>191539</v>
      </c>
      <c r="Q1156" s="7">
        <v>187189</v>
      </c>
      <c r="R1156" s="6" t="s">
        <v>2970</v>
      </c>
      <c r="S1156" s="6" t="s">
        <v>5573</v>
      </c>
      <c r="T1156" s="6">
        <v>5</v>
      </c>
      <c r="U1156" s="6" t="s">
        <v>63</v>
      </c>
      <c r="V1156" s="6" t="s">
        <v>113</v>
      </c>
      <c r="W1156" s="67" t="str">
        <f t="shared" si="94"/>
        <v>Customer</v>
      </c>
    </row>
    <row r="1157" spans="1:23" x14ac:dyDescent="0.3">
      <c r="A1157" s="4" t="s">
        <v>2971</v>
      </c>
      <c r="B1157" s="4" t="s">
        <v>2972</v>
      </c>
      <c r="C1157" s="4">
        <v>9675465143</v>
      </c>
      <c r="D1157" s="4" t="s">
        <v>59</v>
      </c>
      <c r="E1157" s="4" t="s">
        <v>1632</v>
      </c>
      <c r="F1157" s="4" t="s">
        <v>1694</v>
      </c>
      <c r="G1157" s="4" t="s">
        <v>1623</v>
      </c>
      <c r="H1157" s="4" t="s">
        <v>2727</v>
      </c>
      <c r="I1157" s="2" t="str">
        <f t="shared" si="90"/>
        <v>Nov</v>
      </c>
      <c r="J1157" s="2">
        <f t="shared" si="91"/>
        <v>11</v>
      </c>
      <c r="K1157" s="2">
        <f t="shared" si="92"/>
        <v>2024</v>
      </c>
      <c r="L1157" s="2">
        <f t="shared" si="93"/>
        <v>4</v>
      </c>
      <c r="M1157" s="4">
        <v>7</v>
      </c>
      <c r="N1157" s="4" t="s">
        <v>2777</v>
      </c>
      <c r="O1157" s="4" t="s">
        <v>62</v>
      </c>
      <c r="P1157" s="5">
        <v>259099</v>
      </c>
      <c r="Q1157" s="4"/>
      <c r="R1157" s="4"/>
      <c r="S1157" s="4" t="s">
        <v>5573</v>
      </c>
      <c r="T1157" s="4">
        <v>42.1</v>
      </c>
      <c r="U1157" s="4" t="s">
        <v>47</v>
      </c>
      <c r="V1157" s="4" t="s">
        <v>183</v>
      </c>
      <c r="W1157" s="67" t="str">
        <f t="shared" si="94"/>
        <v>-</v>
      </c>
    </row>
    <row r="1158" spans="1:23" x14ac:dyDescent="0.3">
      <c r="A1158" s="2" t="s">
        <v>2973</v>
      </c>
      <c r="B1158" s="2" t="s">
        <v>2974</v>
      </c>
      <c r="C1158" s="2">
        <v>9809872810</v>
      </c>
      <c r="D1158" s="2" t="s">
        <v>51</v>
      </c>
      <c r="E1158" s="2" t="s">
        <v>648</v>
      </c>
      <c r="F1158" s="2" t="s">
        <v>649</v>
      </c>
      <c r="G1158" s="2" t="s">
        <v>87</v>
      </c>
      <c r="H1158" s="2" t="s">
        <v>2727</v>
      </c>
      <c r="I1158" s="2" t="str">
        <f t="shared" si="90"/>
        <v>Nov</v>
      </c>
      <c r="J1158" s="2">
        <f t="shared" si="91"/>
        <v>11</v>
      </c>
      <c r="K1158" s="2">
        <f t="shared" si="92"/>
        <v>2024</v>
      </c>
      <c r="L1158" s="2">
        <f t="shared" si="93"/>
        <v>4</v>
      </c>
      <c r="M1158" s="2">
        <v>1</v>
      </c>
      <c r="N1158" s="2" t="s">
        <v>2739</v>
      </c>
      <c r="O1158" s="2" t="s">
        <v>27</v>
      </c>
      <c r="P1158" s="3">
        <v>324998</v>
      </c>
      <c r="Q1158" s="2"/>
      <c r="R1158" s="2"/>
      <c r="S1158" s="2" t="s">
        <v>5573</v>
      </c>
      <c r="T1158" s="2">
        <v>4.5999999999999996</v>
      </c>
      <c r="U1158" s="2" t="s">
        <v>29</v>
      </c>
      <c r="V1158" s="2" t="s">
        <v>238</v>
      </c>
      <c r="W1158" s="67" t="str">
        <f t="shared" si="94"/>
        <v>-</v>
      </c>
    </row>
    <row r="1159" spans="1:23" x14ac:dyDescent="0.3">
      <c r="A1159" s="4" t="s">
        <v>2975</v>
      </c>
      <c r="B1159" s="4" t="s">
        <v>1035</v>
      </c>
      <c r="C1159" s="4">
        <v>9246705427</v>
      </c>
      <c r="D1159" s="4" t="s">
        <v>20</v>
      </c>
      <c r="E1159" s="4" t="s">
        <v>109</v>
      </c>
      <c r="F1159" s="4" t="s">
        <v>331</v>
      </c>
      <c r="G1159" s="4" t="s">
        <v>69</v>
      </c>
      <c r="H1159" s="4" t="s">
        <v>2727</v>
      </c>
      <c r="I1159" s="2" t="str">
        <f t="shared" si="90"/>
        <v>Nov</v>
      </c>
      <c r="J1159" s="2">
        <f t="shared" si="91"/>
        <v>11</v>
      </c>
      <c r="K1159" s="2">
        <f t="shared" si="92"/>
        <v>2024</v>
      </c>
      <c r="L1159" s="2">
        <f t="shared" si="93"/>
        <v>4</v>
      </c>
      <c r="M1159" s="4">
        <v>3</v>
      </c>
      <c r="N1159" s="4" t="s">
        <v>2818</v>
      </c>
      <c r="O1159" s="4" t="s">
        <v>27</v>
      </c>
      <c r="P1159" s="5">
        <v>269871</v>
      </c>
      <c r="Q1159" s="4"/>
      <c r="R1159" s="4"/>
      <c r="S1159" s="4" t="s">
        <v>5573</v>
      </c>
      <c r="T1159" s="4">
        <v>20.9</v>
      </c>
      <c r="U1159" s="4" t="s">
        <v>29</v>
      </c>
      <c r="V1159" s="4" t="s">
        <v>123</v>
      </c>
      <c r="W1159" s="67" t="str">
        <f t="shared" si="94"/>
        <v>-</v>
      </c>
    </row>
    <row r="1160" spans="1:23" x14ac:dyDescent="0.3">
      <c r="A1160" s="6" t="s">
        <v>2976</v>
      </c>
      <c r="B1160" s="6" t="s">
        <v>575</v>
      </c>
      <c r="C1160" s="6">
        <v>9861303338</v>
      </c>
      <c r="D1160" s="6" t="s">
        <v>59</v>
      </c>
      <c r="E1160" s="6" t="s">
        <v>41</v>
      </c>
      <c r="F1160" s="6" t="s">
        <v>86</v>
      </c>
      <c r="G1160" s="6" t="s">
        <v>1677</v>
      </c>
      <c r="H1160" s="6" t="s">
        <v>2727</v>
      </c>
      <c r="I1160" s="2" t="str">
        <f t="shared" si="90"/>
        <v>Nov</v>
      </c>
      <c r="J1160" s="2">
        <f t="shared" si="91"/>
        <v>11</v>
      </c>
      <c r="K1160" s="2">
        <f t="shared" si="92"/>
        <v>2024</v>
      </c>
      <c r="L1160" s="2">
        <f t="shared" si="93"/>
        <v>4</v>
      </c>
      <c r="M1160" s="6">
        <v>0</v>
      </c>
      <c r="N1160" s="6" t="s">
        <v>2645</v>
      </c>
      <c r="O1160" s="6" t="s">
        <v>97</v>
      </c>
      <c r="P1160" s="7">
        <v>1034722</v>
      </c>
      <c r="Q1160" s="7">
        <v>1012222</v>
      </c>
      <c r="R1160" s="6" t="s">
        <v>2712</v>
      </c>
      <c r="S1160" s="6" t="s">
        <v>5573</v>
      </c>
      <c r="T1160" s="6">
        <v>28.4</v>
      </c>
      <c r="U1160" s="6" t="s">
        <v>63</v>
      </c>
      <c r="V1160" s="6" t="s">
        <v>243</v>
      </c>
      <c r="W1160" s="67" t="str">
        <f t="shared" si="94"/>
        <v>Customer</v>
      </c>
    </row>
    <row r="1161" spans="1:23" x14ac:dyDescent="0.3">
      <c r="A1161" s="4" t="s">
        <v>2977</v>
      </c>
      <c r="B1161" s="4" t="s">
        <v>2978</v>
      </c>
      <c r="C1161" s="4">
        <v>9410663768</v>
      </c>
      <c r="D1161" s="4" t="s">
        <v>20</v>
      </c>
      <c r="E1161" s="4" t="s">
        <v>648</v>
      </c>
      <c r="F1161" s="4" t="s">
        <v>822</v>
      </c>
      <c r="G1161" s="4" t="s">
        <v>1609</v>
      </c>
      <c r="H1161" s="4" t="s">
        <v>2727</v>
      </c>
      <c r="I1161" s="2" t="str">
        <f t="shared" si="90"/>
        <v>Nov</v>
      </c>
      <c r="J1161" s="2">
        <f t="shared" si="91"/>
        <v>11</v>
      </c>
      <c r="K1161" s="2">
        <f t="shared" si="92"/>
        <v>2024</v>
      </c>
      <c r="L1161" s="2">
        <f t="shared" si="93"/>
        <v>4</v>
      </c>
      <c r="M1161" s="4">
        <v>8</v>
      </c>
      <c r="N1161" s="4" t="s">
        <v>2861</v>
      </c>
      <c r="O1161" s="4" t="s">
        <v>62</v>
      </c>
      <c r="P1161" s="5">
        <v>364472</v>
      </c>
      <c r="Q1161" s="4"/>
      <c r="R1161" s="4"/>
      <c r="S1161" s="4" t="s">
        <v>5573</v>
      </c>
      <c r="T1161" s="4">
        <v>41.8</v>
      </c>
      <c r="U1161" s="4" t="s">
        <v>47</v>
      </c>
      <c r="V1161" s="4" t="s">
        <v>77</v>
      </c>
      <c r="W1161" s="67" t="str">
        <f t="shared" si="94"/>
        <v>-</v>
      </c>
    </row>
    <row r="1162" spans="1:23" x14ac:dyDescent="0.3">
      <c r="A1162" s="2" t="s">
        <v>2979</v>
      </c>
      <c r="B1162" s="2" t="s">
        <v>1618</v>
      </c>
      <c r="C1162" s="2">
        <v>9420405665</v>
      </c>
      <c r="D1162" s="2" t="s">
        <v>108</v>
      </c>
      <c r="E1162" s="2" t="s">
        <v>109</v>
      </c>
      <c r="F1162" s="2" t="s">
        <v>110</v>
      </c>
      <c r="G1162" s="2" t="s">
        <v>52</v>
      </c>
      <c r="H1162" s="2" t="s">
        <v>2727</v>
      </c>
      <c r="I1162" s="2" t="str">
        <f t="shared" si="90"/>
        <v>Nov</v>
      </c>
      <c r="J1162" s="2">
        <f t="shared" si="91"/>
        <v>11</v>
      </c>
      <c r="K1162" s="2">
        <f t="shared" si="92"/>
        <v>2024</v>
      </c>
      <c r="L1162" s="2">
        <f t="shared" si="93"/>
        <v>4</v>
      </c>
      <c r="M1162" s="2">
        <v>3</v>
      </c>
      <c r="N1162" s="2" t="s">
        <v>2871</v>
      </c>
      <c r="O1162" s="2" t="s">
        <v>45</v>
      </c>
      <c r="P1162" s="3">
        <v>192627</v>
      </c>
      <c r="Q1162" s="2"/>
      <c r="R1162" s="2"/>
      <c r="S1162" s="2" t="s">
        <v>5573</v>
      </c>
      <c r="T1162" s="2">
        <v>14.3</v>
      </c>
      <c r="U1162" s="2" t="s">
        <v>47</v>
      </c>
      <c r="V1162" s="2" t="s">
        <v>183</v>
      </c>
      <c r="W1162" s="67" t="str">
        <f t="shared" si="94"/>
        <v>-</v>
      </c>
    </row>
    <row r="1163" spans="1:23" x14ac:dyDescent="0.3">
      <c r="A1163" s="4" t="s">
        <v>2980</v>
      </c>
      <c r="B1163" s="4" t="s">
        <v>2981</v>
      </c>
      <c r="C1163" s="4">
        <v>9501553607</v>
      </c>
      <c r="D1163" s="4" t="s">
        <v>20</v>
      </c>
      <c r="E1163" s="4" t="s">
        <v>67</v>
      </c>
      <c r="F1163" s="4" t="s">
        <v>80</v>
      </c>
      <c r="G1163" s="4" t="s">
        <v>1609</v>
      </c>
      <c r="H1163" s="4" t="s">
        <v>2727</v>
      </c>
      <c r="I1163" s="2" t="str">
        <f t="shared" si="90"/>
        <v>Nov</v>
      </c>
      <c r="J1163" s="2">
        <f t="shared" si="91"/>
        <v>11</v>
      </c>
      <c r="K1163" s="2">
        <f t="shared" si="92"/>
        <v>2024</v>
      </c>
      <c r="L1163" s="2">
        <f t="shared" si="93"/>
        <v>4</v>
      </c>
      <c r="M1163" s="4">
        <v>1</v>
      </c>
      <c r="N1163" s="4" t="s">
        <v>2839</v>
      </c>
      <c r="O1163" s="4" t="s">
        <v>27</v>
      </c>
      <c r="P1163" s="5">
        <v>215750</v>
      </c>
      <c r="Q1163" s="4"/>
      <c r="R1163" s="4"/>
      <c r="S1163" s="4" t="s">
        <v>5573</v>
      </c>
      <c r="T1163" s="4">
        <v>31.6</v>
      </c>
      <c r="U1163" s="4" t="s">
        <v>29</v>
      </c>
      <c r="V1163" s="4"/>
      <c r="W1163" s="67" t="str">
        <f t="shared" si="94"/>
        <v>-</v>
      </c>
    </row>
    <row r="1164" spans="1:23" x14ac:dyDescent="0.3">
      <c r="A1164" s="2" t="s">
        <v>2982</v>
      </c>
      <c r="B1164" s="2" t="s">
        <v>2103</v>
      </c>
      <c r="C1164" s="2">
        <v>9409024558</v>
      </c>
      <c r="D1164" s="2" t="s">
        <v>20</v>
      </c>
      <c r="E1164" s="2" t="s">
        <v>109</v>
      </c>
      <c r="F1164" s="2" t="s">
        <v>217</v>
      </c>
      <c r="G1164" s="2" t="s">
        <v>1677</v>
      </c>
      <c r="H1164" s="2" t="s">
        <v>2727</v>
      </c>
      <c r="I1164" s="2" t="str">
        <f t="shared" si="90"/>
        <v>Nov</v>
      </c>
      <c r="J1164" s="2">
        <f t="shared" si="91"/>
        <v>11</v>
      </c>
      <c r="K1164" s="2">
        <f t="shared" si="92"/>
        <v>2024</v>
      </c>
      <c r="L1164" s="2">
        <f t="shared" si="93"/>
        <v>4</v>
      </c>
      <c r="M1164" s="2">
        <v>3</v>
      </c>
      <c r="N1164" s="2" t="s">
        <v>2895</v>
      </c>
      <c r="O1164" s="2" t="s">
        <v>62</v>
      </c>
      <c r="P1164" s="3">
        <v>1081304</v>
      </c>
      <c r="Q1164" s="2"/>
      <c r="R1164" s="2"/>
      <c r="S1164" s="2" t="s">
        <v>5573</v>
      </c>
      <c r="T1164" s="2">
        <v>28.8</v>
      </c>
      <c r="U1164" s="2" t="s">
        <v>63</v>
      </c>
      <c r="V1164" s="2" t="s">
        <v>559</v>
      </c>
      <c r="W1164" s="67" t="str">
        <f t="shared" si="94"/>
        <v>-</v>
      </c>
    </row>
    <row r="1165" spans="1:23" x14ac:dyDescent="0.3">
      <c r="A1165" s="4" t="s">
        <v>2983</v>
      </c>
      <c r="B1165" s="4" t="s">
        <v>2497</v>
      </c>
      <c r="C1165" s="4">
        <v>9637536396</v>
      </c>
      <c r="D1165" s="4" t="s">
        <v>20</v>
      </c>
      <c r="E1165" s="4" t="s">
        <v>641</v>
      </c>
      <c r="F1165" s="4" t="s">
        <v>727</v>
      </c>
      <c r="G1165" s="4" t="s">
        <v>643</v>
      </c>
      <c r="H1165" s="4" t="s">
        <v>2592</v>
      </c>
      <c r="I1165" s="2" t="str">
        <f t="shared" si="90"/>
        <v>Nov</v>
      </c>
      <c r="J1165" s="2">
        <f t="shared" si="91"/>
        <v>11</v>
      </c>
      <c r="K1165" s="2">
        <f t="shared" si="92"/>
        <v>2024</v>
      </c>
      <c r="L1165" s="2">
        <f t="shared" si="93"/>
        <v>4</v>
      </c>
      <c r="M1165" s="4">
        <v>6</v>
      </c>
      <c r="N1165" s="4" t="s">
        <v>2956</v>
      </c>
      <c r="O1165" s="4" t="s">
        <v>27</v>
      </c>
      <c r="P1165" s="5">
        <v>1182775</v>
      </c>
      <c r="Q1165" s="4"/>
      <c r="R1165" s="4"/>
      <c r="S1165" s="4" t="s">
        <v>5573</v>
      </c>
      <c r="T1165" s="4">
        <v>33.9</v>
      </c>
      <c r="U1165" s="4" t="s">
        <v>29</v>
      </c>
      <c r="V1165" s="4" t="s">
        <v>153</v>
      </c>
      <c r="W1165" s="67" t="str">
        <f t="shared" si="94"/>
        <v>-</v>
      </c>
    </row>
    <row r="1166" spans="1:23" x14ac:dyDescent="0.3">
      <c r="A1166" s="2" t="s">
        <v>2984</v>
      </c>
      <c r="B1166" s="2" t="s">
        <v>2985</v>
      </c>
      <c r="C1166" s="2">
        <v>9587609156</v>
      </c>
      <c r="D1166" s="2" t="s">
        <v>20</v>
      </c>
      <c r="E1166" s="2" t="s">
        <v>109</v>
      </c>
      <c r="F1166" s="2" t="s">
        <v>110</v>
      </c>
      <c r="G1166" s="2" t="s">
        <v>643</v>
      </c>
      <c r="H1166" s="2" t="s">
        <v>2592</v>
      </c>
      <c r="I1166" s="2" t="str">
        <f t="shared" si="90"/>
        <v>Nov</v>
      </c>
      <c r="J1166" s="2">
        <f t="shared" si="91"/>
        <v>11</v>
      </c>
      <c r="K1166" s="2">
        <f t="shared" si="92"/>
        <v>2024</v>
      </c>
      <c r="L1166" s="2">
        <f t="shared" si="93"/>
        <v>4</v>
      </c>
      <c r="M1166" s="2">
        <v>10</v>
      </c>
      <c r="N1166" s="2" t="s">
        <v>2861</v>
      </c>
      <c r="O1166" s="2" t="s">
        <v>27</v>
      </c>
      <c r="P1166" s="3">
        <v>948228</v>
      </c>
      <c r="Q1166" s="2"/>
      <c r="R1166" s="2"/>
      <c r="S1166" s="2" t="s">
        <v>5573</v>
      </c>
      <c r="T1166" s="2">
        <v>11.5</v>
      </c>
      <c r="U1166" s="2" t="s">
        <v>29</v>
      </c>
      <c r="V1166" s="2" t="s">
        <v>153</v>
      </c>
      <c r="W1166" s="67" t="str">
        <f t="shared" si="94"/>
        <v>-</v>
      </c>
    </row>
    <row r="1167" spans="1:23" x14ac:dyDescent="0.3">
      <c r="A1167" s="4" t="s">
        <v>2986</v>
      </c>
      <c r="B1167" s="4" t="s">
        <v>2987</v>
      </c>
      <c r="C1167" s="4">
        <v>9907032814</v>
      </c>
      <c r="D1167" s="4" t="s">
        <v>59</v>
      </c>
      <c r="E1167" s="4" t="s">
        <v>33</v>
      </c>
      <c r="F1167" s="4" t="s">
        <v>34</v>
      </c>
      <c r="G1167" s="4" t="s">
        <v>52</v>
      </c>
      <c r="H1167" s="4" t="s">
        <v>2592</v>
      </c>
      <c r="I1167" s="2" t="str">
        <f t="shared" si="90"/>
        <v>Nov</v>
      </c>
      <c r="J1167" s="2">
        <f t="shared" si="91"/>
        <v>11</v>
      </c>
      <c r="K1167" s="2">
        <f t="shared" si="92"/>
        <v>2024</v>
      </c>
      <c r="L1167" s="2">
        <f t="shared" si="93"/>
        <v>4</v>
      </c>
      <c r="M1167" s="4">
        <v>7</v>
      </c>
      <c r="N1167" s="4" t="s">
        <v>2988</v>
      </c>
      <c r="O1167" s="4" t="s">
        <v>27</v>
      </c>
      <c r="P1167" s="5">
        <v>193329</v>
      </c>
      <c r="Q1167" s="4"/>
      <c r="R1167" s="4"/>
      <c r="S1167" s="4" t="s">
        <v>5573</v>
      </c>
      <c r="T1167" s="4">
        <v>45.7</v>
      </c>
      <c r="U1167" s="4" t="s">
        <v>29</v>
      </c>
      <c r="V1167" s="4" t="s">
        <v>202</v>
      </c>
      <c r="W1167" s="67" t="str">
        <f t="shared" si="94"/>
        <v>-</v>
      </c>
    </row>
    <row r="1168" spans="1:23" x14ac:dyDescent="0.3">
      <c r="A1168" s="6" t="s">
        <v>2989</v>
      </c>
      <c r="B1168" s="6" t="s">
        <v>2814</v>
      </c>
      <c r="C1168" s="6">
        <v>9648186646</v>
      </c>
      <c r="D1168" s="6" t="s">
        <v>59</v>
      </c>
      <c r="E1168" s="6" t="s">
        <v>641</v>
      </c>
      <c r="F1168" s="6" t="s">
        <v>717</v>
      </c>
      <c r="G1168" s="6" t="s">
        <v>23</v>
      </c>
      <c r="H1168" s="6" t="s">
        <v>2592</v>
      </c>
      <c r="I1168" s="2" t="str">
        <f t="shared" si="90"/>
        <v>Nov</v>
      </c>
      <c r="J1168" s="2">
        <f t="shared" si="91"/>
        <v>11</v>
      </c>
      <c r="K1168" s="2">
        <f t="shared" si="92"/>
        <v>2024</v>
      </c>
      <c r="L1168" s="2">
        <f t="shared" si="93"/>
        <v>4</v>
      </c>
      <c r="M1168" s="6">
        <v>3</v>
      </c>
      <c r="N1168" s="6" t="s">
        <v>2709</v>
      </c>
      <c r="O1168" s="6" t="s">
        <v>97</v>
      </c>
      <c r="P1168" s="7">
        <v>610846</v>
      </c>
      <c r="Q1168" s="7">
        <v>603904</v>
      </c>
      <c r="R1168" s="6" t="s">
        <v>2723</v>
      </c>
      <c r="S1168" s="6" t="s">
        <v>5573</v>
      </c>
      <c r="T1168" s="6">
        <v>34.5</v>
      </c>
      <c r="U1168" s="6" t="s">
        <v>47</v>
      </c>
      <c r="V1168" s="6" t="s">
        <v>113</v>
      </c>
      <c r="W1168" s="67" t="str">
        <f t="shared" si="94"/>
        <v>Customer</v>
      </c>
    </row>
    <row r="1169" spans="1:23" x14ac:dyDescent="0.3">
      <c r="A1169" s="8" t="s">
        <v>2990</v>
      </c>
      <c r="B1169" s="8" t="s">
        <v>2991</v>
      </c>
      <c r="C1169" s="8">
        <v>9718342232</v>
      </c>
      <c r="D1169" s="8" t="s">
        <v>20</v>
      </c>
      <c r="E1169" s="8" t="s">
        <v>33</v>
      </c>
      <c r="F1169" s="8" t="s">
        <v>34</v>
      </c>
      <c r="G1169" s="8" t="s">
        <v>35</v>
      </c>
      <c r="H1169" s="8" t="s">
        <v>2790</v>
      </c>
      <c r="I1169" s="2" t="str">
        <f t="shared" si="90"/>
        <v>Nov</v>
      </c>
      <c r="J1169" s="2">
        <f t="shared" si="91"/>
        <v>11</v>
      </c>
      <c r="K1169" s="2">
        <f t="shared" si="92"/>
        <v>2024</v>
      </c>
      <c r="L1169" s="2">
        <f t="shared" si="93"/>
        <v>4</v>
      </c>
      <c r="M1169" s="8">
        <v>1</v>
      </c>
      <c r="N1169" s="8" t="s">
        <v>2871</v>
      </c>
      <c r="O1169" s="8" t="s">
        <v>97</v>
      </c>
      <c r="P1169" s="9">
        <v>268187</v>
      </c>
      <c r="Q1169" s="9">
        <v>252187</v>
      </c>
      <c r="R1169" s="8" t="s">
        <v>2918</v>
      </c>
      <c r="S1169" s="8" t="s">
        <v>5573</v>
      </c>
      <c r="T1169" s="8">
        <v>36.6</v>
      </c>
      <c r="U1169" s="8" t="s">
        <v>63</v>
      </c>
      <c r="V1169" s="8" t="s">
        <v>483</v>
      </c>
      <c r="W1169" s="67" t="str">
        <f t="shared" si="94"/>
        <v>Customer</v>
      </c>
    </row>
    <row r="1170" spans="1:23" x14ac:dyDescent="0.3">
      <c r="A1170" s="8" t="s">
        <v>2992</v>
      </c>
      <c r="B1170" s="8" t="s">
        <v>19</v>
      </c>
      <c r="C1170" s="8">
        <v>9976113956</v>
      </c>
      <c r="D1170" s="8" t="s">
        <v>108</v>
      </c>
      <c r="E1170" s="8" t="s">
        <v>41</v>
      </c>
      <c r="F1170" s="8" t="s">
        <v>86</v>
      </c>
      <c r="G1170" s="8" t="s">
        <v>1621</v>
      </c>
      <c r="H1170" s="8" t="s">
        <v>2790</v>
      </c>
      <c r="I1170" s="2" t="str">
        <f t="shared" si="90"/>
        <v>Nov</v>
      </c>
      <c r="J1170" s="2">
        <f t="shared" si="91"/>
        <v>11</v>
      </c>
      <c r="K1170" s="2">
        <f t="shared" si="92"/>
        <v>2024</v>
      </c>
      <c r="L1170" s="2">
        <f t="shared" si="93"/>
        <v>4</v>
      </c>
      <c r="M1170" s="8">
        <v>5</v>
      </c>
      <c r="N1170" s="8" t="s">
        <v>2956</v>
      </c>
      <c r="O1170" s="8" t="s">
        <v>62</v>
      </c>
      <c r="P1170" s="9">
        <v>273759</v>
      </c>
      <c r="Q1170" s="8"/>
      <c r="R1170" s="8"/>
      <c r="S1170" s="8" t="s">
        <v>5573</v>
      </c>
      <c r="T1170" s="8">
        <v>19.3</v>
      </c>
      <c r="U1170" s="8" t="s">
        <v>47</v>
      </c>
      <c r="V1170" s="8" t="s">
        <v>276</v>
      </c>
      <c r="W1170" s="67" t="str">
        <f t="shared" si="94"/>
        <v>-</v>
      </c>
    </row>
    <row r="1171" spans="1:23" x14ac:dyDescent="0.3">
      <c r="A1171" s="4" t="s">
        <v>2993</v>
      </c>
      <c r="B1171" s="4" t="s">
        <v>2994</v>
      </c>
      <c r="C1171" s="4">
        <v>9974296933</v>
      </c>
      <c r="D1171" s="4" t="s">
        <v>59</v>
      </c>
      <c r="E1171" s="4" t="s">
        <v>1632</v>
      </c>
      <c r="F1171" s="4" t="s">
        <v>1633</v>
      </c>
      <c r="G1171" s="4" t="s">
        <v>643</v>
      </c>
      <c r="H1171" s="4" t="s">
        <v>2731</v>
      </c>
      <c r="I1171" s="2" t="str">
        <f t="shared" si="90"/>
        <v>Nov</v>
      </c>
      <c r="J1171" s="2">
        <f t="shared" si="91"/>
        <v>11</v>
      </c>
      <c r="K1171" s="2">
        <f t="shared" si="92"/>
        <v>2024</v>
      </c>
      <c r="L1171" s="2">
        <f t="shared" si="93"/>
        <v>4</v>
      </c>
      <c r="M1171" s="4">
        <v>9</v>
      </c>
      <c r="N1171" s="4" t="s">
        <v>2995</v>
      </c>
      <c r="O1171" s="4" t="s">
        <v>27</v>
      </c>
      <c r="P1171" s="5">
        <v>1167418</v>
      </c>
      <c r="Q1171" s="4"/>
      <c r="R1171" s="4"/>
      <c r="S1171" s="4" t="s">
        <v>5573</v>
      </c>
      <c r="T1171" s="4">
        <v>5.4</v>
      </c>
      <c r="U1171" s="4" t="s">
        <v>29</v>
      </c>
      <c r="V1171" s="4" t="s">
        <v>238</v>
      </c>
      <c r="W1171" s="67" t="str">
        <f t="shared" si="94"/>
        <v>-</v>
      </c>
    </row>
    <row r="1172" spans="1:23" x14ac:dyDescent="0.3">
      <c r="A1172" s="2" t="s">
        <v>2996</v>
      </c>
      <c r="B1172" s="2" t="s">
        <v>2997</v>
      </c>
      <c r="C1172" s="2">
        <v>9451788060</v>
      </c>
      <c r="D1172" s="2" t="s">
        <v>5356</v>
      </c>
      <c r="E1172" s="2" t="s">
        <v>41</v>
      </c>
      <c r="F1172" s="2" t="s">
        <v>92</v>
      </c>
      <c r="G1172" s="2" t="s">
        <v>616</v>
      </c>
      <c r="H1172" s="2" t="s">
        <v>2731</v>
      </c>
      <c r="I1172" s="2" t="str">
        <f t="shared" si="90"/>
        <v>Nov</v>
      </c>
      <c r="J1172" s="2">
        <f t="shared" si="91"/>
        <v>11</v>
      </c>
      <c r="K1172" s="2">
        <f t="shared" si="92"/>
        <v>2024</v>
      </c>
      <c r="L1172" s="2">
        <f t="shared" si="93"/>
        <v>4</v>
      </c>
      <c r="M1172" s="2">
        <v>5</v>
      </c>
      <c r="N1172" s="2" t="s">
        <v>2723</v>
      </c>
      <c r="O1172" s="2" t="s">
        <v>45</v>
      </c>
      <c r="P1172" s="3">
        <v>286348</v>
      </c>
      <c r="Q1172" s="2"/>
      <c r="R1172" s="2"/>
      <c r="S1172" s="2" t="s">
        <v>5573</v>
      </c>
      <c r="T1172" s="2">
        <v>6.2</v>
      </c>
      <c r="U1172" s="2" t="s">
        <v>63</v>
      </c>
      <c r="V1172" s="2" t="s">
        <v>64</v>
      </c>
      <c r="W1172" s="67" t="str">
        <f t="shared" si="94"/>
        <v>-</v>
      </c>
    </row>
    <row r="1173" spans="1:23" x14ac:dyDescent="0.3">
      <c r="A1173" s="4" t="s">
        <v>2998</v>
      </c>
      <c r="B1173" s="4" t="s">
        <v>2925</v>
      </c>
      <c r="C1173" s="4">
        <v>9378088986</v>
      </c>
      <c r="D1173" s="4" t="s">
        <v>121</v>
      </c>
      <c r="E1173" s="4" t="s">
        <v>41</v>
      </c>
      <c r="F1173" s="4" t="s">
        <v>86</v>
      </c>
      <c r="G1173" s="4" t="s">
        <v>69</v>
      </c>
      <c r="H1173" s="4" t="s">
        <v>2731</v>
      </c>
      <c r="I1173" s="2" t="str">
        <f t="shared" si="90"/>
        <v>Nov</v>
      </c>
      <c r="J1173" s="2">
        <f t="shared" si="91"/>
        <v>11</v>
      </c>
      <c r="K1173" s="2">
        <f t="shared" si="92"/>
        <v>2024</v>
      </c>
      <c r="L1173" s="2">
        <f t="shared" si="93"/>
        <v>4</v>
      </c>
      <c r="M1173" s="4">
        <v>2</v>
      </c>
      <c r="N1173" s="4" t="s">
        <v>2723</v>
      </c>
      <c r="O1173" s="4" t="s">
        <v>62</v>
      </c>
      <c r="P1173" s="5">
        <v>312723</v>
      </c>
      <c r="Q1173" s="4"/>
      <c r="R1173" s="4"/>
      <c r="S1173" s="4" t="s">
        <v>5573</v>
      </c>
      <c r="T1173" s="4">
        <v>8.3000000000000007</v>
      </c>
      <c r="U1173" s="4" t="s">
        <v>63</v>
      </c>
      <c r="V1173" s="4" t="s">
        <v>64</v>
      </c>
      <c r="W1173" s="67" t="str">
        <f t="shared" si="94"/>
        <v>-</v>
      </c>
    </row>
    <row r="1174" spans="1:23" x14ac:dyDescent="0.3">
      <c r="A1174" s="2" t="s">
        <v>2999</v>
      </c>
      <c r="B1174" s="2" t="s">
        <v>1742</v>
      </c>
      <c r="C1174" s="2">
        <v>9704894343</v>
      </c>
      <c r="D1174" s="2" t="s">
        <v>108</v>
      </c>
      <c r="E1174" s="2" t="s">
        <v>41</v>
      </c>
      <c r="F1174" s="2" t="s">
        <v>151</v>
      </c>
      <c r="G1174" s="2" t="s">
        <v>87</v>
      </c>
      <c r="H1174" s="2" t="s">
        <v>2728</v>
      </c>
      <c r="I1174" s="2" t="str">
        <f t="shared" si="90"/>
        <v>Nov</v>
      </c>
      <c r="J1174" s="2">
        <f t="shared" si="91"/>
        <v>11</v>
      </c>
      <c r="K1174" s="2">
        <f t="shared" si="92"/>
        <v>2024</v>
      </c>
      <c r="L1174" s="2">
        <f t="shared" si="93"/>
        <v>4</v>
      </c>
      <c r="M1174" s="2">
        <v>8</v>
      </c>
      <c r="N1174" s="2" t="s">
        <v>2995</v>
      </c>
      <c r="O1174" s="2" t="s">
        <v>27</v>
      </c>
      <c r="P1174" s="3">
        <v>263605</v>
      </c>
      <c r="Q1174" s="2"/>
      <c r="R1174" s="2"/>
      <c r="S1174" s="2" t="s">
        <v>5573</v>
      </c>
      <c r="T1174" s="2">
        <v>10.6</v>
      </c>
      <c r="U1174" s="2" t="s">
        <v>29</v>
      </c>
      <c r="V1174" s="2"/>
      <c r="W1174" s="67" t="str">
        <f t="shared" si="94"/>
        <v>-</v>
      </c>
    </row>
    <row r="1175" spans="1:23" x14ac:dyDescent="0.3">
      <c r="A1175" s="8" t="s">
        <v>3000</v>
      </c>
      <c r="B1175" s="8" t="s">
        <v>3001</v>
      </c>
      <c r="C1175" s="8">
        <v>9102605061</v>
      </c>
      <c r="D1175" s="8" t="s">
        <v>59</v>
      </c>
      <c r="E1175" s="8" t="s">
        <v>67</v>
      </c>
      <c r="F1175" s="8" t="s">
        <v>80</v>
      </c>
      <c r="G1175" s="8" t="s">
        <v>87</v>
      </c>
      <c r="H1175" s="8" t="s">
        <v>2728</v>
      </c>
      <c r="I1175" s="2" t="str">
        <f t="shared" si="90"/>
        <v>Nov</v>
      </c>
      <c r="J1175" s="2">
        <f t="shared" si="91"/>
        <v>11</v>
      </c>
      <c r="K1175" s="2">
        <f t="shared" si="92"/>
        <v>2024</v>
      </c>
      <c r="L1175" s="2">
        <f t="shared" si="93"/>
        <v>4</v>
      </c>
      <c r="M1175" s="8">
        <v>6</v>
      </c>
      <c r="N1175" s="8" t="s">
        <v>3002</v>
      </c>
      <c r="O1175" s="8" t="s">
        <v>27</v>
      </c>
      <c r="P1175" s="9">
        <v>198376</v>
      </c>
      <c r="Q1175" s="8"/>
      <c r="R1175" s="8"/>
      <c r="S1175" s="8" t="s">
        <v>5573</v>
      </c>
      <c r="T1175" s="8">
        <v>21.4</v>
      </c>
      <c r="U1175" s="8" t="s">
        <v>29</v>
      </c>
      <c r="V1175" s="8" t="s">
        <v>38</v>
      </c>
      <c r="W1175" s="67" t="str">
        <f t="shared" si="94"/>
        <v>-</v>
      </c>
    </row>
    <row r="1176" spans="1:23" x14ac:dyDescent="0.3">
      <c r="A1176" s="2" t="s">
        <v>3003</v>
      </c>
      <c r="B1176" s="2" t="s">
        <v>950</v>
      </c>
      <c r="C1176" s="2">
        <v>9257963512</v>
      </c>
      <c r="D1176" s="2" t="s">
        <v>20</v>
      </c>
      <c r="E1176" s="2" t="s">
        <v>109</v>
      </c>
      <c r="F1176" s="2" t="s">
        <v>217</v>
      </c>
      <c r="G1176" s="2" t="s">
        <v>1609</v>
      </c>
      <c r="H1176" s="2" t="s">
        <v>2660</v>
      </c>
      <c r="I1176" s="2" t="str">
        <f t="shared" si="90"/>
        <v>Nov</v>
      </c>
      <c r="J1176" s="2">
        <f t="shared" si="91"/>
        <v>11</v>
      </c>
      <c r="K1176" s="2">
        <f t="shared" si="92"/>
        <v>2024</v>
      </c>
      <c r="L1176" s="2">
        <f t="shared" si="93"/>
        <v>4</v>
      </c>
      <c r="M1176" s="2">
        <v>12</v>
      </c>
      <c r="N1176" s="2" t="s">
        <v>2956</v>
      </c>
      <c r="O1176" s="2" t="s">
        <v>27</v>
      </c>
      <c r="P1176" s="3">
        <v>423690</v>
      </c>
      <c r="Q1176" s="2"/>
      <c r="R1176" s="2"/>
      <c r="S1176" s="2" t="s">
        <v>5573</v>
      </c>
      <c r="T1176" s="2">
        <v>28.2</v>
      </c>
      <c r="U1176" s="2" t="s">
        <v>29</v>
      </c>
      <c r="V1176" s="2" t="s">
        <v>202</v>
      </c>
      <c r="W1176" s="67" t="str">
        <f t="shared" si="94"/>
        <v>-</v>
      </c>
    </row>
    <row r="1177" spans="1:23" x14ac:dyDescent="0.3">
      <c r="A1177" s="4" t="s">
        <v>3004</v>
      </c>
      <c r="B1177" s="4" t="s">
        <v>3005</v>
      </c>
      <c r="C1177" s="4">
        <v>9462993315</v>
      </c>
      <c r="D1177" s="4" t="s">
        <v>20</v>
      </c>
      <c r="E1177" s="4" t="s">
        <v>641</v>
      </c>
      <c r="F1177" s="4" t="s">
        <v>681</v>
      </c>
      <c r="G1177" s="4" t="s">
        <v>35</v>
      </c>
      <c r="H1177" s="4" t="s">
        <v>2660</v>
      </c>
      <c r="I1177" s="2" t="str">
        <f t="shared" si="90"/>
        <v>Nov</v>
      </c>
      <c r="J1177" s="2">
        <f t="shared" si="91"/>
        <v>11</v>
      </c>
      <c r="K1177" s="2">
        <f t="shared" si="92"/>
        <v>2024</v>
      </c>
      <c r="L1177" s="2">
        <f t="shared" si="93"/>
        <v>4</v>
      </c>
      <c r="M1177" s="4">
        <v>12</v>
      </c>
      <c r="N1177" s="4" t="s">
        <v>3006</v>
      </c>
      <c r="O1177" s="4" t="s">
        <v>27</v>
      </c>
      <c r="P1177" s="5">
        <v>294465</v>
      </c>
      <c r="Q1177" s="4"/>
      <c r="R1177" s="4"/>
      <c r="S1177" s="4" t="s">
        <v>5573</v>
      </c>
      <c r="T1177" s="4">
        <v>47.6</v>
      </c>
      <c r="U1177" s="4" t="s">
        <v>29</v>
      </c>
      <c r="V1177" s="4" t="s">
        <v>202</v>
      </c>
      <c r="W1177" s="67" t="str">
        <f t="shared" si="94"/>
        <v>-</v>
      </c>
    </row>
    <row r="1178" spans="1:23" x14ac:dyDescent="0.3">
      <c r="A1178" s="2" t="s">
        <v>3007</v>
      </c>
      <c r="B1178" s="2" t="s">
        <v>3008</v>
      </c>
      <c r="C1178" s="2">
        <v>9971440353</v>
      </c>
      <c r="D1178" s="2" t="s">
        <v>59</v>
      </c>
      <c r="E1178" s="2" t="s">
        <v>109</v>
      </c>
      <c r="F1178" s="2" t="s">
        <v>331</v>
      </c>
      <c r="G1178" s="2" t="s">
        <v>643</v>
      </c>
      <c r="H1178" s="2" t="s">
        <v>2660</v>
      </c>
      <c r="I1178" s="2" t="str">
        <f t="shared" si="90"/>
        <v>Nov</v>
      </c>
      <c r="J1178" s="2">
        <f t="shared" si="91"/>
        <v>11</v>
      </c>
      <c r="K1178" s="2">
        <f t="shared" si="92"/>
        <v>2024</v>
      </c>
      <c r="L1178" s="2">
        <f t="shared" si="93"/>
        <v>4</v>
      </c>
      <c r="M1178" s="2">
        <v>7</v>
      </c>
      <c r="N1178" s="2" t="s">
        <v>2861</v>
      </c>
      <c r="O1178" s="2" t="s">
        <v>27</v>
      </c>
      <c r="P1178" s="3">
        <v>697313</v>
      </c>
      <c r="Q1178" s="2"/>
      <c r="R1178" s="2"/>
      <c r="S1178" s="2" t="s">
        <v>5573</v>
      </c>
      <c r="T1178" s="2">
        <v>14.9</v>
      </c>
      <c r="U1178" s="2" t="s">
        <v>29</v>
      </c>
      <c r="V1178" s="2" t="s">
        <v>123</v>
      </c>
      <c r="W1178" s="67" t="str">
        <f t="shared" si="94"/>
        <v>-</v>
      </c>
    </row>
    <row r="1179" spans="1:23" x14ac:dyDescent="0.3">
      <c r="A1179" s="4" t="s">
        <v>3009</v>
      </c>
      <c r="B1179" s="4" t="s">
        <v>3010</v>
      </c>
      <c r="C1179" s="4">
        <v>9400583790</v>
      </c>
      <c r="D1179" s="4" t="s">
        <v>59</v>
      </c>
      <c r="E1179" s="4" t="s">
        <v>1632</v>
      </c>
      <c r="F1179" s="4" t="s">
        <v>1659</v>
      </c>
      <c r="G1179" s="4" t="s">
        <v>23</v>
      </c>
      <c r="H1179" s="4" t="s">
        <v>2846</v>
      </c>
      <c r="I1179" s="2" t="str">
        <f t="shared" si="90"/>
        <v>Nov</v>
      </c>
      <c r="J1179" s="2">
        <f t="shared" si="91"/>
        <v>11</v>
      </c>
      <c r="K1179" s="2">
        <f t="shared" si="92"/>
        <v>2024</v>
      </c>
      <c r="L1179" s="2">
        <f t="shared" si="93"/>
        <v>4</v>
      </c>
      <c r="M1179" s="4">
        <v>2</v>
      </c>
      <c r="N1179" s="4" t="s">
        <v>2871</v>
      </c>
      <c r="O1179" s="4" t="s">
        <v>27</v>
      </c>
      <c r="P1179" s="5">
        <v>720080</v>
      </c>
      <c r="Q1179" s="4"/>
      <c r="R1179" s="4"/>
      <c r="S1179" s="4" t="s">
        <v>5573</v>
      </c>
      <c r="T1179" s="4">
        <v>1.1000000000000001</v>
      </c>
      <c r="U1179" s="4" t="s">
        <v>47</v>
      </c>
      <c r="V1179" s="4" t="s">
        <v>38</v>
      </c>
      <c r="W1179" s="67" t="str">
        <f t="shared" si="94"/>
        <v>-</v>
      </c>
    </row>
    <row r="1180" spans="1:23" x14ac:dyDescent="0.3">
      <c r="A1180" s="6" t="s">
        <v>3011</v>
      </c>
      <c r="B1180" s="6" t="s">
        <v>200</v>
      </c>
      <c r="C1180" s="6">
        <v>9748749790</v>
      </c>
      <c r="D1180" s="6" t="s">
        <v>121</v>
      </c>
      <c r="E1180" s="6" t="s">
        <v>641</v>
      </c>
      <c r="F1180" s="6" t="s">
        <v>642</v>
      </c>
      <c r="G1180" s="6" t="s">
        <v>1735</v>
      </c>
      <c r="H1180" s="6" t="s">
        <v>2846</v>
      </c>
      <c r="I1180" s="2" t="str">
        <f t="shared" si="90"/>
        <v>Nov</v>
      </c>
      <c r="J1180" s="2">
        <f t="shared" si="91"/>
        <v>11</v>
      </c>
      <c r="K1180" s="2">
        <f t="shared" si="92"/>
        <v>2024</v>
      </c>
      <c r="L1180" s="2">
        <f t="shared" si="93"/>
        <v>4</v>
      </c>
      <c r="M1180" s="6">
        <v>3</v>
      </c>
      <c r="N1180" s="6" t="s">
        <v>2831</v>
      </c>
      <c r="O1180" s="6" t="s">
        <v>97</v>
      </c>
      <c r="P1180" s="7">
        <v>1415407</v>
      </c>
      <c r="Q1180" s="7">
        <v>1326893</v>
      </c>
      <c r="R1180" s="6" t="s">
        <v>3012</v>
      </c>
      <c r="S1180" s="6" t="s">
        <v>5573</v>
      </c>
      <c r="T1180" s="6">
        <v>3.3</v>
      </c>
      <c r="U1180" s="6" t="s">
        <v>63</v>
      </c>
      <c r="V1180" s="6" t="s">
        <v>295</v>
      </c>
      <c r="W1180" s="67" t="str">
        <f t="shared" si="94"/>
        <v>Customer</v>
      </c>
    </row>
    <row r="1181" spans="1:23" x14ac:dyDescent="0.3">
      <c r="A1181" s="4" t="s">
        <v>3013</v>
      </c>
      <c r="B1181" s="4" t="s">
        <v>3014</v>
      </c>
      <c r="C1181" s="4">
        <v>9859221556</v>
      </c>
      <c r="D1181" s="4" t="s">
        <v>5357</v>
      </c>
      <c r="E1181" s="4" t="s">
        <v>1632</v>
      </c>
      <c r="F1181" s="4" t="s">
        <v>1694</v>
      </c>
      <c r="G1181" s="4" t="s">
        <v>1621</v>
      </c>
      <c r="H1181" s="4" t="s">
        <v>2846</v>
      </c>
      <c r="I1181" s="2" t="str">
        <f t="shared" si="90"/>
        <v>Nov</v>
      </c>
      <c r="J1181" s="2">
        <f t="shared" si="91"/>
        <v>11</v>
      </c>
      <c r="K1181" s="2">
        <f t="shared" si="92"/>
        <v>2024</v>
      </c>
      <c r="L1181" s="2">
        <f t="shared" si="93"/>
        <v>4</v>
      </c>
      <c r="M1181" s="4">
        <v>11</v>
      </c>
      <c r="N1181" s="4" t="s">
        <v>2895</v>
      </c>
      <c r="O1181" s="4" t="s">
        <v>55</v>
      </c>
      <c r="P1181" s="5">
        <v>276047</v>
      </c>
      <c r="Q1181" s="4"/>
      <c r="R1181" s="4"/>
      <c r="S1181" s="4" t="s">
        <v>5573</v>
      </c>
      <c r="T1181" s="4">
        <v>41.1</v>
      </c>
      <c r="U1181" s="4" t="s">
        <v>29</v>
      </c>
      <c r="V1181" s="4" t="s">
        <v>56</v>
      </c>
      <c r="W1181" s="67" t="str">
        <f t="shared" si="94"/>
        <v>-</v>
      </c>
    </row>
    <row r="1182" spans="1:23" x14ac:dyDescent="0.3">
      <c r="A1182" s="6" t="s">
        <v>3016</v>
      </c>
      <c r="B1182" s="6" t="s">
        <v>3017</v>
      </c>
      <c r="C1182" s="6">
        <v>9858132279</v>
      </c>
      <c r="D1182" s="6" t="s">
        <v>121</v>
      </c>
      <c r="E1182" s="6" t="s">
        <v>648</v>
      </c>
      <c r="F1182" s="6" t="s">
        <v>649</v>
      </c>
      <c r="G1182" s="6" t="s">
        <v>643</v>
      </c>
      <c r="H1182" s="6" t="s">
        <v>2846</v>
      </c>
      <c r="I1182" s="2" t="str">
        <f t="shared" si="90"/>
        <v>Nov</v>
      </c>
      <c r="J1182" s="2">
        <f t="shared" si="91"/>
        <v>11</v>
      </c>
      <c r="K1182" s="2">
        <f t="shared" si="92"/>
        <v>2024</v>
      </c>
      <c r="L1182" s="2">
        <f t="shared" si="93"/>
        <v>4</v>
      </c>
      <c r="M1182" s="6">
        <v>8</v>
      </c>
      <c r="N1182" s="6" t="s">
        <v>2953</v>
      </c>
      <c r="O1182" s="6" t="s">
        <v>97</v>
      </c>
      <c r="P1182" s="7">
        <v>1191013</v>
      </c>
      <c r="Q1182" s="7">
        <v>1190859</v>
      </c>
      <c r="R1182" s="6" t="s">
        <v>3018</v>
      </c>
      <c r="S1182" s="6" t="s">
        <v>5573</v>
      </c>
      <c r="T1182" s="6">
        <v>23.8</v>
      </c>
      <c r="U1182" s="6" t="s">
        <v>63</v>
      </c>
      <c r="V1182" s="6" t="s">
        <v>483</v>
      </c>
      <c r="W1182" s="67" t="str">
        <f t="shared" si="94"/>
        <v>Customer</v>
      </c>
    </row>
    <row r="1183" spans="1:23" x14ac:dyDescent="0.3">
      <c r="A1183" s="8" t="s">
        <v>3019</v>
      </c>
      <c r="B1183" s="8" t="s">
        <v>1571</v>
      </c>
      <c r="C1183" s="8">
        <v>9774079234</v>
      </c>
      <c r="D1183" s="8" t="s">
        <v>59</v>
      </c>
      <c r="E1183" s="8" t="s">
        <v>641</v>
      </c>
      <c r="F1183" s="8" t="s">
        <v>717</v>
      </c>
      <c r="G1183" s="8" t="s">
        <v>23</v>
      </c>
      <c r="H1183" s="8" t="s">
        <v>2846</v>
      </c>
      <c r="I1183" s="2" t="str">
        <f t="shared" si="90"/>
        <v>Nov</v>
      </c>
      <c r="J1183" s="2">
        <f t="shared" si="91"/>
        <v>11</v>
      </c>
      <c r="K1183" s="2">
        <f t="shared" si="92"/>
        <v>2024</v>
      </c>
      <c r="L1183" s="2">
        <f t="shared" si="93"/>
        <v>4</v>
      </c>
      <c r="M1183" s="8">
        <v>6</v>
      </c>
      <c r="N1183" s="8" t="s">
        <v>3020</v>
      </c>
      <c r="O1183" s="8" t="s">
        <v>45</v>
      </c>
      <c r="P1183" s="9">
        <v>711670</v>
      </c>
      <c r="Q1183" s="8"/>
      <c r="R1183" s="8"/>
      <c r="S1183" s="8" t="s">
        <v>5573</v>
      </c>
      <c r="T1183" s="8">
        <v>41</v>
      </c>
      <c r="U1183" s="8" t="s">
        <v>47</v>
      </c>
      <c r="V1183" s="8" t="s">
        <v>89</v>
      </c>
      <c r="W1183" s="67" t="str">
        <f t="shared" si="94"/>
        <v>-</v>
      </c>
    </row>
    <row r="1184" spans="1:23" x14ac:dyDescent="0.3">
      <c r="A1184" s="2" t="s">
        <v>3021</v>
      </c>
      <c r="B1184" s="2" t="s">
        <v>1296</v>
      </c>
      <c r="C1184" s="2">
        <v>9734020498</v>
      </c>
      <c r="D1184" s="2" t="s">
        <v>20</v>
      </c>
      <c r="E1184" s="2" t="s">
        <v>33</v>
      </c>
      <c r="F1184" s="2" t="s">
        <v>102</v>
      </c>
      <c r="G1184" s="2" t="s">
        <v>87</v>
      </c>
      <c r="H1184" s="2" t="s">
        <v>2846</v>
      </c>
      <c r="I1184" s="2" t="str">
        <f t="shared" si="90"/>
        <v>Nov</v>
      </c>
      <c r="J1184" s="2">
        <f t="shared" si="91"/>
        <v>11</v>
      </c>
      <c r="K1184" s="2">
        <f t="shared" si="92"/>
        <v>2024</v>
      </c>
      <c r="L1184" s="2">
        <f t="shared" si="93"/>
        <v>4</v>
      </c>
      <c r="M1184" s="2">
        <v>3</v>
      </c>
      <c r="N1184" s="2" t="s">
        <v>2712</v>
      </c>
      <c r="O1184" s="2" t="s">
        <v>45</v>
      </c>
      <c r="P1184" s="3">
        <v>289774</v>
      </c>
      <c r="Q1184" s="2"/>
      <c r="R1184" s="2"/>
      <c r="S1184" s="2" t="s">
        <v>5573</v>
      </c>
      <c r="T1184" s="2">
        <v>42</v>
      </c>
      <c r="U1184" s="2" t="s">
        <v>47</v>
      </c>
      <c r="V1184" s="2" t="s">
        <v>183</v>
      </c>
      <c r="W1184" s="67" t="str">
        <f t="shared" si="94"/>
        <v>-</v>
      </c>
    </row>
    <row r="1185" spans="1:23" x14ac:dyDescent="0.3">
      <c r="A1185" s="4" t="s">
        <v>3022</v>
      </c>
      <c r="B1185" s="4" t="s">
        <v>916</v>
      </c>
      <c r="C1185" s="4">
        <v>9700485168</v>
      </c>
      <c r="D1185" s="4" t="s">
        <v>59</v>
      </c>
      <c r="E1185" s="4" t="s">
        <v>1632</v>
      </c>
      <c r="F1185" s="4" t="s">
        <v>1694</v>
      </c>
      <c r="G1185" s="4" t="s">
        <v>1621</v>
      </c>
      <c r="H1185" s="4" t="s">
        <v>2846</v>
      </c>
      <c r="I1185" s="2" t="str">
        <f t="shared" si="90"/>
        <v>Nov</v>
      </c>
      <c r="J1185" s="2">
        <f t="shared" si="91"/>
        <v>11</v>
      </c>
      <c r="K1185" s="2">
        <f t="shared" si="92"/>
        <v>2024</v>
      </c>
      <c r="L1185" s="2">
        <f t="shared" si="93"/>
        <v>4</v>
      </c>
      <c r="M1185" s="4">
        <v>0</v>
      </c>
      <c r="N1185" s="4" t="s">
        <v>2637</v>
      </c>
      <c r="O1185" s="4" t="s">
        <v>27</v>
      </c>
      <c r="P1185" s="5">
        <v>251025</v>
      </c>
      <c r="Q1185" s="4"/>
      <c r="R1185" s="4"/>
      <c r="S1185" s="4" t="s">
        <v>5573</v>
      </c>
      <c r="T1185" s="4">
        <v>44.5</v>
      </c>
      <c r="U1185" s="4" t="s">
        <v>29</v>
      </c>
      <c r="V1185" s="4" t="s">
        <v>105</v>
      </c>
      <c r="W1185" s="67" t="str">
        <f t="shared" si="94"/>
        <v>-</v>
      </c>
    </row>
    <row r="1186" spans="1:23" x14ac:dyDescent="0.3">
      <c r="A1186" s="2" t="s">
        <v>3023</v>
      </c>
      <c r="B1186" s="2" t="s">
        <v>2702</v>
      </c>
      <c r="C1186" s="2">
        <v>9364450015</v>
      </c>
      <c r="D1186" s="2" t="s">
        <v>108</v>
      </c>
      <c r="E1186" s="2" t="s">
        <v>1632</v>
      </c>
      <c r="F1186" s="2" t="s">
        <v>1849</v>
      </c>
      <c r="G1186" s="2" t="s">
        <v>23</v>
      </c>
      <c r="H1186" s="2" t="s">
        <v>3015</v>
      </c>
      <c r="I1186" s="2" t="str">
        <f t="shared" si="90"/>
        <v>Nov</v>
      </c>
      <c r="J1186" s="2">
        <f t="shared" si="91"/>
        <v>11</v>
      </c>
      <c r="K1186" s="2">
        <f t="shared" si="92"/>
        <v>2024</v>
      </c>
      <c r="L1186" s="2">
        <f t="shared" si="93"/>
        <v>4</v>
      </c>
      <c r="M1186" s="2">
        <v>7</v>
      </c>
      <c r="N1186" s="2" t="s">
        <v>2947</v>
      </c>
      <c r="O1186" s="2" t="s">
        <v>45</v>
      </c>
      <c r="P1186" s="3">
        <v>391163</v>
      </c>
      <c r="Q1186" s="2"/>
      <c r="R1186" s="2"/>
      <c r="S1186" s="2" t="s">
        <v>5573</v>
      </c>
      <c r="T1186" s="2">
        <v>40.799999999999997</v>
      </c>
      <c r="U1186" s="2" t="s">
        <v>63</v>
      </c>
      <c r="V1186" s="2" t="s">
        <v>668</v>
      </c>
      <c r="W1186" s="67" t="str">
        <f t="shared" si="94"/>
        <v>-</v>
      </c>
    </row>
    <row r="1187" spans="1:23" x14ac:dyDescent="0.3">
      <c r="A1187" s="8" t="s">
        <v>3024</v>
      </c>
      <c r="B1187" s="8" t="s">
        <v>3025</v>
      </c>
      <c r="C1187" s="8">
        <v>9237445335</v>
      </c>
      <c r="D1187" s="8" t="s">
        <v>20</v>
      </c>
      <c r="E1187" s="8" t="s">
        <v>41</v>
      </c>
      <c r="F1187" s="8" t="s">
        <v>42</v>
      </c>
      <c r="G1187" s="8" t="s">
        <v>35</v>
      </c>
      <c r="H1187" s="8" t="s">
        <v>3015</v>
      </c>
      <c r="I1187" s="2" t="str">
        <f t="shared" si="90"/>
        <v>Nov</v>
      </c>
      <c r="J1187" s="2">
        <f t="shared" si="91"/>
        <v>11</v>
      </c>
      <c r="K1187" s="2">
        <f t="shared" si="92"/>
        <v>2024</v>
      </c>
      <c r="L1187" s="2">
        <f t="shared" si="93"/>
        <v>4</v>
      </c>
      <c r="M1187" s="8">
        <v>2</v>
      </c>
      <c r="N1187" s="8" t="s">
        <v>2871</v>
      </c>
      <c r="O1187" s="8" t="s">
        <v>55</v>
      </c>
      <c r="P1187" s="9">
        <v>188385</v>
      </c>
      <c r="Q1187" s="8"/>
      <c r="R1187" s="8"/>
      <c r="S1187" s="8" t="s">
        <v>5573</v>
      </c>
      <c r="T1187" s="8">
        <v>44</v>
      </c>
      <c r="U1187" s="8" t="s">
        <v>29</v>
      </c>
      <c r="V1187" s="8" t="s">
        <v>805</v>
      </c>
      <c r="W1187" s="67" t="str">
        <f t="shared" si="94"/>
        <v>-</v>
      </c>
    </row>
    <row r="1188" spans="1:23" x14ac:dyDescent="0.3">
      <c r="A1188" s="2" t="s">
        <v>3026</v>
      </c>
      <c r="B1188" s="2" t="s">
        <v>3027</v>
      </c>
      <c r="C1188" s="2">
        <v>9154433654</v>
      </c>
      <c r="D1188" s="2" t="s">
        <v>20</v>
      </c>
      <c r="E1188" s="2" t="s">
        <v>1632</v>
      </c>
      <c r="F1188" s="2" t="s">
        <v>1682</v>
      </c>
      <c r="G1188" s="2" t="s">
        <v>643</v>
      </c>
      <c r="H1188" s="2" t="s">
        <v>2869</v>
      </c>
      <c r="I1188" s="2" t="str">
        <f t="shared" si="90"/>
        <v>Nov</v>
      </c>
      <c r="J1188" s="2">
        <f t="shared" si="91"/>
        <v>11</v>
      </c>
      <c r="K1188" s="2">
        <f t="shared" si="92"/>
        <v>2024</v>
      </c>
      <c r="L1188" s="2">
        <f t="shared" si="93"/>
        <v>4</v>
      </c>
      <c r="M1188" s="2">
        <v>9</v>
      </c>
      <c r="N1188" s="2" t="s">
        <v>3006</v>
      </c>
      <c r="O1188" s="2" t="s">
        <v>27</v>
      </c>
      <c r="P1188" s="3">
        <v>712702</v>
      </c>
      <c r="Q1188" s="2"/>
      <c r="R1188" s="2"/>
      <c r="S1188" s="2" t="s">
        <v>5573</v>
      </c>
      <c r="T1188" s="2">
        <v>26.5</v>
      </c>
      <c r="U1188" s="2" t="s">
        <v>29</v>
      </c>
      <c r="V1188" s="2" t="s">
        <v>123</v>
      </c>
      <c r="W1188" s="67" t="str">
        <f t="shared" si="94"/>
        <v>-</v>
      </c>
    </row>
    <row r="1189" spans="1:23" x14ac:dyDescent="0.3">
      <c r="A1189" s="4" t="s">
        <v>3028</v>
      </c>
      <c r="B1189" s="4" t="s">
        <v>3029</v>
      </c>
      <c r="C1189" s="4"/>
      <c r="D1189" s="4" t="s">
        <v>108</v>
      </c>
      <c r="E1189" s="4" t="s">
        <v>641</v>
      </c>
      <c r="F1189" s="4" t="s">
        <v>681</v>
      </c>
      <c r="G1189" s="4" t="s">
        <v>1623</v>
      </c>
      <c r="H1189" s="4" t="s">
        <v>2869</v>
      </c>
      <c r="I1189" s="2" t="str">
        <f t="shared" si="90"/>
        <v>Nov</v>
      </c>
      <c r="J1189" s="2">
        <f t="shared" si="91"/>
        <v>11</v>
      </c>
      <c r="K1189" s="2">
        <f t="shared" si="92"/>
        <v>2024</v>
      </c>
      <c r="L1189" s="2">
        <f t="shared" si="93"/>
        <v>4</v>
      </c>
      <c r="M1189" s="4">
        <v>3</v>
      </c>
      <c r="N1189" s="4" t="s">
        <v>2818</v>
      </c>
      <c r="O1189" s="4" t="s">
        <v>55</v>
      </c>
      <c r="P1189" s="5">
        <v>308570</v>
      </c>
      <c r="Q1189" s="4"/>
      <c r="R1189" s="4"/>
      <c r="S1189" s="4" t="s">
        <v>5573</v>
      </c>
      <c r="T1189" s="4">
        <v>38.6</v>
      </c>
      <c r="U1189" s="4" t="s">
        <v>29</v>
      </c>
      <c r="V1189" s="4" t="s">
        <v>2286</v>
      </c>
      <c r="W1189" s="67" t="str">
        <f t="shared" si="94"/>
        <v>-</v>
      </c>
    </row>
    <row r="1190" spans="1:23" x14ac:dyDescent="0.3">
      <c r="A1190" s="6" t="s">
        <v>3030</v>
      </c>
      <c r="B1190" s="6" t="s">
        <v>2086</v>
      </c>
      <c r="C1190" s="6">
        <v>9151067852</v>
      </c>
      <c r="D1190" s="6" t="s">
        <v>59</v>
      </c>
      <c r="E1190" s="6" t="s">
        <v>641</v>
      </c>
      <c r="F1190" s="6" t="s">
        <v>681</v>
      </c>
      <c r="G1190" s="6" t="s">
        <v>1599</v>
      </c>
      <c r="H1190" s="6" t="s">
        <v>2869</v>
      </c>
      <c r="I1190" s="2" t="str">
        <f t="shared" si="90"/>
        <v>Nov</v>
      </c>
      <c r="J1190" s="2">
        <f t="shared" si="91"/>
        <v>11</v>
      </c>
      <c r="K1190" s="2">
        <f t="shared" si="92"/>
        <v>2024</v>
      </c>
      <c r="L1190" s="2">
        <f t="shared" si="93"/>
        <v>4</v>
      </c>
      <c r="M1190" s="6">
        <v>10</v>
      </c>
      <c r="N1190" s="6" t="s">
        <v>3031</v>
      </c>
      <c r="O1190" s="6" t="s">
        <v>97</v>
      </c>
      <c r="P1190" s="7">
        <v>736277</v>
      </c>
      <c r="Q1190" s="7">
        <v>700905</v>
      </c>
      <c r="R1190" s="6" t="s">
        <v>3032</v>
      </c>
      <c r="S1190" s="6" t="s">
        <v>5573</v>
      </c>
      <c r="T1190" s="6">
        <v>46.8</v>
      </c>
      <c r="U1190" s="6" t="s">
        <v>63</v>
      </c>
      <c r="V1190" s="6" t="s">
        <v>341</v>
      </c>
      <c r="W1190" s="67" t="str">
        <f t="shared" si="94"/>
        <v>Customer</v>
      </c>
    </row>
    <row r="1191" spans="1:23" x14ac:dyDescent="0.3">
      <c r="A1191" s="4" t="s">
        <v>3033</v>
      </c>
      <c r="B1191" s="4" t="s">
        <v>993</v>
      </c>
      <c r="C1191" s="4">
        <v>9701444428</v>
      </c>
      <c r="D1191" s="4" t="s">
        <v>51</v>
      </c>
      <c r="E1191" s="4" t="s">
        <v>641</v>
      </c>
      <c r="F1191" s="4" t="s">
        <v>681</v>
      </c>
      <c r="G1191" s="4" t="s">
        <v>60</v>
      </c>
      <c r="H1191" s="4" t="s">
        <v>2869</v>
      </c>
      <c r="I1191" s="2" t="str">
        <f t="shared" si="90"/>
        <v>Nov</v>
      </c>
      <c r="J1191" s="2">
        <f t="shared" si="91"/>
        <v>11</v>
      </c>
      <c r="K1191" s="2">
        <f t="shared" si="92"/>
        <v>2024</v>
      </c>
      <c r="L1191" s="2">
        <f t="shared" si="93"/>
        <v>4</v>
      </c>
      <c r="M1191" s="4">
        <v>7</v>
      </c>
      <c r="N1191" s="4" t="s">
        <v>2864</v>
      </c>
      <c r="O1191" s="4" t="s">
        <v>27</v>
      </c>
      <c r="P1191" s="5">
        <v>100060</v>
      </c>
      <c r="Q1191" s="4"/>
      <c r="R1191" s="4"/>
      <c r="S1191" s="4" t="s">
        <v>5573</v>
      </c>
      <c r="T1191" s="4">
        <v>19.8</v>
      </c>
      <c r="U1191" s="4" t="s">
        <v>47</v>
      </c>
      <c r="V1191" s="4" t="s">
        <v>38</v>
      </c>
      <c r="W1191" s="67" t="str">
        <f t="shared" si="94"/>
        <v>-</v>
      </c>
    </row>
    <row r="1192" spans="1:23" x14ac:dyDescent="0.3">
      <c r="A1192" s="2" t="s">
        <v>3034</v>
      </c>
      <c r="B1192" s="2" t="s">
        <v>812</v>
      </c>
      <c r="C1192" s="2">
        <v>9576153570</v>
      </c>
      <c r="D1192" s="2" t="s">
        <v>20</v>
      </c>
      <c r="E1192" s="2" t="s">
        <v>33</v>
      </c>
      <c r="F1192" s="2" t="s">
        <v>102</v>
      </c>
      <c r="G1192" s="2" t="s">
        <v>1677</v>
      </c>
      <c r="H1192" s="2" t="s">
        <v>2869</v>
      </c>
      <c r="I1192" s="2" t="str">
        <f t="shared" si="90"/>
        <v>Nov</v>
      </c>
      <c r="J1192" s="2">
        <f t="shared" si="91"/>
        <v>11</v>
      </c>
      <c r="K1192" s="2">
        <f t="shared" si="92"/>
        <v>2024</v>
      </c>
      <c r="L1192" s="2">
        <f t="shared" si="93"/>
        <v>4</v>
      </c>
      <c r="M1192" s="2">
        <v>4</v>
      </c>
      <c r="N1192" s="2" t="s">
        <v>2956</v>
      </c>
      <c r="O1192" s="2" t="s">
        <v>27</v>
      </c>
      <c r="P1192" s="3">
        <v>1514542</v>
      </c>
      <c r="Q1192" s="2"/>
      <c r="R1192" s="2"/>
      <c r="S1192" s="2" t="s">
        <v>5573</v>
      </c>
      <c r="T1192" s="2">
        <v>22.6</v>
      </c>
      <c r="U1192" s="2" t="s">
        <v>29</v>
      </c>
      <c r="V1192" s="2"/>
      <c r="W1192" s="67" t="str">
        <f t="shared" si="94"/>
        <v>-</v>
      </c>
    </row>
    <row r="1193" spans="1:23" x14ac:dyDescent="0.3">
      <c r="A1193" s="4" t="s">
        <v>3035</v>
      </c>
      <c r="B1193" s="4" t="s">
        <v>2911</v>
      </c>
      <c r="C1193" s="4">
        <v>9952400997</v>
      </c>
      <c r="D1193" s="4" t="s">
        <v>51</v>
      </c>
      <c r="E1193" s="4" t="s">
        <v>41</v>
      </c>
      <c r="F1193" s="4" t="s">
        <v>86</v>
      </c>
      <c r="G1193" s="4" t="s">
        <v>52</v>
      </c>
      <c r="H1193" s="4" t="s">
        <v>2645</v>
      </c>
      <c r="I1193" s="2" t="str">
        <f t="shared" si="90"/>
        <v>Nov</v>
      </c>
      <c r="J1193" s="2">
        <f t="shared" si="91"/>
        <v>11</v>
      </c>
      <c r="K1193" s="2">
        <f t="shared" si="92"/>
        <v>2024</v>
      </c>
      <c r="L1193" s="2">
        <f t="shared" si="93"/>
        <v>4</v>
      </c>
      <c r="M1193" s="4">
        <v>3</v>
      </c>
      <c r="N1193" s="4" t="s">
        <v>2860</v>
      </c>
      <c r="O1193" s="4" t="s">
        <v>27</v>
      </c>
      <c r="P1193" s="5">
        <v>215826</v>
      </c>
      <c r="Q1193" s="4"/>
      <c r="R1193" s="4"/>
      <c r="S1193" s="4" t="s">
        <v>5573</v>
      </c>
      <c r="T1193" s="4">
        <v>2.9</v>
      </c>
      <c r="U1193" s="4" t="s">
        <v>47</v>
      </c>
      <c r="V1193" s="4" t="s">
        <v>238</v>
      </c>
      <c r="W1193" s="67" t="str">
        <f t="shared" si="94"/>
        <v>-</v>
      </c>
    </row>
    <row r="1194" spans="1:23" x14ac:dyDescent="0.3">
      <c r="A1194" s="2" t="s">
        <v>3036</v>
      </c>
      <c r="B1194" s="2" t="s">
        <v>1673</v>
      </c>
      <c r="C1194" s="2">
        <v>9235508256</v>
      </c>
      <c r="D1194" s="2" t="s">
        <v>59</v>
      </c>
      <c r="E1194" s="2" t="s">
        <v>641</v>
      </c>
      <c r="F1194" s="2" t="s">
        <v>681</v>
      </c>
      <c r="G1194" s="2" t="s">
        <v>1735</v>
      </c>
      <c r="H1194" s="2" t="s">
        <v>2645</v>
      </c>
      <c r="I1194" s="2" t="str">
        <f t="shared" si="90"/>
        <v>Nov</v>
      </c>
      <c r="J1194" s="2">
        <f t="shared" si="91"/>
        <v>11</v>
      </c>
      <c r="K1194" s="2">
        <f t="shared" si="92"/>
        <v>2024</v>
      </c>
      <c r="L1194" s="2">
        <f t="shared" si="93"/>
        <v>4</v>
      </c>
      <c r="M1194" s="2">
        <v>3</v>
      </c>
      <c r="N1194" s="2" t="s">
        <v>2860</v>
      </c>
      <c r="O1194" s="2" t="s">
        <v>62</v>
      </c>
      <c r="P1194" s="3">
        <v>1705083</v>
      </c>
      <c r="Q1194" s="2"/>
      <c r="R1194" s="2"/>
      <c r="S1194" s="2" t="s">
        <v>5573</v>
      </c>
      <c r="T1194" s="2">
        <v>20.100000000000001</v>
      </c>
      <c r="U1194" s="2" t="s">
        <v>63</v>
      </c>
      <c r="V1194" s="2" t="s">
        <v>195</v>
      </c>
      <c r="W1194" s="67" t="str">
        <f t="shared" si="94"/>
        <v>-</v>
      </c>
    </row>
    <row r="1195" spans="1:23" x14ac:dyDescent="0.3">
      <c r="A1195" s="4" t="s">
        <v>3037</v>
      </c>
      <c r="B1195" s="4" t="s">
        <v>3038</v>
      </c>
      <c r="C1195" s="4">
        <v>9542396350</v>
      </c>
      <c r="D1195" s="4" t="s">
        <v>20</v>
      </c>
      <c r="E1195" s="4" t="s">
        <v>21</v>
      </c>
      <c r="F1195" s="4" t="s">
        <v>160</v>
      </c>
      <c r="G1195" s="4" t="s">
        <v>1621</v>
      </c>
      <c r="H1195" s="4" t="s">
        <v>2645</v>
      </c>
      <c r="I1195" s="2" t="str">
        <f t="shared" si="90"/>
        <v>Nov</v>
      </c>
      <c r="J1195" s="2">
        <f t="shared" si="91"/>
        <v>11</v>
      </c>
      <c r="K1195" s="2">
        <f t="shared" si="92"/>
        <v>2024</v>
      </c>
      <c r="L1195" s="2">
        <f t="shared" si="93"/>
        <v>4</v>
      </c>
      <c r="M1195" s="4">
        <v>5</v>
      </c>
      <c r="N1195" s="4" t="s">
        <v>2831</v>
      </c>
      <c r="O1195" s="4" t="s">
        <v>27</v>
      </c>
      <c r="P1195" s="5">
        <v>381484</v>
      </c>
      <c r="Q1195" s="4"/>
      <c r="R1195" s="4"/>
      <c r="S1195" s="4" t="s">
        <v>5573</v>
      </c>
      <c r="T1195" s="4">
        <v>37.6</v>
      </c>
      <c r="U1195" s="4" t="s">
        <v>29</v>
      </c>
      <c r="V1195" s="4" t="s">
        <v>163</v>
      </c>
      <c r="W1195" s="67" t="str">
        <f t="shared" si="94"/>
        <v>-</v>
      </c>
    </row>
    <row r="1196" spans="1:23" x14ac:dyDescent="0.3">
      <c r="A1196" s="6" t="s">
        <v>3039</v>
      </c>
      <c r="B1196" s="6" t="s">
        <v>924</v>
      </c>
      <c r="C1196" s="6">
        <v>9374184267</v>
      </c>
      <c r="D1196" s="6" t="s">
        <v>59</v>
      </c>
      <c r="E1196" s="6" t="s">
        <v>21</v>
      </c>
      <c r="F1196" s="6" t="s">
        <v>230</v>
      </c>
      <c r="G1196" s="6" t="s">
        <v>87</v>
      </c>
      <c r="H1196" s="6" t="s">
        <v>2894</v>
      </c>
      <c r="I1196" s="2" t="str">
        <f t="shared" si="90"/>
        <v>Nov</v>
      </c>
      <c r="J1196" s="2">
        <f t="shared" si="91"/>
        <v>11</v>
      </c>
      <c r="K1196" s="2">
        <f t="shared" si="92"/>
        <v>2024</v>
      </c>
      <c r="L1196" s="2">
        <f t="shared" si="93"/>
        <v>4</v>
      </c>
      <c r="M1196" s="6">
        <v>2</v>
      </c>
      <c r="N1196" s="6" t="s">
        <v>2995</v>
      </c>
      <c r="O1196" s="6" t="s">
        <v>97</v>
      </c>
      <c r="P1196" s="7">
        <v>308689</v>
      </c>
      <c r="Q1196" s="7">
        <v>274301</v>
      </c>
      <c r="R1196" s="6" t="s">
        <v>2895</v>
      </c>
      <c r="S1196" s="6" t="s">
        <v>5573</v>
      </c>
      <c r="T1196" s="6">
        <v>39</v>
      </c>
      <c r="U1196" s="6" t="s">
        <v>63</v>
      </c>
      <c r="V1196" s="6" t="s">
        <v>243</v>
      </c>
      <c r="W1196" s="67" t="str">
        <f t="shared" si="94"/>
        <v>Customer</v>
      </c>
    </row>
    <row r="1197" spans="1:23" x14ac:dyDescent="0.3">
      <c r="A1197" s="4" t="s">
        <v>3040</v>
      </c>
      <c r="B1197" s="4" t="s">
        <v>3041</v>
      </c>
      <c r="C1197" s="4">
        <v>9185567659</v>
      </c>
      <c r="D1197" s="4" t="s">
        <v>59</v>
      </c>
      <c r="E1197" s="4" t="s">
        <v>1632</v>
      </c>
      <c r="F1197" s="4" t="s">
        <v>1682</v>
      </c>
      <c r="G1197" s="4" t="s">
        <v>23</v>
      </c>
      <c r="H1197" s="4" t="s">
        <v>2894</v>
      </c>
      <c r="I1197" s="2" t="str">
        <f t="shared" si="90"/>
        <v>Nov</v>
      </c>
      <c r="J1197" s="2">
        <f t="shared" si="91"/>
        <v>11</v>
      </c>
      <c r="K1197" s="2">
        <f t="shared" si="92"/>
        <v>2024</v>
      </c>
      <c r="L1197" s="2">
        <f t="shared" si="93"/>
        <v>4</v>
      </c>
      <c r="M1197" s="4">
        <v>3</v>
      </c>
      <c r="N1197" s="4" t="s">
        <v>3042</v>
      </c>
      <c r="O1197" s="4" t="s">
        <v>27</v>
      </c>
      <c r="P1197" s="5">
        <v>592853</v>
      </c>
      <c r="Q1197" s="4"/>
      <c r="R1197" s="4"/>
      <c r="S1197" s="4" t="s">
        <v>5573</v>
      </c>
      <c r="T1197" s="4">
        <v>18.899999999999999</v>
      </c>
      <c r="U1197" s="4" t="s">
        <v>29</v>
      </c>
      <c r="V1197" s="4" t="s">
        <v>38</v>
      </c>
      <c r="W1197" s="67" t="str">
        <f t="shared" si="94"/>
        <v>-</v>
      </c>
    </row>
    <row r="1198" spans="1:23" x14ac:dyDescent="0.3">
      <c r="A1198" s="2" t="s">
        <v>3043</v>
      </c>
      <c r="B1198" s="2" t="s">
        <v>3044</v>
      </c>
      <c r="C1198" s="2">
        <v>9960070031</v>
      </c>
      <c r="D1198" s="2" t="s">
        <v>20</v>
      </c>
      <c r="E1198" s="2" t="s">
        <v>1632</v>
      </c>
      <c r="F1198" s="2" t="s">
        <v>1694</v>
      </c>
      <c r="G1198" s="2" t="s">
        <v>87</v>
      </c>
      <c r="H1198" s="2" t="s">
        <v>2839</v>
      </c>
      <c r="I1198" s="2" t="str">
        <f t="shared" si="90"/>
        <v>Nov</v>
      </c>
      <c r="J1198" s="2">
        <f t="shared" si="91"/>
        <v>11</v>
      </c>
      <c r="K1198" s="2">
        <f t="shared" si="92"/>
        <v>2024</v>
      </c>
      <c r="L1198" s="2">
        <f t="shared" si="93"/>
        <v>4</v>
      </c>
      <c r="M1198" s="2">
        <v>11</v>
      </c>
      <c r="N1198" s="2" t="s">
        <v>3006</v>
      </c>
      <c r="O1198" s="2" t="s">
        <v>27</v>
      </c>
      <c r="P1198" s="3">
        <v>225066</v>
      </c>
      <c r="Q1198" s="2"/>
      <c r="R1198" s="2"/>
      <c r="S1198" s="2" t="s">
        <v>5573</v>
      </c>
      <c r="T1198" s="2">
        <v>21.2</v>
      </c>
      <c r="U1198" s="2" t="s">
        <v>29</v>
      </c>
      <c r="V1198" s="2" t="s">
        <v>238</v>
      </c>
      <c r="W1198" s="67" t="str">
        <f t="shared" si="94"/>
        <v>-</v>
      </c>
    </row>
    <row r="1199" spans="1:23" x14ac:dyDescent="0.3">
      <c r="A1199" s="6" t="s">
        <v>3045</v>
      </c>
      <c r="B1199" s="6" t="s">
        <v>3046</v>
      </c>
      <c r="C1199" s="6">
        <v>9792414545</v>
      </c>
      <c r="D1199" s="6" t="s">
        <v>20</v>
      </c>
      <c r="E1199" s="6" t="s">
        <v>41</v>
      </c>
      <c r="F1199" s="6" t="s">
        <v>151</v>
      </c>
      <c r="G1199" s="6" t="s">
        <v>1677</v>
      </c>
      <c r="H1199" s="6" t="s">
        <v>2839</v>
      </c>
      <c r="I1199" s="2" t="str">
        <f t="shared" si="90"/>
        <v>Nov</v>
      </c>
      <c r="J1199" s="2">
        <f t="shared" si="91"/>
        <v>11</v>
      </c>
      <c r="K1199" s="2">
        <f t="shared" si="92"/>
        <v>2024</v>
      </c>
      <c r="L1199" s="2">
        <f t="shared" si="93"/>
        <v>4</v>
      </c>
      <c r="M1199" s="6">
        <v>4</v>
      </c>
      <c r="N1199" s="6" t="s">
        <v>2777</v>
      </c>
      <c r="O1199" s="6" t="s">
        <v>97</v>
      </c>
      <c r="P1199" s="7">
        <v>1623907</v>
      </c>
      <c r="Q1199" s="7">
        <v>1592424</v>
      </c>
      <c r="R1199" s="6" t="s">
        <v>2956</v>
      </c>
      <c r="S1199" s="6" t="s">
        <v>5573</v>
      </c>
      <c r="T1199" s="6">
        <v>44.4</v>
      </c>
      <c r="U1199" s="6" t="s">
        <v>63</v>
      </c>
      <c r="V1199" s="6" t="s">
        <v>113</v>
      </c>
      <c r="W1199" s="67" t="str">
        <f t="shared" si="94"/>
        <v>Architect</v>
      </c>
    </row>
    <row r="1200" spans="1:23" x14ac:dyDescent="0.3">
      <c r="A1200" s="6" t="s">
        <v>3047</v>
      </c>
      <c r="B1200" s="6" t="s">
        <v>1987</v>
      </c>
      <c r="C1200" s="6">
        <v>9600948542</v>
      </c>
      <c r="D1200" s="6" t="s">
        <v>121</v>
      </c>
      <c r="E1200" s="6" t="s">
        <v>109</v>
      </c>
      <c r="F1200" s="6" t="s">
        <v>217</v>
      </c>
      <c r="G1200" s="6" t="s">
        <v>69</v>
      </c>
      <c r="H1200" s="6" t="s">
        <v>2839</v>
      </c>
      <c r="I1200" s="2" t="str">
        <f t="shared" si="90"/>
        <v>Nov</v>
      </c>
      <c r="J1200" s="2">
        <f t="shared" si="91"/>
        <v>11</v>
      </c>
      <c r="K1200" s="2">
        <f t="shared" si="92"/>
        <v>2024</v>
      </c>
      <c r="L1200" s="2">
        <f t="shared" si="93"/>
        <v>4</v>
      </c>
      <c r="M1200" s="6">
        <v>0</v>
      </c>
      <c r="N1200" s="6" t="s">
        <v>2739</v>
      </c>
      <c r="O1200" s="6" t="s">
        <v>97</v>
      </c>
      <c r="P1200" s="7">
        <v>355290</v>
      </c>
      <c r="Q1200" s="7">
        <v>341898</v>
      </c>
      <c r="R1200" s="6" t="s">
        <v>3002</v>
      </c>
      <c r="S1200" s="6" t="s">
        <v>5573</v>
      </c>
      <c r="T1200" s="6">
        <v>15.7</v>
      </c>
      <c r="U1200" s="6" t="s">
        <v>63</v>
      </c>
      <c r="V1200" s="6" t="s">
        <v>341</v>
      </c>
      <c r="W1200" s="67" t="str">
        <f t="shared" si="94"/>
        <v>Customer</v>
      </c>
    </row>
    <row r="1201" spans="1:23" x14ac:dyDescent="0.3">
      <c r="A1201" s="4" t="s">
        <v>3048</v>
      </c>
      <c r="B1201" s="4" t="s">
        <v>3049</v>
      </c>
      <c r="C1201" s="4">
        <v>9344998923</v>
      </c>
      <c r="D1201" s="4" t="s">
        <v>121</v>
      </c>
      <c r="E1201" s="4" t="s">
        <v>109</v>
      </c>
      <c r="F1201" s="4" t="s">
        <v>331</v>
      </c>
      <c r="G1201" s="4" t="s">
        <v>69</v>
      </c>
      <c r="H1201" s="4" t="s">
        <v>2839</v>
      </c>
      <c r="I1201" s="2" t="str">
        <f t="shared" si="90"/>
        <v>Nov</v>
      </c>
      <c r="J1201" s="2">
        <f t="shared" si="91"/>
        <v>11</v>
      </c>
      <c r="K1201" s="2">
        <f t="shared" si="92"/>
        <v>2024</v>
      </c>
      <c r="L1201" s="2">
        <f t="shared" si="93"/>
        <v>4</v>
      </c>
      <c r="M1201" s="4">
        <v>4</v>
      </c>
      <c r="N1201" s="4" t="s">
        <v>3042</v>
      </c>
      <c r="O1201" s="4" t="s">
        <v>45</v>
      </c>
      <c r="P1201" s="5">
        <v>215217</v>
      </c>
      <c r="Q1201" s="4"/>
      <c r="R1201" s="4"/>
      <c r="S1201" s="4" t="s">
        <v>5573</v>
      </c>
      <c r="T1201" s="4">
        <v>35.1</v>
      </c>
      <c r="U1201" s="4" t="s">
        <v>63</v>
      </c>
      <c r="V1201" s="4" t="s">
        <v>260</v>
      </c>
      <c r="W1201" s="67" t="str">
        <f t="shared" si="94"/>
        <v>-</v>
      </c>
    </row>
    <row r="1202" spans="1:23" x14ac:dyDescent="0.3">
      <c r="A1202" s="2" t="s">
        <v>3050</v>
      </c>
      <c r="B1202" s="2" t="s">
        <v>2952</v>
      </c>
      <c r="C1202" s="2">
        <v>9747066078</v>
      </c>
      <c r="D1202" s="2" t="s">
        <v>59</v>
      </c>
      <c r="E1202" s="2" t="s">
        <v>33</v>
      </c>
      <c r="F1202" s="2" t="s">
        <v>201</v>
      </c>
      <c r="G1202" s="2" t="s">
        <v>52</v>
      </c>
      <c r="H1202" s="2" t="s">
        <v>2839</v>
      </c>
      <c r="I1202" s="2" t="str">
        <f t="shared" si="90"/>
        <v>Nov</v>
      </c>
      <c r="J1202" s="2">
        <f t="shared" si="91"/>
        <v>11</v>
      </c>
      <c r="K1202" s="2">
        <f t="shared" si="92"/>
        <v>2024</v>
      </c>
      <c r="L1202" s="2">
        <f t="shared" si="93"/>
        <v>4</v>
      </c>
      <c r="M1202" s="2">
        <v>1</v>
      </c>
      <c r="N1202" s="2" t="s">
        <v>2963</v>
      </c>
      <c r="O1202" s="2" t="s">
        <v>45</v>
      </c>
      <c r="P1202" s="3">
        <v>236618</v>
      </c>
      <c r="Q1202" s="2"/>
      <c r="R1202" s="2"/>
      <c r="S1202" s="2" t="s">
        <v>5573</v>
      </c>
      <c r="T1202" s="2">
        <v>33</v>
      </c>
      <c r="U1202" s="2" t="s">
        <v>47</v>
      </c>
      <c r="V1202" s="2" t="s">
        <v>487</v>
      </c>
      <c r="W1202" s="67" t="str">
        <f t="shared" si="94"/>
        <v>-</v>
      </c>
    </row>
    <row r="1203" spans="1:23" x14ac:dyDescent="0.3">
      <c r="A1203" s="6" t="s">
        <v>3051</v>
      </c>
      <c r="B1203" s="6" t="s">
        <v>351</v>
      </c>
      <c r="C1203" s="6">
        <v>9737103010</v>
      </c>
      <c r="D1203" s="6" t="s">
        <v>20</v>
      </c>
      <c r="E1203" s="6" t="s">
        <v>648</v>
      </c>
      <c r="F1203" s="6" t="s">
        <v>899</v>
      </c>
      <c r="G1203" s="6" t="s">
        <v>1621</v>
      </c>
      <c r="H1203" s="6" t="s">
        <v>2839</v>
      </c>
      <c r="I1203" s="2" t="str">
        <f t="shared" si="90"/>
        <v>Nov</v>
      </c>
      <c r="J1203" s="2">
        <f t="shared" si="91"/>
        <v>11</v>
      </c>
      <c r="K1203" s="2">
        <f t="shared" si="92"/>
        <v>2024</v>
      </c>
      <c r="L1203" s="2">
        <f t="shared" si="93"/>
        <v>4</v>
      </c>
      <c r="M1203" s="6">
        <v>1</v>
      </c>
      <c r="N1203" s="6" t="s">
        <v>2808</v>
      </c>
      <c r="O1203" s="6" t="s">
        <v>97</v>
      </c>
      <c r="P1203" s="7">
        <v>360077</v>
      </c>
      <c r="Q1203" s="7">
        <v>350992</v>
      </c>
      <c r="R1203" s="6" t="s">
        <v>2953</v>
      </c>
      <c r="S1203" s="6" t="s">
        <v>5573</v>
      </c>
      <c r="T1203" s="6">
        <v>28.3</v>
      </c>
      <c r="U1203" s="6" t="s">
        <v>47</v>
      </c>
      <c r="V1203" s="6" t="s">
        <v>907</v>
      </c>
      <c r="W1203" s="67" t="str">
        <f t="shared" si="94"/>
        <v>Customer</v>
      </c>
    </row>
    <row r="1204" spans="1:23" x14ac:dyDescent="0.3">
      <c r="A1204" s="2" t="s">
        <v>3052</v>
      </c>
      <c r="B1204" s="2" t="s">
        <v>2594</v>
      </c>
      <c r="C1204" s="2">
        <v>9665169914</v>
      </c>
      <c r="D1204" s="2" t="s">
        <v>121</v>
      </c>
      <c r="E1204" s="2" t="s">
        <v>1632</v>
      </c>
      <c r="F1204" s="2" t="s">
        <v>1633</v>
      </c>
      <c r="G1204" s="2" t="s">
        <v>87</v>
      </c>
      <c r="H1204" s="2" t="s">
        <v>2839</v>
      </c>
      <c r="I1204" s="2" t="str">
        <f t="shared" si="90"/>
        <v>Nov</v>
      </c>
      <c r="J1204" s="2">
        <f t="shared" si="91"/>
        <v>11</v>
      </c>
      <c r="K1204" s="2">
        <f t="shared" si="92"/>
        <v>2024</v>
      </c>
      <c r="L1204" s="2">
        <f t="shared" si="93"/>
        <v>4</v>
      </c>
      <c r="M1204" s="2">
        <v>11</v>
      </c>
      <c r="N1204" s="2" t="s">
        <v>3053</v>
      </c>
      <c r="O1204" s="2" t="s">
        <v>27</v>
      </c>
      <c r="P1204" s="3">
        <v>71478</v>
      </c>
      <c r="Q1204" s="2"/>
      <c r="R1204" s="2"/>
      <c r="S1204" s="2" t="s">
        <v>5573</v>
      </c>
      <c r="T1204" s="2">
        <v>22.7</v>
      </c>
      <c r="U1204" s="2" t="s">
        <v>29</v>
      </c>
      <c r="V1204" s="2" t="s">
        <v>38</v>
      </c>
      <c r="W1204" s="67" t="str">
        <f t="shared" si="94"/>
        <v>-</v>
      </c>
    </row>
    <row r="1205" spans="1:23" x14ac:dyDescent="0.3">
      <c r="A1205" s="4" t="s">
        <v>3054</v>
      </c>
      <c r="B1205" s="4" t="s">
        <v>1837</v>
      </c>
      <c r="C1205" s="4">
        <v>9669562242</v>
      </c>
      <c r="D1205" s="4" t="s">
        <v>20</v>
      </c>
      <c r="E1205" s="4" t="s">
        <v>33</v>
      </c>
      <c r="F1205" s="4" t="s">
        <v>102</v>
      </c>
      <c r="G1205" s="4" t="s">
        <v>52</v>
      </c>
      <c r="H1205" s="4" t="s">
        <v>2839</v>
      </c>
      <c r="I1205" s="2" t="str">
        <f t="shared" si="90"/>
        <v>Nov</v>
      </c>
      <c r="J1205" s="2">
        <f t="shared" si="91"/>
        <v>11</v>
      </c>
      <c r="K1205" s="2">
        <f t="shared" si="92"/>
        <v>2024</v>
      </c>
      <c r="L1205" s="2">
        <f t="shared" si="93"/>
        <v>4</v>
      </c>
      <c r="M1205" s="4">
        <v>12</v>
      </c>
      <c r="N1205" s="4" t="s">
        <v>2861</v>
      </c>
      <c r="O1205" s="4" t="s">
        <v>55</v>
      </c>
      <c r="P1205" s="5">
        <v>277732</v>
      </c>
      <c r="Q1205" s="4"/>
      <c r="R1205" s="4"/>
      <c r="S1205" s="4" t="s">
        <v>5573</v>
      </c>
      <c r="T1205" s="4">
        <v>7.9</v>
      </c>
      <c r="U1205" s="4" t="s">
        <v>29</v>
      </c>
      <c r="V1205" s="4" t="s">
        <v>697</v>
      </c>
      <c r="W1205" s="67" t="str">
        <f t="shared" si="94"/>
        <v>-</v>
      </c>
    </row>
    <row r="1206" spans="1:23" x14ac:dyDescent="0.3">
      <c r="A1206" s="6" t="s">
        <v>3055</v>
      </c>
      <c r="B1206" s="6" t="s">
        <v>3056</v>
      </c>
      <c r="C1206" s="6">
        <v>9715091298</v>
      </c>
      <c r="D1206" s="6" t="s">
        <v>59</v>
      </c>
      <c r="E1206" s="6" t="s">
        <v>641</v>
      </c>
      <c r="F1206" s="6" t="s">
        <v>727</v>
      </c>
      <c r="G1206" s="6" t="s">
        <v>643</v>
      </c>
      <c r="H1206" s="6" t="s">
        <v>2637</v>
      </c>
      <c r="I1206" s="2" t="str">
        <f t="shared" si="90"/>
        <v>Nov</v>
      </c>
      <c r="J1206" s="2">
        <f t="shared" si="91"/>
        <v>11</v>
      </c>
      <c r="K1206" s="2">
        <f t="shared" si="92"/>
        <v>2024</v>
      </c>
      <c r="L1206" s="2">
        <f t="shared" si="93"/>
        <v>4</v>
      </c>
      <c r="M1206" s="6">
        <v>6</v>
      </c>
      <c r="N1206" s="6" t="s">
        <v>2932</v>
      </c>
      <c r="O1206" s="6" t="s">
        <v>97</v>
      </c>
      <c r="P1206" s="7">
        <v>773736</v>
      </c>
      <c r="Q1206" s="7">
        <v>683159</v>
      </c>
      <c r="R1206" s="6" t="s">
        <v>3057</v>
      </c>
      <c r="S1206" s="6" t="s">
        <v>5573</v>
      </c>
      <c r="T1206" s="6">
        <v>45.7</v>
      </c>
      <c r="U1206" s="6" t="s">
        <v>47</v>
      </c>
      <c r="V1206" s="6" t="s">
        <v>99</v>
      </c>
      <c r="W1206" s="67" t="str">
        <f t="shared" si="94"/>
        <v>Customer</v>
      </c>
    </row>
    <row r="1207" spans="1:23" x14ac:dyDescent="0.3">
      <c r="A1207" s="6" t="s">
        <v>3058</v>
      </c>
      <c r="B1207" s="6" t="s">
        <v>2344</v>
      </c>
      <c r="C1207" s="6">
        <v>9884035295</v>
      </c>
      <c r="D1207" s="6" t="s">
        <v>59</v>
      </c>
      <c r="E1207" s="6" t="s">
        <v>648</v>
      </c>
      <c r="F1207" s="6" t="s">
        <v>822</v>
      </c>
      <c r="G1207" s="6" t="s">
        <v>643</v>
      </c>
      <c r="H1207" s="6" t="s">
        <v>2637</v>
      </c>
      <c r="I1207" s="2" t="str">
        <f t="shared" si="90"/>
        <v>Nov</v>
      </c>
      <c r="J1207" s="2">
        <f t="shared" si="91"/>
        <v>11</v>
      </c>
      <c r="K1207" s="2">
        <f t="shared" si="92"/>
        <v>2024</v>
      </c>
      <c r="L1207" s="2">
        <f t="shared" si="93"/>
        <v>4</v>
      </c>
      <c r="M1207" s="6">
        <v>0</v>
      </c>
      <c r="N1207" s="6" t="s">
        <v>2808</v>
      </c>
      <c r="O1207" s="6" t="s">
        <v>97</v>
      </c>
      <c r="P1207" s="7">
        <v>1023879</v>
      </c>
      <c r="Q1207" s="7">
        <v>901943</v>
      </c>
      <c r="R1207" s="6" t="s">
        <v>2831</v>
      </c>
      <c r="S1207" s="6" t="s">
        <v>5573</v>
      </c>
      <c r="T1207" s="6">
        <v>26.1</v>
      </c>
      <c r="U1207" s="6" t="s">
        <v>63</v>
      </c>
      <c r="V1207" s="6" t="s">
        <v>286</v>
      </c>
      <c r="W1207" s="67" t="str">
        <f t="shared" si="94"/>
        <v>Customer</v>
      </c>
    </row>
    <row r="1208" spans="1:23" x14ac:dyDescent="0.3">
      <c r="A1208" s="6" t="s">
        <v>3059</v>
      </c>
      <c r="B1208" s="6" t="s">
        <v>3060</v>
      </c>
      <c r="C1208" s="6">
        <v>9103683345</v>
      </c>
      <c r="D1208" s="6" t="s">
        <v>20</v>
      </c>
      <c r="E1208" s="6" t="s">
        <v>41</v>
      </c>
      <c r="F1208" s="6" t="s">
        <v>151</v>
      </c>
      <c r="G1208" s="6" t="s">
        <v>52</v>
      </c>
      <c r="H1208" s="6" t="s">
        <v>2739</v>
      </c>
      <c r="I1208" s="2" t="str">
        <f t="shared" si="90"/>
        <v>Nov</v>
      </c>
      <c r="J1208" s="2">
        <f t="shared" si="91"/>
        <v>11</v>
      </c>
      <c r="K1208" s="2">
        <f t="shared" si="92"/>
        <v>2024</v>
      </c>
      <c r="L1208" s="2">
        <f t="shared" si="93"/>
        <v>4</v>
      </c>
      <c r="M1208" s="6">
        <v>0</v>
      </c>
      <c r="N1208" s="6" t="s">
        <v>2808</v>
      </c>
      <c r="O1208" s="6" t="s">
        <v>97</v>
      </c>
      <c r="P1208" s="7">
        <v>469624</v>
      </c>
      <c r="Q1208" s="7">
        <v>415973</v>
      </c>
      <c r="R1208" s="6" t="s">
        <v>2953</v>
      </c>
      <c r="S1208" s="6" t="s">
        <v>5573</v>
      </c>
      <c r="T1208" s="6">
        <v>41.5</v>
      </c>
      <c r="U1208" s="6" t="s">
        <v>47</v>
      </c>
      <c r="V1208" s="6" t="s">
        <v>341</v>
      </c>
      <c r="W1208" s="67" t="str">
        <f t="shared" si="94"/>
        <v>Architect</v>
      </c>
    </row>
    <row r="1209" spans="1:23" x14ac:dyDescent="0.3">
      <c r="A1209" s="4" t="s">
        <v>3061</v>
      </c>
      <c r="B1209" s="4" t="s">
        <v>3062</v>
      </c>
      <c r="C1209" s="4">
        <v>9951276269</v>
      </c>
      <c r="D1209" s="4" t="s">
        <v>59</v>
      </c>
      <c r="E1209" s="4" t="s">
        <v>41</v>
      </c>
      <c r="F1209" s="4" t="s">
        <v>151</v>
      </c>
      <c r="G1209" s="4" t="s">
        <v>69</v>
      </c>
      <c r="H1209" s="4" t="s">
        <v>2739</v>
      </c>
      <c r="I1209" s="2" t="str">
        <f t="shared" si="90"/>
        <v>Nov</v>
      </c>
      <c r="J1209" s="2">
        <f t="shared" si="91"/>
        <v>11</v>
      </c>
      <c r="K1209" s="2">
        <f t="shared" si="92"/>
        <v>2024</v>
      </c>
      <c r="L1209" s="2">
        <f t="shared" si="93"/>
        <v>4</v>
      </c>
      <c r="M1209" s="4">
        <v>4</v>
      </c>
      <c r="N1209" s="4" t="s">
        <v>2953</v>
      </c>
      <c r="O1209" s="4" t="s">
        <v>45</v>
      </c>
      <c r="P1209" s="5">
        <v>347006</v>
      </c>
      <c r="Q1209" s="4"/>
      <c r="R1209" s="4"/>
      <c r="S1209" s="4" t="s">
        <v>5573</v>
      </c>
      <c r="T1209" s="4">
        <v>13.3</v>
      </c>
      <c r="U1209" s="4" t="s">
        <v>29</v>
      </c>
      <c r="V1209" s="4"/>
      <c r="W1209" s="67" t="str">
        <f t="shared" si="94"/>
        <v>-</v>
      </c>
    </row>
    <row r="1210" spans="1:23" x14ac:dyDescent="0.3">
      <c r="A1210" s="8" t="s">
        <v>3063</v>
      </c>
      <c r="B1210" s="8" t="s">
        <v>2364</v>
      </c>
      <c r="C1210" s="8">
        <v>9621165231</v>
      </c>
      <c r="D1210" s="8" t="s">
        <v>59</v>
      </c>
      <c r="E1210" s="8" t="s">
        <v>641</v>
      </c>
      <c r="F1210" s="8" t="s">
        <v>727</v>
      </c>
      <c r="G1210" s="8" t="s">
        <v>52</v>
      </c>
      <c r="H1210" s="8" t="s">
        <v>2739</v>
      </c>
      <c r="I1210" s="2" t="str">
        <f t="shared" si="90"/>
        <v>Nov</v>
      </c>
      <c r="J1210" s="2">
        <f t="shared" si="91"/>
        <v>11</v>
      </c>
      <c r="K1210" s="2">
        <f t="shared" si="92"/>
        <v>2024</v>
      </c>
      <c r="L1210" s="2">
        <f t="shared" si="93"/>
        <v>4</v>
      </c>
      <c r="M1210" s="8">
        <v>11</v>
      </c>
      <c r="N1210" s="8" t="s">
        <v>3031</v>
      </c>
      <c r="O1210" s="8" t="s">
        <v>27</v>
      </c>
      <c r="P1210" s="9">
        <v>553776</v>
      </c>
      <c r="Q1210" s="8"/>
      <c r="R1210" s="8"/>
      <c r="S1210" s="8" t="s">
        <v>5573</v>
      </c>
      <c r="T1210" s="8">
        <v>21.4</v>
      </c>
      <c r="U1210" s="8" t="s">
        <v>47</v>
      </c>
      <c r="V1210" s="8"/>
      <c r="W1210" s="67" t="str">
        <f t="shared" si="94"/>
        <v>-</v>
      </c>
    </row>
    <row r="1211" spans="1:23" x14ac:dyDescent="0.3">
      <c r="A1211" s="4" t="s">
        <v>3064</v>
      </c>
      <c r="B1211" s="4" t="s">
        <v>3065</v>
      </c>
      <c r="C1211" s="4">
        <v>9708980151</v>
      </c>
      <c r="D1211" s="4" t="s">
        <v>121</v>
      </c>
      <c r="E1211" s="4" t="s">
        <v>41</v>
      </c>
      <c r="F1211" s="4" t="s">
        <v>151</v>
      </c>
      <c r="G1211" s="4" t="s">
        <v>23</v>
      </c>
      <c r="H1211" s="4" t="s">
        <v>2739</v>
      </c>
      <c r="I1211" s="2" t="str">
        <f t="shared" si="90"/>
        <v>Nov</v>
      </c>
      <c r="J1211" s="2">
        <f t="shared" si="91"/>
        <v>11</v>
      </c>
      <c r="K1211" s="2">
        <f t="shared" si="92"/>
        <v>2024</v>
      </c>
      <c r="L1211" s="2">
        <f t="shared" si="93"/>
        <v>4</v>
      </c>
      <c r="M1211" s="4">
        <v>2</v>
      </c>
      <c r="N1211" s="4" t="s">
        <v>2863</v>
      </c>
      <c r="O1211" s="4" t="s">
        <v>27</v>
      </c>
      <c r="P1211" s="5">
        <v>822950</v>
      </c>
      <c r="Q1211" s="4"/>
      <c r="R1211" s="4"/>
      <c r="S1211" s="4" t="s">
        <v>5573</v>
      </c>
      <c r="T1211" s="4">
        <v>47.7</v>
      </c>
      <c r="U1211" s="4" t="s">
        <v>29</v>
      </c>
      <c r="V1211" s="4" t="s">
        <v>202</v>
      </c>
      <c r="W1211" s="67" t="str">
        <f t="shared" si="94"/>
        <v>-</v>
      </c>
    </row>
    <row r="1212" spans="1:23" x14ac:dyDescent="0.3">
      <c r="A1212" s="8" t="s">
        <v>3066</v>
      </c>
      <c r="B1212" s="8" t="s">
        <v>3067</v>
      </c>
      <c r="C1212" s="8">
        <v>9982296130</v>
      </c>
      <c r="D1212" s="8" t="s">
        <v>20</v>
      </c>
      <c r="E1212" s="8" t="s">
        <v>1632</v>
      </c>
      <c r="F1212" s="8" t="s">
        <v>1849</v>
      </c>
      <c r="G1212" s="8" t="s">
        <v>23</v>
      </c>
      <c r="H1212" s="8" t="s">
        <v>2739</v>
      </c>
      <c r="I1212" s="2" t="str">
        <f t="shared" si="90"/>
        <v>Nov</v>
      </c>
      <c r="J1212" s="2">
        <f t="shared" si="91"/>
        <v>11</v>
      </c>
      <c r="K1212" s="2">
        <f t="shared" si="92"/>
        <v>2024</v>
      </c>
      <c r="L1212" s="2">
        <f t="shared" si="93"/>
        <v>4</v>
      </c>
      <c r="M1212" s="8">
        <v>8</v>
      </c>
      <c r="N1212" s="8" t="s">
        <v>3012</v>
      </c>
      <c r="O1212" s="8" t="s">
        <v>97</v>
      </c>
      <c r="P1212" s="9">
        <v>470949</v>
      </c>
      <c r="Q1212" s="9">
        <v>419546</v>
      </c>
      <c r="R1212" s="8" t="s">
        <v>2932</v>
      </c>
      <c r="S1212" s="8" t="s">
        <v>5573</v>
      </c>
      <c r="T1212" s="8">
        <v>5.2</v>
      </c>
      <c r="U1212" s="8" t="s">
        <v>63</v>
      </c>
      <c r="V1212" s="8" t="s">
        <v>243</v>
      </c>
      <c r="W1212" s="67" t="str">
        <f t="shared" si="94"/>
        <v>Customer</v>
      </c>
    </row>
    <row r="1213" spans="1:23" x14ac:dyDescent="0.3">
      <c r="A1213" s="4" t="s">
        <v>3069</v>
      </c>
      <c r="B1213" s="4" t="s">
        <v>3070</v>
      </c>
      <c r="C1213" s="4">
        <v>9968265838</v>
      </c>
      <c r="D1213" s="4" t="s">
        <v>20</v>
      </c>
      <c r="E1213" s="4" t="s">
        <v>641</v>
      </c>
      <c r="F1213" s="4" t="s">
        <v>727</v>
      </c>
      <c r="G1213" s="4" t="s">
        <v>69</v>
      </c>
      <c r="H1213" s="4" t="s">
        <v>2739</v>
      </c>
      <c r="I1213" s="2" t="str">
        <f t="shared" si="90"/>
        <v>Nov</v>
      </c>
      <c r="J1213" s="2">
        <f t="shared" si="91"/>
        <v>11</v>
      </c>
      <c r="K1213" s="2">
        <f t="shared" si="92"/>
        <v>2024</v>
      </c>
      <c r="L1213" s="2">
        <f t="shared" si="93"/>
        <v>4</v>
      </c>
      <c r="M1213" s="4">
        <v>2</v>
      </c>
      <c r="N1213" s="4" t="s">
        <v>2863</v>
      </c>
      <c r="O1213" s="4" t="s">
        <v>27</v>
      </c>
      <c r="P1213" s="5">
        <v>347786</v>
      </c>
      <c r="Q1213" s="4"/>
      <c r="R1213" s="4"/>
      <c r="S1213" s="4" t="s">
        <v>5573</v>
      </c>
      <c r="T1213" s="4">
        <v>31.2</v>
      </c>
      <c r="U1213" s="4" t="s">
        <v>47</v>
      </c>
      <c r="V1213" s="4" t="s">
        <v>30</v>
      </c>
      <c r="W1213" s="67" t="str">
        <f t="shared" si="94"/>
        <v>-</v>
      </c>
    </row>
    <row r="1214" spans="1:23" x14ac:dyDescent="0.3">
      <c r="A1214" s="2" t="s">
        <v>3071</v>
      </c>
      <c r="B1214" s="2" t="s">
        <v>3072</v>
      </c>
      <c r="C1214" s="2">
        <v>9871392566</v>
      </c>
      <c r="D1214" s="2" t="s">
        <v>20</v>
      </c>
      <c r="E1214" s="2" t="s">
        <v>648</v>
      </c>
      <c r="F1214" s="2" t="s">
        <v>649</v>
      </c>
      <c r="G1214" s="2" t="s">
        <v>60</v>
      </c>
      <c r="H1214" s="2" t="s">
        <v>2709</v>
      </c>
      <c r="I1214" s="2" t="str">
        <f t="shared" si="90"/>
        <v>Nov</v>
      </c>
      <c r="J1214" s="2">
        <f t="shared" si="91"/>
        <v>11</v>
      </c>
      <c r="K1214" s="2">
        <f t="shared" si="92"/>
        <v>2024</v>
      </c>
      <c r="L1214" s="2">
        <f t="shared" si="93"/>
        <v>4</v>
      </c>
      <c r="M1214" s="2">
        <v>12</v>
      </c>
      <c r="N1214" s="2" t="s">
        <v>3073</v>
      </c>
      <c r="O1214" s="2" t="s">
        <v>27</v>
      </c>
      <c r="P1214" s="3">
        <v>203808</v>
      </c>
      <c r="Q1214" s="2"/>
      <c r="R1214" s="2"/>
      <c r="S1214" s="2" t="s">
        <v>5573</v>
      </c>
      <c r="T1214" s="2">
        <v>6</v>
      </c>
      <c r="U1214" s="2" t="s">
        <v>29</v>
      </c>
      <c r="V1214" s="2"/>
      <c r="W1214" s="67" t="str">
        <f t="shared" si="94"/>
        <v>-</v>
      </c>
    </row>
    <row r="1215" spans="1:23" x14ac:dyDescent="0.3">
      <c r="A1215" s="6" t="s">
        <v>3074</v>
      </c>
      <c r="B1215" s="6" t="s">
        <v>3075</v>
      </c>
      <c r="C1215" s="6">
        <v>9363984684</v>
      </c>
      <c r="D1215" s="6" t="s">
        <v>20</v>
      </c>
      <c r="E1215" s="6" t="s">
        <v>41</v>
      </c>
      <c r="F1215" s="6" t="s">
        <v>42</v>
      </c>
      <c r="G1215" s="6" t="s">
        <v>52</v>
      </c>
      <c r="H1215" s="6" t="s">
        <v>2712</v>
      </c>
      <c r="I1215" s="2" t="str">
        <f t="shared" si="90"/>
        <v>Nov</v>
      </c>
      <c r="J1215" s="2">
        <f t="shared" si="91"/>
        <v>11</v>
      </c>
      <c r="K1215" s="2">
        <f t="shared" si="92"/>
        <v>2024</v>
      </c>
      <c r="L1215" s="2">
        <f t="shared" si="93"/>
        <v>4</v>
      </c>
      <c r="M1215" s="6">
        <v>8</v>
      </c>
      <c r="N1215" s="6" t="s">
        <v>2864</v>
      </c>
      <c r="O1215" s="6" t="s">
        <v>97</v>
      </c>
      <c r="P1215" s="7">
        <v>440867</v>
      </c>
      <c r="Q1215" s="7">
        <v>434483</v>
      </c>
      <c r="R1215" s="6" t="s">
        <v>3006</v>
      </c>
      <c r="S1215" s="6" t="s">
        <v>5573</v>
      </c>
      <c r="T1215" s="6">
        <v>30.2</v>
      </c>
      <c r="U1215" s="6" t="s">
        <v>63</v>
      </c>
      <c r="V1215" s="6" t="s">
        <v>243</v>
      </c>
      <c r="W1215" s="67" t="str">
        <f t="shared" si="94"/>
        <v>Customer</v>
      </c>
    </row>
    <row r="1216" spans="1:23" x14ac:dyDescent="0.3">
      <c r="A1216" s="2" t="s">
        <v>3076</v>
      </c>
      <c r="B1216" s="2" t="s">
        <v>2708</v>
      </c>
      <c r="C1216" s="2">
        <v>9857225039</v>
      </c>
      <c r="D1216" s="2" t="s">
        <v>20</v>
      </c>
      <c r="E1216" s="2" t="s">
        <v>1632</v>
      </c>
      <c r="F1216" s="2" t="s">
        <v>1659</v>
      </c>
      <c r="G1216" s="2" t="s">
        <v>52</v>
      </c>
      <c r="H1216" s="2" t="s">
        <v>2712</v>
      </c>
      <c r="I1216" s="2" t="str">
        <f t="shared" si="90"/>
        <v>Nov</v>
      </c>
      <c r="J1216" s="2">
        <f t="shared" si="91"/>
        <v>11</v>
      </c>
      <c r="K1216" s="2">
        <f t="shared" si="92"/>
        <v>2024</v>
      </c>
      <c r="L1216" s="2">
        <f t="shared" si="93"/>
        <v>4</v>
      </c>
      <c r="M1216" s="2">
        <v>2</v>
      </c>
      <c r="N1216" s="2" t="s">
        <v>2784</v>
      </c>
      <c r="O1216" s="2" t="s">
        <v>27</v>
      </c>
      <c r="P1216" s="3">
        <v>392128</v>
      </c>
      <c r="Q1216" s="2"/>
      <c r="R1216" s="2"/>
      <c r="S1216" s="2" t="s">
        <v>5573</v>
      </c>
      <c r="T1216" s="2">
        <v>35.9</v>
      </c>
      <c r="U1216" s="2" t="s">
        <v>29</v>
      </c>
      <c r="V1216" s="2" t="s">
        <v>38</v>
      </c>
      <c r="W1216" s="67" t="str">
        <f t="shared" si="94"/>
        <v>-</v>
      </c>
    </row>
    <row r="1217" spans="1:23" x14ac:dyDescent="0.3">
      <c r="A1217" s="4" t="s">
        <v>3077</v>
      </c>
      <c r="B1217" s="4" t="s">
        <v>3078</v>
      </c>
      <c r="C1217" s="4">
        <v>9743925238</v>
      </c>
      <c r="D1217" s="4" t="s">
        <v>20</v>
      </c>
      <c r="E1217" s="4" t="s">
        <v>648</v>
      </c>
      <c r="F1217" s="4" t="s">
        <v>822</v>
      </c>
      <c r="G1217" s="4" t="s">
        <v>1621</v>
      </c>
      <c r="H1217" s="4" t="s">
        <v>2712</v>
      </c>
      <c r="I1217" s="2" t="str">
        <f t="shared" si="90"/>
        <v>Nov</v>
      </c>
      <c r="J1217" s="2">
        <f t="shared" si="91"/>
        <v>11</v>
      </c>
      <c r="K1217" s="2">
        <f t="shared" si="92"/>
        <v>2024</v>
      </c>
      <c r="L1217" s="2">
        <f t="shared" si="93"/>
        <v>4</v>
      </c>
      <c r="M1217" s="4">
        <v>11</v>
      </c>
      <c r="N1217" s="4" t="s">
        <v>3057</v>
      </c>
      <c r="O1217" s="4" t="s">
        <v>27</v>
      </c>
      <c r="P1217" s="5">
        <v>419403</v>
      </c>
      <c r="Q1217" s="4"/>
      <c r="R1217" s="4"/>
      <c r="S1217" s="4" t="s">
        <v>5573</v>
      </c>
      <c r="T1217" s="4"/>
      <c r="U1217" s="4" t="s">
        <v>29</v>
      </c>
      <c r="V1217" s="4" t="s">
        <v>38</v>
      </c>
      <c r="W1217" s="67" t="str">
        <f t="shared" si="94"/>
        <v>-</v>
      </c>
    </row>
    <row r="1218" spans="1:23" x14ac:dyDescent="0.3">
      <c r="A1218" s="2" t="s">
        <v>3079</v>
      </c>
      <c r="B1218" s="2" t="s">
        <v>3080</v>
      </c>
      <c r="C1218" s="2">
        <v>9227802344</v>
      </c>
      <c r="D1218" s="2" t="s">
        <v>59</v>
      </c>
      <c r="E1218" s="2" t="s">
        <v>21</v>
      </c>
      <c r="F1218" s="2" t="s">
        <v>160</v>
      </c>
      <c r="G1218" s="2" t="s">
        <v>1623</v>
      </c>
      <c r="H1218" s="2" t="s">
        <v>3068</v>
      </c>
      <c r="I1218" s="2" t="str">
        <f t="shared" ref="I1218:I1281" si="95">TEXT(H1218,"mmm")</f>
        <v>Nov</v>
      </c>
      <c r="J1218" s="2">
        <f t="shared" ref="J1218:J1281" si="96">MONTH(H1218)</f>
        <v>11</v>
      </c>
      <c r="K1218" s="2">
        <f t="shared" ref="K1218:K1281" si="97">YEAR(H1218)</f>
        <v>2024</v>
      </c>
      <c r="L1218" s="2">
        <f t="shared" ref="L1218:L1281" si="98">ROUNDUP(MONTH(H1218)/3,0)</f>
        <v>4</v>
      </c>
      <c r="M1218" s="2">
        <v>3</v>
      </c>
      <c r="N1218" s="2" t="s">
        <v>2944</v>
      </c>
      <c r="O1218" s="2" t="s">
        <v>55</v>
      </c>
      <c r="P1218" s="3">
        <v>185729</v>
      </c>
      <c r="Q1218" s="2"/>
      <c r="R1218" s="2"/>
      <c r="S1218" s="2" t="s">
        <v>5573</v>
      </c>
      <c r="T1218" s="2">
        <v>29.8</v>
      </c>
      <c r="U1218" s="2" t="s">
        <v>29</v>
      </c>
      <c r="V1218" s="2" t="s">
        <v>454</v>
      </c>
      <c r="W1218" s="67" t="str">
        <f t="shared" ref="W1218:W1281" si="99">IF($O1218&lt;&gt;"Converted","-",IF(ISNUMBER(SEARCH("Architect",$F1218)),"Architect","Customer"))</f>
        <v>-</v>
      </c>
    </row>
    <row r="1219" spans="1:23" x14ac:dyDescent="0.3">
      <c r="A1219" s="6" t="s">
        <v>3081</v>
      </c>
      <c r="B1219" s="6" t="s">
        <v>3080</v>
      </c>
      <c r="C1219" s="6">
        <v>9693295614</v>
      </c>
      <c r="D1219" s="6" t="s">
        <v>20</v>
      </c>
      <c r="E1219" s="6" t="s">
        <v>67</v>
      </c>
      <c r="F1219" s="6" t="s">
        <v>80</v>
      </c>
      <c r="G1219" s="6" t="s">
        <v>1609</v>
      </c>
      <c r="H1219" s="6" t="s">
        <v>3068</v>
      </c>
      <c r="I1219" s="2" t="str">
        <f t="shared" si="95"/>
        <v>Nov</v>
      </c>
      <c r="J1219" s="2">
        <f t="shared" si="96"/>
        <v>11</v>
      </c>
      <c r="K1219" s="2">
        <f t="shared" si="97"/>
        <v>2024</v>
      </c>
      <c r="L1219" s="2">
        <f t="shared" si="98"/>
        <v>4</v>
      </c>
      <c r="M1219" s="6">
        <v>11</v>
      </c>
      <c r="N1219" s="6" t="s">
        <v>3082</v>
      </c>
      <c r="O1219" s="6" t="s">
        <v>97</v>
      </c>
      <c r="P1219" s="7">
        <v>341775</v>
      </c>
      <c r="Q1219" s="7">
        <v>312911</v>
      </c>
      <c r="R1219" s="6" t="s">
        <v>3083</v>
      </c>
      <c r="S1219" s="6" t="s">
        <v>5573</v>
      </c>
      <c r="T1219" s="6">
        <v>12.8</v>
      </c>
      <c r="U1219" s="6" t="s">
        <v>63</v>
      </c>
      <c r="V1219" s="6" t="s">
        <v>907</v>
      </c>
      <c r="W1219" s="67" t="str">
        <f t="shared" si="99"/>
        <v>Customer</v>
      </c>
    </row>
    <row r="1220" spans="1:23" x14ac:dyDescent="0.3">
      <c r="A1220" s="2" t="s">
        <v>3084</v>
      </c>
      <c r="B1220" s="2" t="s">
        <v>540</v>
      </c>
      <c r="C1220" s="2">
        <v>9264128494</v>
      </c>
      <c r="D1220" s="2" t="s">
        <v>20</v>
      </c>
      <c r="E1220" s="2" t="s">
        <v>21</v>
      </c>
      <c r="F1220" s="2" t="s">
        <v>230</v>
      </c>
      <c r="G1220" s="2" t="s">
        <v>1621</v>
      </c>
      <c r="H1220" s="2" t="s">
        <v>3068</v>
      </c>
      <c r="I1220" s="2" t="str">
        <f t="shared" si="95"/>
        <v>Nov</v>
      </c>
      <c r="J1220" s="2">
        <f t="shared" si="96"/>
        <v>11</v>
      </c>
      <c r="K1220" s="2">
        <f t="shared" si="97"/>
        <v>2024</v>
      </c>
      <c r="L1220" s="2">
        <f t="shared" si="98"/>
        <v>4</v>
      </c>
      <c r="M1220" s="2">
        <v>7</v>
      </c>
      <c r="N1220" s="2" t="s">
        <v>2921</v>
      </c>
      <c r="O1220" s="2" t="s">
        <v>62</v>
      </c>
      <c r="P1220" s="3">
        <v>586633</v>
      </c>
      <c r="Q1220" s="2"/>
      <c r="R1220" s="2"/>
      <c r="S1220" s="2" t="s">
        <v>5573</v>
      </c>
      <c r="T1220" s="2">
        <v>39.6</v>
      </c>
      <c r="U1220" s="2" t="s">
        <v>29</v>
      </c>
      <c r="V1220" s="2" t="s">
        <v>247</v>
      </c>
      <c r="W1220" s="67" t="str">
        <f t="shared" si="99"/>
        <v>-</v>
      </c>
    </row>
    <row r="1221" spans="1:23" x14ac:dyDescent="0.3">
      <c r="A1221" s="6" t="s">
        <v>3085</v>
      </c>
      <c r="B1221" s="6" t="s">
        <v>2626</v>
      </c>
      <c r="C1221" s="6">
        <v>9987742068</v>
      </c>
      <c r="D1221" s="6" t="s">
        <v>59</v>
      </c>
      <c r="E1221" s="6" t="s">
        <v>109</v>
      </c>
      <c r="F1221" s="6" t="s">
        <v>331</v>
      </c>
      <c r="G1221" s="6" t="s">
        <v>643</v>
      </c>
      <c r="H1221" s="6" t="s">
        <v>3068</v>
      </c>
      <c r="I1221" s="2" t="str">
        <f t="shared" si="95"/>
        <v>Nov</v>
      </c>
      <c r="J1221" s="2">
        <f t="shared" si="96"/>
        <v>11</v>
      </c>
      <c r="K1221" s="2">
        <f t="shared" si="97"/>
        <v>2024</v>
      </c>
      <c r="L1221" s="2">
        <f t="shared" si="98"/>
        <v>4</v>
      </c>
      <c r="M1221" s="6">
        <v>5</v>
      </c>
      <c r="N1221" s="6" t="s">
        <v>2947</v>
      </c>
      <c r="O1221" s="6" t="s">
        <v>97</v>
      </c>
      <c r="P1221" s="7">
        <v>1375942</v>
      </c>
      <c r="Q1221" s="7">
        <v>1294694</v>
      </c>
      <c r="R1221" s="6" t="s">
        <v>3082</v>
      </c>
      <c r="S1221" s="6" t="s">
        <v>5573</v>
      </c>
      <c r="T1221" s="6">
        <v>27.2</v>
      </c>
      <c r="U1221" s="6" t="s">
        <v>63</v>
      </c>
      <c r="V1221" s="6" t="s">
        <v>243</v>
      </c>
      <c r="W1221" s="67" t="str">
        <f t="shared" si="99"/>
        <v>Customer</v>
      </c>
    </row>
    <row r="1222" spans="1:23" x14ac:dyDescent="0.3">
      <c r="A1222" s="6" t="s">
        <v>3086</v>
      </c>
      <c r="B1222" s="6" t="s">
        <v>3087</v>
      </c>
      <c r="C1222" s="6">
        <v>9507603187</v>
      </c>
      <c r="D1222" s="6" t="s">
        <v>108</v>
      </c>
      <c r="E1222" s="6" t="s">
        <v>41</v>
      </c>
      <c r="F1222" s="6" t="s">
        <v>42</v>
      </c>
      <c r="G1222" s="6" t="s">
        <v>23</v>
      </c>
      <c r="H1222" s="6" t="s">
        <v>3068</v>
      </c>
      <c r="I1222" s="2" t="str">
        <f t="shared" si="95"/>
        <v>Nov</v>
      </c>
      <c r="J1222" s="2">
        <f t="shared" si="96"/>
        <v>11</v>
      </c>
      <c r="K1222" s="2">
        <f t="shared" si="97"/>
        <v>2024</v>
      </c>
      <c r="L1222" s="2">
        <f t="shared" si="98"/>
        <v>4</v>
      </c>
      <c r="M1222" s="6">
        <v>0</v>
      </c>
      <c r="N1222" s="6" t="s">
        <v>2777</v>
      </c>
      <c r="O1222" s="6" t="s">
        <v>97</v>
      </c>
      <c r="P1222" s="7">
        <v>761288</v>
      </c>
      <c r="Q1222" s="7">
        <v>760866</v>
      </c>
      <c r="R1222" s="6" t="s">
        <v>2944</v>
      </c>
      <c r="S1222" s="6" t="s">
        <v>5573</v>
      </c>
      <c r="T1222" s="6">
        <v>41.8</v>
      </c>
      <c r="U1222" s="6" t="s">
        <v>63</v>
      </c>
      <c r="V1222" s="6" t="s">
        <v>286</v>
      </c>
      <c r="W1222" s="67" t="str">
        <f t="shared" si="99"/>
        <v>Customer</v>
      </c>
    </row>
    <row r="1223" spans="1:23" x14ac:dyDescent="0.3">
      <c r="A1223" s="6" t="s">
        <v>3088</v>
      </c>
      <c r="B1223" s="6" t="s">
        <v>3089</v>
      </c>
      <c r="C1223" s="6">
        <v>9294327188</v>
      </c>
      <c r="D1223" s="6" t="s">
        <v>20</v>
      </c>
      <c r="E1223" s="6" t="s">
        <v>1632</v>
      </c>
      <c r="F1223" s="6" t="s">
        <v>1633</v>
      </c>
      <c r="G1223" s="6" t="s">
        <v>52</v>
      </c>
      <c r="H1223" s="6" t="s">
        <v>2723</v>
      </c>
      <c r="I1223" s="2" t="str">
        <f t="shared" si="95"/>
        <v>Nov</v>
      </c>
      <c r="J1223" s="2">
        <f t="shared" si="96"/>
        <v>11</v>
      </c>
      <c r="K1223" s="2">
        <f t="shared" si="97"/>
        <v>2024</v>
      </c>
      <c r="L1223" s="2">
        <f t="shared" si="98"/>
        <v>4</v>
      </c>
      <c r="M1223" s="6">
        <v>1</v>
      </c>
      <c r="N1223" s="6" t="s">
        <v>2995</v>
      </c>
      <c r="O1223" s="6" t="s">
        <v>97</v>
      </c>
      <c r="P1223" s="7">
        <v>205759</v>
      </c>
      <c r="Q1223" s="7">
        <v>181864</v>
      </c>
      <c r="R1223" s="6" t="s">
        <v>2860</v>
      </c>
      <c r="S1223" s="6" t="s">
        <v>5573</v>
      </c>
      <c r="T1223" s="6">
        <v>24.6</v>
      </c>
      <c r="U1223" s="6" t="s">
        <v>63</v>
      </c>
      <c r="V1223" s="6" t="s">
        <v>113</v>
      </c>
      <c r="W1223" s="67" t="str">
        <f t="shared" si="99"/>
        <v>Customer</v>
      </c>
    </row>
    <row r="1224" spans="1:23" x14ac:dyDescent="0.3">
      <c r="A1224" s="6" t="s">
        <v>3090</v>
      </c>
      <c r="B1224" s="6" t="s">
        <v>3091</v>
      </c>
      <c r="C1224" s="6">
        <v>9965868694</v>
      </c>
      <c r="D1224" s="6" t="s">
        <v>108</v>
      </c>
      <c r="E1224" s="6" t="s">
        <v>1632</v>
      </c>
      <c r="F1224" s="6" t="s">
        <v>1633</v>
      </c>
      <c r="G1224" s="6" t="s">
        <v>23</v>
      </c>
      <c r="H1224" s="6" t="s">
        <v>2723</v>
      </c>
      <c r="I1224" s="2" t="str">
        <f t="shared" si="95"/>
        <v>Nov</v>
      </c>
      <c r="J1224" s="2">
        <f t="shared" si="96"/>
        <v>11</v>
      </c>
      <c r="K1224" s="2">
        <f t="shared" si="97"/>
        <v>2024</v>
      </c>
      <c r="L1224" s="2">
        <f t="shared" si="98"/>
        <v>4</v>
      </c>
      <c r="M1224" s="6">
        <v>10</v>
      </c>
      <c r="N1224" s="6" t="s">
        <v>3092</v>
      </c>
      <c r="O1224" s="6" t="s">
        <v>97</v>
      </c>
      <c r="P1224" s="7">
        <v>803231</v>
      </c>
      <c r="Q1224" s="7">
        <v>710303</v>
      </c>
      <c r="R1224" s="6" t="s">
        <v>3057</v>
      </c>
      <c r="S1224" s="6" t="s">
        <v>5573</v>
      </c>
      <c r="T1224" s="6">
        <v>5.8</v>
      </c>
      <c r="U1224" s="6" t="s">
        <v>63</v>
      </c>
      <c r="V1224" s="6"/>
      <c r="W1224" s="67" t="str">
        <f t="shared" si="99"/>
        <v>Customer</v>
      </c>
    </row>
    <row r="1225" spans="1:23" x14ac:dyDescent="0.3">
      <c r="A1225" s="4" t="s">
        <v>3093</v>
      </c>
      <c r="B1225" s="4" t="s">
        <v>3094</v>
      </c>
      <c r="C1225" s="4"/>
      <c r="D1225" s="4" t="s">
        <v>108</v>
      </c>
      <c r="E1225" s="4" t="s">
        <v>1632</v>
      </c>
      <c r="F1225" s="4" t="s">
        <v>1694</v>
      </c>
      <c r="G1225" s="4" t="s">
        <v>69</v>
      </c>
      <c r="H1225" s="4" t="s">
        <v>2918</v>
      </c>
      <c r="I1225" s="2" t="str">
        <f t="shared" si="95"/>
        <v>Nov</v>
      </c>
      <c r="J1225" s="2">
        <f t="shared" si="96"/>
        <v>11</v>
      </c>
      <c r="K1225" s="2">
        <f t="shared" si="97"/>
        <v>2024</v>
      </c>
      <c r="L1225" s="2">
        <f t="shared" si="98"/>
        <v>4</v>
      </c>
      <c r="M1225" s="4">
        <v>12</v>
      </c>
      <c r="N1225" s="4" t="s">
        <v>3095</v>
      </c>
      <c r="O1225" s="4" t="s">
        <v>27</v>
      </c>
      <c r="P1225" s="5">
        <v>176338</v>
      </c>
      <c r="Q1225" s="4"/>
      <c r="R1225" s="4"/>
      <c r="S1225" s="4" t="s">
        <v>5573</v>
      </c>
      <c r="T1225" s="4">
        <v>28.8</v>
      </c>
      <c r="U1225" s="4" t="s">
        <v>29</v>
      </c>
      <c r="V1225" s="4" t="s">
        <v>1776</v>
      </c>
      <c r="W1225" s="67" t="str">
        <f t="shared" si="99"/>
        <v>-</v>
      </c>
    </row>
    <row r="1226" spans="1:23" x14ac:dyDescent="0.3">
      <c r="A1226" s="8" t="s">
        <v>3096</v>
      </c>
      <c r="B1226" s="8" t="s">
        <v>3097</v>
      </c>
      <c r="C1226" s="8">
        <v>9926468012</v>
      </c>
      <c r="D1226" s="8" t="s">
        <v>59</v>
      </c>
      <c r="E1226" s="8" t="s">
        <v>41</v>
      </c>
      <c r="F1226" s="8" t="s">
        <v>42</v>
      </c>
      <c r="G1226" s="8" t="s">
        <v>52</v>
      </c>
      <c r="H1226" s="8" t="s">
        <v>2918</v>
      </c>
      <c r="I1226" s="2" t="str">
        <f t="shared" si="95"/>
        <v>Nov</v>
      </c>
      <c r="J1226" s="2">
        <f t="shared" si="96"/>
        <v>11</v>
      </c>
      <c r="K1226" s="2">
        <f t="shared" si="97"/>
        <v>2024</v>
      </c>
      <c r="L1226" s="2">
        <f t="shared" si="98"/>
        <v>4</v>
      </c>
      <c r="M1226" s="8">
        <v>4</v>
      </c>
      <c r="N1226" s="8" t="s">
        <v>2831</v>
      </c>
      <c r="O1226" s="8" t="s">
        <v>62</v>
      </c>
      <c r="P1226" s="9">
        <v>478210</v>
      </c>
      <c r="Q1226" s="8"/>
      <c r="R1226" s="8"/>
      <c r="S1226" s="8" t="s">
        <v>5573</v>
      </c>
      <c r="T1226" s="8">
        <v>29.3</v>
      </c>
      <c r="U1226" s="8" t="s">
        <v>29</v>
      </c>
      <c r="V1226" s="8" t="s">
        <v>697</v>
      </c>
      <c r="W1226" s="67" t="str">
        <f t="shared" si="99"/>
        <v>-</v>
      </c>
    </row>
    <row r="1227" spans="1:23" x14ac:dyDescent="0.3">
      <c r="A1227" s="4" t="s">
        <v>3098</v>
      </c>
      <c r="B1227" s="4" t="s">
        <v>1271</v>
      </c>
      <c r="C1227" s="4">
        <v>9148009656</v>
      </c>
      <c r="D1227" s="4" t="s">
        <v>20</v>
      </c>
      <c r="E1227" s="4" t="s">
        <v>33</v>
      </c>
      <c r="F1227" s="4" t="s">
        <v>201</v>
      </c>
      <c r="G1227" s="4" t="s">
        <v>69</v>
      </c>
      <c r="H1227" s="4" t="s">
        <v>2855</v>
      </c>
      <c r="I1227" s="2" t="str">
        <f t="shared" si="95"/>
        <v>Nov</v>
      </c>
      <c r="J1227" s="2">
        <f t="shared" si="96"/>
        <v>11</v>
      </c>
      <c r="K1227" s="2">
        <f t="shared" si="97"/>
        <v>2024</v>
      </c>
      <c r="L1227" s="2">
        <f t="shared" si="98"/>
        <v>4</v>
      </c>
      <c r="M1227" s="4">
        <v>4</v>
      </c>
      <c r="N1227" s="4" t="s">
        <v>2836</v>
      </c>
      <c r="O1227" s="4" t="s">
        <v>45</v>
      </c>
      <c r="P1227" s="5">
        <v>272282</v>
      </c>
      <c r="Q1227" s="4"/>
      <c r="R1227" s="4"/>
      <c r="S1227" s="4" t="s">
        <v>5573</v>
      </c>
      <c r="T1227" s="4">
        <v>35.700000000000003</v>
      </c>
      <c r="U1227" s="4" t="s">
        <v>47</v>
      </c>
      <c r="V1227" s="4" t="s">
        <v>597</v>
      </c>
      <c r="W1227" s="67" t="str">
        <f t="shared" si="99"/>
        <v>-</v>
      </c>
    </row>
    <row r="1228" spans="1:23" x14ac:dyDescent="0.3">
      <c r="A1228" s="8" t="s">
        <v>3099</v>
      </c>
      <c r="B1228" s="8" t="s">
        <v>3100</v>
      </c>
      <c r="C1228" s="8">
        <v>9852431231</v>
      </c>
      <c r="D1228" s="8" t="s">
        <v>59</v>
      </c>
      <c r="E1228" s="8" t="s">
        <v>41</v>
      </c>
      <c r="F1228" s="8" t="s">
        <v>42</v>
      </c>
      <c r="G1228" s="8" t="s">
        <v>643</v>
      </c>
      <c r="H1228" s="8" t="s">
        <v>2777</v>
      </c>
      <c r="I1228" s="2" t="str">
        <f t="shared" si="95"/>
        <v>Nov</v>
      </c>
      <c r="J1228" s="2">
        <f t="shared" si="96"/>
        <v>11</v>
      </c>
      <c r="K1228" s="2">
        <f t="shared" si="97"/>
        <v>2024</v>
      </c>
      <c r="L1228" s="2">
        <f t="shared" si="98"/>
        <v>4</v>
      </c>
      <c r="M1228" s="8">
        <v>5</v>
      </c>
      <c r="N1228" s="8" t="s">
        <v>2821</v>
      </c>
      <c r="O1228" s="8" t="s">
        <v>45</v>
      </c>
      <c r="P1228" s="9">
        <v>778697</v>
      </c>
      <c r="Q1228" s="8"/>
      <c r="R1228" s="8"/>
      <c r="S1228" s="8" t="s">
        <v>5573</v>
      </c>
      <c r="T1228" s="8">
        <v>47.1</v>
      </c>
      <c r="U1228" s="8" t="s">
        <v>47</v>
      </c>
      <c r="V1228" s="8" t="s">
        <v>174</v>
      </c>
      <c r="W1228" s="67" t="str">
        <f t="shared" si="99"/>
        <v>-</v>
      </c>
    </row>
    <row r="1229" spans="1:23" x14ac:dyDescent="0.3">
      <c r="A1229" s="6" t="s">
        <v>3101</v>
      </c>
      <c r="B1229" s="6" t="s">
        <v>459</v>
      </c>
      <c r="C1229" s="6">
        <v>9396839909</v>
      </c>
      <c r="D1229" s="6" t="s">
        <v>121</v>
      </c>
      <c r="E1229" s="6" t="s">
        <v>1632</v>
      </c>
      <c r="F1229" s="6" t="s">
        <v>1659</v>
      </c>
      <c r="G1229" s="6" t="s">
        <v>616</v>
      </c>
      <c r="H1229" s="6" t="s">
        <v>2777</v>
      </c>
      <c r="I1229" s="2" t="str">
        <f t="shared" si="95"/>
        <v>Nov</v>
      </c>
      <c r="J1229" s="2">
        <f t="shared" si="96"/>
        <v>11</v>
      </c>
      <c r="K1229" s="2">
        <f t="shared" si="97"/>
        <v>2024</v>
      </c>
      <c r="L1229" s="2">
        <f t="shared" si="98"/>
        <v>4</v>
      </c>
      <c r="M1229" s="6">
        <v>12</v>
      </c>
      <c r="N1229" s="6" t="s">
        <v>3102</v>
      </c>
      <c r="O1229" s="6" t="s">
        <v>97</v>
      </c>
      <c r="P1229" s="7">
        <v>148145</v>
      </c>
      <c r="Q1229" s="7">
        <v>148031</v>
      </c>
      <c r="R1229" s="6" t="s">
        <v>3103</v>
      </c>
      <c r="S1229" s="6" t="s">
        <v>5573</v>
      </c>
      <c r="T1229" s="6">
        <v>40.4</v>
      </c>
      <c r="U1229" s="6" t="s">
        <v>63</v>
      </c>
      <c r="V1229" s="6" t="s">
        <v>170</v>
      </c>
      <c r="W1229" s="67" t="str">
        <f t="shared" si="99"/>
        <v>Customer</v>
      </c>
    </row>
    <row r="1230" spans="1:23" x14ac:dyDescent="0.3">
      <c r="A1230" s="2" t="s">
        <v>3104</v>
      </c>
      <c r="B1230" s="2" t="s">
        <v>1500</v>
      </c>
      <c r="C1230" s="2">
        <v>9715478331</v>
      </c>
      <c r="D1230" s="2" t="s">
        <v>121</v>
      </c>
      <c r="E1230" s="2" t="s">
        <v>73</v>
      </c>
      <c r="F1230" s="2" t="s">
        <v>74</v>
      </c>
      <c r="G1230" s="2" t="s">
        <v>60</v>
      </c>
      <c r="H1230" s="2" t="s">
        <v>2777</v>
      </c>
      <c r="I1230" s="2" t="str">
        <f t="shared" si="95"/>
        <v>Nov</v>
      </c>
      <c r="J1230" s="2">
        <f t="shared" si="96"/>
        <v>11</v>
      </c>
      <c r="K1230" s="2">
        <f t="shared" si="97"/>
        <v>2024</v>
      </c>
      <c r="L1230" s="2">
        <f t="shared" si="98"/>
        <v>4</v>
      </c>
      <c r="M1230" s="2">
        <v>0</v>
      </c>
      <c r="N1230" s="2" t="s">
        <v>3105</v>
      </c>
      <c r="O1230" s="2" t="s">
        <v>27</v>
      </c>
      <c r="P1230" s="3">
        <v>83504</v>
      </c>
      <c r="Q1230" s="2"/>
      <c r="R1230" s="2"/>
      <c r="S1230" s="2" t="s">
        <v>5573</v>
      </c>
      <c r="T1230" s="2">
        <v>30.4</v>
      </c>
      <c r="U1230" s="2" t="s">
        <v>47</v>
      </c>
      <c r="V1230" s="2" t="s">
        <v>123</v>
      </c>
      <c r="W1230" s="67" t="str">
        <f t="shared" si="99"/>
        <v>-</v>
      </c>
    </row>
    <row r="1231" spans="1:23" x14ac:dyDescent="0.3">
      <c r="A1231" s="4" t="s">
        <v>3106</v>
      </c>
      <c r="B1231" s="4" t="s">
        <v>1429</v>
      </c>
      <c r="C1231" s="4">
        <v>9835573274</v>
      </c>
      <c r="D1231" s="4" t="s">
        <v>20</v>
      </c>
      <c r="E1231" s="4" t="s">
        <v>641</v>
      </c>
      <c r="F1231" s="4" t="s">
        <v>717</v>
      </c>
      <c r="G1231" s="4" t="s">
        <v>1621</v>
      </c>
      <c r="H1231" s="4" t="s">
        <v>2777</v>
      </c>
      <c r="I1231" s="2" t="str">
        <f t="shared" si="95"/>
        <v>Nov</v>
      </c>
      <c r="J1231" s="2">
        <f t="shared" si="96"/>
        <v>11</v>
      </c>
      <c r="K1231" s="2">
        <f t="shared" si="97"/>
        <v>2024</v>
      </c>
      <c r="L1231" s="2">
        <f t="shared" si="98"/>
        <v>4</v>
      </c>
      <c r="M1231" s="4">
        <v>0</v>
      </c>
      <c r="N1231" s="4" t="s">
        <v>2995</v>
      </c>
      <c r="O1231" s="4" t="s">
        <v>45</v>
      </c>
      <c r="P1231" s="5">
        <v>565368</v>
      </c>
      <c r="Q1231" s="4"/>
      <c r="R1231" s="4"/>
      <c r="S1231" s="4" t="s">
        <v>5573</v>
      </c>
      <c r="T1231" s="4">
        <v>17</v>
      </c>
      <c r="U1231" s="4" t="s">
        <v>47</v>
      </c>
      <c r="V1231" s="4"/>
      <c r="W1231" s="67" t="str">
        <f t="shared" si="99"/>
        <v>-</v>
      </c>
    </row>
    <row r="1232" spans="1:23" x14ac:dyDescent="0.3">
      <c r="A1232" s="2" t="s">
        <v>3107</v>
      </c>
      <c r="B1232" s="2" t="s">
        <v>2783</v>
      </c>
      <c r="C1232" s="2">
        <v>9516637565</v>
      </c>
      <c r="D1232" s="2" t="s">
        <v>121</v>
      </c>
      <c r="E1232" s="2" t="s">
        <v>648</v>
      </c>
      <c r="F1232" s="2" t="s">
        <v>899</v>
      </c>
      <c r="G1232" s="2" t="s">
        <v>1621</v>
      </c>
      <c r="H1232" s="2" t="s">
        <v>2777</v>
      </c>
      <c r="I1232" s="2" t="str">
        <f t="shared" si="95"/>
        <v>Nov</v>
      </c>
      <c r="J1232" s="2">
        <f t="shared" si="96"/>
        <v>11</v>
      </c>
      <c r="K1232" s="2">
        <f t="shared" si="97"/>
        <v>2024</v>
      </c>
      <c r="L1232" s="2">
        <f t="shared" si="98"/>
        <v>4</v>
      </c>
      <c r="M1232" s="2">
        <v>10</v>
      </c>
      <c r="N1232" s="2" t="s">
        <v>3108</v>
      </c>
      <c r="O1232" s="2" t="s">
        <v>62</v>
      </c>
      <c r="P1232" s="3">
        <v>200041</v>
      </c>
      <c r="Q1232" s="2"/>
      <c r="R1232" s="2"/>
      <c r="S1232" s="2" t="s">
        <v>5573</v>
      </c>
      <c r="T1232" s="2">
        <v>39.299999999999997</v>
      </c>
      <c r="U1232" s="2" t="s">
        <v>47</v>
      </c>
      <c r="V1232" s="2" t="s">
        <v>302</v>
      </c>
      <c r="W1232" s="67" t="str">
        <f t="shared" si="99"/>
        <v>-</v>
      </c>
    </row>
    <row r="1233" spans="1:23" x14ac:dyDescent="0.3">
      <c r="A1233" s="4" t="s">
        <v>3109</v>
      </c>
      <c r="B1233" s="4" t="s">
        <v>3110</v>
      </c>
      <c r="C1233" s="4">
        <v>9848056906</v>
      </c>
      <c r="D1233" s="4" t="s">
        <v>59</v>
      </c>
      <c r="E1233" s="4" t="s">
        <v>41</v>
      </c>
      <c r="F1233" s="4" t="s">
        <v>42</v>
      </c>
      <c r="G1233" s="4" t="s">
        <v>87</v>
      </c>
      <c r="H1233" s="4" t="s">
        <v>2777</v>
      </c>
      <c r="I1233" s="2" t="str">
        <f t="shared" si="95"/>
        <v>Nov</v>
      </c>
      <c r="J1233" s="2">
        <f t="shared" si="96"/>
        <v>11</v>
      </c>
      <c r="K1233" s="2">
        <f t="shared" si="97"/>
        <v>2024</v>
      </c>
      <c r="L1233" s="2">
        <f t="shared" si="98"/>
        <v>4</v>
      </c>
      <c r="M1233" s="4">
        <v>2</v>
      </c>
      <c r="N1233" s="4" t="s">
        <v>2852</v>
      </c>
      <c r="O1233" s="4" t="s">
        <v>45</v>
      </c>
      <c r="P1233" s="5">
        <v>153180</v>
      </c>
      <c r="Q1233" s="4"/>
      <c r="R1233" s="4"/>
      <c r="S1233" s="4" t="s">
        <v>5573</v>
      </c>
      <c r="T1233" s="4">
        <v>28.3</v>
      </c>
      <c r="U1233" s="4" t="s">
        <v>47</v>
      </c>
      <c r="V1233" s="4" t="s">
        <v>48</v>
      </c>
      <c r="W1233" s="67" t="str">
        <f t="shared" si="99"/>
        <v>-</v>
      </c>
    </row>
    <row r="1234" spans="1:23" x14ac:dyDescent="0.3">
      <c r="A1234" s="2" t="s">
        <v>3111</v>
      </c>
      <c r="B1234" s="2" t="s">
        <v>2571</v>
      </c>
      <c r="C1234" s="2">
        <v>9753600959</v>
      </c>
      <c r="D1234" s="2" t="s">
        <v>59</v>
      </c>
      <c r="E1234" s="2" t="s">
        <v>41</v>
      </c>
      <c r="F1234" s="2" t="s">
        <v>151</v>
      </c>
      <c r="G1234" s="2" t="s">
        <v>52</v>
      </c>
      <c r="H1234" s="2" t="s">
        <v>2777</v>
      </c>
      <c r="I1234" s="2" t="str">
        <f t="shared" si="95"/>
        <v>Nov</v>
      </c>
      <c r="J1234" s="2">
        <f t="shared" si="96"/>
        <v>11</v>
      </c>
      <c r="K1234" s="2">
        <f t="shared" si="97"/>
        <v>2024</v>
      </c>
      <c r="L1234" s="2">
        <f t="shared" si="98"/>
        <v>4</v>
      </c>
      <c r="M1234" s="2">
        <v>8</v>
      </c>
      <c r="N1234" s="2" t="s">
        <v>3112</v>
      </c>
      <c r="O1234" s="2" t="s">
        <v>27</v>
      </c>
      <c r="P1234" s="3">
        <v>538453</v>
      </c>
      <c r="Q1234" s="2"/>
      <c r="R1234" s="2"/>
      <c r="S1234" s="2" t="s">
        <v>5573</v>
      </c>
      <c r="T1234" s="2"/>
      <c r="U1234" s="2" t="s">
        <v>29</v>
      </c>
      <c r="V1234" s="2" t="s">
        <v>163</v>
      </c>
      <c r="W1234" s="67" t="str">
        <f t="shared" si="99"/>
        <v>-</v>
      </c>
    </row>
    <row r="1235" spans="1:23" x14ac:dyDescent="0.3">
      <c r="A1235" s="8" t="s">
        <v>3113</v>
      </c>
      <c r="B1235" s="8" t="s">
        <v>3114</v>
      </c>
      <c r="C1235" s="8">
        <v>9214571573</v>
      </c>
      <c r="D1235" s="8" t="s">
        <v>121</v>
      </c>
      <c r="E1235" s="8" t="s">
        <v>67</v>
      </c>
      <c r="F1235" s="8" t="s">
        <v>80</v>
      </c>
      <c r="G1235" s="8" t="s">
        <v>1599</v>
      </c>
      <c r="H1235" s="8" t="s">
        <v>2808</v>
      </c>
      <c r="I1235" s="2" t="str">
        <f t="shared" si="95"/>
        <v>Dec</v>
      </c>
      <c r="J1235" s="2">
        <f t="shared" si="96"/>
        <v>12</v>
      </c>
      <c r="K1235" s="2">
        <f t="shared" si="97"/>
        <v>2024</v>
      </c>
      <c r="L1235" s="2">
        <f t="shared" si="98"/>
        <v>4</v>
      </c>
      <c r="M1235" s="8">
        <v>11</v>
      </c>
      <c r="N1235" s="8" t="s">
        <v>3115</v>
      </c>
      <c r="O1235" s="8" t="s">
        <v>97</v>
      </c>
      <c r="P1235" s="9">
        <v>622911</v>
      </c>
      <c r="Q1235" s="9">
        <v>549028</v>
      </c>
      <c r="R1235" s="8" t="s">
        <v>3116</v>
      </c>
      <c r="S1235" s="8" t="s">
        <v>5573</v>
      </c>
      <c r="T1235" s="8">
        <v>43.2</v>
      </c>
      <c r="U1235" s="8" t="s">
        <v>63</v>
      </c>
      <c r="V1235" s="8" t="s">
        <v>341</v>
      </c>
      <c r="W1235" s="67" t="str">
        <f t="shared" si="99"/>
        <v>Customer</v>
      </c>
    </row>
    <row r="1236" spans="1:23" x14ac:dyDescent="0.3">
      <c r="A1236" s="2" t="s">
        <v>3117</v>
      </c>
      <c r="B1236" s="2" t="s">
        <v>1693</v>
      </c>
      <c r="C1236" s="2">
        <v>9676034101</v>
      </c>
      <c r="D1236" s="2" t="s">
        <v>20</v>
      </c>
      <c r="E1236" s="2" t="s">
        <v>41</v>
      </c>
      <c r="F1236" s="2" t="s">
        <v>151</v>
      </c>
      <c r="G1236" s="2" t="s">
        <v>1677</v>
      </c>
      <c r="H1236" s="2" t="s">
        <v>2808</v>
      </c>
      <c r="I1236" s="2" t="str">
        <f t="shared" si="95"/>
        <v>Dec</v>
      </c>
      <c r="J1236" s="2">
        <f t="shared" si="96"/>
        <v>12</v>
      </c>
      <c r="K1236" s="2">
        <f t="shared" si="97"/>
        <v>2024</v>
      </c>
      <c r="L1236" s="2">
        <f t="shared" si="98"/>
        <v>4</v>
      </c>
      <c r="M1236" s="2">
        <v>1</v>
      </c>
      <c r="N1236" s="2" t="s">
        <v>2784</v>
      </c>
      <c r="O1236" s="2" t="s">
        <v>27</v>
      </c>
      <c r="P1236" s="3">
        <v>1164503</v>
      </c>
      <c r="Q1236" s="2"/>
      <c r="R1236" s="2"/>
      <c r="S1236" s="2" t="s">
        <v>5573</v>
      </c>
      <c r="T1236" s="2">
        <v>8.4</v>
      </c>
      <c r="U1236" s="2" t="s">
        <v>47</v>
      </c>
      <c r="V1236" s="2"/>
      <c r="W1236" s="67" t="str">
        <f t="shared" si="99"/>
        <v>-</v>
      </c>
    </row>
    <row r="1237" spans="1:23" x14ac:dyDescent="0.3">
      <c r="A1237" s="6" t="s">
        <v>3118</v>
      </c>
      <c r="B1237" s="6" t="s">
        <v>3119</v>
      </c>
      <c r="C1237" s="6">
        <v>9378800387</v>
      </c>
      <c r="D1237" s="6" t="s">
        <v>20</v>
      </c>
      <c r="E1237" s="6" t="s">
        <v>33</v>
      </c>
      <c r="F1237" s="6" t="s">
        <v>102</v>
      </c>
      <c r="G1237" s="6" t="s">
        <v>23</v>
      </c>
      <c r="H1237" s="6" t="s">
        <v>2808</v>
      </c>
      <c r="I1237" s="2" t="str">
        <f t="shared" si="95"/>
        <v>Dec</v>
      </c>
      <c r="J1237" s="2">
        <f t="shared" si="96"/>
        <v>12</v>
      </c>
      <c r="K1237" s="2">
        <f t="shared" si="97"/>
        <v>2024</v>
      </c>
      <c r="L1237" s="2">
        <f t="shared" si="98"/>
        <v>4</v>
      </c>
      <c r="M1237" s="6">
        <v>11</v>
      </c>
      <c r="N1237" s="6" t="s">
        <v>3120</v>
      </c>
      <c r="O1237" s="6" t="s">
        <v>97</v>
      </c>
      <c r="P1237" s="7">
        <v>322831</v>
      </c>
      <c r="Q1237" s="7">
        <v>304003</v>
      </c>
      <c r="R1237" s="6" t="s">
        <v>2967</v>
      </c>
      <c r="S1237" s="6" t="s">
        <v>5573</v>
      </c>
      <c r="T1237" s="6">
        <v>36.4</v>
      </c>
      <c r="U1237" s="6" t="s">
        <v>63</v>
      </c>
      <c r="V1237" s="6" t="s">
        <v>341</v>
      </c>
      <c r="W1237" s="67" t="str">
        <f t="shared" si="99"/>
        <v>Customer</v>
      </c>
    </row>
    <row r="1238" spans="1:23" x14ac:dyDescent="0.3">
      <c r="A1238" s="8" t="s">
        <v>3121</v>
      </c>
      <c r="B1238" s="8" t="s">
        <v>395</v>
      </c>
      <c r="C1238" s="8">
        <v>9279226001</v>
      </c>
      <c r="D1238" s="8" t="s">
        <v>20</v>
      </c>
      <c r="E1238" s="8" t="s">
        <v>641</v>
      </c>
      <c r="F1238" s="8" t="s">
        <v>681</v>
      </c>
      <c r="G1238" s="8" t="s">
        <v>643</v>
      </c>
      <c r="H1238" s="8" t="s">
        <v>2808</v>
      </c>
      <c r="I1238" s="2" t="str">
        <f t="shared" si="95"/>
        <v>Dec</v>
      </c>
      <c r="J1238" s="2">
        <f t="shared" si="96"/>
        <v>12</v>
      </c>
      <c r="K1238" s="2">
        <f t="shared" si="97"/>
        <v>2024</v>
      </c>
      <c r="L1238" s="2">
        <f t="shared" si="98"/>
        <v>4</v>
      </c>
      <c r="M1238" s="8">
        <v>10</v>
      </c>
      <c r="N1238" s="8" t="s">
        <v>3108</v>
      </c>
      <c r="O1238" s="8" t="s">
        <v>55</v>
      </c>
      <c r="P1238" s="9">
        <v>654394</v>
      </c>
      <c r="Q1238" s="8"/>
      <c r="R1238" s="8"/>
      <c r="S1238" s="8" t="s">
        <v>5573</v>
      </c>
      <c r="T1238" s="8">
        <v>6.9</v>
      </c>
      <c r="U1238" s="8" t="s">
        <v>29</v>
      </c>
      <c r="V1238" s="8" t="s">
        <v>613</v>
      </c>
      <c r="W1238" s="67" t="str">
        <f t="shared" si="99"/>
        <v>-</v>
      </c>
    </row>
    <row r="1239" spans="1:23" x14ac:dyDescent="0.3">
      <c r="A1239" s="8" t="s">
        <v>3122</v>
      </c>
      <c r="B1239" s="8" t="s">
        <v>1878</v>
      </c>
      <c r="C1239" s="8">
        <v>9842095037</v>
      </c>
      <c r="D1239" s="8" t="s">
        <v>121</v>
      </c>
      <c r="E1239" s="8" t="s">
        <v>67</v>
      </c>
      <c r="F1239" s="8" t="s">
        <v>68</v>
      </c>
      <c r="G1239" s="8" t="s">
        <v>1623</v>
      </c>
      <c r="H1239" s="8" t="s">
        <v>2808</v>
      </c>
      <c r="I1239" s="2" t="str">
        <f t="shared" si="95"/>
        <v>Dec</v>
      </c>
      <c r="J1239" s="2">
        <f t="shared" si="96"/>
        <v>12</v>
      </c>
      <c r="K1239" s="2">
        <f t="shared" si="97"/>
        <v>2024</v>
      </c>
      <c r="L1239" s="2">
        <f t="shared" si="98"/>
        <v>4</v>
      </c>
      <c r="M1239" s="8">
        <v>6</v>
      </c>
      <c r="N1239" s="8" t="s">
        <v>3082</v>
      </c>
      <c r="O1239" s="8" t="s">
        <v>62</v>
      </c>
      <c r="P1239" s="9">
        <v>294825</v>
      </c>
      <c r="Q1239" s="8"/>
      <c r="R1239" s="8"/>
      <c r="S1239" s="8" t="s">
        <v>5573</v>
      </c>
      <c r="T1239" s="8">
        <v>8.5</v>
      </c>
      <c r="U1239" s="8" t="s">
        <v>63</v>
      </c>
      <c r="V1239" s="8" t="s">
        <v>559</v>
      </c>
      <c r="W1239" s="67" t="str">
        <f t="shared" si="99"/>
        <v>-</v>
      </c>
    </row>
    <row r="1240" spans="1:23" x14ac:dyDescent="0.3">
      <c r="A1240" s="2" t="s">
        <v>3123</v>
      </c>
      <c r="B1240" s="2" t="s">
        <v>1257</v>
      </c>
      <c r="C1240" s="2">
        <v>9296579255</v>
      </c>
      <c r="D1240" s="2" t="s">
        <v>20</v>
      </c>
      <c r="E1240" s="2" t="s">
        <v>41</v>
      </c>
      <c r="F1240" s="2" t="s">
        <v>151</v>
      </c>
      <c r="G1240" s="2" t="s">
        <v>69</v>
      </c>
      <c r="H1240" s="2" t="s">
        <v>2808</v>
      </c>
      <c r="I1240" s="2" t="str">
        <f t="shared" si="95"/>
        <v>Dec</v>
      </c>
      <c r="J1240" s="2">
        <f t="shared" si="96"/>
        <v>12</v>
      </c>
      <c r="K1240" s="2">
        <f t="shared" si="97"/>
        <v>2024</v>
      </c>
      <c r="L1240" s="2">
        <f t="shared" si="98"/>
        <v>4</v>
      </c>
      <c r="M1240" s="2">
        <v>5</v>
      </c>
      <c r="N1240" s="2" t="s">
        <v>2784</v>
      </c>
      <c r="O1240" s="2" t="s">
        <v>45</v>
      </c>
      <c r="P1240" s="3">
        <v>194705</v>
      </c>
      <c r="Q1240" s="2"/>
      <c r="R1240" s="2"/>
      <c r="S1240" s="2" t="s">
        <v>5573</v>
      </c>
      <c r="T1240" s="2">
        <v>38.299999999999997</v>
      </c>
      <c r="U1240" s="2" t="s">
        <v>47</v>
      </c>
      <c r="V1240" s="2" t="s">
        <v>77</v>
      </c>
      <c r="W1240" s="67" t="str">
        <f t="shared" si="99"/>
        <v>-</v>
      </c>
    </row>
    <row r="1241" spans="1:23" x14ac:dyDescent="0.3">
      <c r="A1241" s="4" t="s">
        <v>3124</v>
      </c>
      <c r="B1241" s="4" t="s">
        <v>1340</v>
      </c>
      <c r="C1241" s="4">
        <v>9888960839</v>
      </c>
      <c r="D1241" s="4" t="s">
        <v>59</v>
      </c>
      <c r="E1241" s="4" t="s">
        <v>67</v>
      </c>
      <c r="F1241" s="4" t="s">
        <v>80</v>
      </c>
      <c r="G1241" s="4" t="s">
        <v>87</v>
      </c>
      <c r="H1241" s="4" t="s">
        <v>2808</v>
      </c>
      <c r="I1241" s="2" t="str">
        <f t="shared" si="95"/>
        <v>Dec</v>
      </c>
      <c r="J1241" s="2">
        <f t="shared" si="96"/>
        <v>12</v>
      </c>
      <c r="K1241" s="2">
        <f t="shared" si="97"/>
        <v>2024</v>
      </c>
      <c r="L1241" s="2">
        <f t="shared" si="98"/>
        <v>4</v>
      </c>
      <c r="M1241" s="4">
        <v>5</v>
      </c>
      <c r="N1241" s="4" t="s">
        <v>2947</v>
      </c>
      <c r="O1241" s="4" t="s">
        <v>62</v>
      </c>
      <c r="P1241" s="5">
        <v>145259</v>
      </c>
      <c r="Q1241" s="4"/>
      <c r="R1241" s="4"/>
      <c r="S1241" s="4" t="s">
        <v>5573</v>
      </c>
      <c r="T1241" s="4">
        <v>38.799999999999997</v>
      </c>
      <c r="U1241" s="4" t="s">
        <v>63</v>
      </c>
      <c r="V1241" s="4" t="s">
        <v>559</v>
      </c>
      <c r="W1241" s="67" t="str">
        <f t="shared" si="99"/>
        <v>-</v>
      </c>
    </row>
    <row r="1242" spans="1:23" x14ac:dyDescent="0.3">
      <c r="A1242" s="2" t="s">
        <v>3125</v>
      </c>
      <c r="B1242" s="2" t="s">
        <v>2549</v>
      </c>
      <c r="C1242" s="2">
        <v>9144758304</v>
      </c>
      <c r="D1242" s="2" t="s">
        <v>20</v>
      </c>
      <c r="E1242" s="2" t="s">
        <v>648</v>
      </c>
      <c r="F1242" s="2" t="s">
        <v>899</v>
      </c>
      <c r="G1242" s="2" t="s">
        <v>1599</v>
      </c>
      <c r="H1242" s="2" t="s">
        <v>2995</v>
      </c>
      <c r="I1242" s="2" t="str">
        <f t="shared" si="95"/>
        <v>Dec</v>
      </c>
      <c r="J1242" s="2">
        <f t="shared" si="96"/>
        <v>12</v>
      </c>
      <c r="K1242" s="2">
        <f t="shared" si="97"/>
        <v>2024</v>
      </c>
      <c r="L1242" s="2">
        <f t="shared" si="98"/>
        <v>4</v>
      </c>
      <c r="M1242" s="2">
        <v>2</v>
      </c>
      <c r="N1242" s="2" t="s">
        <v>2921</v>
      </c>
      <c r="O1242" s="2" t="s">
        <v>62</v>
      </c>
      <c r="P1242" s="3">
        <v>669827</v>
      </c>
      <c r="Q1242" s="2"/>
      <c r="R1242" s="2"/>
      <c r="S1242" s="2" t="s">
        <v>5573</v>
      </c>
      <c r="T1242" s="2">
        <v>25.5</v>
      </c>
      <c r="U1242" s="2" t="s">
        <v>47</v>
      </c>
      <c r="V1242" s="2" t="s">
        <v>48</v>
      </c>
      <c r="W1242" s="67" t="str">
        <f t="shared" si="99"/>
        <v>-</v>
      </c>
    </row>
    <row r="1243" spans="1:23" x14ac:dyDescent="0.3">
      <c r="A1243" s="8" t="s">
        <v>3126</v>
      </c>
      <c r="B1243" s="8" t="s">
        <v>3127</v>
      </c>
      <c r="C1243" s="8">
        <v>9214001826</v>
      </c>
      <c r="D1243" s="8" t="s">
        <v>51</v>
      </c>
      <c r="E1243" s="8" t="s">
        <v>41</v>
      </c>
      <c r="F1243" s="8" t="s">
        <v>151</v>
      </c>
      <c r="G1243" s="8" t="s">
        <v>69</v>
      </c>
      <c r="H1243" s="8" t="s">
        <v>2995</v>
      </c>
      <c r="I1243" s="2" t="str">
        <f t="shared" si="95"/>
        <v>Dec</v>
      </c>
      <c r="J1243" s="2">
        <f t="shared" si="96"/>
        <v>12</v>
      </c>
      <c r="K1243" s="2">
        <f t="shared" si="97"/>
        <v>2024</v>
      </c>
      <c r="L1243" s="2">
        <f t="shared" si="98"/>
        <v>4</v>
      </c>
      <c r="M1243" s="8">
        <v>4</v>
      </c>
      <c r="N1243" s="8" t="s">
        <v>3092</v>
      </c>
      <c r="O1243" s="8" t="s">
        <v>97</v>
      </c>
      <c r="P1243" s="9">
        <v>177432</v>
      </c>
      <c r="Q1243" s="9">
        <v>179972</v>
      </c>
      <c r="R1243" s="8" t="s">
        <v>3128</v>
      </c>
      <c r="S1243" s="8" t="s">
        <v>5573</v>
      </c>
      <c r="T1243" s="8">
        <v>29.6</v>
      </c>
      <c r="U1243" s="8" t="s">
        <v>63</v>
      </c>
      <c r="V1243" s="8" t="s">
        <v>907</v>
      </c>
      <c r="W1243" s="67" t="str">
        <f t="shared" si="99"/>
        <v>Architect</v>
      </c>
    </row>
    <row r="1244" spans="1:23" x14ac:dyDescent="0.3">
      <c r="A1244" s="6" t="s">
        <v>3129</v>
      </c>
      <c r="B1244" s="6" t="s">
        <v>1100</v>
      </c>
      <c r="C1244" s="6">
        <v>9151593244</v>
      </c>
      <c r="D1244" s="6" t="s">
        <v>20</v>
      </c>
      <c r="E1244" s="6" t="s">
        <v>1632</v>
      </c>
      <c r="F1244" s="6" t="s">
        <v>1849</v>
      </c>
      <c r="G1244" s="6" t="s">
        <v>643</v>
      </c>
      <c r="H1244" s="6" t="s">
        <v>3002</v>
      </c>
      <c r="I1244" s="2" t="str">
        <f t="shared" si="95"/>
        <v>Dec</v>
      </c>
      <c r="J1244" s="2">
        <f t="shared" si="96"/>
        <v>12</v>
      </c>
      <c r="K1244" s="2">
        <f t="shared" si="97"/>
        <v>2024</v>
      </c>
      <c r="L1244" s="2">
        <f t="shared" si="98"/>
        <v>4</v>
      </c>
      <c r="M1244" s="6">
        <v>0</v>
      </c>
      <c r="N1244" s="6" t="s">
        <v>2784</v>
      </c>
      <c r="O1244" s="6" t="s">
        <v>97</v>
      </c>
      <c r="P1244" s="7">
        <v>1107829</v>
      </c>
      <c r="Q1244" s="7">
        <v>1085309</v>
      </c>
      <c r="R1244" s="6" t="s">
        <v>2944</v>
      </c>
      <c r="S1244" s="6" t="s">
        <v>5573</v>
      </c>
      <c r="T1244" s="6">
        <v>44.3</v>
      </c>
      <c r="U1244" s="6" t="s">
        <v>63</v>
      </c>
      <c r="V1244" s="6" t="s">
        <v>341</v>
      </c>
      <c r="W1244" s="67" t="str">
        <f t="shared" si="99"/>
        <v>Customer</v>
      </c>
    </row>
    <row r="1245" spans="1:23" x14ac:dyDescent="0.3">
      <c r="A1245" s="4" t="s">
        <v>3130</v>
      </c>
      <c r="B1245" s="4" t="s">
        <v>1962</v>
      </c>
      <c r="C1245" s="4">
        <v>9169503511</v>
      </c>
      <c r="D1245" s="4" t="s">
        <v>59</v>
      </c>
      <c r="E1245" s="4" t="s">
        <v>41</v>
      </c>
      <c r="F1245" s="4" t="s">
        <v>151</v>
      </c>
      <c r="G1245" s="4" t="s">
        <v>23</v>
      </c>
      <c r="H1245" s="4" t="s">
        <v>3002</v>
      </c>
      <c r="I1245" s="2" t="str">
        <f t="shared" si="95"/>
        <v>Dec</v>
      </c>
      <c r="J1245" s="2">
        <f t="shared" si="96"/>
        <v>12</v>
      </c>
      <c r="K1245" s="2">
        <f t="shared" si="97"/>
        <v>2024</v>
      </c>
      <c r="L1245" s="2">
        <f t="shared" si="98"/>
        <v>4</v>
      </c>
      <c r="M1245" s="4">
        <v>1</v>
      </c>
      <c r="N1245" s="4" t="s">
        <v>2784</v>
      </c>
      <c r="O1245" s="4" t="s">
        <v>45</v>
      </c>
      <c r="P1245" s="5">
        <v>792875</v>
      </c>
      <c r="Q1245" s="4"/>
      <c r="R1245" s="4"/>
      <c r="S1245" s="4" t="s">
        <v>5573</v>
      </c>
      <c r="T1245" s="4">
        <v>31.9</v>
      </c>
      <c r="U1245" s="4" t="s">
        <v>63</v>
      </c>
      <c r="V1245" s="4" t="s">
        <v>335</v>
      </c>
      <c r="W1245" s="67" t="str">
        <f t="shared" si="99"/>
        <v>-</v>
      </c>
    </row>
    <row r="1246" spans="1:23" x14ac:dyDescent="0.3">
      <c r="A1246" s="8" t="s">
        <v>3131</v>
      </c>
      <c r="B1246" s="8" t="s">
        <v>3132</v>
      </c>
      <c r="C1246" s="8"/>
      <c r="D1246" s="8" t="s">
        <v>20</v>
      </c>
      <c r="E1246" s="8" t="s">
        <v>641</v>
      </c>
      <c r="F1246" s="8" t="s">
        <v>717</v>
      </c>
      <c r="G1246" s="8" t="s">
        <v>69</v>
      </c>
      <c r="H1246" s="8" t="s">
        <v>3002</v>
      </c>
      <c r="I1246" s="2" t="str">
        <f t="shared" si="95"/>
        <v>Dec</v>
      </c>
      <c r="J1246" s="2">
        <f t="shared" si="96"/>
        <v>12</v>
      </c>
      <c r="K1246" s="2">
        <f t="shared" si="97"/>
        <v>2024</v>
      </c>
      <c r="L1246" s="2">
        <f t="shared" si="98"/>
        <v>4</v>
      </c>
      <c r="M1246" s="8">
        <v>4</v>
      </c>
      <c r="N1246" s="8" t="s">
        <v>3012</v>
      </c>
      <c r="O1246" s="8" t="s">
        <v>27</v>
      </c>
      <c r="P1246" s="9">
        <v>207178</v>
      </c>
      <c r="Q1246" s="8"/>
      <c r="R1246" s="8"/>
      <c r="S1246" s="8" t="s">
        <v>5573</v>
      </c>
      <c r="T1246" s="8">
        <v>28.1</v>
      </c>
      <c r="U1246" s="8" t="s">
        <v>29</v>
      </c>
      <c r="V1246" s="8" t="s">
        <v>1169</v>
      </c>
      <c r="W1246" s="67" t="str">
        <f t="shared" si="99"/>
        <v>-</v>
      </c>
    </row>
    <row r="1247" spans="1:23" x14ac:dyDescent="0.3">
      <c r="A1247" s="4" t="s">
        <v>3133</v>
      </c>
      <c r="B1247" s="4" t="s">
        <v>3134</v>
      </c>
      <c r="C1247" s="4">
        <v>9336532420</v>
      </c>
      <c r="D1247" s="4" t="s">
        <v>108</v>
      </c>
      <c r="E1247" s="4" t="s">
        <v>1632</v>
      </c>
      <c r="F1247" s="4" t="s">
        <v>1633</v>
      </c>
      <c r="G1247" s="4" t="s">
        <v>1621</v>
      </c>
      <c r="H1247" s="4" t="s">
        <v>2963</v>
      </c>
      <c r="I1247" s="2" t="str">
        <f t="shared" si="95"/>
        <v>Dec</v>
      </c>
      <c r="J1247" s="2">
        <f t="shared" si="96"/>
        <v>12</v>
      </c>
      <c r="K1247" s="2">
        <f t="shared" si="97"/>
        <v>2024</v>
      </c>
      <c r="L1247" s="2">
        <f t="shared" si="98"/>
        <v>4</v>
      </c>
      <c r="M1247" s="4">
        <v>12</v>
      </c>
      <c r="N1247" s="4" t="s">
        <v>3135</v>
      </c>
      <c r="O1247" s="4" t="s">
        <v>27</v>
      </c>
      <c r="P1247" s="5">
        <v>483376</v>
      </c>
      <c r="Q1247" s="4"/>
      <c r="R1247" s="4"/>
      <c r="S1247" s="4" t="s">
        <v>5573</v>
      </c>
      <c r="T1247" s="4">
        <v>43</v>
      </c>
      <c r="U1247" s="4" t="s">
        <v>29</v>
      </c>
      <c r="V1247" s="4" t="s">
        <v>118</v>
      </c>
      <c r="W1247" s="67" t="str">
        <f t="shared" si="99"/>
        <v>-</v>
      </c>
    </row>
    <row r="1248" spans="1:23" x14ac:dyDescent="0.3">
      <c r="A1248" s="2" t="s">
        <v>3136</v>
      </c>
      <c r="B1248" s="2" t="s">
        <v>3137</v>
      </c>
      <c r="C1248" s="2">
        <v>9361861195</v>
      </c>
      <c r="D1248" s="2" t="s">
        <v>20</v>
      </c>
      <c r="E1248" s="2" t="s">
        <v>1632</v>
      </c>
      <c r="F1248" s="2" t="s">
        <v>1659</v>
      </c>
      <c r="G1248" s="2" t="s">
        <v>35</v>
      </c>
      <c r="H1248" s="2" t="s">
        <v>2963</v>
      </c>
      <c r="I1248" s="2" t="str">
        <f t="shared" si="95"/>
        <v>Dec</v>
      </c>
      <c r="J1248" s="2">
        <f t="shared" si="96"/>
        <v>12</v>
      </c>
      <c r="K1248" s="2">
        <f t="shared" si="97"/>
        <v>2024</v>
      </c>
      <c r="L1248" s="2">
        <f t="shared" si="98"/>
        <v>4</v>
      </c>
      <c r="M1248" s="2">
        <v>1</v>
      </c>
      <c r="N1248" s="2" t="s">
        <v>2852</v>
      </c>
      <c r="O1248" s="2" t="s">
        <v>45</v>
      </c>
      <c r="P1248" s="3">
        <v>165708</v>
      </c>
      <c r="Q1248" s="2"/>
      <c r="R1248" s="2"/>
      <c r="S1248" s="2" t="s">
        <v>5573</v>
      </c>
      <c r="T1248" s="2">
        <v>33.6</v>
      </c>
      <c r="U1248" s="2" t="s">
        <v>63</v>
      </c>
      <c r="V1248" s="2" t="s">
        <v>621</v>
      </c>
      <c r="W1248" s="67" t="str">
        <f t="shared" si="99"/>
        <v>-</v>
      </c>
    </row>
    <row r="1249" spans="1:23" x14ac:dyDescent="0.3">
      <c r="A1249" s="4" t="s">
        <v>3138</v>
      </c>
      <c r="B1249" s="4" t="s">
        <v>2952</v>
      </c>
      <c r="C1249" s="4">
        <v>9826812702</v>
      </c>
      <c r="D1249" s="4" t="s">
        <v>108</v>
      </c>
      <c r="E1249" s="4" t="s">
        <v>648</v>
      </c>
      <c r="F1249" s="4" t="s">
        <v>899</v>
      </c>
      <c r="G1249" s="4" t="s">
        <v>643</v>
      </c>
      <c r="H1249" s="4" t="s">
        <v>2963</v>
      </c>
      <c r="I1249" s="2" t="str">
        <f t="shared" si="95"/>
        <v>Dec</v>
      </c>
      <c r="J1249" s="2">
        <f t="shared" si="96"/>
        <v>12</v>
      </c>
      <c r="K1249" s="2">
        <f t="shared" si="97"/>
        <v>2024</v>
      </c>
      <c r="L1249" s="2">
        <f t="shared" si="98"/>
        <v>4</v>
      </c>
      <c r="M1249" s="4">
        <v>3</v>
      </c>
      <c r="N1249" s="4" t="s">
        <v>2932</v>
      </c>
      <c r="O1249" s="4" t="s">
        <v>62</v>
      </c>
      <c r="P1249" s="5">
        <v>995652</v>
      </c>
      <c r="Q1249" s="4"/>
      <c r="R1249" s="4"/>
      <c r="S1249" s="4" t="s">
        <v>5573</v>
      </c>
      <c r="T1249" s="4">
        <v>25.6</v>
      </c>
      <c r="U1249" s="4" t="s">
        <v>47</v>
      </c>
      <c r="V1249" s="4" t="s">
        <v>310</v>
      </c>
      <c r="W1249" s="67" t="str">
        <f t="shared" si="99"/>
        <v>-</v>
      </c>
    </row>
    <row r="1250" spans="1:23" x14ac:dyDescent="0.3">
      <c r="A1250" s="2" t="s">
        <v>3139</v>
      </c>
      <c r="B1250" s="2" t="s">
        <v>1637</v>
      </c>
      <c r="C1250" s="2">
        <v>9130441912</v>
      </c>
      <c r="D1250" s="2" t="s">
        <v>20</v>
      </c>
      <c r="E1250" s="2" t="s">
        <v>67</v>
      </c>
      <c r="F1250" s="2" t="s">
        <v>68</v>
      </c>
      <c r="G1250" s="2" t="s">
        <v>643</v>
      </c>
      <c r="H1250" s="2" t="s">
        <v>2963</v>
      </c>
      <c r="I1250" s="2" t="str">
        <f t="shared" si="95"/>
        <v>Dec</v>
      </c>
      <c r="J1250" s="2">
        <f t="shared" si="96"/>
        <v>12</v>
      </c>
      <c r="K1250" s="2">
        <f t="shared" si="97"/>
        <v>2024</v>
      </c>
      <c r="L1250" s="2">
        <f t="shared" si="98"/>
        <v>4</v>
      </c>
      <c r="M1250" s="2">
        <v>6</v>
      </c>
      <c r="N1250" s="2" t="s">
        <v>3128</v>
      </c>
      <c r="O1250" s="2" t="s">
        <v>27</v>
      </c>
      <c r="P1250" s="3">
        <v>1128667</v>
      </c>
      <c r="Q1250" s="2"/>
      <c r="R1250" s="2"/>
      <c r="S1250" s="2" t="s">
        <v>5573</v>
      </c>
      <c r="T1250" s="2">
        <v>13.6</v>
      </c>
      <c r="U1250" s="2" t="s">
        <v>29</v>
      </c>
      <c r="V1250" s="2" t="s">
        <v>30</v>
      </c>
      <c r="W1250" s="67" t="str">
        <f t="shared" si="99"/>
        <v>-</v>
      </c>
    </row>
    <row r="1251" spans="1:23" x14ac:dyDescent="0.3">
      <c r="A1251" s="4" t="s">
        <v>3140</v>
      </c>
      <c r="B1251" s="4" t="s">
        <v>3141</v>
      </c>
      <c r="C1251" s="4">
        <v>9464959908</v>
      </c>
      <c r="D1251" s="4" t="s">
        <v>59</v>
      </c>
      <c r="E1251" s="4" t="s">
        <v>641</v>
      </c>
      <c r="F1251" s="4" t="s">
        <v>727</v>
      </c>
      <c r="G1251" s="4" t="s">
        <v>643</v>
      </c>
      <c r="H1251" s="4" t="s">
        <v>2895</v>
      </c>
      <c r="I1251" s="2" t="str">
        <f t="shared" si="95"/>
        <v>Dec</v>
      </c>
      <c r="J1251" s="2">
        <f t="shared" si="96"/>
        <v>12</v>
      </c>
      <c r="K1251" s="2">
        <f t="shared" si="97"/>
        <v>2024</v>
      </c>
      <c r="L1251" s="2">
        <f t="shared" si="98"/>
        <v>4</v>
      </c>
      <c r="M1251" s="4">
        <v>3</v>
      </c>
      <c r="N1251" s="4" t="s">
        <v>2784</v>
      </c>
      <c r="O1251" s="4" t="s">
        <v>27</v>
      </c>
      <c r="P1251" s="5">
        <v>1181992</v>
      </c>
      <c r="Q1251" s="4"/>
      <c r="R1251" s="4"/>
      <c r="S1251" s="4" t="s">
        <v>5573</v>
      </c>
      <c r="T1251" s="4">
        <v>37.4</v>
      </c>
      <c r="U1251" s="4" t="s">
        <v>29</v>
      </c>
      <c r="V1251" s="4"/>
      <c r="W1251" s="67" t="str">
        <f t="shared" si="99"/>
        <v>-</v>
      </c>
    </row>
    <row r="1252" spans="1:23" x14ac:dyDescent="0.3">
      <c r="A1252" s="8" t="s">
        <v>3142</v>
      </c>
      <c r="B1252" s="8" t="s">
        <v>3143</v>
      </c>
      <c r="C1252" s="8">
        <v>9522955609</v>
      </c>
      <c r="D1252" s="8" t="s">
        <v>20</v>
      </c>
      <c r="E1252" s="8" t="s">
        <v>648</v>
      </c>
      <c r="F1252" s="8" t="s">
        <v>656</v>
      </c>
      <c r="G1252" s="8" t="s">
        <v>1609</v>
      </c>
      <c r="H1252" s="8" t="s">
        <v>2895</v>
      </c>
      <c r="I1252" s="2" t="str">
        <f t="shared" si="95"/>
        <v>Dec</v>
      </c>
      <c r="J1252" s="2">
        <f t="shared" si="96"/>
        <v>12</v>
      </c>
      <c r="K1252" s="2">
        <f t="shared" si="97"/>
        <v>2024</v>
      </c>
      <c r="L1252" s="2">
        <f t="shared" si="98"/>
        <v>4</v>
      </c>
      <c r="M1252" s="8">
        <v>6</v>
      </c>
      <c r="N1252" s="8" t="s">
        <v>2861</v>
      </c>
      <c r="O1252" s="8" t="s">
        <v>45</v>
      </c>
      <c r="P1252" s="9">
        <v>375105</v>
      </c>
      <c r="Q1252" s="8"/>
      <c r="R1252" s="8"/>
      <c r="S1252" s="8" t="s">
        <v>5573</v>
      </c>
      <c r="T1252" s="8">
        <v>30.8</v>
      </c>
      <c r="U1252" s="8" t="s">
        <v>47</v>
      </c>
      <c r="V1252" s="8" t="s">
        <v>310</v>
      </c>
      <c r="W1252" s="67" t="str">
        <f t="shared" si="99"/>
        <v>-</v>
      </c>
    </row>
    <row r="1253" spans="1:23" x14ac:dyDescent="0.3">
      <c r="A1253" s="4" t="s">
        <v>3144</v>
      </c>
      <c r="B1253" s="4" t="s">
        <v>2747</v>
      </c>
      <c r="C1253" s="4">
        <v>9721162257</v>
      </c>
      <c r="D1253" s="4" t="s">
        <v>59</v>
      </c>
      <c r="E1253" s="4" t="s">
        <v>109</v>
      </c>
      <c r="F1253" s="4" t="s">
        <v>331</v>
      </c>
      <c r="G1253" s="4" t="s">
        <v>69</v>
      </c>
      <c r="H1253" s="4" t="s">
        <v>3105</v>
      </c>
      <c r="I1253" s="2" t="str">
        <f t="shared" si="95"/>
        <v>Dec</v>
      </c>
      <c r="J1253" s="2">
        <f t="shared" si="96"/>
        <v>12</v>
      </c>
      <c r="K1253" s="2">
        <f t="shared" si="97"/>
        <v>2024</v>
      </c>
      <c r="L1253" s="2">
        <f t="shared" si="98"/>
        <v>4</v>
      </c>
      <c r="M1253" s="4">
        <v>3</v>
      </c>
      <c r="N1253" s="4" t="s">
        <v>2861</v>
      </c>
      <c r="O1253" s="4" t="s">
        <v>27</v>
      </c>
      <c r="P1253" s="5">
        <v>100049</v>
      </c>
      <c r="Q1253" s="4"/>
      <c r="R1253" s="4"/>
      <c r="S1253" s="4" t="s">
        <v>5573</v>
      </c>
      <c r="T1253" s="4">
        <v>8</v>
      </c>
      <c r="U1253" s="4" t="s">
        <v>29</v>
      </c>
      <c r="V1253" s="4" t="s">
        <v>105</v>
      </c>
      <c r="W1253" s="67" t="str">
        <f t="shared" si="99"/>
        <v>-</v>
      </c>
    </row>
    <row r="1254" spans="1:23" x14ac:dyDescent="0.3">
      <c r="A1254" s="2" t="s">
        <v>3145</v>
      </c>
      <c r="B1254" s="2" t="s">
        <v>1225</v>
      </c>
      <c r="C1254" s="2">
        <v>9376303961</v>
      </c>
      <c r="D1254" s="2" t="s">
        <v>59</v>
      </c>
      <c r="E1254" s="2" t="s">
        <v>109</v>
      </c>
      <c r="F1254" s="2" t="s">
        <v>217</v>
      </c>
      <c r="G1254" s="2" t="s">
        <v>643</v>
      </c>
      <c r="H1254" s="2" t="s">
        <v>3105</v>
      </c>
      <c r="I1254" s="2" t="str">
        <f t="shared" si="95"/>
        <v>Dec</v>
      </c>
      <c r="J1254" s="2">
        <f t="shared" si="96"/>
        <v>12</v>
      </c>
      <c r="K1254" s="2">
        <f t="shared" si="97"/>
        <v>2024</v>
      </c>
      <c r="L1254" s="2">
        <f t="shared" si="98"/>
        <v>4</v>
      </c>
      <c r="M1254" s="2">
        <v>11</v>
      </c>
      <c r="N1254" s="2" t="s">
        <v>3146</v>
      </c>
      <c r="O1254" s="2" t="s">
        <v>27</v>
      </c>
      <c r="P1254" s="3">
        <v>925932</v>
      </c>
      <c r="Q1254" s="2"/>
      <c r="R1254" s="2"/>
      <c r="S1254" s="2" t="s">
        <v>5573</v>
      </c>
      <c r="T1254" s="2">
        <v>18.600000000000001</v>
      </c>
      <c r="U1254" s="2" t="s">
        <v>29</v>
      </c>
      <c r="V1254" s="2" t="s">
        <v>123</v>
      </c>
      <c r="W1254" s="67" t="str">
        <f t="shared" si="99"/>
        <v>-</v>
      </c>
    </row>
    <row r="1255" spans="1:23" x14ac:dyDescent="0.3">
      <c r="A1255" s="8" t="s">
        <v>3147</v>
      </c>
      <c r="B1255" s="8" t="s">
        <v>3148</v>
      </c>
      <c r="C1255" s="8"/>
      <c r="D1255" s="8" t="s">
        <v>51</v>
      </c>
      <c r="E1255" s="8" t="s">
        <v>641</v>
      </c>
      <c r="F1255" s="8" t="s">
        <v>642</v>
      </c>
      <c r="G1255" s="8" t="s">
        <v>23</v>
      </c>
      <c r="H1255" s="8" t="s">
        <v>2863</v>
      </c>
      <c r="I1255" s="2" t="str">
        <f t="shared" si="95"/>
        <v>Dec</v>
      </c>
      <c r="J1255" s="2">
        <f t="shared" si="96"/>
        <v>12</v>
      </c>
      <c r="K1255" s="2">
        <f t="shared" si="97"/>
        <v>2024</v>
      </c>
      <c r="L1255" s="2">
        <f t="shared" si="98"/>
        <v>4</v>
      </c>
      <c r="M1255" s="8">
        <v>0</v>
      </c>
      <c r="N1255" s="8" t="s">
        <v>2784</v>
      </c>
      <c r="O1255" s="8" t="s">
        <v>27</v>
      </c>
      <c r="P1255" s="9">
        <v>579620</v>
      </c>
      <c r="Q1255" s="8"/>
      <c r="R1255" s="8"/>
      <c r="S1255" s="8" t="s">
        <v>5573</v>
      </c>
      <c r="T1255" s="8">
        <v>25</v>
      </c>
      <c r="U1255" s="8" t="s">
        <v>29</v>
      </c>
      <c r="V1255" s="8" t="s">
        <v>2595</v>
      </c>
      <c r="W1255" s="67" t="str">
        <f t="shared" si="99"/>
        <v>-</v>
      </c>
    </row>
    <row r="1256" spans="1:23" x14ac:dyDescent="0.3">
      <c r="A1256" s="2" t="s">
        <v>3149</v>
      </c>
      <c r="B1256" s="2" t="s">
        <v>3150</v>
      </c>
      <c r="C1256" s="2">
        <v>9927799366</v>
      </c>
      <c r="D1256" s="2" t="s">
        <v>59</v>
      </c>
      <c r="E1256" s="2" t="s">
        <v>41</v>
      </c>
      <c r="F1256" s="2" t="s">
        <v>92</v>
      </c>
      <c r="G1256" s="2" t="s">
        <v>23</v>
      </c>
      <c r="H1256" s="2" t="s">
        <v>2863</v>
      </c>
      <c r="I1256" s="2" t="str">
        <f t="shared" si="95"/>
        <v>Dec</v>
      </c>
      <c r="J1256" s="2">
        <f t="shared" si="96"/>
        <v>12</v>
      </c>
      <c r="K1256" s="2">
        <f t="shared" si="97"/>
        <v>2024</v>
      </c>
      <c r="L1256" s="2">
        <f t="shared" si="98"/>
        <v>4</v>
      </c>
      <c r="M1256" s="2">
        <v>5</v>
      </c>
      <c r="N1256" s="2" t="s">
        <v>3053</v>
      </c>
      <c r="O1256" s="2" t="s">
        <v>27</v>
      </c>
      <c r="P1256" s="3">
        <v>624846</v>
      </c>
      <c r="Q1256" s="2"/>
      <c r="R1256" s="2"/>
      <c r="S1256" s="2" t="s">
        <v>5573</v>
      </c>
      <c r="T1256" s="2">
        <v>31.9</v>
      </c>
      <c r="U1256" s="2" t="s">
        <v>29</v>
      </c>
      <c r="V1256" s="2" t="s">
        <v>105</v>
      </c>
      <c r="W1256" s="67" t="str">
        <f t="shared" si="99"/>
        <v>-</v>
      </c>
    </row>
    <row r="1257" spans="1:23" x14ac:dyDescent="0.3">
      <c r="A1257" s="4" t="s">
        <v>3151</v>
      </c>
      <c r="B1257" s="4" t="s">
        <v>1571</v>
      </c>
      <c r="C1257" s="4">
        <v>9221004954</v>
      </c>
      <c r="D1257" s="4" t="s">
        <v>20</v>
      </c>
      <c r="E1257" s="4" t="s">
        <v>1632</v>
      </c>
      <c r="F1257" s="4" t="s">
        <v>1717</v>
      </c>
      <c r="G1257" s="4" t="s">
        <v>52</v>
      </c>
      <c r="H1257" s="4" t="s">
        <v>2860</v>
      </c>
      <c r="I1257" s="2" t="str">
        <f t="shared" si="95"/>
        <v>Dec</v>
      </c>
      <c r="J1257" s="2">
        <f t="shared" si="96"/>
        <v>12</v>
      </c>
      <c r="K1257" s="2">
        <f t="shared" si="97"/>
        <v>2024</v>
      </c>
      <c r="L1257" s="2">
        <f t="shared" si="98"/>
        <v>4</v>
      </c>
      <c r="M1257" s="4">
        <v>5</v>
      </c>
      <c r="N1257" s="4" t="s">
        <v>2864</v>
      </c>
      <c r="O1257" s="4" t="s">
        <v>62</v>
      </c>
      <c r="P1257" s="5">
        <v>511124</v>
      </c>
      <c r="Q1257" s="4"/>
      <c r="R1257" s="4"/>
      <c r="S1257" s="4" t="s">
        <v>5573</v>
      </c>
      <c r="T1257" s="4">
        <v>30.4</v>
      </c>
      <c r="U1257" s="4" t="s">
        <v>63</v>
      </c>
      <c r="V1257" s="4" t="s">
        <v>535</v>
      </c>
      <c r="W1257" s="67" t="str">
        <f t="shared" si="99"/>
        <v>-</v>
      </c>
    </row>
    <row r="1258" spans="1:23" x14ac:dyDescent="0.3">
      <c r="A1258" s="6" t="s">
        <v>3152</v>
      </c>
      <c r="B1258" s="6" t="s">
        <v>1590</v>
      </c>
      <c r="C1258" s="6">
        <v>9192729088</v>
      </c>
      <c r="D1258" s="6" t="s">
        <v>59</v>
      </c>
      <c r="E1258" s="6" t="s">
        <v>41</v>
      </c>
      <c r="F1258" s="6" t="s">
        <v>86</v>
      </c>
      <c r="G1258" s="6" t="s">
        <v>616</v>
      </c>
      <c r="H1258" s="6" t="s">
        <v>2860</v>
      </c>
      <c r="I1258" s="2" t="str">
        <f t="shared" si="95"/>
        <v>Dec</v>
      </c>
      <c r="J1258" s="2">
        <f t="shared" si="96"/>
        <v>12</v>
      </c>
      <c r="K1258" s="2">
        <f t="shared" si="97"/>
        <v>2024</v>
      </c>
      <c r="L1258" s="2">
        <f t="shared" si="98"/>
        <v>4</v>
      </c>
      <c r="M1258" s="6">
        <v>11</v>
      </c>
      <c r="N1258" s="6" t="s">
        <v>3146</v>
      </c>
      <c r="O1258" s="6" t="s">
        <v>97</v>
      </c>
      <c r="P1258" s="7">
        <v>293754</v>
      </c>
      <c r="Q1258" s="7">
        <v>277433</v>
      </c>
      <c r="R1258" s="6" t="s">
        <v>3103</v>
      </c>
      <c r="S1258" s="6" t="s">
        <v>5573</v>
      </c>
      <c r="T1258" s="6">
        <v>1.1000000000000001</v>
      </c>
      <c r="U1258" s="6" t="s">
        <v>63</v>
      </c>
      <c r="V1258" s="6" t="s">
        <v>243</v>
      </c>
      <c r="W1258" s="67" t="str">
        <f t="shared" si="99"/>
        <v>Customer</v>
      </c>
    </row>
    <row r="1259" spans="1:23" x14ac:dyDescent="0.3">
      <c r="A1259" s="4" t="s">
        <v>3153</v>
      </c>
      <c r="B1259" s="4" t="s">
        <v>1571</v>
      </c>
      <c r="C1259" s="4">
        <v>9221004954</v>
      </c>
      <c r="D1259" s="4" t="s">
        <v>108</v>
      </c>
      <c r="E1259" s="4" t="s">
        <v>1632</v>
      </c>
      <c r="F1259" s="4" t="s">
        <v>1717</v>
      </c>
      <c r="G1259" s="4" t="s">
        <v>52</v>
      </c>
      <c r="H1259" s="4" t="s">
        <v>2860</v>
      </c>
      <c r="I1259" s="2" t="str">
        <f t="shared" si="95"/>
        <v>Dec</v>
      </c>
      <c r="J1259" s="2">
        <f t="shared" si="96"/>
        <v>12</v>
      </c>
      <c r="K1259" s="2">
        <f t="shared" si="97"/>
        <v>2024</v>
      </c>
      <c r="L1259" s="2">
        <f t="shared" si="98"/>
        <v>4</v>
      </c>
      <c r="M1259" s="4">
        <v>5</v>
      </c>
      <c r="N1259" s="4" t="s">
        <v>2864</v>
      </c>
      <c r="O1259" s="4" t="s">
        <v>62</v>
      </c>
      <c r="P1259" s="5">
        <v>407729</v>
      </c>
      <c r="Q1259" s="4"/>
      <c r="R1259" s="4"/>
      <c r="S1259" s="4" t="s">
        <v>5573</v>
      </c>
      <c r="T1259" s="4">
        <v>30.4</v>
      </c>
      <c r="U1259" s="4" t="s">
        <v>63</v>
      </c>
      <c r="V1259" s="4" t="s">
        <v>535</v>
      </c>
      <c r="W1259" s="67" t="str">
        <f t="shared" si="99"/>
        <v>-</v>
      </c>
    </row>
    <row r="1260" spans="1:23" x14ac:dyDescent="0.3">
      <c r="A1260" s="8" t="s">
        <v>3154</v>
      </c>
      <c r="B1260" s="8" t="s">
        <v>3155</v>
      </c>
      <c r="C1260" s="8">
        <v>9333077596</v>
      </c>
      <c r="D1260" s="8" t="s">
        <v>51</v>
      </c>
      <c r="E1260" s="8" t="s">
        <v>41</v>
      </c>
      <c r="F1260" s="8" t="s">
        <v>151</v>
      </c>
      <c r="G1260" s="8" t="s">
        <v>60</v>
      </c>
      <c r="H1260" s="8" t="s">
        <v>2831</v>
      </c>
      <c r="I1260" s="2" t="str">
        <f t="shared" si="95"/>
        <v>Dec</v>
      </c>
      <c r="J1260" s="2">
        <f t="shared" si="96"/>
        <v>12</v>
      </c>
      <c r="K1260" s="2">
        <f t="shared" si="97"/>
        <v>2024</v>
      </c>
      <c r="L1260" s="2">
        <f t="shared" si="98"/>
        <v>4</v>
      </c>
      <c r="M1260" s="8">
        <v>3</v>
      </c>
      <c r="N1260" s="8" t="s">
        <v>3020</v>
      </c>
      <c r="O1260" s="8" t="s">
        <v>27</v>
      </c>
      <c r="P1260" s="9">
        <v>81438</v>
      </c>
      <c r="Q1260" s="8"/>
      <c r="R1260" s="8"/>
      <c r="S1260" s="8" t="s">
        <v>5573</v>
      </c>
      <c r="T1260" s="8">
        <v>3.7</v>
      </c>
      <c r="U1260" s="8" t="s">
        <v>29</v>
      </c>
      <c r="V1260" s="8" t="s">
        <v>202</v>
      </c>
      <c r="W1260" s="67" t="str">
        <f t="shared" si="99"/>
        <v>-</v>
      </c>
    </row>
    <row r="1261" spans="1:23" x14ac:dyDescent="0.3">
      <c r="A1261" s="8" t="s">
        <v>3156</v>
      </c>
      <c r="B1261" s="8" t="s">
        <v>3157</v>
      </c>
      <c r="C1261" s="8"/>
      <c r="D1261" s="8" t="s">
        <v>121</v>
      </c>
      <c r="E1261" s="8" t="s">
        <v>1632</v>
      </c>
      <c r="F1261" s="8" t="s">
        <v>1682</v>
      </c>
      <c r="G1261" s="8" t="s">
        <v>1621</v>
      </c>
      <c r="H1261" s="8" t="s">
        <v>2831</v>
      </c>
      <c r="I1261" s="2" t="str">
        <f t="shared" si="95"/>
        <v>Dec</v>
      </c>
      <c r="J1261" s="2">
        <f t="shared" si="96"/>
        <v>12</v>
      </c>
      <c r="K1261" s="2">
        <f t="shared" si="97"/>
        <v>2024</v>
      </c>
      <c r="L1261" s="2">
        <f t="shared" si="98"/>
        <v>4</v>
      </c>
      <c r="M1261" s="8">
        <v>10</v>
      </c>
      <c r="N1261" s="8" t="s">
        <v>3158</v>
      </c>
      <c r="O1261" s="8" t="s">
        <v>27</v>
      </c>
      <c r="P1261" s="9">
        <v>412832</v>
      </c>
      <c r="Q1261" s="8"/>
      <c r="R1261" s="8"/>
      <c r="S1261" s="8" t="s">
        <v>5573</v>
      </c>
      <c r="T1261" s="8">
        <v>20.7</v>
      </c>
      <c r="U1261" s="8" t="s">
        <v>29</v>
      </c>
      <c r="V1261" s="8" t="s">
        <v>1776</v>
      </c>
      <c r="W1261" s="67" t="str">
        <f t="shared" si="99"/>
        <v>-</v>
      </c>
    </row>
    <row r="1262" spans="1:23" x14ac:dyDescent="0.3">
      <c r="A1262" s="6" t="s">
        <v>3159</v>
      </c>
      <c r="B1262" s="6" t="s">
        <v>3160</v>
      </c>
      <c r="C1262" s="6">
        <v>9332727080</v>
      </c>
      <c r="D1262" s="6" t="s">
        <v>59</v>
      </c>
      <c r="E1262" s="6" t="s">
        <v>1632</v>
      </c>
      <c r="F1262" s="6" t="s">
        <v>1659</v>
      </c>
      <c r="G1262" s="6" t="s">
        <v>23</v>
      </c>
      <c r="H1262" s="6" t="s">
        <v>2956</v>
      </c>
      <c r="I1262" s="2" t="str">
        <f t="shared" si="95"/>
        <v>Dec</v>
      </c>
      <c r="J1262" s="2">
        <f t="shared" si="96"/>
        <v>12</v>
      </c>
      <c r="K1262" s="2">
        <f t="shared" si="97"/>
        <v>2024</v>
      </c>
      <c r="L1262" s="2">
        <f t="shared" si="98"/>
        <v>4</v>
      </c>
      <c r="M1262" s="6">
        <v>7</v>
      </c>
      <c r="N1262" s="6" t="s">
        <v>3112</v>
      </c>
      <c r="O1262" s="6" t="s">
        <v>97</v>
      </c>
      <c r="P1262" s="7">
        <v>696669</v>
      </c>
      <c r="Q1262" s="7">
        <v>628702</v>
      </c>
      <c r="R1262" s="6" t="s">
        <v>3161</v>
      </c>
      <c r="S1262" s="6" t="s">
        <v>5573</v>
      </c>
      <c r="T1262" s="6">
        <v>5.6</v>
      </c>
      <c r="U1262" s="6" t="s">
        <v>63</v>
      </c>
      <c r="V1262" s="6" t="s">
        <v>170</v>
      </c>
      <c r="W1262" s="67" t="str">
        <f t="shared" si="99"/>
        <v>Customer</v>
      </c>
    </row>
    <row r="1263" spans="1:23" x14ac:dyDescent="0.3">
      <c r="A1263" s="4" t="s">
        <v>3162</v>
      </c>
      <c r="B1263" s="4" t="s">
        <v>1629</v>
      </c>
      <c r="C1263" s="4">
        <v>9952848491</v>
      </c>
      <c r="D1263" s="4" t="s">
        <v>59</v>
      </c>
      <c r="E1263" s="4" t="s">
        <v>67</v>
      </c>
      <c r="F1263" s="4" t="s">
        <v>68</v>
      </c>
      <c r="G1263" s="4" t="s">
        <v>23</v>
      </c>
      <c r="H1263" s="4" t="s">
        <v>2956</v>
      </c>
      <c r="I1263" s="2" t="str">
        <f t="shared" si="95"/>
        <v>Dec</v>
      </c>
      <c r="J1263" s="2">
        <f t="shared" si="96"/>
        <v>12</v>
      </c>
      <c r="K1263" s="2">
        <f t="shared" si="97"/>
        <v>2024</v>
      </c>
      <c r="L1263" s="2">
        <f t="shared" si="98"/>
        <v>4</v>
      </c>
      <c r="M1263" s="4">
        <v>6</v>
      </c>
      <c r="N1263" s="4" t="s">
        <v>3018</v>
      </c>
      <c r="O1263" s="4" t="s">
        <v>45</v>
      </c>
      <c r="P1263" s="5">
        <v>573281</v>
      </c>
      <c r="Q1263" s="4"/>
      <c r="R1263" s="4"/>
      <c r="S1263" s="4" t="s">
        <v>5573</v>
      </c>
      <c r="T1263" s="4">
        <v>1.4</v>
      </c>
      <c r="U1263" s="4" t="s">
        <v>47</v>
      </c>
      <c r="V1263" s="4" t="s">
        <v>381</v>
      </c>
      <c r="W1263" s="67" t="str">
        <f t="shared" si="99"/>
        <v>-</v>
      </c>
    </row>
    <row r="1264" spans="1:23" x14ac:dyDescent="0.3">
      <c r="A1264" s="2" t="s">
        <v>3163</v>
      </c>
      <c r="B1264" s="2" t="s">
        <v>3164</v>
      </c>
      <c r="C1264" s="2">
        <v>9814071368</v>
      </c>
      <c r="D1264" s="2" t="s">
        <v>59</v>
      </c>
      <c r="E1264" s="2" t="s">
        <v>41</v>
      </c>
      <c r="F1264" s="2" t="s">
        <v>92</v>
      </c>
      <c r="G1264" s="2" t="s">
        <v>1621</v>
      </c>
      <c r="H1264" s="2" t="s">
        <v>2956</v>
      </c>
      <c r="I1264" s="2" t="str">
        <f t="shared" si="95"/>
        <v>Dec</v>
      </c>
      <c r="J1264" s="2">
        <f t="shared" si="96"/>
        <v>12</v>
      </c>
      <c r="K1264" s="2">
        <f t="shared" si="97"/>
        <v>2024</v>
      </c>
      <c r="L1264" s="2">
        <f t="shared" si="98"/>
        <v>4</v>
      </c>
      <c r="M1264" s="2">
        <v>1</v>
      </c>
      <c r="N1264" s="2" t="s">
        <v>3020</v>
      </c>
      <c r="O1264" s="2" t="s">
        <v>27</v>
      </c>
      <c r="P1264" s="3">
        <v>294865</v>
      </c>
      <c r="Q1264" s="2"/>
      <c r="R1264" s="2"/>
      <c r="S1264" s="2" t="s">
        <v>5573</v>
      </c>
      <c r="T1264" s="2">
        <v>24.7</v>
      </c>
      <c r="U1264" s="2" t="s">
        <v>29</v>
      </c>
      <c r="V1264" s="2" t="s">
        <v>105</v>
      </c>
      <c r="W1264" s="67" t="str">
        <f t="shared" si="99"/>
        <v>-</v>
      </c>
    </row>
    <row r="1265" spans="1:23" x14ac:dyDescent="0.3">
      <c r="A1265" s="4" t="s">
        <v>3165</v>
      </c>
      <c r="B1265" s="4" t="s">
        <v>3166</v>
      </c>
      <c r="C1265" s="4">
        <v>9117263380</v>
      </c>
      <c r="D1265" s="4" t="s">
        <v>59</v>
      </c>
      <c r="E1265" s="4" t="s">
        <v>1632</v>
      </c>
      <c r="F1265" s="4" t="s">
        <v>1633</v>
      </c>
      <c r="G1265" s="4" t="s">
        <v>35</v>
      </c>
      <c r="H1265" s="4" t="s">
        <v>2956</v>
      </c>
      <c r="I1265" s="2" t="str">
        <f t="shared" si="95"/>
        <v>Dec</v>
      </c>
      <c r="J1265" s="2">
        <f t="shared" si="96"/>
        <v>12</v>
      </c>
      <c r="K1265" s="2">
        <f t="shared" si="97"/>
        <v>2024</v>
      </c>
      <c r="L1265" s="2">
        <f t="shared" si="98"/>
        <v>4</v>
      </c>
      <c r="M1265" s="4">
        <v>3</v>
      </c>
      <c r="N1265" s="4" t="s">
        <v>3020</v>
      </c>
      <c r="O1265" s="4" t="s">
        <v>45</v>
      </c>
      <c r="P1265" s="5">
        <v>194784</v>
      </c>
      <c r="Q1265" s="4"/>
      <c r="R1265" s="4"/>
      <c r="S1265" s="4" t="s">
        <v>5573</v>
      </c>
      <c r="T1265" s="4">
        <v>33</v>
      </c>
      <c r="U1265" s="4" t="s">
        <v>47</v>
      </c>
      <c r="V1265" s="4" t="s">
        <v>381</v>
      </c>
      <c r="W1265" s="67" t="str">
        <f t="shared" si="99"/>
        <v>-</v>
      </c>
    </row>
    <row r="1266" spans="1:23" x14ac:dyDescent="0.3">
      <c r="A1266" s="6" t="s">
        <v>3167</v>
      </c>
      <c r="B1266" s="6" t="s">
        <v>1801</v>
      </c>
      <c r="C1266" s="6">
        <v>9755072728</v>
      </c>
      <c r="D1266" s="6" t="s">
        <v>108</v>
      </c>
      <c r="E1266" s="6" t="s">
        <v>41</v>
      </c>
      <c r="F1266" s="6" t="s">
        <v>86</v>
      </c>
      <c r="G1266" s="6" t="s">
        <v>616</v>
      </c>
      <c r="H1266" s="6" t="s">
        <v>2821</v>
      </c>
      <c r="I1266" s="2" t="str">
        <f t="shared" si="95"/>
        <v>Dec</v>
      </c>
      <c r="J1266" s="2">
        <f t="shared" si="96"/>
        <v>12</v>
      </c>
      <c r="K1266" s="2">
        <f t="shared" si="97"/>
        <v>2024</v>
      </c>
      <c r="L1266" s="2">
        <f t="shared" si="98"/>
        <v>4</v>
      </c>
      <c r="M1266" s="6">
        <v>8</v>
      </c>
      <c r="N1266" s="6" t="s">
        <v>3102</v>
      </c>
      <c r="O1266" s="6" t="s">
        <v>97</v>
      </c>
      <c r="P1266" s="7">
        <v>248085</v>
      </c>
      <c r="Q1266" s="7">
        <v>245970</v>
      </c>
      <c r="R1266" s="6" t="s">
        <v>3168</v>
      </c>
      <c r="S1266" s="6" t="s">
        <v>5573</v>
      </c>
      <c r="T1266" s="6">
        <v>25.7</v>
      </c>
      <c r="U1266" s="6" t="s">
        <v>63</v>
      </c>
      <c r="V1266" s="6" t="s">
        <v>243</v>
      </c>
      <c r="W1266" s="67" t="str">
        <f t="shared" si="99"/>
        <v>Customer</v>
      </c>
    </row>
    <row r="1267" spans="1:23" x14ac:dyDescent="0.3">
      <c r="A1267" s="4" t="s">
        <v>3169</v>
      </c>
      <c r="B1267" s="4" t="s">
        <v>1429</v>
      </c>
      <c r="C1267" s="4"/>
      <c r="D1267" s="4" t="s">
        <v>59</v>
      </c>
      <c r="E1267" s="4" t="s">
        <v>1632</v>
      </c>
      <c r="F1267" s="4" t="s">
        <v>1682</v>
      </c>
      <c r="G1267" s="4" t="s">
        <v>643</v>
      </c>
      <c r="H1267" s="4" t="s">
        <v>2821</v>
      </c>
      <c r="I1267" s="2" t="str">
        <f t="shared" si="95"/>
        <v>Dec</v>
      </c>
      <c r="J1267" s="2">
        <f t="shared" si="96"/>
        <v>12</v>
      </c>
      <c r="K1267" s="2">
        <f t="shared" si="97"/>
        <v>2024</v>
      </c>
      <c r="L1267" s="2">
        <f t="shared" si="98"/>
        <v>4</v>
      </c>
      <c r="M1267" s="4">
        <v>8</v>
      </c>
      <c r="N1267" s="4" t="s">
        <v>3082</v>
      </c>
      <c r="O1267" s="4" t="s">
        <v>55</v>
      </c>
      <c r="P1267" s="5">
        <v>1338850</v>
      </c>
      <c r="Q1267" s="4"/>
      <c r="R1267" s="4"/>
      <c r="S1267" s="4" t="s">
        <v>5573</v>
      </c>
      <c r="T1267" s="4">
        <v>10.3</v>
      </c>
      <c r="U1267" s="4" t="s">
        <v>29</v>
      </c>
      <c r="V1267" s="4" t="s">
        <v>1685</v>
      </c>
      <c r="W1267" s="67" t="str">
        <f t="shared" si="99"/>
        <v>-</v>
      </c>
    </row>
    <row r="1268" spans="1:23" x14ac:dyDescent="0.3">
      <c r="A1268" s="8" t="s">
        <v>3170</v>
      </c>
      <c r="B1268" s="8" t="s">
        <v>3171</v>
      </c>
      <c r="C1268" s="8">
        <v>9161902389</v>
      </c>
      <c r="D1268" s="8" t="s">
        <v>20</v>
      </c>
      <c r="E1268" s="8" t="s">
        <v>1632</v>
      </c>
      <c r="F1268" s="8" t="s">
        <v>1659</v>
      </c>
      <c r="G1268" s="8" t="s">
        <v>60</v>
      </c>
      <c r="H1268" s="8" t="s">
        <v>2821</v>
      </c>
      <c r="I1268" s="2" t="str">
        <f t="shared" si="95"/>
        <v>Dec</v>
      </c>
      <c r="J1268" s="2">
        <f t="shared" si="96"/>
        <v>12</v>
      </c>
      <c r="K1268" s="2">
        <f t="shared" si="97"/>
        <v>2024</v>
      </c>
      <c r="L1268" s="2">
        <f t="shared" si="98"/>
        <v>4</v>
      </c>
      <c r="M1268" s="8">
        <v>1</v>
      </c>
      <c r="N1268" s="8" t="s">
        <v>3006</v>
      </c>
      <c r="O1268" s="8" t="s">
        <v>62</v>
      </c>
      <c r="P1268" s="9">
        <v>75024</v>
      </c>
      <c r="Q1268" s="8"/>
      <c r="R1268" s="8"/>
      <c r="S1268" s="8" t="s">
        <v>5573</v>
      </c>
      <c r="T1268" s="8">
        <v>7.8</v>
      </c>
      <c r="U1268" s="8" t="s">
        <v>47</v>
      </c>
      <c r="V1268" s="8" t="s">
        <v>487</v>
      </c>
      <c r="W1268" s="67" t="str">
        <f t="shared" si="99"/>
        <v>-</v>
      </c>
    </row>
    <row r="1269" spans="1:23" x14ac:dyDescent="0.3">
      <c r="A1269" s="4" t="s">
        <v>3172</v>
      </c>
      <c r="B1269" s="4" t="s">
        <v>1859</v>
      </c>
      <c r="C1269" s="4">
        <v>9736203800</v>
      </c>
      <c r="D1269" s="4" t="s">
        <v>51</v>
      </c>
      <c r="E1269" s="4" t="s">
        <v>641</v>
      </c>
      <c r="F1269" s="4" t="s">
        <v>727</v>
      </c>
      <c r="G1269" s="4" t="s">
        <v>52</v>
      </c>
      <c r="H1269" s="4" t="s">
        <v>2821</v>
      </c>
      <c r="I1269" s="2" t="str">
        <f t="shared" si="95"/>
        <v>Dec</v>
      </c>
      <c r="J1269" s="2">
        <f t="shared" si="96"/>
        <v>12</v>
      </c>
      <c r="K1269" s="2">
        <f t="shared" si="97"/>
        <v>2024</v>
      </c>
      <c r="L1269" s="2">
        <f t="shared" si="98"/>
        <v>4</v>
      </c>
      <c r="M1269" s="4">
        <v>3</v>
      </c>
      <c r="N1269" s="4" t="s">
        <v>2970</v>
      </c>
      <c r="O1269" s="4" t="s">
        <v>27</v>
      </c>
      <c r="P1269" s="5">
        <v>448060</v>
      </c>
      <c r="Q1269" s="4"/>
      <c r="R1269" s="4"/>
      <c r="S1269" s="4" t="s">
        <v>5573</v>
      </c>
      <c r="T1269" s="4">
        <v>33</v>
      </c>
      <c r="U1269" s="4" t="s">
        <v>29</v>
      </c>
      <c r="V1269" s="4"/>
      <c r="W1269" s="67" t="str">
        <f t="shared" si="99"/>
        <v>-</v>
      </c>
    </row>
    <row r="1270" spans="1:23" x14ac:dyDescent="0.3">
      <c r="A1270" s="6" t="s">
        <v>3173</v>
      </c>
      <c r="B1270" s="6" t="s">
        <v>2810</v>
      </c>
      <c r="C1270" s="6">
        <v>9336942857</v>
      </c>
      <c r="D1270" s="6" t="s">
        <v>59</v>
      </c>
      <c r="E1270" s="6" t="s">
        <v>109</v>
      </c>
      <c r="F1270" s="6" t="s">
        <v>110</v>
      </c>
      <c r="G1270" s="6" t="s">
        <v>69</v>
      </c>
      <c r="H1270" s="6" t="s">
        <v>3042</v>
      </c>
      <c r="I1270" s="2" t="str">
        <f t="shared" si="95"/>
        <v>Dec</v>
      </c>
      <c r="J1270" s="2">
        <f t="shared" si="96"/>
        <v>12</v>
      </c>
      <c r="K1270" s="2">
        <f t="shared" si="97"/>
        <v>2024</v>
      </c>
      <c r="L1270" s="2">
        <f t="shared" si="98"/>
        <v>4</v>
      </c>
      <c r="M1270" s="6">
        <v>2</v>
      </c>
      <c r="N1270" s="6" t="s">
        <v>3006</v>
      </c>
      <c r="O1270" s="6" t="s">
        <v>97</v>
      </c>
      <c r="P1270" s="7">
        <v>338207</v>
      </c>
      <c r="Q1270" s="7">
        <v>323612</v>
      </c>
      <c r="R1270" s="6" t="s">
        <v>3057</v>
      </c>
      <c r="S1270" s="6" t="s">
        <v>5573</v>
      </c>
      <c r="T1270" s="6">
        <v>28.5</v>
      </c>
      <c r="U1270" s="6" t="s">
        <v>63</v>
      </c>
      <c r="V1270" s="6" t="s">
        <v>170</v>
      </c>
      <c r="W1270" s="67" t="str">
        <f t="shared" si="99"/>
        <v>Customer</v>
      </c>
    </row>
    <row r="1271" spans="1:23" x14ac:dyDescent="0.3">
      <c r="A1271" s="4" t="s">
        <v>3174</v>
      </c>
      <c r="B1271" s="4" t="s">
        <v>3175</v>
      </c>
      <c r="C1271" s="4"/>
      <c r="D1271" s="4" t="s">
        <v>59</v>
      </c>
      <c r="E1271" s="4" t="s">
        <v>641</v>
      </c>
      <c r="F1271" s="4" t="s">
        <v>717</v>
      </c>
      <c r="G1271" s="4" t="s">
        <v>616</v>
      </c>
      <c r="H1271" s="4" t="s">
        <v>2784</v>
      </c>
      <c r="I1271" s="2" t="str">
        <f t="shared" si="95"/>
        <v>Dec</v>
      </c>
      <c r="J1271" s="2">
        <f t="shared" si="96"/>
        <v>12</v>
      </c>
      <c r="K1271" s="2">
        <f t="shared" si="97"/>
        <v>2024</v>
      </c>
      <c r="L1271" s="2">
        <f t="shared" si="98"/>
        <v>4</v>
      </c>
      <c r="M1271" s="4">
        <v>1</v>
      </c>
      <c r="N1271" s="4" t="s">
        <v>2836</v>
      </c>
      <c r="O1271" s="4" t="s">
        <v>27</v>
      </c>
      <c r="P1271" s="5">
        <v>223254</v>
      </c>
      <c r="Q1271" s="4"/>
      <c r="R1271" s="4"/>
      <c r="S1271" s="4" t="s">
        <v>5573</v>
      </c>
      <c r="T1271" s="4">
        <v>42.2</v>
      </c>
      <c r="U1271" s="4" t="s">
        <v>29</v>
      </c>
      <c r="V1271" s="4" t="s">
        <v>2595</v>
      </c>
      <c r="W1271" s="67" t="str">
        <f t="shared" si="99"/>
        <v>-</v>
      </c>
    </row>
    <row r="1272" spans="1:23" x14ac:dyDescent="0.3">
      <c r="A1272" s="8" t="s">
        <v>3176</v>
      </c>
      <c r="B1272" s="8" t="s">
        <v>3177</v>
      </c>
      <c r="C1272" s="8">
        <v>9460313580</v>
      </c>
      <c r="D1272" s="8" t="s">
        <v>20</v>
      </c>
      <c r="E1272" s="8" t="s">
        <v>1632</v>
      </c>
      <c r="F1272" s="8" t="s">
        <v>1633</v>
      </c>
      <c r="G1272" s="8" t="s">
        <v>1599</v>
      </c>
      <c r="H1272" s="8" t="s">
        <v>2784</v>
      </c>
      <c r="I1272" s="2" t="str">
        <f t="shared" si="95"/>
        <v>Dec</v>
      </c>
      <c r="J1272" s="2">
        <f t="shared" si="96"/>
        <v>12</v>
      </c>
      <c r="K1272" s="2">
        <f t="shared" si="97"/>
        <v>2024</v>
      </c>
      <c r="L1272" s="2">
        <f t="shared" si="98"/>
        <v>4</v>
      </c>
      <c r="M1272" s="8">
        <v>11</v>
      </c>
      <c r="N1272" s="8" t="s">
        <v>3178</v>
      </c>
      <c r="O1272" s="8" t="s">
        <v>97</v>
      </c>
      <c r="P1272" s="9">
        <v>903023</v>
      </c>
      <c r="Q1272" s="9">
        <v>810685</v>
      </c>
      <c r="R1272" s="8" t="s">
        <v>3179</v>
      </c>
      <c r="S1272" s="8" t="s">
        <v>5573</v>
      </c>
      <c r="T1272" s="8">
        <v>29.4</v>
      </c>
      <c r="U1272" s="8" t="s">
        <v>63</v>
      </c>
      <c r="V1272" s="8"/>
      <c r="W1272" s="67" t="str">
        <f t="shared" si="99"/>
        <v>Customer</v>
      </c>
    </row>
    <row r="1273" spans="1:23" x14ac:dyDescent="0.3">
      <c r="A1273" s="6" t="s">
        <v>3180</v>
      </c>
      <c r="B1273" s="6" t="s">
        <v>3181</v>
      </c>
      <c r="C1273" s="6">
        <v>9524587460</v>
      </c>
      <c r="D1273" s="6" t="s">
        <v>51</v>
      </c>
      <c r="E1273" s="6" t="s">
        <v>33</v>
      </c>
      <c r="F1273" s="6" t="s">
        <v>34</v>
      </c>
      <c r="G1273" s="6" t="s">
        <v>616</v>
      </c>
      <c r="H1273" s="6" t="s">
        <v>2784</v>
      </c>
      <c r="I1273" s="2" t="str">
        <f t="shared" si="95"/>
        <v>Dec</v>
      </c>
      <c r="J1273" s="2">
        <f t="shared" si="96"/>
        <v>12</v>
      </c>
      <c r="K1273" s="2">
        <f t="shared" si="97"/>
        <v>2024</v>
      </c>
      <c r="L1273" s="2">
        <f t="shared" si="98"/>
        <v>4</v>
      </c>
      <c r="M1273" s="6">
        <v>5</v>
      </c>
      <c r="N1273" s="6" t="s">
        <v>3120</v>
      </c>
      <c r="O1273" s="6" t="s">
        <v>97</v>
      </c>
      <c r="P1273" s="7">
        <v>113037</v>
      </c>
      <c r="Q1273" s="7">
        <v>111993</v>
      </c>
      <c r="R1273" s="6" t="s">
        <v>3182</v>
      </c>
      <c r="S1273" s="6" t="s">
        <v>5573</v>
      </c>
      <c r="T1273" s="6">
        <v>13.4</v>
      </c>
      <c r="U1273" s="6" t="s">
        <v>63</v>
      </c>
      <c r="V1273" s="6" t="s">
        <v>286</v>
      </c>
      <c r="W1273" s="67" t="str">
        <f t="shared" si="99"/>
        <v>Customer</v>
      </c>
    </row>
    <row r="1274" spans="1:23" x14ac:dyDescent="0.3">
      <c r="A1274" s="2" t="s">
        <v>3183</v>
      </c>
      <c r="B1274" s="2" t="s">
        <v>2866</v>
      </c>
      <c r="C1274" s="2">
        <v>9531348942</v>
      </c>
      <c r="D1274" s="2" t="s">
        <v>59</v>
      </c>
      <c r="E1274" s="2" t="s">
        <v>21</v>
      </c>
      <c r="F1274" s="2" t="s">
        <v>22</v>
      </c>
      <c r="G1274" s="2" t="s">
        <v>1623</v>
      </c>
      <c r="H1274" s="2" t="s">
        <v>2784</v>
      </c>
      <c r="I1274" s="2" t="str">
        <f t="shared" si="95"/>
        <v>Dec</v>
      </c>
      <c r="J1274" s="2">
        <f t="shared" si="96"/>
        <v>12</v>
      </c>
      <c r="K1274" s="2">
        <f t="shared" si="97"/>
        <v>2024</v>
      </c>
      <c r="L1274" s="2">
        <f t="shared" si="98"/>
        <v>4</v>
      </c>
      <c r="M1274" s="2">
        <v>5</v>
      </c>
      <c r="N1274" s="2" t="s">
        <v>3184</v>
      </c>
      <c r="O1274" s="2" t="s">
        <v>62</v>
      </c>
      <c r="P1274" s="3">
        <v>211554</v>
      </c>
      <c r="Q1274" s="2"/>
      <c r="R1274" s="2"/>
      <c r="S1274" s="2" t="s">
        <v>5573</v>
      </c>
      <c r="T1274" s="2">
        <v>21</v>
      </c>
      <c r="U1274" s="2" t="s">
        <v>63</v>
      </c>
      <c r="V1274" s="2" t="s">
        <v>621</v>
      </c>
      <c r="W1274" s="67" t="str">
        <f t="shared" si="99"/>
        <v>-</v>
      </c>
    </row>
    <row r="1275" spans="1:23" x14ac:dyDescent="0.3">
      <c r="A1275" s="6" t="s">
        <v>3185</v>
      </c>
      <c r="B1275" s="6" t="s">
        <v>3186</v>
      </c>
      <c r="C1275" s="6">
        <v>9945527551</v>
      </c>
      <c r="D1275" s="6" t="s">
        <v>59</v>
      </c>
      <c r="E1275" s="6" t="s">
        <v>109</v>
      </c>
      <c r="F1275" s="6" t="s">
        <v>110</v>
      </c>
      <c r="G1275" s="6" t="s">
        <v>643</v>
      </c>
      <c r="H1275" s="6" t="s">
        <v>2784</v>
      </c>
      <c r="I1275" s="2" t="str">
        <f t="shared" si="95"/>
        <v>Dec</v>
      </c>
      <c r="J1275" s="2">
        <f t="shared" si="96"/>
        <v>12</v>
      </c>
      <c r="K1275" s="2">
        <f t="shared" si="97"/>
        <v>2024</v>
      </c>
      <c r="L1275" s="2">
        <f t="shared" si="98"/>
        <v>4</v>
      </c>
      <c r="M1275" s="6">
        <v>3</v>
      </c>
      <c r="N1275" s="6" t="s">
        <v>3082</v>
      </c>
      <c r="O1275" s="6" t="s">
        <v>97</v>
      </c>
      <c r="P1275" s="7">
        <v>892548</v>
      </c>
      <c r="Q1275" s="7">
        <v>812928</v>
      </c>
      <c r="R1275" s="6" t="s">
        <v>3112</v>
      </c>
      <c r="S1275" s="6" t="s">
        <v>5573</v>
      </c>
      <c r="T1275" s="6">
        <v>3.2</v>
      </c>
      <c r="U1275" s="6" t="s">
        <v>47</v>
      </c>
      <c r="V1275" s="6" t="s">
        <v>341</v>
      </c>
      <c r="W1275" s="67" t="str">
        <f t="shared" si="99"/>
        <v>Customer</v>
      </c>
    </row>
    <row r="1276" spans="1:23" x14ac:dyDescent="0.3">
      <c r="A1276" s="2" t="s">
        <v>3187</v>
      </c>
      <c r="B1276" s="2" t="s">
        <v>2086</v>
      </c>
      <c r="C1276" s="2">
        <v>9116833364</v>
      </c>
      <c r="D1276" s="2" t="s">
        <v>20</v>
      </c>
      <c r="E1276" s="2" t="s">
        <v>41</v>
      </c>
      <c r="F1276" s="2" t="s">
        <v>92</v>
      </c>
      <c r="G1276" s="2" t="s">
        <v>52</v>
      </c>
      <c r="H1276" s="2" t="s">
        <v>2784</v>
      </c>
      <c r="I1276" s="2" t="str">
        <f t="shared" si="95"/>
        <v>Dec</v>
      </c>
      <c r="J1276" s="2">
        <f t="shared" si="96"/>
        <v>12</v>
      </c>
      <c r="K1276" s="2">
        <f t="shared" si="97"/>
        <v>2024</v>
      </c>
      <c r="L1276" s="2">
        <f t="shared" si="98"/>
        <v>4</v>
      </c>
      <c r="M1276" s="2">
        <v>6</v>
      </c>
      <c r="N1276" s="2" t="s">
        <v>3184</v>
      </c>
      <c r="O1276" s="2" t="s">
        <v>27</v>
      </c>
      <c r="P1276" s="3">
        <v>443665</v>
      </c>
      <c r="Q1276" s="2"/>
      <c r="R1276" s="2"/>
      <c r="S1276" s="2" t="s">
        <v>5573</v>
      </c>
      <c r="T1276" s="2">
        <v>8.6</v>
      </c>
      <c r="U1276" s="2" t="s">
        <v>29</v>
      </c>
      <c r="V1276" s="2" t="s">
        <v>38</v>
      </c>
      <c r="W1276" s="67" t="str">
        <f t="shared" si="99"/>
        <v>-</v>
      </c>
    </row>
    <row r="1277" spans="1:23" x14ac:dyDescent="0.3">
      <c r="A1277" s="6" t="s">
        <v>3188</v>
      </c>
      <c r="B1277" s="6" t="s">
        <v>779</v>
      </c>
      <c r="C1277" s="6">
        <v>9760391005</v>
      </c>
      <c r="D1277" s="6" t="s">
        <v>20</v>
      </c>
      <c r="E1277" s="6" t="s">
        <v>73</v>
      </c>
      <c r="F1277" s="6" t="s">
        <v>74</v>
      </c>
      <c r="G1277" s="6" t="s">
        <v>1599</v>
      </c>
      <c r="H1277" s="6" t="s">
        <v>2784</v>
      </c>
      <c r="I1277" s="2" t="str">
        <f t="shared" si="95"/>
        <v>Dec</v>
      </c>
      <c r="J1277" s="2">
        <f t="shared" si="96"/>
        <v>12</v>
      </c>
      <c r="K1277" s="2">
        <f t="shared" si="97"/>
        <v>2024</v>
      </c>
      <c r="L1277" s="2">
        <f t="shared" si="98"/>
        <v>4</v>
      </c>
      <c r="M1277" s="6">
        <v>1</v>
      </c>
      <c r="N1277" s="6" t="s">
        <v>3189</v>
      </c>
      <c r="O1277" s="6" t="s">
        <v>97</v>
      </c>
      <c r="P1277" s="7">
        <v>625644</v>
      </c>
      <c r="Q1277" s="7">
        <v>587463</v>
      </c>
      <c r="R1277" s="6" t="s">
        <v>3190</v>
      </c>
      <c r="S1277" s="6" t="s">
        <v>5573</v>
      </c>
      <c r="T1277" s="6">
        <v>30.5</v>
      </c>
      <c r="U1277" s="6" t="s">
        <v>63</v>
      </c>
      <c r="V1277" s="6" t="s">
        <v>99</v>
      </c>
      <c r="W1277" s="67" t="str">
        <f t="shared" si="99"/>
        <v>Customer</v>
      </c>
    </row>
    <row r="1278" spans="1:23" x14ac:dyDescent="0.3">
      <c r="A1278" s="6" t="s">
        <v>3191</v>
      </c>
      <c r="B1278" s="6" t="s">
        <v>3192</v>
      </c>
      <c r="C1278" s="6">
        <v>9111115679</v>
      </c>
      <c r="D1278" s="6" t="s">
        <v>59</v>
      </c>
      <c r="E1278" s="6" t="s">
        <v>1632</v>
      </c>
      <c r="F1278" s="6" t="s">
        <v>1633</v>
      </c>
      <c r="G1278" s="6" t="s">
        <v>643</v>
      </c>
      <c r="H1278" s="6" t="s">
        <v>2852</v>
      </c>
      <c r="I1278" s="2" t="str">
        <f t="shared" si="95"/>
        <v>Dec</v>
      </c>
      <c r="J1278" s="2">
        <f t="shared" si="96"/>
        <v>12</v>
      </c>
      <c r="K1278" s="2">
        <f t="shared" si="97"/>
        <v>2024</v>
      </c>
      <c r="L1278" s="2">
        <f t="shared" si="98"/>
        <v>4</v>
      </c>
      <c r="M1278" s="6">
        <v>5</v>
      </c>
      <c r="N1278" s="6" t="s">
        <v>3193</v>
      </c>
      <c r="O1278" s="6" t="s">
        <v>97</v>
      </c>
      <c r="P1278" s="7">
        <v>688608</v>
      </c>
      <c r="Q1278" s="7">
        <v>704339</v>
      </c>
      <c r="R1278" s="6" t="s">
        <v>3194</v>
      </c>
      <c r="S1278" s="6" t="s">
        <v>5573</v>
      </c>
      <c r="T1278" s="6">
        <v>30.1</v>
      </c>
      <c r="U1278" s="6" t="s">
        <v>63</v>
      </c>
      <c r="V1278" s="6" t="s">
        <v>483</v>
      </c>
      <c r="W1278" s="67" t="str">
        <f t="shared" si="99"/>
        <v>Customer</v>
      </c>
    </row>
    <row r="1279" spans="1:23" x14ac:dyDescent="0.3">
      <c r="A1279" s="4" t="s">
        <v>3195</v>
      </c>
      <c r="B1279" s="4" t="s">
        <v>3196</v>
      </c>
      <c r="C1279" s="4">
        <v>9772230652</v>
      </c>
      <c r="D1279" s="4" t="s">
        <v>20</v>
      </c>
      <c r="E1279" s="4" t="s">
        <v>67</v>
      </c>
      <c r="F1279" s="4" t="s">
        <v>68</v>
      </c>
      <c r="G1279" s="4" t="s">
        <v>1609</v>
      </c>
      <c r="H1279" s="4" t="s">
        <v>2953</v>
      </c>
      <c r="I1279" s="2" t="str">
        <f t="shared" si="95"/>
        <v>Dec</v>
      </c>
      <c r="J1279" s="2">
        <f t="shared" si="96"/>
        <v>12</v>
      </c>
      <c r="K1279" s="2">
        <f t="shared" si="97"/>
        <v>2024</v>
      </c>
      <c r="L1279" s="2">
        <f t="shared" si="98"/>
        <v>4</v>
      </c>
      <c r="M1279" s="4">
        <v>2</v>
      </c>
      <c r="N1279" s="4" t="s">
        <v>3006</v>
      </c>
      <c r="O1279" s="4" t="s">
        <v>27</v>
      </c>
      <c r="P1279" s="5">
        <v>369479</v>
      </c>
      <c r="Q1279" s="4"/>
      <c r="R1279" s="4"/>
      <c r="S1279" s="4" t="s">
        <v>5573</v>
      </c>
      <c r="T1279" s="4">
        <v>30.4</v>
      </c>
      <c r="U1279" s="4" t="s">
        <v>29</v>
      </c>
      <c r="V1279" s="4" t="s">
        <v>38</v>
      </c>
      <c r="W1279" s="67" t="str">
        <f t="shared" si="99"/>
        <v>-</v>
      </c>
    </row>
    <row r="1280" spans="1:23" x14ac:dyDescent="0.3">
      <c r="A1280" s="6" t="s">
        <v>3197</v>
      </c>
      <c r="B1280" s="6" t="s">
        <v>615</v>
      </c>
      <c r="C1280" s="6">
        <v>9631346703</v>
      </c>
      <c r="D1280" s="6" t="s">
        <v>108</v>
      </c>
      <c r="E1280" s="6" t="s">
        <v>67</v>
      </c>
      <c r="F1280" s="6" t="s">
        <v>68</v>
      </c>
      <c r="G1280" s="6" t="s">
        <v>87</v>
      </c>
      <c r="H1280" s="6" t="s">
        <v>2944</v>
      </c>
      <c r="I1280" s="2" t="str">
        <f t="shared" si="95"/>
        <v>Dec</v>
      </c>
      <c r="J1280" s="2">
        <f t="shared" si="96"/>
        <v>12</v>
      </c>
      <c r="K1280" s="2">
        <f t="shared" si="97"/>
        <v>2024</v>
      </c>
      <c r="L1280" s="2">
        <f t="shared" si="98"/>
        <v>4</v>
      </c>
      <c r="M1280" s="6">
        <v>10</v>
      </c>
      <c r="N1280" s="6" t="s">
        <v>3198</v>
      </c>
      <c r="O1280" s="6" t="s">
        <v>97</v>
      </c>
      <c r="P1280" s="7">
        <v>63513</v>
      </c>
      <c r="Q1280" s="7">
        <v>58744</v>
      </c>
      <c r="R1280" s="6" t="s">
        <v>3194</v>
      </c>
      <c r="S1280" s="6" t="s">
        <v>5573</v>
      </c>
      <c r="T1280" s="6">
        <v>30.8</v>
      </c>
      <c r="U1280" s="6" t="s">
        <v>63</v>
      </c>
      <c r="V1280" s="6"/>
      <c r="W1280" s="67" t="str">
        <f t="shared" si="99"/>
        <v>Customer</v>
      </c>
    </row>
    <row r="1281" spans="1:23" x14ac:dyDescent="0.3">
      <c r="A1281" s="6" t="s">
        <v>3199</v>
      </c>
      <c r="B1281" s="6" t="s">
        <v>3200</v>
      </c>
      <c r="C1281" s="6">
        <v>9938279315</v>
      </c>
      <c r="D1281" s="6" t="s">
        <v>121</v>
      </c>
      <c r="E1281" s="6" t="s">
        <v>641</v>
      </c>
      <c r="F1281" s="6" t="s">
        <v>642</v>
      </c>
      <c r="G1281" s="6" t="s">
        <v>35</v>
      </c>
      <c r="H1281" s="6" t="s">
        <v>3012</v>
      </c>
      <c r="I1281" s="2" t="str">
        <f t="shared" si="95"/>
        <v>Dec</v>
      </c>
      <c r="J1281" s="2">
        <f t="shared" si="96"/>
        <v>12</v>
      </c>
      <c r="K1281" s="2">
        <f t="shared" si="97"/>
        <v>2024</v>
      </c>
      <c r="L1281" s="2">
        <f t="shared" si="98"/>
        <v>4</v>
      </c>
      <c r="M1281" s="6">
        <v>1</v>
      </c>
      <c r="N1281" s="6" t="s">
        <v>3120</v>
      </c>
      <c r="O1281" s="6" t="s">
        <v>97</v>
      </c>
      <c r="P1281" s="7">
        <v>285013</v>
      </c>
      <c r="Q1281" s="7">
        <v>288269</v>
      </c>
      <c r="R1281" s="6" t="s">
        <v>3057</v>
      </c>
      <c r="S1281" s="6" t="s">
        <v>5573</v>
      </c>
      <c r="T1281" s="6">
        <v>2.2000000000000002</v>
      </c>
      <c r="U1281" s="6" t="s">
        <v>63</v>
      </c>
      <c r="V1281" s="6"/>
      <c r="W1281" s="67" t="str">
        <f t="shared" si="99"/>
        <v>Customer</v>
      </c>
    </row>
    <row r="1282" spans="1:23" x14ac:dyDescent="0.3">
      <c r="A1282" s="6" t="s">
        <v>3201</v>
      </c>
      <c r="B1282" s="6" t="s">
        <v>3202</v>
      </c>
      <c r="C1282" s="6">
        <v>9277366002</v>
      </c>
      <c r="D1282" s="6" t="s">
        <v>108</v>
      </c>
      <c r="E1282" s="6" t="s">
        <v>1632</v>
      </c>
      <c r="F1282" s="6" t="s">
        <v>1682</v>
      </c>
      <c r="G1282" s="6" t="s">
        <v>69</v>
      </c>
      <c r="H1282" s="6" t="s">
        <v>3012</v>
      </c>
      <c r="I1282" s="2" t="str">
        <f t="shared" ref="I1282:I1345" si="100">TEXT(H1282,"mmm")</f>
        <v>Dec</v>
      </c>
      <c r="J1282" s="2">
        <f t="shared" ref="J1282:J1345" si="101">MONTH(H1282)</f>
        <v>12</v>
      </c>
      <c r="K1282" s="2">
        <f t="shared" ref="K1282:K1345" si="102">YEAR(H1282)</f>
        <v>2024</v>
      </c>
      <c r="L1282" s="2">
        <f t="shared" ref="L1282:L1345" si="103">ROUNDUP(MONTH(H1282)/3,0)</f>
        <v>4</v>
      </c>
      <c r="M1282" s="6">
        <v>11</v>
      </c>
      <c r="N1282" s="6" t="s">
        <v>3203</v>
      </c>
      <c r="O1282" s="6" t="s">
        <v>97</v>
      </c>
      <c r="P1282" s="7">
        <v>365821</v>
      </c>
      <c r="Q1282" s="7">
        <v>362163</v>
      </c>
      <c r="R1282" s="6" t="s">
        <v>3073</v>
      </c>
      <c r="S1282" s="6" t="s">
        <v>5573</v>
      </c>
      <c r="T1282" s="6">
        <v>38.6</v>
      </c>
      <c r="U1282" s="6" t="s">
        <v>63</v>
      </c>
      <c r="V1282" s="6" t="s">
        <v>483</v>
      </c>
      <c r="W1282" s="67" t="str">
        <f t="shared" ref="W1282:W1345" si="104">IF($O1282&lt;&gt;"Converted","-",IF(ISNUMBER(SEARCH("Architect",$F1282)),"Architect","Customer"))</f>
        <v>Customer</v>
      </c>
    </row>
    <row r="1283" spans="1:23" x14ac:dyDescent="0.3">
      <c r="A1283" s="4" t="s">
        <v>3204</v>
      </c>
      <c r="B1283" s="4" t="s">
        <v>3205</v>
      </c>
      <c r="C1283" s="4">
        <v>9465960428</v>
      </c>
      <c r="D1283" s="4" t="s">
        <v>121</v>
      </c>
      <c r="E1283" s="4" t="s">
        <v>109</v>
      </c>
      <c r="F1283" s="4" t="s">
        <v>217</v>
      </c>
      <c r="G1283" s="4" t="s">
        <v>52</v>
      </c>
      <c r="H1283" s="4" t="s">
        <v>3012</v>
      </c>
      <c r="I1283" s="2" t="str">
        <f t="shared" si="100"/>
        <v>Dec</v>
      </c>
      <c r="J1283" s="2">
        <f t="shared" si="101"/>
        <v>12</v>
      </c>
      <c r="K1283" s="2">
        <f t="shared" si="102"/>
        <v>2024</v>
      </c>
      <c r="L1283" s="2">
        <f t="shared" si="103"/>
        <v>4</v>
      </c>
      <c r="M1283" s="4">
        <v>6</v>
      </c>
      <c r="N1283" s="4" t="s">
        <v>3198</v>
      </c>
      <c r="O1283" s="4" t="s">
        <v>45</v>
      </c>
      <c r="P1283" s="5">
        <v>162279</v>
      </c>
      <c r="Q1283" s="4"/>
      <c r="R1283" s="4"/>
      <c r="S1283" s="4" t="s">
        <v>5573</v>
      </c>
      <c r="T1283" s="4">
        <v>27</v>
      </c>
      <c r="U1283" s="4" t="s">
        <v>47</v>
      </c>
      <c r="V1283" s="4"/>
      <c r="W1283" s="67" t="str">
        <f t="shared" si="104"/>
        <v>-</v>
      </c>
    </row>
    <row r="1284" spans="1:23" x14ac:dyDescent="0.3">
      <c r="A1284" s="2" t="s">
        <v>3206</v>
      </c>
      <c r="B1284" s="2" t="s">
        <v>3207</v>
      </c>
      <c r="C1284" s="2">
        <v>9439005882</v>
      </c>
      <c r="D1284" s="2" t="s">
        <v>121</v>
      </c>
      <c r="E1284" s="2" t="s">
        <v>21</v>
      </c>
      <c r="F1284" s="2" t="s">
        <v>22</v>
      </c>
      <c r="G1284" s="2" t="s">
        <v>616</v>
      </c>
      <c r="H1284" s="2" t="s">
        <v>2947</v>
      </c>
      <c r="I1284" s="2" t="str">
        <f t="shared" si="100"/>
        <v>Dec</v>
      </c>
      <c r="J1284" s="2">
        <f t="shared" si="101"/>
        <v>12</v>
      </c>
      <c r="K1284" s="2">
        <f t="shared" si="102"/>
        <v>2024</v>
      </c>
      <c r="L1284" s="2">
        <f t="shared" si="103"/>
        <v>4</v>
      </c>
      <c r="M1284" s="2">
        <v>9</v>
      </c>
      <c r="N1284" s="2" t="s">
        <v>3032</v>
      </c>
      <c r="O1284" s="2" t="s">
        <v>45</v>
      </c>
      <c r="P1284" s="3">
        <v>292597</v>
      </c>
      <c r="Q1284" s="2"/>
      <c r="R1284" s="2"/>
      <c r="S1284" s="2" t="s">
        <v>5573</v>
      </c>
      <c r="T1284" s="2">
        <v>43</v>
      </c>
      <c r="U1284" s="2" t="s">
        <v>47</v>
      </c>
      <c r="V1284" s="2" t="s">
        <v>174</v>
      </c>
      <c r="W1284" s="67" t="str">
        <f t="shared" si="104"/>
        <v>-</v>
      </c>
    </row>
    <row r="1285" spans="1:23" x14ac:dyDescent="0.3">
      <c r="A1285" s="8" t="s">
        <v>3208</v>
      </c>
      <c r="B1285" s="8" t="s">
        <v>3209</v>
      </c>
      <c r="C1285" s="8">
        <v>9311667113</v>
      </c>
      <c r="D1285" s="8" t="s">
        <v>108</v>
      </c>
      <c r="E1285" s="8" t="s">
        <v>73</v>
      </c>
      <c r="F1285" s="8" t="s">
        <v>74</v>
      </c>
      <c r="G1285" s="8" t="s">
        <v>1735</v>
      </c>
      <c r="H1285" s="8" t="s">
        <v>2947</v>
      </c>
      <c r="I1285" s="2" t="str">
        <f t="shared" si="100"/>
        <v>Dec</v>
      </c>
      <c r="J1285" s="2">
        <f t="shared" si="101"/>
        <v>12</v>
      </c>
      <c r="K1285" s="2">
        <f t="shared" si="102"/>
        <v>2024</v>
      </c>
      <c r="L1285" s="2">
        <f t="shared" si="103"/>
        <v>4</v>
      </c>
      <c r="M1285" s="8">
        <v>5</v>
      </c>
      <c r="N1285" s="8" t="s">
        <v>3120</v>
      </c>
      <c r="O1285" s="8" t="s">
        <v>97</v>
      </c>
      <c r="P1285" s="9">
        <v>1824516</v>
      </c>
      <c r="Q1285" s="9">
        <v>1624777</v>
      </c>
      <c r="R1285" s="8" t="s">
        <v>3108</v>
      </c>
      <c r="S1285" s="8" t="s">
        <v>5573</v>
      </c>
      <c r="T1285" s="8">
        <v>44.5</v>
      </c>
      <c r="U1285" s="8" t="s">
        <v>63</v>
      </c>
      <c r="V1285" s="8"/>
      <c r="W1285" s="67" t="str">
        <f t="shared" si="104"/>
        <v>Customer</v>
      </c>
    </row>
    <row r="1286" spans="1:23" x14ac:dyDescent="0.3">
      <c r="A1286" s="2" t="s">
        <v>3210</v>
      </c>
      <c r="B1286" s="2" t="s">
        <v>2109</v>
      </c>
      <c r="C1286" s="2">
        <v>9861110278</v>
      </c>
      <c r="D1286" s="2" t="s">
        <v>20</v>
      </c>
      <c r="E1286" s="2" t="s">
        <v>109</v>
      </c>
      <c r="F1286" s="2" t="s">
        <v>110</v>
      </c>
      <c r="G1286" s="2" t="s">
        <v>643</v>
      </c>
      <c r="H1286" s="2" t="s">
        <v>2947</v>
      </c>
      <c r="I1286" s="2" t="str">
        <f t="shared" si="100"/>
        <v>Dec</v>
      </c>
      <c r="J1286" s="2">
        <f t="shared" si="101"/>
        <v>12</v>
      </c>
      <c r="K1286" s="2">
        <f t="shared" si="102"/>
        <v>2024</v>
      </c>
      <c r="L1286" s="2">
        <f t="shared" si="103"/>
        <v>4</v>
      </c>
      <c r="M1286" s="2">
        <v>0</v>
      </c>
      <c r="N1286" s="2" t="s">
        <v>3189</v>
      </c>
      <c r="O1286" s="2" t="s">
        <v>45</v>
      </c>
      <c r="P1286" s="3">
        <v>936310</v>
      </c>
      <c r="Q1286" s="2"/>
      <c r="R1286" s="2"/>
      <c r="S1286" s="2" t="s">
        <v>5573</v>
      </c>
      <c r="T1286" s="2">
        <v>4.9000000000000004</v>
      </c>
      <c r="U1286" s="2" t="s">
        <v>47</v>
      </c>
      <c r="V1286" s="2"/>
      <c r="W1286" s="67" t="str">
        <f t="shared" si="104"/>
        <v>-</v>
      </c>
    </row>
    <row r="1287" spans="1:23" x14ac:dyDescent="0.3">
      <c r="A1287" s="6" t="s">
        <v>3211</v>
      </c>
      <c r="B1287" s="6" t="s">
        <v>2647</v>
      </c>
      <c r="C1287" s="6">
        <v>9585239484</v>
      </c>
      <c r="D1287" s="6" t="s">
        <v>51</v>
      </c>
      <c r="E1287" s="6" t="s">
        <v>648</v>
      </c>
      <c r="F1287" s="6" t="s">
        <v>899</v>
      </c>
      <c r="G1287" s="6" t="s">
        <v>643</v>
      </c>
      <c r="H1287" s="6" t="s">
        <v>2947</v>
      </c>
      <c r="I1287" s="2" t="str">
        <f t="shared" si="100"/>
        <v>Dec</v>
      </c>
      <c r="J1287" s="2">
        <f t="shared" si="101"/>
        <v>12</v>
      </c>
      <c r="K1287" s="2">
        <f t="shared" si="102"/>
        <v>2024</v>
      </c>
      <c r="L1287" s="2">
        <f t="shared" si="103"/>
        <v>4</v>
      </c>
      <c r="M1287" s="6">
        <v>10</v>
      </c>
      <c r="N1287" s="6" t="s">
        <v>3212</v>
      </c>
      <c r="O1287" s="6" t="s">
        <v>97</v>
      </c>
      <c r="P1287" s="7">
        <v>836978</v>
      </c>
      <c r="Q1287" s="7">
        <v>860105</v>
      </c>
      <c r="R1287" s="6" t="s">
        <v>3213</v>
      </c>
      <c r="S1287" s="6" t="s">
        <v>5573</v>
      </c>
      <c r="T1287" s="6">
        <v>33.1</v>
      </c>
      <c r="U1287" s="6" t="s">
        <v>63</v>
      </c>
      <c r="V1287" s="6" t="s">
        <v>907</v>
      </c>
      <c r="W1287" s="67" t="str">
        <f t="shared" si="104"/>
        <v>Customer</v>
      </c>
    </row>
    <row r="1288" spans="1:23" x14ac:dyDescent="0.3">
      <c r="A1288" s="8" t="s">
        <v>3214</v>
      </c>
      <c r="B1288" s="8" t="s">
        <v>3215</v>
      </c>
      <c r="C1288" s="8">
        <v>9605658736</v>
      </c>
      <c r="D1288" s="8" t="s">
        <v>59</v>
      </c>
      <c r="E1288" s="8" t="s">
        <v>648</v>
      </c>
      <c r="F1288" s="8" t="s">
        <v>656</v>
      </c>
      <c r="G1288" s="8" t="s">
        <v>1609</v>
      </c>
      <c r="H1288" s="8" t="s">
        <v>2947</v>
      </c>
      <c r="I1288" s="2" t="str">
        <f t="shared" si="100"/>
        <v>Dec</v>
      </c>
      <c r="J1288" s="2">
        <f t="shared" si="101"/>
        <v>12</v>
      </c>
      <c r="K1288" s="2">
        <f t="shared" si="102"/>
        <v>2024</v>
      </c>
      <c r="L1288" s="2">
        <f t="shared" si="103"/>
        <v>4</v>
      </c>
      <c r="M1288" s="8">
        <v>5</v>
      </c>
      <c r="N1288" s="8" t="s">
        <v>3120</v>
      </c>
      <c r="O1288" s="8" t="s">
        <v>62</v>
      </c>
      <c r="P1288" s="9">
        <v>350336</v>
      </c>
      <c r="Q1288" s="8"/>
      <c r="R1288" s="8"/>
      <c r="S1288" s="8" t="s">
        <v>5573</v>
      </c>
      <c r="T1288" s="8">
        <v>20.8</v>
      </c>
      <c r="U1288" s="8" t="s">
        <v>47</v>
      </c>
      <c r="V1288" s="8" t="s">
        <v>212</v>
      </c>
      <c r="W1288" s="67" t="str">
        <f t="shared" si="104"/>
        <v>-</v>
      </c>
    </row>
    <row r="1289" spans="1:23" x14ac:dyDescent="0.3">
      <c r="A1289" s="8" t="s">
        <v>3216</v>
      </c>
      <c r="B1289" s="8" t="s">
        <v>1115</v>
      </c>
      <c r="C1289" s="8">
        <v>9250249575</v>
      </c>
      <c r="D1289" s="8" t="s">
        <v>20</v>
      </c>
      <c r="E1289" s="8" t="s">
        <v>1632</v>
      </c>
      <c r="F1289" s="8" t="s">
        <v>1694</v>
      </c>
      <c r="G1289" s="8" t="s">
        <v>1677</v>
      </c>
      <c r="H1289" s="8" t="s">
        <v>2947</v>
      </c>
      <c r="I1289" s="2" t="str">
        <f t="shared" si="100"/>
        <v>Dec</v>
      </c>
      <c r="J1289" s="2">
        <f t="shared" si="101"/>
        <v>12</v>
      </c>
      <c r="K1289" s="2">
        <f t="shared" si="102"/>
        <v>2024</v>
      </c>
      <c r="L1289" s="2">
        <f t="shared" si="103"/>
        <v>4</v>
      </c>
      <c r="M1289" s="8">
        <v>2</v>
      </c>
      <c r="N1289" s="8" t="s">
        <v>3092</v>
      </c>
      <c r="O1289" s="8" t="s">
        <v>97</v>
      </c>
      <c r="P1289" s="9">
        <v>1573502</v>
      </c>
      <c r="Q1289" s="9">
        <v>1443165</v>
      </c>
      <c r="R1289" s="8" t="s">
        <v>3108</v>
      </c>
      <c r="S1289" s="8" t="s">
        <v>5573</v>
      </c>
      <c r="T1289" s="8">
        <v>30.1</v>
      </c>
      <c r="U1289" s="8" t="s">
        <v>63</v>
      </c>
      <c r="V1289" s="8" t="s">
        <v>341</v>
      </c>
      <c r="W1289" s="67" t="str">
        <f t="shared" si="104"/>
        <v>Customer</v>
      </c>
    </row>
    <row r="1290" spans="1:23" x14ac:dyDescent="0.3">
      <c r="A1290" s="2" t="s">
        <v>3217</v>
      </c>
      <c r="B1290" s="2" t="s">
        <v>200</v>
      </c>
      <c r="C1290" s="2">
        <v>9322281728</v>
      </c>
      <c r="D1290" s="2" t="s">
        <v>59</v>
      </c>
      <c r="E1290" s="2" t="s">
        <v>109</v>
      </c>
      <c r="F1290" s="2" t="s">
        <v>217</v>
      </c>
      <c r="G1290" s="2" t="s">
        <v>1609</v>
      </c>
      <c r="H1290" s="2" t="s">
        <v>2947</v>
      </c>
      <c r="I1290" s="2" t="str">
        <f t="shared" si="100"/>
        <v>Dec</v>
      </c>
      <c r="J1290" s="2">
        <f t="shared" si="101"/>
        <v>12</v>
      </c>
      <c r="K1290" s="2">
        <f t="shared" si="102"/>
        <v>2024</v>
      </c>
      <c r="L1290" s="2">
        <f t="shared" si="103"/>
        <v>4</v>
      </c>
      <c r="M1290" s="2">
        <v>5</v>
      </c>
      <c r="N1290" s="2" t="s">
        <v>3082</v>
      </c>
      <c r="O1290" s="2" t="s">
        <v>62</v>
      </c>
      <c r="P1290" s="3">
        <v>185349</v>
      </c>
      <c r="Q1290" s="2"/>
      <c r="R1290" s="2"/>
      <c r="S1290" s="2" t="s">
        <v>5573</v>
      </c>
      <c r="T1290" s="2">
        <v>41.1</v>
      </c>
      <c r="U1290" s="2" t="s">
        <v>47</v>
      </c>
      <c r="V1290" s="2" t="s">
        <v>137</v>
      </c>
      <c r="W1290" s="67" t="str">
        <f t="shared" si="104"/>
        <v>-</v>
      </c>
    </row>
    <row r="1291" spans="1:23" x14ac:dyDescent="0.3">
      <c r="A1291" s="4" t="s">
        <v>3218</v>
      </c>
      <c r="B1291" s="4" t="s">
        <v>273</v>
      </c>
      <c r="C1291" s="4"/>
      <c r="D1291" s="4" t="s">
        <v>59</v>
      </c>
      <c r="E1291" s="4" t="s">
        <v>67</v>
      </c>
      <c r="F1291" s="4" t="s">
        <v>68</v>
      </c>
      <c r="G1291" s="4" t="s">
        <v>1621</v>
      </c>
      <c r="H1291" s="4" t="s">
        <v>2947</v>
      </c>
      <c r="I1291" s="2" t="str">
        <f t="shared" si="100"/>
        <v>Dec</v>
      </c>
      <c r="J1291" s="2">
        <f t="shared" si="101"/>
        <v>12</v>
      </c>
      <c r="K1291" s="2">
        <f t="shared" si="102"/>
        <v>2024</v>
      </c>
      <c r="L1291" s="2">
        <f t="shared" si="103"/>
        <v>4</v>
      </c>
      <c r="M1291" s="4">
        <v>4</v>
      </c>
      <c r="N1291" s="4" t="s">
        <v>3190</v>
      </c>
      <c r="O1291" s="4" t="s">
        <v>27</v>
      </c>
      <c r="P1291" s="5">
        <v>596022</v>
      </c>
      <c r="Q1291" s="4"/>
      <c r="R1291" s="4"/>
      <c r="S1291" s="4" t="s">
        <v>5573</v>
      </c>
      <c r="T1291" s="4">
        <v>37.5</v>
      </c>
      <c r="U1291" s="4" t="s">
        <v>29</v>
      </c>
      <c r="V1291" s="4" t="s">
        <v>328</v>
      </c>
      <c r="W1291" s="67" t="str">
        <f t="shared" si="104"/>
        <v>-</v>
      </c>
    </row>
    <row r="1292" spans="1:23" x14ac:dyDescent="0.3">
      <c r="A1292" s="2" t="s">
        <v>3219</v>
      </c>
      <c r="B1292" s="2" t="s">
        <v>1755</v>
      </c>
      <c r="C1292" s="2">
        <v>9940289501</v>
      </c>
      <c r="D1292" s="2" t="s">
        <v>59</v>
      </c>
      <c r="E1292" s="2" t="s">
        <v>33</v>
      </c>
      <c r="F1292" s="2" t="s">
        <v>34</v>
      </c>
      <c r="G1292" s="2" t="s">
        <v>1621</v>
      </c>
      <c r="H1292" s="2" t="s">
        <v>2947</v>
      </c>
      <c r="I1292" s="2" t="str">
        <f t="shared" si="100"/>
        <v>Dec</v>
      </c>
      <c r="J1292" s="2">
        <f t="shared" si="101"/>
        <v>12</v>
      </c>
      <c r="K1292" s="2">
        <f t="shared" si="102"/>
        <v>2024</v>
      </c>
      <c r="L1292" s="2">
        <f t="shared" si="103"/>
        <v>4</v>
      </c>
      <c r="M1292" s="2">
        <v>9</v>
      </c>
      <c r="N1292" s="2" t="s">
        <v>3095</v>
      </c>
      <c r="O1292" s="2" t="s">
        <v>27</v>
      </c>
      <c r="P1292" s="3">
        <v>389021</v>
      </c>
      <c r="Q1292" s="2"/>
      <c r="R1292" s="2"/>
      <c r="S1292" s="2" t="s">
        <v>5573</v>
      </c>
      <c r="T1292" s="2">
        <v>7.5</v>
      </c>
      <c r="U1292" s="2" t="s">
        <v>29</v>
      </c>
      <c r="V1292" s="2" t="s">
        <v>153</v>
      </c>
      <c r="W1292" s="67" t="str">
        <f t="shared" si="104"/>
        <v>-</v>
      </c>
    </row>
    <row r="1293" spans="1:23" x14ac:dyDescent="0.3">
      <c r="A1293" s="4" t="s">
        <v>3220</v>
      </c>
      <c r="B1293" s="4" t="s">
        <v>2089</v>
      </c>
      <c r="C1293" s="4">
        <v>9829497396</v>
      </c>
      <c r="D1293" s="4" t="s">
        <v>59</v>
      </c>
      <c r="E1293" s="4" t="s">
        <v>33</v>
      </c>
      <c r="F1293" s="4" t="s">
        <v>102</v>
      </c>
      <c r="G1293" s="4" t="s">
        <v>1623</v>
      </c>
      <c r="H1293" s="4" t="s">
        <v>2988</v>
      </c>
      <c r="I1293" s="2" t="str">
        <f t="shared" si="100"/>
        <v>Dec</v>
      </c>
      <c r="J1293" s="2">
        <f t="shared" si="101"/>
        <v>12</v>
      </c>
      <c r="K1293" s="2">
        <f t="shared" si="102"/>
        <v>2024</v>
      </c>
      <c r="L1293" s="2">
        <f t="shared" si="103"/>
        <v>4</v>
      </c>
      <c r="M1293" s="4">
        <v>1</v>
      </c>
      <c r="N1293" s="4" t="s">
        <v>3184</v>
      </c>
      <c r="O1293" s="4" t="s">
        <v>27</v>
      </c>
      <c r="P1293" s="5">
        <v>174934</v>
      </c>
      <c r="Q1293" s="4"/>
      <c r="R1293" s="4"/>
      <c r="S1293" s="4" t="s">
        <v>5573</v>
      </c>
      <c r="T1293" s="4">
        <v>12.6</v>
      </c>
      <c r="U1293" s="4" t="s">
        <v>29</v>
      </c>
      <c r="V1293" s="4" t="s">
        <v>238</v>
      </c>
      <c r="W1293" s="67" t="str">
        <f t="shared" si="104"/>
        <v>-</v>
      </c>
    </row>
    <row r="1294" spans="1:23" x14ac:dyDescent="0.3">
      <c r="A1294" s="2" t="s">
        <v>3221</v>
      </c>
      <c r="B1294" s="2" t="s">
        <v>2571</v>
      </c>
      <c r="C1294" s="2">
        <v>9347648853</v>
      </c>
      <c r="D1294" s="2" t="s">
        <v>59</v>
      </c>
      <c r="E1294" s="2" t="s">
        <v>33</v>
      </c>
      <c r="F1294" s="2" t="s">
        <v>201</v>
      </c>
      <c r="G1294" s="2" t="s">
        <v>1599</v>
      </c>
      <c r="H1294" s="2" t="s">
        <v>2988</v>
      </c>
      <c r="I1294" s="2" t="str">
        <f t="shared" si="100"/>
        <v>Dec</v>
      </c>
      <c r="J1294" s="2">
        <f t="shared" si="101"/>
        <v>12</v>
      </c>
      <c r="K1294" s="2">
        <f t="shared" si="102"/>
        <v>2024</v>
      </c>
      <c r="L1294" s="2">
        <f t="shared" si="103"/>
        <v>4</v>
      </c>
      <c r="M1294" s="2">
        <v>8</v>
      </c>
      <c r="N1294" s="2" t="s">
        <v>3082</v>
      </c>
      <c r="O1294" s="2" t="s">
        <v>27</v>
      </c>
      <c r="P1294" s="3">
        <v>565611</v>
      </c>
      <c r="Q1294" s="2"/>
      <c r="R1294" s="2"/>
      <c r="S1294" s="2" t="s">
        <v>5573</v>
      </c>
      <c r="T1294" s="2">
        <v>35.200000000000003</v>
      </c>
      <c r="U1294" s="2" t="s">
        <v>29</v>
      </c>
      <c r="V1294" s="2" t="s">
        <v>123</v>
      </c>
      <c r="W1294" s="67" t="str">
        <f t="shared" si="104"/>
        <v>-</v>
      </c>
    </row>
    <row r="1295" spans="1:23" x14ac:dyDescent="0.3">
      <c r="A1295" s="4" t="s">
        <v>3222</v>
      </c>
      <c r="B1295" s="4" t="s">
        <v>3223</v>
      </c>
      <c r="C1295" s="4">
        <v>9105140193</v>
      </c>
      <c r="D1295" s="4" t="s">
        <v>121</v>
      </c>
      <c r="E1295" s="4" t="s">
        <v>648</v>
      </c>
      <c r="F1295" s="4" t="s">
        <v>649</v>
      </c>
      <c r="G1295" s="4" t="s">
        <v>1677</v>
      </c>
      <c r="H1295" s="4" t="s">
        <v>2864</v>
      </c>
      <c r="I1295" s="2" t="str">
        <f t="shared" si="100"/>
        <v>Dec</v>
      </c>
      <c r="J1295" s="2">
        <f t="shared" si="101"/>
        <v>12</v>
      </c>
      <c r="K1295" s="2">
        <f t="shared" si="102"/>
        <v>2024</v>
      </c>
      <c r="L1295" s="2">
        <f t="shared" si="103"/>
        <v>4</v>
      </c>
      <c r="M1295" s="4">
        <v>5</v>
      </c>
      <c r="N1295" s="4" t="s">
        <v>3057</v>
      </c>
      <c r="O1295" s="4" t="s">
        <v>27</v>
      </c>
      <c r="P1295" s="5">
        <v>1075612</v>
      </c>
      <c r="Q1295" s="4"/>
      <c r="R1295" s="4"/>
      <c r="S1295" s="4" t="s">
        <v>5573</v>
      </c>
      <c r="T1295" s="4">
        <v>43.6</v>
      </c>
      <c r="U1295" s="4" t="s">
        <v>29</v>
      </c>
      <c r="V1295" s="4" t="s">
        <v>238</v>
      </c>
      <c r="W1295" s="67" t="str">
        <f t="shared" si="104"/>
        <v>-</v>
      </c>
    </row>
    <row r="1296" spans="1:23" x14ac:dyDescent="0.3">
      <c r="A1296" s="8" t="s">
        <v>3224</v>
      </c>
      <c r="B1296" s="8" t="s">
        <v>1709</v>
      </c>
      <c r="C1296" s="8">
        <v>9409173063</v>
      </c>
      <c r="D1296" s="8" t="s">
        <v>108</v>
      </c>
      <c r="E1296" s="8" t="s">
        <v>41</v>
      </c>
      <c r="F1296" s="8" t="s">
        <v>151</v>
      </c>
      <c r="G1296" s="8" t="s">
        <v>1623</v>
      </c>
      <c r="H1296" s="8" t="s">
        <v>2864</v>
      </c>
      <c r="I1296" s="2" t="str">
        <f t="shared" si="100"/>
        <v>Dec</v>
      </c>
      <c r="J1296" s="2">
        <f t="shared" si="101"/>
        <v>12</v>
      </c>
      <c r="K1296" s="2">
        <f t="shared" si="102"/>
        <v>2024</v>
      </c>
      <c r="L1296" s="2">
        <f t="shared" si="103"/>
        <v>4</v>
      </c>
      <c r="M1296" s="8">
        <v>12</v>
      </c>
      <c r="N1296" s="8" t="s">
        <v>3225</v>
      </c>
      <c r="O1296" s="8" t="s">
        <v>97</v>
      </c>
      <c r="P1296" s="9">
        <v>389668</v>
      </c>
      <c r="Q1296" s="9">
        <v>373766</v>
      </c>
      <c r="R1296" s="8" t="s">
        <v>3226</v>
      </c>
      <c r="S1296" s="8" t="s">
        <v>5573</v>
      </c>
      <c r="T1296" s="8">
        <v>23</v>
      </c>
      <c r="U1296" s="8" t="s">
        <v>63</v>
      </c>
      <c r="V1296" s="8" t="s">
        <v>483</v>
      </c>
      <c r="W1296" s="67" t="str">
        <f t="shared" si="104"/>
        <v>Architect</v>
      </c>
    </row>
    <row r="1297" spans="1:23" x14ac:dyDescent="0.3">
      <c r="A1297" s="8" t="s">
        <v>3227</v>
      </c>
      <c r="B1297" s="8" t="s">
        <v>838</v>
      </c>
      <c r="C1297" s="8">
        <v>9977361720</v>
      </c>
      <c r="D1297" s="8" t="s">
        <v>59</v>
      </c>
      <c r="E1297" s="8" t="s">
        <v>641</v>
      </c>
      <c r="F1297" s="8" t="s">
        <v>681</v>
      </c>
      <c r="G1297" s="8" t="s">
        <v>643</v>
      </c>
      <c r="H1297" s="8" t="s">
        <v>2861</v>
      </c>
      <c r="I1297" s="2" t="str">
        <f t="shared" si="100"/>
        <v>Dec</v>
      </c>
      <c r="J1297" s="2">
        <f t="shared" si="101"/>
        <v>12</v>
      </c>
      <c r="K1297" s="2">
        <f t="shared" si="102"/>
        <v>2024</v>
      </c>
      <c r="L1297" s="2">
        <f t="shared" si="103"/>
        <v>4</v>
      </c>
      <c r="M1297" s="8">
        <v>11</v>
      </c>
      <c r="N1297" s="8" t="s">
        <v>3228</v>
      </c>
      <c r="O1297" s="8" t="s">
        <v>97</v>
      </c>
      <c r="P1297" s="9">
        <v>1335011</v>
      </c>
      <c r="Q1297" s="9">
        <v>1202154</v>
      </c>
      <c r="R1297" s="8" t="s">
        <v>3229</v>
      </c>
      <c r="S1297" s="8" t="s">
        <v>5573</v>
      </c>
      <c r="T1297" s="8">
        <v>2.2999999999999998</v>
      </c>
      <c r="U1297" s="8" t="s">
        <v>47</v>
      </c>
      <c r="V1297" s="8" t="s">
        <v>483</v>
      </c>
      <c r="W1297" s="67" t="str">
        <f t="shared" si="104"/>
        <v>Customer</v>
      </c>
    </row>
    <row r="1298" spans="1:23" x14ac:dyDescent="0.3">
      <c r="A1298" s="8" t="s">
        <v>3230</v>
      </c>
      <c r="B1298" s="8" t="s">
        <v>3231</v>
      </c>
      <c r="C1298" s="8">
        <v>9741789327</v>
      </c>
      <c r="D1298" s="8" t="s">
        <v>51</v>
      </c>
      <c r="E1298" s="8" t="s">
        <v>1632</v>
      </c>
      <c r="F1298" s="8" t="s">
        <v>1633</v>
      </c>
      <c r="G1298" s="8" t="s">
        <v>643</v>
      </c>
      <c r="H1298" s="8" t="s">
        <v>2861</v>
      </c>
      <c r="I1298" s="2" t="str">
        <f t="shared" si="100"/>
        <v>Dec</v>
      </c>
      <c r="J1298" s="2">
        <f t="shared" si="101"/>
        <v>12</v>
      </c>
      <c r="K1298" s="2">
        <f t="shared" si="102"/>
        <v>2024</v>
      </c>
      <c r="L1298" s="2">
        <f t="shared" si="103"/>
        <v>4</v>
      </c>
      <c r="M1298" s="8">
        <v>6</v>
      </c>
      <c r="N1298" s="8" t="s">
        <v>3225</v>
      </c>
      <c r="O1298" s="8" t="s">
        <v>97</v>
      </c>
      <c r="P1298" s="9">
        <v>939816</v>
      </c>
      <c r="Q1298" s="9">
        <v>886694</v>
      </c>
      <c r="R1298" s="8" t="s">
        <v>3135</v>
      </c>
      <c r="S1298" s="8" t="s">
        <v>5573</v>
      </c>
      <c r="T1298" s="8">
        <v>12</v>
      </c>
      <c r="U1298" s="8" t="s">
        <v>63</v>
      </c>
      <c r="V1298" s="8" t="s">
        <v>99</v>
      </c>
      <c r="W1298" s="67" t="str">
        <f t="shared" si="104"/>
        <v>Customer</v>
      </c>
    </row>
    <row r="1299" spans="1:23" x14ac:dyDescent="0.3">
      <c r="A1299" s="4" t="s">
        <v>3232</v>
      </c>
      <c r="B1299" s="4" t="s">
        <v>544</v>
      </c>
      <c r="C1299" s="4">
        <v>9921271622</v>
      </c>
      <c r="D1299" s="4" t="s">
        <v>20</v>
      </c>
      <c r="E1299" s="4" t="s">
        <v>648</v>
      </c>
      <c r="F1299" s="4" t="s">
        <v>656</v>
      </c>
      <c r="G1299" s="4" t="s">
        <v>1621</v>
      </c>
      <c r="H1299" s="4" t="s">
        <v>2861</v>
      </c>
      <c r="I1299" s="2" t="str">
        <f t="shared" si="100"/>
        <v>Dec</v>
      </c>
      <c r="J1299" s="2">
        <f t="shared" si="101"/>
        <v>12</v>
      </c>
      <c r="K1299" s="2">
        <f t="shared" si="102"/>
        <v>2024</v>
      </c>
      <c r="L1299" s="2">
        <f t="shared" si="103"/>
        <v>4</v>
      </c>
      <c r="M1299" s="4">
        <v>5</v>
      </c>
      <c r="N1299" s="4" t="s">
        <v>3057</v>
      </c>
      <c r="O1299" s="4" t="s">
        <v>27</v>
      </c>
      <c r="P1299" s="5">
        <v>503259</v>
      </c>
      <c r="Q1299" s="4"/>
      <c r="R1299" s="4"/>
      <c r="S1299" s="4" t="s">
        <v>5573</v>
      </c>
      <c r="T1299" s="4">
        <v>44.4</v>
      </c>
      <c r="U1299" s="4" t="s">
        <v>29</v>
      </c>
      <c r="V1299" s="4" t="s">
        <v>105</v>
      </c>
      <c r="W1299" s="67" t="str">
        <f t="shared" si="104"/>
        <v>-</v>
      </c>
    </row>
    <row r="1300" spans="1:23" x14ac:dyDescent="0.3">
      <c r="A1300" s="6" t="s">
        <v>3233</v>
      </c>
      <c r="B1300" s="6" t="s">
        <v>3234</v>
      </c>
      <c r="C1300" s="6">
        <v>9720361126</v>
      </c>
      <c r="D1300" s="6" t="s">
        <v>20</v>
      </c>
      <c r="E1300" s="6" t="s">
        <v>41</v>
      </c>
      <c r="F1300" s="6" t="s">
        <v>42</v>
      </c>
      <c r="G1300" s="6" t="s">
        <v>1609</v>
      </c>
      <c r="H1300" s="6" t="s">
        <v>3189</v>
      </c>
      <c r="I1300" s="2" t="str">
        <f t="shared" si="100"/>
        <v>Dec</v>
      </c>
      <c r="J1300" s="2">
        <f t="shared" si="101"/>
        <v>12</v>
      </c>
      <c r="K1300" s="2">
        <f t="shared" si="102"/>
        <v>2024</v>
      </c>
      <c r="L1300" s="2">
        <f t="shared" si="103"/>
        <v>4</v>
      </c>
      <c r="M1300" s="6">
        <v>4</v>
      </c>
      <c r="N1300" s="6" t="s">
        <v>3225</v>
      </c>
      <c r="O1300" s="6" t="s">
        <v>97</v>
      </c>
      <c r="P1300" s="7">
        <v>306974</v>
      </c>
      <c r="Q1300" s="7">
        <v>271919</v>
      </c>
      <c r="R1300" s="6" t="s">
        <v>3032</v>
      </c>
      <c r="S1300" s="6" t="s">
        <v>5573</v>
      </c>
      <c r="T1300" s="6">
        <v>25.9</v>
      </c>
      <c r="U1300" s="6" t="s">
        <v>63</v>
      </c>
      <c r="V1300" s="6" t="s">
        <v>483</v>
      </c>
      <c r="W1300" s="67" t="str">
        <f t="shared" si="104"/>
        <v>Customer</v>
      </c>
    </row>
    <row r="1301" spans="1:23" x14ac:dyDescent="0.3">
      <c r="A1301" s="4" t="s">
        <v>3235</v>
      </c>
      <c r="B1301" s="4" t="s">
        <v>3236</v>
      </c>
      <c r="C1301" s="4">
        <v>9131345200</v>
      </c>
      <c r="D1301" s="4" t="s">
        <v>20</v>
      </c>
      <c r="E1301" s="4" t="s">
        <v>109</v>
      </c>
      <c r="F1301" s="4" t="s">
        <v>217</v>
      </c>
      <c r="G1301" s="4" t="s">
        <v>1677</v>
      </c>
      <c r="H1301" s="4" t="s">
        <v>3189</v>
      </c>
      <c r="I1301" s="2" t="str">
        <f t="shared" si="100"/>
        <v>Dec</v>
      </c>
      <c r="J1301" s="2">
        <f t="shared" si="101"/>
        <v>12</v>
      </c>
      <c r="K1301" s="2">
        <f t="shared" si="102"/>
        <v>2024</v>
      </c>
      <c r="L1301" s="2">
        <f t="shared" si="103"/>
        <v>4</v>
      </c>
      <c r="M1301" s="4">
        <v>2</v>
      </c>
      <c r="N1301" s="4" t="s">
        <v>3158</v>
      </c>
      <c r="O1301" s="4" t="s">
        <v>45</v>
      </c>
      <c r="P1301" s="5">
        <v>904120</v>
      </c>
      <c r="Q1301" s="4"/>
      <c r="R1301" s="4"/>
      <c r="S1301" s="4" t="s">
        <v>5573</v>
      </c>
      <c r="T1301" s="4">
        <v>43.6</v>
      </c>
      <c r="U1301" s="4" t="s">
        <v>47</v>
      </c>
      <c r="V1301" s="4" t="s">
        <v>487</v>
      </c>
      <c r="W1301" s="67" t="str">
        <f t="shared" si="104"/>
        <v>-</v>
      </c>
    </row>
    <row r="1302" spans="1:23" x14ac:dyDescent="0.3">
      <c r="A1302" s="6" t="s">
        <v>3237</v>
      </c>
      <c r="B1302" s="6" t="s">
        <v>1546</v>
      </c>
      <c r="C1302" s="6">
        <v>9654393971</v>
      </c>
      <c r="D1302" s="6" t="s">
        <v>20</v>
      </c>
      <c r="E1302" s="6" t="s">
        <v>41</v>
      </c>
      <c r="F1302" s="6" t="s">
        <v>92</v>
      </c>
      <c r="G1302" s="6" t="s">
        <v>60</v>
      </c>
      <c r="H1302" s="6" t="s">
        <v>3189</v>
      </c>
      <c r="I1302" s="2" t="str">
        <f t="shared" si="100"/>
        <v>Dec</v>
      </c>
      <c r="J1302" s="2">
        <f t="shared" si="101"/>
        <v>12</v>
      </c>
      <c r="K1302" s="2">
        <f t="shared" si="102"/>
        <v>2024</v>
      </c>
      <c r="L1302" s="2">
        <f t="shared" si="103"/>
        <v>4</v>
      </c>
      <c r="M1302" s="6">
        <v>3</v>
      </c>
      <c r="N1302" s="6" t="s">
        <v>2970</v>
      </c>
      <c r="O1302" s="6" t="s">
        <v>97</v>
      </c>
      <c r="P1302" s="7">
        <v>158294</v>
      </c>
      <c r="Q1302" s="7">
        <v>146234</v>
      </c>
      <c r="R1302" s="6" t="s">
        <v>3112</v>
      </c>
      <c r="S1302" s="6" t="s">
        <v>5573</v>
      </c>
      <c r="T1302" s="6">
        <v>17.600000000000001</v>
      </c>
      <c r="U1302" s="6" t="s">
        <v>63</v>
      </c>
      <c r="V1302" s="6" t="s">
        <v>341</v>
      </c>
      <c r="W1302" s="67" t="str">
        <f t="shared" si="104"/>
        <v>Customer</v>
      </c>
    </row>
    <row r="1303" spans="1:23" x14ac:dyDescent="0.3">
      <c r="A1303" s="4" t="s">
        <v>3238</v>
      </c>
      <c r="B1303" s="4" t="s">
        <v>3239</v>
      </c>
      <c r="C1303" s="4">
        <v>9799530232</v>
      </c>
      <c r="D1303" s="4" t="s">
        <v>20</v>
      </c>
      <c r="E1303" s="4" t="s">
        <v>67</v>
      </c>
      <c r="F1303" s="4" t="s">
        <v>68</v>
      </c>
      <c r="G1303" s="4" t="s">
        <v>1599</v>
      </c>
      <c r="H1303" s="4" t="s">
        <v>3189</v>
      </c>
      <c r="I1303" s="2" t="str">
        <f t="shared" si="100"/>
        <v>Dec</v>
      </c>
      <c r="J1303" s="2">
        <f t="shared" si="101"/>
        <v>12</v>
      </c>
      <c r="K1303" s="2">
        <f t="shared" si="102"/>
        <v>2024</v>
      </c>
      <c r="L1303" s="2">
        <f t="shared" si="103"/>
        <v>4</v>
      </c>
      <c r="M1303" s="4">
        <v>4</v>
      </c>
      <c r="N1303" s="4" t="s">
        <v>3108</v>
      </c>
      <c r="O1303" s="4" t="s">
        <v>62</v>
      </c>
      <c r="P1303" s="5">
        <v>842804</v>
      </c>
      <c r="Q1303" s="4"/>
      <c r="R1303" s="4"/>
      <c r="S1303" s="4" t="s">
        <v>5573</v>
      </c>
      <c r="T1303" s="4">
        <v>4.8</v>
      </c>
      <c r="U1303" s="4" t="s">
        <v>47</v>
      </c>
      <c r="V1303" s="4"/>
      <c r="W1303" s="67" t="str">
        <f t="shared" si="104"/>
        <v>-</v>
      </c>
    </row>
    <row r="1304" spans="1:23" x14ac:dyDescent="0.3">
      <c r="A1304" s="2" t="s">
        <v>3240</v>
      </c>
      <c r="B1304" s="2" t="s">
        <v>2614</v>
      </c>
      <c r="C1304" s="2">
        <v>9875619335</v>
      </c>
      <c r="D1304" s="2" t="s">
        <v>59</v>
      </c>
      <c r="E1304" s="2" t="s">
        <v>67</v>
      </c>
      <c r="F1304" s="2" t="s">
        <v>68</v>
      </c>
      <c r="G1304" s="2" t="s">
        <v>1609</v>
      </c>
      <c r="H1304" s="2" t="s">
        <v>3020</v>
      </c>
      <c r="I1304" s="2" t="str">
        <f t="shared" si="100"/>
        <v>Dec</v>
      </c>
      <c r="J1304" s="2">
        <f t="shared" si="101"/>
        <v>12</v>
      </c>
      <c r="K1304" s="2">
        <f t="shared" si="102"/>
        <v>2024</v>
      </c>
      <c r="L1304" s="2">
        <f t="shared" si="103"/>
        <v>4</v>
      </c>
      <c r="M1304" s="2">
        <v>0</v>
      </c>
      <c r="N1304" s="2" t="s">
        <v>2836</v>
      </c>
      <c r="O1304" s="2" t="s">
        <v>45</v>
      </c>
      <c r="P1304" s="3">
        <v>384797</v>
      </c>
      <c r="Q1304" s="2"/>
      <c r="R1304" s="2"/>
      <c r="S1304" s="2" t="s">
        <v>5573</v>
      </c>
      <c r="T1304" s="2">
        <v>19.8</v>
      </c>
      <c r="U1304" s="2" t="s">
        <v>29</v>
      </c>
      <c r="V1304" s="2" t="s">
        <v>454</v>
      </c>
      <c r="W1304" s="67" t="str">
        <f t="shared" si="104"/>
        <v>-</v>
      </c>
    </row>
    <row r="1305" spans="1:23" x14ac:dyDescent="0.3">
      <c r="A1305" s="4" t="s">
        <v>3241</v>
      </c>
      <c r="B1305" s="4" t="s">
        <v>3242</v>
      </c>
      <c r="C1305" s="4">
        <v>9392273188</v>
      </c>
      <c r="D1305" s="4" t="s">
        <v>59</v>
      </c>
      <c r="E1305" s="4" t="s">
        <v>109</v>
      </c>
      <c r="F1305" s="4" t="s">
        <v>217</v>
      </c>
      <c r="G1305" s="4" t="s">
        <v>1677</v>
      </c>
      <c r="H1305" s="4" t="s">
        <v>3006</v>
      </c>
      <c r="I1305" s="2" t="str">
        <f t="shared" si="100"/>
        <v>Dec</v>
      </c>
      <c r="J1305" s="2">
        <f t="shared" si="101"/>
        <v>12</v>
      </c>
      <c r="K1305" s="2">
        <f t="shared" si="102"/>
        <v>2024</v>
      </c>
      <c r="L1305" s="2">
        <f t="shared" si="103"/>
        <v>4</v>
      </c>
      <c r="M1305" s="4">
        <v>0</v>
      </c>
      <c r="N1305" s="4" t="s">
        <v>3120</v>
      </c>
      <c r="O1305" s="4" t="s">
        <v>45</v>
      </c>
      <c r="P1305" s="5">
        <v>1271849</v>
      </c>
      <c r="Q1305" s="4"/>
      <c r="R1305" s="4"/>
      <c r="S1305" s="4" t="s">
        <v>5573</v>
      </c>
      <c r="T1305" s="4">
        <v>22.3</v>
      </c>
      <c r="U1305" s="4" t="s">
        <v>47</v>
      </c>
      <c r="V1305" s="4" t="s">
        <v>487</v>
      </c>
      <c r="W1305" s="67" t="str">
        <f t="shared" si="104"/>
        <v>-</v>
      </c>
    </row>
    <row r="1306" spans="1:23" x14ac:dyDescent="0.3">
      <c r="A1306" s="2" t="s">
        <v>3243</v>
      </c>
      <c r="B1306" s="2" t="s">
        <v>782</v>
      </c>
      <c r="C1306" s="2">
        <v>9705510298</v>
      </c>
      <c r="D1306" s="2" t="s">
        <v>59</v>
      </c>
      <c r="E1306" s="2" t="s">
        <v>648</v>
      </c>
      <c r="F1306" s="2" t="s">
        <v>656</v>
      </c>
      <c r="G1306" s="2" t="s">
        <v>52</v>
      </c>
      <c r="H1306" s="2" t="s">
        <v>3006</v>
      </c>
      <c r="I1306" s="2" t="str">
        <f t="shared" si="100"/>
        <v>Dec</v>
      </c>
      <c r="J1306" s="2">
        <f t="shared" si="101"/>
        <v>12</v>
      </c>
      <c r="K1306" s="2">
        <f t="shared" si="102"/>
        <v>2024</v>
      </c>
      <c r="L1306" s="2">
        <f t="shared" si="103"/>
        <v>4</v>
      </c>
      <c r="M1306" s="2">
        <v>2</v>
      </c>
      <c r="N1306" s="2" t="s">
        <v>3082</v>
      </c>
      <c r="O1306" s="2" t="s">
        <v>27</v>
      </c>
      <c r="P1306" s="3">
        <v>127129</v>
      </c>
      <c r="Q1306" s="2"/>
      <c r="R1306" s="2"/>
      <c r="S1306" s="2" t="s">
        <v>5573</v>
      </c>
      <c r="T1306" s="2">
        <v>3.4</v>
      </c>
      <c r="U1306" s="2" t="s">
        <v>29</v>
      </c>
      <c r="V1306" s="2" t="s">
        <v>30</v>
      </c>
      <c r="W1306" s="67" t="str">
        <f t="shared" si="104"/>
        <v>-</v>
      </c>
    </row>
    <row r="1307" spans="1:23" x14ac:dyDescent="0.3">
      <c r="A1307" s="4" t="s">
        <v>3244</v>
      </c>
      <c r="B1307" s="4" t="s">
        <v>720</v>
      </c>
      <c r="C1307" s="4">
        <v>9827842037</v>
      </c>
      <c r="D1307" s="4" t="s">
        <v>20</v>
      </c>
      <c r="E1307" s="4" t="s">
        <v>1632</v>
      </c>
      <c r="F1307" s="4" t="s">
        <v>1849</v>
      </c>
      <c r="G1307" s="4" t="s">
        <v>23</v>
      </c>
      <c r="H1307" s="4" t="s">
        <v>3006</v>
      </c>
      <c r="I1307" s="2" t="str">
        <f t="shared" si="100"/>
        <v>Dec</v>
      </c>
      <c r="J1307" s="2">
        <f t="shared" si="101"/>
        <v>12</v>
      </c>
      <c r="K1307" s="2">
        <f t="shared" si="102"/>
        <v>2024</v>
      </c>
      <c r="L1307" s="2">
        <f t="shared" si="103"/>
        <v>4</v>
      </c>
      <c r="M1307" s="4">
        <v>12</v>
      </c>
      <c r="N1307" s="4" t="s">
        <v>3245</v>
      </c>
      <c r="O1307" s="4" t="s">
        <v>45</v>
      </c>
      <c r="P1307" s="5">
        <v>794016</v>
      </c>
      <c r="Q1307" s="4"/>
      <c r="R1307" s="4"/>
      <c r="S1307" s="4" t="s">
        <v>5573</v>
      </c>
      <c r="T1307" s="4">
        <v>5.4</v>
      </c>
      <c r="U1307" s="4" t="s">
        <v>29</v>
      </c>
      <c r="V1307" s="4" t="s">
        <v>589</v>
      </c>
      <c r="W1307" s="67" t="str">
        <f t="shared" si="104"/>
        <v>-</v>
      </c>
    </row>
    <row r="1308" spans="1:23" x14ac:dyDescent="0.3">
      <c r="A1308" s="2" t="s">
        <v>3246</v>
      </c>
      <c r="B1308" s="2" t="s">
        <v>1696</v>
      </c>
      <c r="C1308" s="2">
        <v>9165745223</v>
      </c>
      <c r="D1308" s="2" t="s">
        <v>108</v>
      </c>
      <c r="E1308" s="2" t="s">
        <v>641</v>
      </c>
      <c r="F1308" s="2" t="s">
        <v>727</v>
      </c>
      <c r="G1308" s="2" t="s">
        <v>52</v>
      </c>
      <c r="H1308" s="2" t="s">
        <v>3006</v>
      </c>
      <c r="I1308" s="2" t="str">
        <f t="shared" si="100"/>
        <v>Dec</v>
      </c>
      <c r="J1308" s="2">
        <f t="shared" si="101"/>
        <v>12</v>
      </c>
      <c r="K1308" s="2">
        <f t="shared" si="102"/>
        <v>2024</v>
      </c>
      <c r="L1308" s="2">
        <f t="shared" si="103"/>
        <v>4</v>
      </c>
      <c r="M1308" s="2">
        <v>10</v>
      </c>
      <c r="N1308" s="2" t="s">
        <v>3032</v>
      </c>
      <c r="O1308" s="2" t="s">
        <v>45</v>
      </c>
      <c r="P1308" s="3">
        <v>233409</v>
      </c>
      <c r="Q1308" s="2"/>
      <c r="R1308" s="2"/>
      <c r="S1308" s="2" t="s">
        <v>5573</v>
      </c>
      <c r="T1308" s="2">
        <v>13</v>
      </c>
      <c r="U1308" s="2" t="s">
        <v>47</v>
      </c>
      <c r="V1308" s="2" t="s">
        <v>77</v>
      </c>
      <c r="W1308" s="67" t="str">
        <f t="shared" si="104"/>
        <v>-</v>
      </c>
    </row>
    <row r="1309" spans="1:23" x14ac:dyDescent="0.3">
      <c r="A1309" s="4" t="s">
        <v>3247</v>
      </c>
      <c r="B1309" s="4" t="s">
        <v>637</v>
      </c>
      <c r="C1309" s="4">
        <v>9906051348</v>
      </c>
      <c r="D1309" s="4" t="s">
        <v>59</v>
      </c>
      <c r="E1309" s="4" t="s">
        <v>41</v>
      </c>
      <c r="F1309" s="4" t="s">
        <v>151</v>
      </c>
      <c r="G1309" s="4" t="s">
        <v>1599</v>
      </c>
      <c r="H1309" s="4" t="s">
        <v>2932</v>
      </c>
      <c r="I1309" s="2" t="str">
        <f t="shared" si="100"/>
        <v>Dec</v>
      </c>
      <c r="J1309" s="2">
        <f t="shared" si="101"/>
        <v>12</v>
      </c>
      <c r="K1309" s="2">
        <f t="shared" si="102"/>
        <v>2024</v>
      </c>
      <c r="L1309" s="2">
        <f t="shared" si="103"/>
        <v>4</v>
      </c>
      <c r="M1309" s="4">
        <v>10</v>
      </c>
      <c r="N1309" s="4" t="s">
        <v>3112</v>
      </c>
      <c r="O1309" s="4" t="s">
        <v>55</v>
      </c>
      <c r="P1309" s="5">
        <v>828316</v>
      </c>
      <c r="Q1309" s="4"/>
      <c r="R1309" s="4"/>
      <c r="S1309" s="4" t="s">
        <v>5573</v>
      </c>
      <c r="T1309" s="4">
        <v>41.4</v>
      </c>
      <c r="U1309" s="4" t="s">
        <v>29</v>
      </c>
      <c r="V1309" s="4" t="s">
        <v>589</v>
      </c>
      <c r="W1309" s="67" t="str">
        <f t="shared" si="104"/>
        <v>-</v>
      </c>
    </row>
    <row r="1310" spans="1:23" x14ac:dyDescent="0.3">
      <c r="A1310" s="2" t="s">
        <v>3248</v>
      </c>
      <c r="B1310" s="2" t="s">
        <v>193</v>
      </c>
      <c r="C1310" s="2">
        <v>9618912026</v>
      </c>
      <c r="D1310" s="2" t="s">
        <v>20</v>
      </c>
      <c r="E1310" s="2" t="s">
        <v>641</v>
      </c>
      <c r="F1310" s="2" t="s">
        <v>717</v>
      </c>
      <c r="G1310" s="2" t="s">
        <v>1621</v>
      </c>
      <c r="H1310" s="2" t="s">
        <v>3092</v>
      </c>
      <c r="I1310" s="2" t="str">
        <f t="shared" si="100"/>
        <v>Jan</v>
      </c>
      <c r="J1310" s="2">
        <f t="shared" si="101"/>
        <v>1</v>
      </c>
      <c r="K1310" s="2">
        <f t="shared" si="102"/>
        <v>2025</v>
      </c>
      <c r="L1310" s="2">
        <f t="shared" si="103"/>
        <v>1</v>
      </c>
      <c r="M1310" s="2">
        <v>1</v>
      </c>
      <c r="N1310" s="2" t="s">
        <v>3057</v>
      </c>
      <c r="O1310" s="2" t="s">
        <v>62</v>
      </c>
      <c r="P1310" s="3">
        <v>464366</v>
      </c>
      <c r="Q1310" s="2"/>
      <c r="R1310" s="2"/>
      <c r="S1310" s="2" t="s">
        <v>5573</v>
      </c>
      <c r="T1310" s="2">
        <v>20.5</v>
      </c>
      <c r="U1310" s="2" t="s">
        <v>47</v>
      </c>
      <c r="V1310" s="2"/>
      <c r="W1310" s="67" t="str">
        <f t="shared" si="104"/>
        <v>-</v>
      </c>
    </row>
    <row r="1311" spans="1:23" x14ac:dyDescent="0.3">
      <c r="A1311" s="8" t="s">
        <v>3249</v>
      </c>
      <c r="B1311" s="8" t="s">
        <v>1137</v>
      </c>
      <c r="C1311" s="8">
        <v>9521350588</v>
      </c>
      <c r="D1311" s="8" t="s">
        <v>59</v>
      </c>
      <c r="E1311" s="8" t="s">
        <v>641</v>
      </c>
      <c r="F1311" s="8" t="s">
        <v>717</v>
      </c>
      <c r="G1311" s="8" t="s">
        <v>87</v>
      </c>
      <c r="H1311" s="8" t="s">
        <v>2836</v>
      </c>
      <c r="I1311" s="2" t="str">
        <f t="shared" si="100"/>
        <v>Jan</v>
      </c>
      <c r="J1311" s="2">
        <f t="shared" si="101"/>
        <v>1</v>
      </c>
      <c r="K1311" s="2">
        <f t="shared" si="102"/>
        <v>2025</v>
      </c>
      <c r="L1311" s="2">
        <f t="shared" si="103"/>
        <v>1</v>
      </c>
      <c r="M1311" s="8">
        <v>10</v>
      </c>
      <c r="N1311" s="8" t="s">
        <v>3250</v>
      </c>
      <c r="O1311" s="8" t="s">
        <v>62</v>
      </c>
      <c r="P1311" s="9">
        <v>295062</v>
      </c>
      <c r="Q1311" s="8"/>
      <c r="R1311" s="8"/>
      <c r="S1311" s="8" t="s">
        <v>5573</v>
      </c>
      <c r="T1311" s="8">
        <v>32</v>
      </c>
      <c r="U1311" s="8" t="s">
        <v>47</v>
      </c>
      <c r="V1311" s="8" t="s">
        <v>183</v>
      </c>
      <c r="W1311" s="67" t="str">
        <f t="shared" si="104"/>
        <v>-</v>
      </c>
    </row>
    <row r="1312" spans="1:23" x14ac:dyDescent="0.3">
      <c r="A1312" s="8" t="s">
        <v>3251</v>
      </c>
      <c r="B1312" s="8" t="s">
        <v>2351</v>
      </c>
      <c r="C1312" s="8">
        <v>9484932777</v>
      </c>
      <c r="D1312" s="8" t="s">
        <v>121</v>
      </c>
      <c r="E1312" s="8" t="s">
        <v>73</v>
      </c>
      <c r="F1312" s="8" t="s">
        <v>126</v>
      </c>
      <c r="G1312" s="8" t="s">
        <v>69</v>
      </c>
      <c r="H1312" s="8" t="s">
        <v>2836</v>
      </c>
      <c r="I1312" s="2" t="str">
        <f t="shared" si="100"/>
        <v>Jan</v>
      </c>
      <c r="J1312" s="2">
        <f t="shared" si="101"/>
        <v>1</v>
      </c>
      <c r="K1312" s="2">
        <f t="shared" si="102"/>
        <v>2025</v>
      </c>
      <c r="L1312" s="2">
        <f t="shared" si="103"/>
        <v>1</v>
      </c>
      <c r="M1312" s="8"/>
      <c r="N1312" s="8" t="s">
        <v>3082</v>
      </c>
      <c r="O1312" s="8" t="s">
        <v>62</v>
      </c>
      <c r="P1312" s="9">
        <v>323670</v>
      </c>
      <c r="Q1312" s="8"/>
      <c r="R1312" s="8"/>
      <c r="S1312" s="8" t="s">
        <v>5573</v>
      </c>
      <c r="T1312" s="8">
        <v>19.100000000000001</v>
      </c>
      <c r="U1312" s="8" t="s">
        <v>63</v>
      </c>
      <c r="V1312" s="8" t="s">
        <v>64</v>
      </c>
      <c r="W1312" s="67" t="str">
        <f t="shared" si="104"/>
        <v>-</v>
      </c>
    </row>
    <row r="1313" spans="1:23" x14ac:dyDescent="0.3">
      <c r="A1313" s="4" t="s">
        <v>3252</v>
      </c>
      <c r="B1313" s="4" t="s">
        <v>970</v>
      </c>
      <c r="C1313" s="4">
        <v>9970184304</v>
      </c>
      <c r="D1313" s="4" t="s">
        <v>20</v>
      </c>
      <c r="E1313" s="4" t="s">
        <v>648</v>
      </c>
      <c r="F1313" s="4" t="s">
        <v>899</v>
      </c>
      <c r="G1313" s="4" t="s">
        <v>1599</v>
      </c>
      <c r="H1313" s="4" t="s">
        <v>2836</v>
      </c>
      <c r="I1313" s="2" t="str">
        <f t="shared" si="100"/>
        <v>Jan</v>
      </c>
      <c r="J1313" s="2">
        <f t="shared" si="101"/>
        <v>1</v>
      </c>
      <c r="K1313" s="2">
        <f t="shared" si="102"/>
        <v>2025</v>
      </c>
      <c r="L1313" s="2">
        <f t="shared" si="103"/>
        <v>1</v>
      </c>
      <c r="M1313" s="4">
        <v>1</v>
      </c>
      <c r="N1313" s="4" t="s">
        <v>3203</v>
      </c>
      <c r="O1313" s="4" t="s">
        <v>45</v>
      </c>
      <c r="P1313" s="5">
        <v>641530</v>
      </c>
      <c r="Q1313" s="4"/>
      <c r="R1313" s="4"/>
      <c r="S1313" s="4" t="s">
        <v>5573</v>
      </c>
      <c r="T1313" s="4">
        <v>14.6</v>
      </c>
      <c r="U1313" s="4" t="s">
        <v>47</v>
      </c>
      <c r="V1313" s="4" t="s">
        <v>77</v>
      </c>
      <c r="W1313" s="67" t="str">
        <f t="shared" si="104"/>
        <v>-</v>
      </c>
    </row>
    <row r="1314" spans="1:23" x14ac:dyDescent="0.3">
      <c r="A1314" s="6" t="s">
        <v>3253</v>
      </c>
      <c r="B1314" s="6" t="s">
        <v>3254</v>
      </c>
      <c r="C1314" s="6">
        <v>9330818526</v>
      </c>
      <c r="D1314" s="6" t="s">
        <v>20</v>
      </c>
      <c r="E1314" s="6" t="s">
        <v>641</v>
      </c>
      <c r="F1314" s="6" t="s">
        <v>717</v>
      </c>
      <c r="G1314" s="6" t="s">
        <v>60</v>
      </c>
      <c r="H1314" s="6" t="s">
        <v>3190</v>
      </c>
      <c r="I1314" s="2" t="str">
        <f t="shared" si="100"/>
        <v>Jan</v>
      </c>
      <c r="J1314" s="2">
        <f t="shared" si="101"/>
        <v>1</v>
      </c>
      <c r="K1314" s="2">
        <f t="shared" si="102"/>
        <v>2025</v>
      </c>
      <c r="L1314" s="2">
        <f t="shared" si="103"/>
        <v>1</v>
      </c>
      <c r="M1314" s="6">
        <v>2</v>
      </c>
      <c r="N1314" s="6" t="s">
        <v>3053</v>
      </c>
      <c r="O1314" s="6" t="s">
        <v>97</v>
      </c>
      <c r="P1314" s="7">
        <v>164754</v>
      </c>
      <c r="Q1314" s="7">
        <v>167471</v>
      </c>
      <c r="R1314" s="6" t="s">
        <v>3115</v>
      </c>
      <c r="S1314" s="6" t="s">
        <v>5573</v>
      </c>
      <c r="T1314" s="6">
        <v>6</v>
      </c>
      <c r="U1314" s="6" t="s">
        <v>63</v>
      </c>
      <c r="V1314" s="6" t="s">
        <v>170</v>
      </c>
      <c r="W1314" s="67" t="str">
        <f t="shared" si="104"/>
        <v>Customer</v>
      </c>
    </row>
    <row r="1315" spans="1:23" x14ac:dyDescent="0.3">
      <c r="A1315" s="4" t="s">
        <v>3255</v>
      </c>
      <c r="B1315" s="4" t="s">
        <v>995</v>
      </c>
      <c r="C1315" s="4"/>
      <c r="D1315" s="4" t="s">
        <v>20</v>
      </c>
      <c r="E1315" s="4" t="s">
        <v>1632</v>
      </c>
      <c r="F1315" s="4" t="s">
        <v>1659</v>
      </c>
      <c r="G1315" s="4" t="s">
        <v>1677</v>
      </c>
      <c r="H1315" s="4" t="s">
        <v>3190</v>
      </c>
      <c r="I1315" s="2" t="str">
        <f t="shared" si="100"/>
        <v>Jan</v>
      </c>
      <c r="J1315" s="2">
        <f t="shared" si="101"/>
        <v>1</v>
      </c>
      <c r="K1315" s="2">
        <f t="shared" si="102"/>
        <v>2025</v>
      </c>
      <c r="L1315" s="2">
        <f t="shared" si="103"/>
        <v>1</v>
      </c>
      <c r="M1315" s="4">
        <v>2</v>
      </c>
      <c r="N1315" s="4" t="s">
        <v>3161</v>
      </c>
      <c r="O1315" s="4" t="s">
        <v>27</v>
      </c>
      <c r="P1315" s="5">
        <v>1431979</v>
      </c>
      <c r="Q1315" s="4"/>
      <c r="R1315" s="4"/>
      <c r="S1315" s="4" t="s">
        <v>5573</v>
      </c>
      <c r="T1315" s="4">
        <v>26.4</v>
      </c>
      <c r="U1315" s="4" t="s">
        <v>29</v>
      </c>
      <c r="V1315" s="4" t="s">
        <v>1685</v>
      </c>
      <c r="W1315" s="67" t="str">
        <f t="shared" si="104"/>
        <v>-</v>
      </c>
    </row>
    <row r="1316" spans="1:23" x14ac:dyDescent="0.3">
      <c r="A1316" s="6" t="s">
        <v>3256</v>
      </c>
      <c r="B1316" s="6" t="s">
        <v>1454</v>
      </c>
      <c r="C1316" s="6">
        <v>9610960165</v>
      </c>
      <c r="D1316" s="6" t="s">
        <v>51</v>
      </c>
      <c r="E1316" s="6" t="s">
        <v>41</v>
      </c>
      <c r="F1316" s="6" t="s">
        <v>151</v>
      </c>
      <c r="G1316" s="6" t="s">
        <v>1609</v>
      </c>
      <c r="H1316" s="6" t="s">
        <v>3190</v>
      </c>
      <c r="I1316" s="2" t="str">
        <f t="shared" si="100"/>
        <v>Jan</v>
      </c>
      <c r="J1316" s="2">
        <f t="shared" si="101"/>
        <v>1</v>
      </c>
      <c r="K1316" s="2">
        <f t="shared" si="102"/>
        <v>2025</v>
      </c>
      <c r="L1316" s="2">
        <f t="shared" si="103"/>
        <v>1</v>
      </c>
      <c r="M1316" s="6">
        <v>12</v>
      </c>
      <c r="N1316" s="6" t="s">
        <v>3257</v>
      </c>
      <c r="O1316" s="6" t="s">
        <v>97</v>
      </c>
      <c r="P1316" s="7">
        <v>415815</v>
      </c>
      <c r="Q1316" s="7">
        <v>374882</v>
      </c>
      <c r="R1316" s="6" t="s">
        <v>3258</v>
      </c>
      <c r="S1316" s="6" t="s">
        <v>5573</v>
      </c>
      <c r="T1316" s="6">
        <v>19.7</v>
      </c>
      <c r="U1316" s="6" t="s">
        <v>63</v>
      </c>
      <c r="V1316" s="6" t="s">
        <v>907</v>
      </c>
      <c r="W1316" s="67" t="str">
        <f t="shared" si="104"/>
        <v>Architect</v>
      </c>
    </row>
    <row r="1317" spans="1:23" x14ac:dyDescent="0.3">
      <c r="A1317" s="6" t="s">
        <v>3259</v>
      </c>
      <c r="B1317" s="6" t="s">
        <v>3260</v>
      </c>
      <c r="C1317" s="6">
        <v>9351994837</v>
      </c>
      <c r="D1317" s="6" t="s">
        <v>108</v>
      </c>
      <c r="E1317" s="6" t="s">
        <v>1632</v>
      </c>
      <c r="F1317" s="6" t="s">
        <v>1659</v>
      </c>
      <c r="G1317" s="6" t="s">
        <v>60</v>
      </c>
      <c r="H1317" s="6" t="s">
        <v>3120</v>
      </c>
      <c r="I1317" s="2" t="str">
        <f t="shared" si="100"/>
        <v>Jan</v>
      </c>
      <c r="J1317" s="2">
        <f t="shared" si="101"/>
        <v>1</v>
      </c>
      <c r="K1317" s="2">
        <f t="shared" si="102"/>
        <v>2025</v>
      </c>
      <c r="L1317" s="2">
        <f t="shared" si="103"/>
        <v>1</v>
      </c>
      <c r="M1317" s="6">
        <v>12</v>
      </c>
      <c r="N1317" s="6" t="s">
        <v>3261</v>
      </c>
      <c r="O1317" s="6" t="s">
        <v>97</v>
      </c>
      <c r="P1317" s="7">
        <v>256583</v>
      </c>
      <c r="Q1317" s="7">
        <v>235856</v>
      </c>
      <c r="R1317" s="6" t="s">
        <v>3262</v>
      </c>
      <c r="S1317" s="6" t="s">
        <v>5573</v>
      </c>
      <c r="T1317" s="6">
        <v>28.6</v>
      </c>
      <c r="U1317" s="6" t="s">
        <v>63</v>
      </c>
      <c r="V1317" s="6" t="s">
        <v>99</v>
      </c>
      <c r="W1317" s="67" t="str">
        <f t="shared" si="104"/>
        <v>Customer</v>
      </c>
    </row>
    <row r="1318" spans="1:23" x14ac:dyDescent="0.3">
      <c r="A1318" s="2" t="s">
        <v>3263</v>
      </c>
      <c r="B1318" s="2" t="s">
        <v>120</v>
      </c>
      <c r="C1318" s="2">
        <v>9409276438</v>
      </c>
      <c r="D1318" s="2" t="s">
        <v>20</v>
      </c>
      <c r="E1318" s="2" t="s">
        <v>1632</v>
      </c>
      <c r="F1318" s="2" t="s">
        <v>1849</v>
      </c>
      <c r="G1318" s="2" t="s">
        <v>23</v>
      </c>
      <c r="H1318" s="2" t="s">
        <v>3120</v>
      </c>
      <c r="I1318" s="2" t="str">
        <f t="shared" si="100"/>
        <v>Jan</v>
      </c>
      <c r="J1318" s="2">
        <f t="shared" si="101"/>
        <v>1</v>
      </c>
      <c r="K1318" s="2">
        <f t="shared" si="102"/>
        <v>2025</v>
      </c>
      <c r="L1318" s="2">
        <f t="shared" si="103"/>
        <v>1</v>
      </c>
      <c r="M1318" s="2">
        <v>6</v>
      </c>
      <c r="N1318" s="2" t="s">
        <v>3193</v>
      </c>
      <c r="O1318" s="2" t="s">
        <v>45</v>
      </c>
      <c r="P1318" s="3">
        <v>546605</v>
      </c>
      <c r="Q1318" s="2"/>
      <c r="R1318" s="2"/>
      <c r="S1318" s="2" t="s">
        <v>5573</v>
      </c>
      <c r="T1318" s="2">
        <v>5.7</v>
      </c>
      <c r="U1318" s="2" t="s">
        <v>47</v>
      </c>
      <c r="V1318" s="2" t="s">
        <v>77</v>
      </c>
      <c r="W1318" s="67" t="str">
        <f t="shared" si="104"/>
        <v>-</v>
      </c>
    </row>
    <row r="1319" spans="1:23" x14ac:dyDescent="0.3">
      <c r="A1319" s="4" t="s">
        <v>3265</v>
      </c>
      <c r="B1319" s="4" t="s">
        <v>2883</v>
      </c>
      <c r="C1319" s="4">
        <v>9491304548</v>
      </c>
      <c r="D1319" s="4" t="s">
        <v>20</v>
      </c>
      <c r="E1319" s="4" t="s">
        <v>641</v>
      </c>
      <c r="F1319" s="4" t="s">
        <v>642</v>
      </c>
      <c r="G1319" s="4" t="s">
        <v>1677</v>
      </c>
      <c r="H1319" s="4" t="s">
        <v>3158</v>
      </c>
      <c r="I1319" s="2" t="str">
        <f t="shared" si="100"/>
        <v>Jan</v>
      </c>
      <c r="J1319" s="2">
        <f t="shared" si="101"/>
        <v>1</v>
      </c>
      <c r="K1319" s="2">
        <f t="shared" si="102"/>
        <v>2025</v>
      </c>
      <c r="L1319" s="2">
        <f t="shared" si="103"/>
        <v>1</v>
      </c>
      <c r="M1319" s="4">
        <v>6</v>
      </c>
      <c r="N1319" s="4" t="s">
        <v>3250</v>
      </c>
      <c r="O1319" s="4" t="s">
        <v>45</v>
      </c>
      <c r="P1319" s="5">
        <v>1319240</v>
      </c>
      <c r="Q1319" s="4"/>
      <c r="R1319" s="4"/>
      <c r="S1319" s="4" t="s">
        <v>5573</v>
      </c>
      <c r="T1319" s="4">
        <v>19.3</v>
      </c>
      <c r="U1319" s="4" t="s">
        <v>63</v>
      </c>
      <c r="V1319" s="4" t="s">
        <v>668</v>
      </c>
      <c r="W1319" s="67" t="str">
        <f t="shared" si="104"/>
        <v>-</v>
      </c>
    </row>
    <row r="1320" spans="1:23" x14ac:dyDescent="0.3">
      <c r="A1320" s="2" t="s">
        <v>3267</v>
      </c>
      <c r="B1320" s="2" t="s">
        <v>3268</v>
      </c>
      <c r="C1320" s="2"/>
      <c r="D1320" s="2" t="s">
        <v>20</v>
      </c>
      <c r="E1320" s="2" t="s">
        <v>73</v>
      </c>
      <c r="F1320" s="2" t="s">
        <v>126</v>
      </c>
      <c r="G1320" s="2" t="s">
        <v>60</v>
      </c>
      <c r="H1320" s="2" t="s">
        <v>3158</v>
      </c>
      <c r="I1320" s="2" t="str">
        <f t="shared" si="100"/>
        <v>Jan</v>
      </c>
      <c r="J1320" s="2">
        <f t="shared" si="101"/>
        <v>1</v>
      </c>
      <c r="K1320" s="2">
        <f t="shared" si="102"/>
        <v>2025</v>
      </c>
      <c r="L1320" s="2">
        <f t="shared" si="103"/>
        <v>1</v>
      </c>
      <c r="M1320" s="2">
        <v>1</v>
      </c>
      <c r="N1320" s="2" t="s">
        <v>3095</v>
      </c>
      <c r="O1320" s="2" t="s">
        <v>55</v>
      </c>
      <c r="P1320" s="3">
        <v>189108</v>
      </c>
      <c r="Q1320" s="2"/>
      <c r="R1320" s="2"/>
      <c r="S1320" s="2" t="s">
        <v>5573</v>
      </c>
      <c r="T1320" s="2">
        <v>31.3</v>
      </c>
      <c r="U1320" s="2" t="s">
        <v>47</v>
      </c>
      <c r="V1320" s="2" t="s">
        <v>140</v>
      </c>
      <c r="W1320" s="67" t="str">
        <f t="shared" si="104"/>
        <v>-</v>
      </c>
    </row>
    <row r="1321" spans="1:23" x14ac:dyDescent="0.3">
      <c r="A1321" s="6" t="s">
        <v>3269</v>
      </c>
      <c r="B1321" s="6" t="s">
        <v>3270</v>
      </c>
      <c r="C1321" s="6">
        <v>9399082069</v>
      </c>
      <c r="D1321" s="6" t="s">
        <v>108</v>
      </c>
      <c r="E1321" s="6" t="s">
        <v>109</v>
      </c>
      <c r="F1321" s="6" t="s">
        <v>217</v>
      </c>
      <c r="G1321" s="6" t="s">
        <v>87</v>
      </c>
      <c r="H1321" s="6" t="s">
        <v>3158</v>
      </c>
      <c r="I1321" s="2" t="str">
        <f t="shared" si="100"/>
        <v>Jan</v>
      </c>
      <c r="J1321" s="2">
        <f t="shared" si="101"/>
        <v>1</v>
      </c>
      <c r="K1321" s="2">
        <f t="shared" si="102"/>
        <v>2025</v>
      </c>
      <c r="L1321" s="2">
        <f t="shared" si="103"/>
        <v>1</v>
      </c>
      <c r="M1321" s="6">
        <v>7</v>
      </c>
      <c r="N1321" s="6" t="s">
        <v>3271</v>
      </c>
      <c r="O1321" s="6" t="s">
        <v>97</v>
      </c>
      <c r="P1321" s="7">
        <v>266800</v>
      </c>
      <c r="Q1321" s="7">
        <v>258046</v>
      </c>
      <c r="R1321" s="6" t="s">
        <v>3272</v>
      </c>
      <c r="S1321" s="6" t="s">
        <v>5573</v>
      </c>
      <c r="T1321" s="6">
        <v>26.3</v>
      </c>
      <c r="U1321" s="6" t="s">
        <v>63</v>
      </c>
      <c r="V1321" s="6" t="s">
        <v>295</v>
      </c>
      <c r="W1321" s="67" t="str">
        <f t="shared" si="104"/>
        <v>Customer</v>
      </c>
    </row>
    <row r="1322" spans="1:23" x14ac:dyDescent="0.3">
      <c r="A1322" s="2" t="s">
        <v>3273</v>
      </c>
      <c r="B1322" s="2" t="s">
        <v>3274</v>
      </c>
      <c r="C1322" s="2"/>
      <c r="D1322" s="2" t="s">
        <v>20</v>
      </c>
      <c r="E1322" s="2" t="s">
        <v>648</v>
      </c>
      <c r="F1322" s="2" t="s">
        <v>899</v>
      </c>
      <c r="G1322" s="2" t="s">
        <v>643</v>
      </c>
      <c r="H1322" s="2" t="s">
        <v>3018</v>
      </c>
      <c r="I1322" s="2" t="str">
        <f t="shared" si="100"/>
        <v>Jan</v>
      </c>
      <c r="J1322" s="2">
        <f t="shared" si="101"/>
        <v>1</v>
      </c>
      <c r="K1322" s="2">
        <f t="shared" si="102"/>
        <v>2025</v>
      </c>
      <c r="L1322" s="2">
        <f t="shared" si="103"/>
        <v>1</v>
      </c>
      <c r="M1322" s="2">
        <v>3</v>
      </c>
      <c r="N1322" s="2" t="s">
        <v>3115</v>
      </c>
      <c r="O1322" s="2" t="s">
        <v>27</v>
      </c>
      <c r="P1322" s="3">
        <v>748080</v>
      </c>
      <c r="Q1322" s="2"/>
      <c r="R1322" s="2"/>
      <c r="S1322" s="2" t="s">
        <v>5573</v>
      </c>
      <c r="T1322" s="2">
        <v>20.7</v>
      </c>
      <c r="U1322" s="2" t="s">
        <v>29</v>
      </c>
      <c r="V1322" s="2" t="s">
        <v>2054</v>
      </c>
      <c r="W1322" s="67" t="str">
        <f t="shared" si="104"/>
        <v>-</v>
      </c>
    </row>
    <row r="1323" spans="1:23" x14ac:dyDescent="0.3">
      <c r="A1323" s="4" t="s">
        <v>3275</v>
      </c>
      <c r="B1323" s="4" t="s">
        <v>3276</v>
      </c>
      <c r="C1323" s="4">
        <v>9422023734</v>
      </c>
      <c r="D1323" s="4" t="s">
        <v>20</v>
      </c>
      <c r="E1323" s="4" t="s">
        <v>41</v>
      </c>
      <c r="F1323" s="4" t="s">
        <v>86</v>
      </c>
      <c r="G1323" s="4" t="s">
        <v>52</v>
      </c>
      <c r="H1323" s="4" t="s">
        <v>3018</v>
      </c>
      <c r="I1323" s="2" t="str">
        <f t="shared" si="100"/>
        <v>Jan</v>
      </c>
      <c r="J1323" s="2">
        <f t="shared" si="101"/>
        <v>1</v>
      </c>
      <c r="K1323" s="2">
        <f t="shared" si="102"/>
        <v>2025</v>
      </c>
      <c r="L1323" s="2">
        <f t="shared" si="103"/>
        <v>1</v>
      </c>
      <c r="M1323" s="4">
        <v>4</v>
      </c>
      <c r="N1323" s="4" t="s">
        <v>3161</v>
      </c>
      <c r="O1323" s="4" t="s">
        <v>45</v>
      </c>
      <c r="P1323" s="5">
        <v>191656</v>
      </c>
      <c r="Q1323" s="4"/>
      <c r="R1323" s="4"/>
      <c r="S1323" s="4" t="s">
        <v>5573</v>
      </c>
      <c r="T1323" s="4">
        <v>6.8</v>
      </c>
      <c r="U1323" s="4" t="s">
        <v>47</v>
      </c>
      <c r="V1323" s="4" t="s">
        <v>310</v>
      </c>
      <c r="W1323" s="67" t="str">
        <f t="shared" si="104"/>
        <v>-</v>
      </c>
    </row>
    <row r="1324" spans="1:23" x14ac:dyDescent="0.3">
      <c r="A1324" s="8" t="s">
        <v>3277</v>
      </c>
      <c r="B1324" s="8" t="s">
        <v>938</v>
      </c>
      <c r="C1324" s="8">
        <v>9716186261</v>
      </c>
      <c r="D1324" s="8" t="s">
        <v>108</v>
      </c>
      <c r="E1324" s="8" t="s">
        <v>41</v>
      </c>
      <c r="F1324" s="8" t="s">
        <v>86</v>
      </c>
      <c r="G1324" s="8" t="s">
        <v>52</v>
      </c>
      <c r="H1324" s="8" t="s">
        <v>3018</v>
      </c>
      <c r="I1324" s="2" t="str">
        <f t="shared" si="100"/>
        <v>Jan</v>
      </c>
      <c r="J1324" s="2">
        <f t="shared" si="101"/>
        <v>1</v>
      </c>
      <c r="K1324" s="2">
        <f t="shared" si="102"/>
        <v>2025</v>
      </c>
      <c r="L1324" s="2">
        <f t="shared" si="103"/>
        <v>1</v>
      </c>
      <c r="M1324" s="8">
        <v>1</v>
      </c>
      <c r="N1324" s="8" t="s">
        <v>3225</v>
      </c>
      <c r="O1324" s="8" t="s">
        <v>62</v>
      </c>
      <c r="P1324" s="9">
        <v>350316</v>
      </c>
      <c r="Q1324" s="8"/>
      <c r="R1324" s="8"/>
      <c r="S1324" s="8" t="s">
        <v>5573</v>
      </c>
      <c r="T1324" s="8"/>
      <c r="U1324" s="8" t="s">
        <v>47</v>
      </c>
      <c r="V1324" s="8" t="s">
        <v>597</v>
      </c>
      <c r="W1324" s="67" t="str">
        <f t="shared" si="104"/>
        <v>-</v>
      </c>
    </row>
    <row r="1325" spans="1:23" x14ac:dyDescent="0.3">
      <c r="A1325" s="6" t="s">
        <v>3278</v>
      </c>
      <c r="B1325" s="6" t="s">
        <v>1487</v>
      </c>
      <c r="C1325" s="6">
        <v>9498126059</v>
      </c>
      <c r="D1325" s="6" t="s">
        <v>20</v>
      </c>
      <c r="E1325" s="6" t="s">
        <v>41</v>
      </c>
      <c r="F1325" s="6" t="s">
        <v>86</v>
      </c>
      <c r="G1325" s="6" t="s">
        <v>1677</v>
      </c>
      <c r="H1325" s="6" t="s">
        <v>3266</v>
      </c>
      <c r="I1325" s="2" t="str">
        <f t="shared" si="100"/>
        <v>Jan</v>
      </c>
      <c r="J1325" s="2">
        <f t="shared" si="101"/>
        <v>1</v>
      </c>
      <c r="K1325" s="2">
        <f t="shared" si="102"/>
        <v>2025</v>
      </c>
      <c r="L1325" s="2">
        <f t="shared" si="103"/>
        <v>1</v>
      </c>
      <c r="M1325" s="6">
        <v>3</v>
      </c>
      <c r="N1325" s="6" t="s">
        <v>3108</v>
      </c>
      <c r="O1325" s="6" t="s">
        <v>97</v>
      </c>
      <c r="P1325" s="7">
        <v>1117456</v>
      </c>
      <c r="Q1325" s="7">
        <v>1018982</v>
      </c>
      <c r="R1325" s="6" t="s">
        <v>3279</v>
      </c>
      <c r="S1325" s="6" t="s">
        <v>5573</v>
      </c>
      <c r="T1325" s="6">
        <v>13.9</v>
      </c>
      <c r="U1325" s="6" t="s">
        <v>63</v>
      </c>
      <c r="V1325" s="6" t="s">
        <v>113</v>
      </c>
      <c r="W1325" s="67" t="str">
        <f t="shared" si="104"/>
        <v>Customer</v>
      </c>
    </row>
    <row r="1326" spans="1:23" x14ac:dyDescent="0.3">
      <c r="A1326" s="2" t="s">
        <v>3280</v>
      </c>
      <c r="B1326" s="2" t="s">
        <v>3029</v>
      </c>
      <c r="C1326" s="2">
        <v>9442890573</v>
      </c>
      <c r="D1326" s="2" t="s">
        <v>59</v>
      </c>
      <c r="E1326" s="2" t="s">
        <v>641</v>
      </c>
      <c r="F1326" s="2" t="s">
        <v>727</v>
      </c>
      <c r="G1326" s="2" t="s">
        <v>1621</v>
      </c>
      <c r="H1326" s="2" t="s">
        <v>3266</v>
      </c>
      <c r="I1326" s="2" t="str">
        <f t="shared" si="100"/>
        <v>Jan</v>
      </c>
      <c r="J1326" s="2">
        <f t="shared" si="101"/>
        <v>1</v>
      </c>
      <c r="K1326" s="2">
        <f t="shared" si="102"/>
        <v>2025</v>
      </c>
      <c r="L1326" s="2">
        <f t="shared" si="103"/>
        <v>1</v>
      </c>
      <c r="M1326" s="2">
        <v>4</v>
      </c>
      <c r="N1326" s="2" t="s">
        <v>3128</v>
      </c>
      <c r="O1326" s="2" t="s">
        <v>45</v>
      </c>
      <c r="P1326" s="3">
        <v>318047</v>
      </c>
      <c r="Q1326" s="2"/>
      <c r="R1326" s="2"/>
      <c r="S1326" s="2" t="s">
        <v>5573</v>
      </c>
      <c r="T1326" s="2">
        <v>21.4</v>
      </c>
      <c r="U1326" s="2" t="s">
        <v>47</v>
      </c>
      <c r="V1326" s="2" t="s">
        <v>137</v>
      </c>
      <c r="W1326" s="67" t="str">
        <f t="shared" si="104"/>
        <v>-</v>
      </c>
    </row>
    <row r="1327" spans="1:23" x14ac:dyDescent="0.3">
      <c r="A1327" s="4" t="s">
        <v>3281</v>
      </c>
      <c r="B1327" s="4" t="s">
        <v>3282</v>
      </c>
      <c r="C1327" s="4">
        <v>9785883028</v>
      </c>
      <c r="D1327" s="4" t="s">
        <v>51</v>
      </c>
      <c r="E1327" s="4" t="s">
        <v>648</v>
      </c>
      <c r="F1327" s="4" t="s">
        <v>649</v>
      </c>
      <c r="G1327" s="4" t="s">
        <v>23</v>
      </c>
      <c r="H1327" s="4" t="s">
        <v>3266</v>
      </c>
      <c r="I1327" s="2" t="str">
        <f t="shared" si="100"/>
        <v>Jan</v>
      </c>
      <c r="J1327" s="2">
        <f t="shared" si="101"/>
        <v>1</v>
      </c>
      <c r="K1327" s="2">
        <f t="shared" si="102"/>
        <v>2025</v>
      </c>
      <c r="L1327" s="2">
        <f t="shared" si="103"/>
        <v>1</v>
      </c>
      <c r="M1327" s="4">
        <v>4</v>
      </c>
      <c r="N1327" s="4" t="s">
        <v>3225</v>
      </c>
      <c r="O1327" s="4" t="s">
        <v>62</v>
      </c>
      <c r="P1327" s="5">
        <v>633461</v>
      </c>
      <c r="Q1327" s="4"/>
      <c r="R1327" s="4"/>
      <c r="S1327" s="4" t="s">
        <v>5573</v>
      </c>
      <c r="T1327" s="4">
        <v>8.6999999999999993</v>
      </c>
      <c r="U1327" s="4" t="s">
        <v>47</v>
      </c>
      <c r="V1327" s="4" t="s">
        <v>487</v>
      </c>
      <c r="W1327" s="67" t="str">
        <f t="shared" si="104"/>
        <v>-</v>
      </c>
    </row>
    <row r="1328" spans="1:23" x14ac:dyDescent="0.3">
      <c r="A1328" s="2" t="s">
        <v>3283</v>
      </c>
      <c r="B1328" s="2" t="s">
        <v>3284</v>
      </c>
      <c r="C1328" s="2">
        <v>9221420441</v>
      </c>
      <c r="D1328" s="2" t="s">
        <v>108</v>
      </c>
      <c r="E1328" s="2" t="s">
        <v>109</v>
      </c>
      <c r="F1328" s="2" t="s">
        <v>217</v>
      </c>
      <c r="G1328" s="2" t="s">
        <v>52</v>
      </c>
      <c r="H1328" s="2" t="s">
        <v>3266</v>
      </c>
      <c r="I1328" s="2" t="str">
        <f t="shared" si="100"/>
        <v>Jan</v>
      </c>
      <c r="J1328" s="2">
        <f t="shared" si="101"/>
        <v>1</v>
      </c>
      <c r="K1328" s="2">
        <f t="shared" si="102"/>
        <v>2025</v>
      </c>
      <c r="L1328" s="2">
        <f t="shared" si="103"/>
        <v>1</v>
      </c>
      <c r="M1328" s="2">
        <v>2</v>
      </c>
      <c r="N1328" s="2" t="s">
        <v>3225</v>
      </c>
      <c r="O1328" s="2" t="s">
        <v>62</v>
      </c>
      <c r="P1328" s="3">
        <v>339468</v>
      </c>
      <c r="Q1328" s="2"/>
      <c r="R1328" s="2"/>
      <c r="S1328" s="2" t="s">
        <v>5573</v>
      </c>
      <c r="T1328" s="2">
        <v>26.4</v>
      </c>
      <c r="U1328" s="2" t="s">
        <v>29</v>
      </c>
      <c r="V1328" s="2" t="s">
        <v>389</v>
      </c>
      <c r="W1328" s="67" t="str">
        <f t="shared" si="104"/>
        <v>-</v>
      </c>
    </row>
    <row r="1329" spans="1:23" x14ac:dyDescent="0.3">
      <c r="A1329" s="4" t="s">
        <v>3285</v>
      </c>
      <c r="B1329" s="4" t="s">
        <v>278</v>
      </c>
      <c r="C1329" s="4">
        <v>9398985184</v>
      </c>
      <c r="D1329" s="4" t="s">
        <v>121</v>
      </c>
      <c r="E1329" s="4" t="s">
        <v>21</v>
      </c>
      <c r="F1329" s="4" t="s">
        <v>160</v>
      </c>
      <c r="G1329" s="4" t="s">
        <v>1599</v>
      </c>
      <c r="H1329" s="4" t="s">
        <v>3264</v>
      </c>
      <c r="I1329" s="2" t="str">
        <f t="shared" si="100"/>
        <v>Jan</v>
      </c>
      <c r="J1329" s="2">
        <f t="shared" si="101"/>
        <v>1</v>
      </c>
      <c r="K1329" s="2">
        <f t="shared" si="102"/>
        <v>2025</v>
      </c>
      <c r="L1329" s="2">
        <f t="shared" si="103"/>
        <v>1</v>
      </c>
      <c r="M1329" s="4">
        <v>9</v>
      </c>
      <c r="N1329" s="4" t="s">
        <v>3272</v>
      </c>
      <c r="O1329" s="4" t="s">
        <v>27</v>
      </c>
      <c r="P1329" s="5">
        <v>583239</v>
      </c>
      <c r="Q1329" s="4"/>
      <c r="R1329" s="4"/>
      <c r="S1329" s="4" t="s">
        <v>5573</v>
      </c>
      <c r="T1329" s="4">
        <v>31.3</v>
      </c>
      <c r="U1329" s="4" t="s">
        <v>29</v>
      </c>
      <c r="V1329" s="4" t="s">
        <v>38</v>
      </c>
      <c r="W1329" s="67" t="str">
        <f t="shared" si="104"/>
        <v>-</v>
      </c>
    </row>
    <row r="1330" spans="1:23" x14ac:dyDescent="0.3">
      <c r="A1330" s="6" t="s">
        <v>3286</v>
      </c>
      <c r="B1330" s="6" t="s">
        <v>3287</v>
      </c>
      <c r="C1330" s="6">
        <v>9207168313</v>
      </c>
      <c r="D1330" s="6" t="s">
        <v>20</v>
      </c>
      <c r="E1330" s="6" t="s">
        <v>1632</v>
      </c>
      <c r="F1330" s="6" t="s">
        <v>1849</v>
      </c>
      <c r="G1330" s="6" t="s">
        <v>643</v>
      </c>
      <c r="H1330" s="6" t="s">
        <v>3184</v>
      </c>
      <c r="I1330" s="2" t="str">
        <f t="shared" si="100"/>
        <v>Jan</v>
      </c>
      <c r="J1330" s="2">
        <f t="shared" si="101"/>
        <v>1</v>
      </c>
      <c r="K1330" s="2">
        <f t="shared" si="102"/>
        <v>2025</v>
      </c>
      <c r="L1330" s="2">
        <f t="shared" si="103"/>
        <v>1</v>
      </c>
      <c r="M1330" s="6">
        <v>4</v>
      </c>
      <c r="N1330" s="6" t="s">
        <v>3128</v>
      </c>
      <c r="O1330" s="6" t="s">
        <v>97</v>
      </c>
      <c r="P1330" s="7">
        <v>831027</v>
      </c>
      <c r="Q1330" s="7">
        <v>745546</v>
      </c>
      <c r="R1330" s="6" t="s">
        <v>3073</v>
      </c>
      <c r="S1330" s="6" t="s">
        <v>5573</v>
      </c>
      <c r="T1330" s="6">
        <v>2.6</v>
      </c>
      <c r="U1330" s="6" t="s">
        <v>63</v>
      </c>
      <c r="V1330" s="6" t="s">
        <v>341</v>
      </c>
      <c r="W1330" s="67" t="str">
        <f t="shared" si="104"/>
        <v>Customer</v>
      </c>
    </row>
    <row r="1331" spans="1:23" x14ac:dyDescent="0.3">
      <c r="A1331" s="4" t="s">
        <v>3288</v>
      </c>
      <c r="B1331" s="4" t="s">
        <v>795</v>
      </c>
      <c r="C1331" s="4">
        <v>9383782986</v>
      </c>
      <c r="D1331" s="4" t="s">
        <v>20</v>
      </c>
      <c r="E1331" s="4" t="s">
        <v>1632</v>
      </c>
      <c r="F1331" s="4" t="s">
        <v>1659</v>
      </c>
      <c r="G1331" s="4" t="s">
        <v>23</v>
      </c>
      <c r="H1331" s="4" t="s">
        <v>3184</v>
      </c>
      <c r="I1331" s="2" t="str">
        <f t="shared" si="100"/>
        <v>Jan</v>
      </c>
      <c r="J1331" s="2">
        <f t="shared" si="101"/>
        <v>1</v>
      </c>
      <c r="K1331" s="2">
        <f t="shared" si="102"/>
        <v>2025</v>
      </c>
      <c r="L1331" s="2">
        <f t="shared" si="103"/>
        <v>1</v>
      </c>
      <c r="M1331" s="4">
        <v>5</v>
      </c>
      <c r="N1331" s="4" t="s">
        <v>3083</v>
      </c>
      <c r="O1331" s="4" t="s">
        <v>27</v>
      </c>
      <c r="P1331" s="5">
        <v>602731</v>
      </c>
      <c r="Q1331" s="4"/>
      <c r="R1331" s="4"/>
      <c r="S1331" s="4" t="s">
        <v>5573</v>
      </c>
      <c r="T1331" s="4">
        <v>34.200000000000003</v>
      </c>
      <c r="U1331" s="4" t="s">
        <v>29</v>
      </c>
      <c r="V1331" s="4" t="s">
        <v>118</v>
      </c>
      <c r="W1331" s="67" t="str">
        <f t="shared" si="104"/>
        <v>-</v>
      </c>
    </row>
    <row r="1332" spans="1:23" x14ac:dyDescent="0.3">
      <c r="A1332" s="8" t="s">
        <v>3289</v>
      </c>
      <c r="B1332" s="8" t="s">
        <v>2066</v>
      </c>
      <c r="C1332" s="8">
        <v>9614971107</v>
      </c>
      <c r="D1332" s="8" t="s">
        <v>59</v>
      </c>
      <c r="E1332" s="8" t="s">
        <v>33</v>
      </c>
      <c r="F1332" s="8" t="s">
        <v>34</v>
      </c>
      <c r="G1332" s="8" t="s">
        <v>616</v>
      </c>
      <c r="H1332" s="8" t="s">
        <v>3184</v>
      </c>
      <c r="I1332" s="2" t="str">
        <f t="shared" si="100"/>
        <v>Jan</v>
      </c>
      <c r="J1332" s="2">
        <f t="shared" si="101"/>
        <v>1</v>
      </c>
      <c r="K1332" s="2">
        <f t="shared" si="102"/>
        <v>2025</v>
      </c>
      <c r="L1332" s="2">
        <f t="shared" si="103"/>
        <v>1</v>
      </c>
      <c r="M1332" s="8">
        <v>10</v>
      </c>
      <c r="N1332" s="8" t="s">
        <v>3290</v>
      </c>
      <c r="O1332" s="8" t="s">
        <v>97</v>
      </c>
      <c r="P1332" s="9">
        <v>144112</v>
      </c>
      <c r="Q1332" s="9">
        <v>127942</v>
      </c>
      <c r="R1332" s="8" t="s">
        <v>3291</v>
      </c>
      <c r="S1332" s="8" t="s">
        <v>5573</v>
      </c>
      <c r="T1332" s="8">
        <v>27.4</v>
      </c>
      <c r="U1332" s="8" t="s">
        <v>63</v>
      </c>
      <c r="V1332" s="8" t="s">
        <v>295</v>
      </c>
      <c r="W1332" s="67" t="str">
        <f t="shared" si="104"/>
        <v>Customer</v>
      </c>
    </row>
    <row r="1333" spans="1:23" x14ac:dyDescent="0.3">
      <c r="A1333" s="4" t="s">
        <v>3292</v>
      </c>
      <c r="B1333" s="4" t="s">
        <v>1103</v>
      </c>
      <c r="C1333" s="4">
        <v>9297313013</v>
      </c>
      <c r="D1333" s="4" t="s">
        <v>108</v>
      </c>
      <c r="E1333" s="4" t="s">
        <v>41</v>
      </c>
      <c r="F1333" s="4" t="s">
        <v>42</v>
      </c>
      <c r="G1333" s="4" t="s">
        <v>616</v>
      </c>
      <c r="H1333" s="4" t="s">
        <v>3184</v>
      </c>
      <c r="I1333" s="2" t="str">
        <f t="shared" si="100"/>
        <v>Jan</v>
      </c>
      <c r="J1333" s="2">
        <f t="shared" si="101"/>
        <v>1</v>
      </c>
      <c r="K1333" s="2">
        <f t="shared" si="102"/>
        <v>2025</v>
      </c>
      <c r="L1333" s="2">
        <f t="shared" si="103"/>
        <v>1</v>
      </c>
      <c r="M1333" s="4">
        <v>1</v>
      </c>
      <c r="N1333" s="4" t="s">
        <v>3225</v>
      </c>
      <c r="O1333" s="4" t="s">
        <v>45</v>
      </c>
      <c r="P1333" s="5">
        <v>327150</v>
      </c>
      <c r="Q1333" s="4"/>
      <c r="R1333" s="4"/>
      <c r="S1333" s="4" t="s">
        <v>5573</v>
      </c>
      <c r="T1333" s="4">
        <v>35.6</v>
      </c>
      <c r="U1333" s="4" t="s">
        <v>63</v>
      </c>
      <c r="V1333" s="4" t="s">
        <v>221</v>
      </c>
      <c r="W1333" s="67" t="str">
        <f t="shared" si="104"/>
        <v>-</v>
      </c>
    </row>
    <row r="1334" spans="1:23" x14ac:dyDescent="0.3">
      <c r="A1334" s="6" t="s">
        <v>3293</v>
      </c>
      <c r="B1334" s="6" t="s">
        <v>1712</v>
      </c>
      <c r="C1334" s="6">
        <v>9752126276</v>
      </c>
      <c r="D1334" s="6" t="s">
        <v>108</v>
      </c>
      <c r="E1334" s="6" t="s">
        <v>1632</v>
      </c>
      <c r="F1334" s="6" t="s">
        <v>1659</v>
      </c>
      <c r="G1334" s="6" t="s">
        <v>1623</v>
      </c>
      <c r="H1334" s="6" t="s">
        <v>3184</v>
      </c>
      <c r="I1334" s="2" t="str">
        <f t="shared" si="100"/>
        <v>Jan</v>
      </c>
      <c r="J1334" s="2">
        <f t="shared" si="101"/>
        <v>1</v>
      </c>
      <c r="K1334" s="2">
        <f t="shared" si="102"/>
        <v>2025</v>
      </c>
      <c r="L1334" s="2">
        <f t="shared" si="103"/>
        <v>1</v>
      </c>
      <c r="M1334" s="6">
        <v>2</v>
      </c>
      <c r="N1334" s="6" t="s">
        <v>3128</v>
      </c>
      <c r="O1334" s="6" t="s">
        <v>97</v>
      </c>
      <c r="P1334" s="7">
        <v>246869</v>
      </c>
      <c r="Q1334" s="7">
        <v>220918</v>
      </c>
      <c r="R1334" s="6" t="s">
        <v>3294</v>
      </c>
      <c r="S1334" s="6" t="s">
        <v>5573</v>
      </c>
      <c r="T1334" s="6">
        <v>31.6</v>
      </c>
      <c r="U1334" s="6" t="s">
        <v>63</v>
      </c>
      <c r="V1334" s="6" t="s">
        <v>243</v>
      </c>
      <c r="W1334" s="67" t="str">
        <f t="shared" si="104"/>
        <v>Customer</v>
      </c>
    </row>
    <row r="1335" spans="1:23" x14ac:dyDescent="0.3">
      <c r="A1335" s="8" t="s">
        <v>3295</v>
      </c>
      <c r="B1335" s="8" t="s">
        <v>3296</v>
      </c>
      <c r="C1335" s="8">
        <v>9997031076</v>
      </c>
      <c r="D1335" s="8" t="s">
        <v>51</v>
      </c>
      <c r="E1335" s="8" t="s">
        <v>1632</v>
      </c>
      <c r="F1335" s="8" t="s">
        <v>1633</v>
      </c>
      <c r="G1335" s="8" t="s">
        <v>1623</v>
      </c>
      <c r="H1335" s="8" t="s">
        <v>3184</v>
      </c>
      <c r="I1335" s="2" t="str">
        <f t="shared" si="100"/>
        <v>Jan</v>
      </c>
      <c r="J1335" s="2">
        <f t="shared" si="101"/>
        <v>1</v>
      </c>
      <c r="K1335" s="2">
        <f t="shared" si="102"/>
        <v>2025</v>
      </c>
      <c r="L1335" s="2">
        <f t="shared" si="103"/>
        <v>1</v>
      </c>
      <c r="M1335" s="8">
        <v>6</v>
      </c>
      <c r="N1335" s="8" t="s">
        <v>3294</v>
      </c>
      <c r="O1335" s="8" t="s">
        <v>27</v>
      </c>
      <c r="P1335" s="9">
        <v>433405</v>
      </c>
      <c r="Q1335" s="8"/>
      <c r="R1335" s="8"/>
      <c r="S1335" s="8" t="s">
        <v>5573</v>
      </c>
      <c r="T1335" s="8">
        <v>5.0999999999999996</v>
      </c>
      <c r="U1335" s="8" t="s">
        <v>29</v>
      </c>
      <c r="V1335" s="8" t="s">
        <v>118</v>
      </c>
      <c r="W1335" s="67" t="str">
        <f t="shared" si="104"/>
        <v>-</v>
      </c>
    </row>
    <row r="1336" spans="1:23" x14ac:dyDescent="0.3">
      <c r="A1336" s="8" t="s">
        <v>3297</v>
      </c>
      <c r="B1336" s="8" t="s">
        <v>3282</v>
      </c>
      <c r="C1336" s="8">
        <v>9134608333</v>
      </c>
      <c r="D1336" s="8" t="s">
        <v>20</v>
      </c>
      <c r="E1336" s="8" t="s">
        <v>41</v>
      </c>
      <c r="F1336" s="8" t="s">
        <v>151</v>
      </c>
      <c r="G1336" s="8" t="s">
        <v>616</v>
      </c>
      <c r="H1336" s="8" t="s">
        <v>3184</v>
      </c>
      <c r="I1336" s="2" t="str">
        <f t="shared" si="100"/>
        <v>Jan</v>
      </c>
      <c r="J1336" s="2">
        <f t="shared" si="101"/>
        <v>1</v>
      </c>
      <c r="K1336" s="2">
        <f t="shared" si="102"/>
        <v>2025</v>
      </c>
      <c r="L1336" s="2">
        <f t="shared" si="103"/>
        <v>1</v>
      </c>
      <c r="M1336" s="8">
        <v>3</v>
      </c>
      <c r="N1336" s="8" t="s">
        <v>3108</v>
      </c>
      <c r="O1336" s="8" t="s">
        <v>45</v>
      </c>
      <c r="P1336" s="9">
        <v>261199</v>
      </c>
      <c r="Q1336" s="8"/>
      <c r="R1336" s="8"/>
      <c r="S1336" s="8" t="s">
        <v>5573</v>
      </c>
      <c r="T1336" s="8">
        <v>2.4</v>
      </c>
      <c r="U1336" s="8" t="s">
        <v>63</v>
      </c>
      <c r="V1336" s="8" t="s">
        <v>221</v>
      </c>
      <c r="W1336" s="67" t="str">
        <f t="shared" si="104"/>
        <v>-</v>
      </c>
    </row>
    <row r="1337" spans="1:23" x14ac:dyDescent="0.3">
      <c r="A1337" s="4" t="s">
        <v>3298</v>
      </c>
      <c r="B1337" s="4" t="s">
        <v>3299</v>
      </c>
      <c r="C1337" s="4">
        <v>9601929317</v>
      </c>
      <c r="D1337" s="4" t="s">
        <v>59</v>
      </c>
      <c r="E1337" s="4" t="s">
        <v>641</v>
      </c>
      <c r="F1337" s="4" t="s">
        <v>717</v>
      </c>
      <c r="G1337" s="4" t="s">
        <v>69</v>
      </c>
      <c r="H1337" s="4" t="s">
        <v>3184</v>
      </c>
      <c r="I1337" s="2" t="str">
        <f t="shared" si="100"/>
        <v>Jan</v>
      </c>
      <c r="J1337" s="2">
        <f t="shared" si="101"/>
        <v>1</v>
      </c>
      <c r="K1337" s="2">
        <f t="shared" si="102"/>
        <v>2025</v>
      </c>
      <c r="L1337" s="2">
        <f t="shared" si="103"/>
        <v>1</v>
      </c>
      <c r="M1337" s="4">
        <v>9</v>
      </c>
      <c r="N1337" s="4" t="s">
        <v>3229</v>
      </c>
      <c r="O1337" s="4" t="s">
        <v>45</v>
      </c>
      <c r="P1337" s="5">
        <v>161314</v>
      </c>
      <c r="Q1337" s="4"/>
      <c r="R1337" s="4"/>
      <c r="S1337" s="4" t="s">
        <v>5573</v>
      </c>
      <c r="T1337" s="4">
        <v>7.3</v>
      </c>
      <c r="U1337" s="4" t="s">
        <v>47</v>
      </c>
      <c r="V1337" s="4" t="s">
        <v>48</v>
      </c>
      <c r="W1337" s="67" t="str">
        <f t="shared" si="104"/>
        <v>-</v>
      </c>
    </row>
    <row r="1338" spans="1:23" x14ac:dyDescent="0.3">
      <c r="A1338" s="6" t="s">
        <v>3300</v>
      </c>
      <c r="B1338" s="6" t="s">
        <v>3301</v>
      </c>
      <c r="C1338" s="6">
        <v>9570652648</v>
      </c>
      <c r="D1338" s="6" t="s">
        <v>108</v>
      </c>
      <c r="E1338" s="6" t="s">
        <v>1632</v>
      </c>
      <c r="F1338" s="6" t="s">
        <v>1633</v>
      </c>
      <c r="G1338" s="6" t="s">
        <v>3302</v>
      </c>
      <c r="H1338" s="6" t="s">
        <v>3082</v>
      </c>
      <c r="I1338" s="2" t="str">
        <f t="shared" si="100"/>
        <v>Jan</v>
      </c>
      <c r="J1338" s="2">
        <f t="shared" si="101"/>
        <v>1</v>
      </c>
      <c r="K1338" s="2">
        <f t="shared" si="102"/>
        <v>2025</v>
      </c>
      <c r="L1338" s="2">
        <f t="shared" si="103"/>
        <v>1</v>
      </c>
      <c r="M1338" s="6">
        <v>7</v>
      </c>
      <c r="N1338" s="6" t="s">
        <v>3250</v>
      </c>
      <c r="O1338" s="6" t="s">
        <v>97</v>
      </c>
      <c r="P1338" s="7">
        <v>2118229</v>
      </c>
      <c r="Q1338" s="7">
        <v>1904658</v>
      </c>
      <c r="R1338" s="6" t="s">
        <v>3303</v>
      </c>
      <c r="S1338" s="6" t="s">
        <v>5573</v>
      </c>
      <c r="T1338" s="6">
        <v>4.0999999999999996</v>
      </c>
      <c r="U1338" s="6" t="s">
        <v>47</v>
      </c>
      <c r="V1338" s="6" t="s">
        <v>465</v>
      </c>
      <c r="W1338" s="67" t="str">
        <f t="shared" si="104"/>
        <v>Customer</v>
      </c>
    </row>
    <row r="1339" spans="1:23" x14ac:dyDescent="0.3">
      <c r="A1339" s="4" t="s">
        <v>3304</v>
      </c>
      <c r="B1339" s="4" t="s">
        <v>1541</v>
      </c>
      <c r="C1339" s="4">
        <v>9625016111</v>
      </c>
      <c r="D1339" s="4" t="s">
        <v>59</v>
      </c>
      <c r="E1339" s="4" t="s">
        <v>41</v>
      </c>
      <c r="F1339" s="4" t="s">
        <v>42</v>
      </c>
      <c r="G1339" s="4" t="s">
        <v>69</v>
      </c>
      <c r="H1339" s="4" t="s">
        <v>3082</v>
      </c>
      <c r="I1339" s="2" t="str">
        <f t="shared" si="100"/>
        <v>Jan</v>
      </c>
      <c r="J1339" s="2">
        <f t="shared" si="101"/>
        <v>1</v>
      </c>
      <c r="K1339" s="2">
        <f t="shared" si="102"/>
        <v>2025</v>
      </c>
      <c r="L1339" s="2">
        <f t="shared" si="103"/>
        <v>1</v>
      </c>
      <c r="M1339" s="4">
        <v>5</v>
      </c>
      <c r="N1339" s="4" t="s">
        <v>3146</v>
      </c>
      <c r="O1339" s="4" t="s">
        <v>45</v>
      </c>
      <c r="P1339" s="5">
        <v>402594</v>
      </c>
      <c r="Q1339" s="4"/>
      <c r="R1339" s="4"/>
      <c r="S1339" s="4" t="s">
        <v>5573</v>
      </c>
      <c r="T1339" s="4">
        <v>33.700000000000003</v>
      </c>
      <c r="U1339" s="4" t="s">
        <v>29</v>
      </c>
      <c r="V1339" s="4" t="s">
        <v>805</v>
      </c>
      <c r="W1339" s="67" t="str">
        <f t="shared" si="104"/>
        <v>-</v>
      </c>
    </row>
    <row r="1340" spans="1:23" x14ac:dyDescent="0.3">
      <c r="A1340" s="2" t="s">
        <v>3305</v>
      </c>
      <c r="B1340" s="2" t="s">
        <v>901</v>
      </c>
      <c r="C1340" s="2">
        <v>9368620831</v>
      </c>
      <c r="D1340" s="2" t="s">
        <v>59</v>
      </c>
      <c r="E1340" s="2" t="s">
        <v>41</v>
      </c>
      <c r="F1340" s="2" t="s">
        <v>42</v>
      </c>
      <c r="G1340" s="2" t="s">
        <v>1609</v>
      </c>
      <c r="H1340" s="2" t="s">
        <v>3082</v>
      </c>
      <c r="I1340" s="2" t="str">
        <f t="shared" si="100"/>
        <v>Jan</v>
      </c>
      <c r="J1340" s="2">
        <f t="shared" si="101"/>
        <v>1</v>
      </c>
      <c r="K1340" s="2">
        <f t="shared" si="102"/>
        <v>2025</v>
      </c>
      <c r="L1340" s="2">
        <f t="shared" si="103"/>
        <v>1</v>
      </c>
      <c r="M1340" s="2">
        <v>9</v>
      </c>
      <c r="N1340" s="2" t="s">
        <v>3257</v>
      </c>
      <c r="O1340" s="2" t="s">
        <v>27</v>
      </c>
      <c r="P1340" s="3">
        <v>198354</v>
      </c>
      <c r="Q1340" s="2"/>
      <c r="R1340" s="2"/>
      <c r="S1340" s="2" t="s">
        <v>5573</v>
      </c>
      <c r="T1340" s="2">
        <v>12</v>
      </c>
      <c r="U1340" s="2" t="s">
        <v>29</v>
      </c>
      <c r="V1340" s="2" t="s">
        <v>118</v>
      </c>
      <c r="W1340" s="67" t="str">
        <f t="shared" si="104"/>
        <v>-</v>
      </c>
    </row>
    <row r="1341" spans="1:23" x14ac:dyDescent="0.3">
      <c r="A1341" s="8" t="s">
        <v>3306</v>
      </c>
      <c r="B1341" s="8" t="s">
        <v>838</v>
      </c>
      <c r="C1341" s="8"/>
      <c r="D1341" s="8" t="s">
        <v>20</v>
      </c>
      <c r="E1341" s="8" t="s">
        <v>1632</v>
      </c>
      <c r="F1341" s="8" t="s">
        <v>1849</v>
      </c>
      <c r="G1341" s="8" t="s">
        <v>87</v>
      </c>
      <c r="H1341" s="8" t="s">
        <v>3082</v>
      </c>
      <c r="I1341" s="2" t="str">
        <f t="shared" si="100"/>
        <v>Jan</v>
      </c>
      <c r="J1341" s="2">
        <f t="shared" si="101"/>
        <v>1</v>
      </c>
      <c r="K1341" s="2">
        <f t="shared" si="102"/>
        <v>2025</v>
      </c>
      <c r="L1341" s="2">
        <f t="shared" si="103"/>
        <v>1</v>
      </c>
      <c r="M1341" s="8">
        <v>11</v>
      </c>
      <c r="N1341" s="8" t="s">
        <v>3303</v>
      </c>
      <c r="O1341" s="8" t="s">
        <v>55</v>
      </c>
      <c r="P1341" s="9">
        <v>193524</v>
      </c>
      <c r="Q1341" s="8"/>
      <c r="R1341" s="8"/>
      <c r="S1341" s="8" t="s">
        <v>5573</v>
      </c>
      <c r="T1341" s="8">
        <v>24.4</v>
      </c>
      <c r="U1341" s="8" t="s">
        <v>29</v>
      </c>
      <c r="V1341" s="8" t="s">
        <v>1776</v>
      </c>
      <c r="W1341" s="67" t="str">
        <f t="shared" si="104"/>
        <v>-</v>
      </c>
    </row>
    <row r="1342" spans="1:23" x14ac:dyDescent="0.3">
      <c r="A1342" s="6" t="s">
        <v>3307</v>
      </c>
      <c r="B1342" s="6" t="s">
        <v>1571</v>
      </c>
      <c r="C1342" s="6">
        <v>9387036404</v>
      </c>
      <c r="D1342" s="6" t="s">
        <v>108</v>
      </c>
      <c r="E1342" s="6" t="s">
        <v>641</v>
      </c>
      <c r="F1342" s="6" t="s">
        <v>727</v>
      </c>
      <c r="G1342" s="6" t="s">
        <v>1735</v>
      </c>
      <c r="H1342" s="6" t="s">
        <v>3082</v>
      </c>
      <c r="I1342" s="2" t="str">
        <f t="shared" si="100"/>
        <v>Jan</v>
      </c>
      <c r="J1342" s="2">
        <f t="shared" si="101"/>
        <v>1</v>
      </c>
      <c r="K1342" s="2">
        <f t="shared" si="102"/>
        <v>2025</v>
      </c>
      <c r="L1342" s="2">
        <f t="shared" si="103"/>
        <v>1</v>
      </c>
      <c r="M1342" s="6">
        <v>9</v>
      </c>
      <c r="N1342" s="6" t="s">
        <v>3212</v>
      </c>
      <c r="O1342" s="6" t="s">
        <v>97</v>
      </c>
      <c r="P1342" s="7">
        <v>1939585</v>
      </c>
      <c r="Q1342" s="7">
        <v>1916937</v>
      </c>
      <c r="R1342" s="6" t="s">
        <v>3308</v>
      </c>
      <c r="S1342" s="6" t="s">
        <v>5573</v>
      </c>
      <c r="T1342" s="6">
        <v>1.1000000000000001</v>
      </c>
      <c r="U1342" s="6" t="s">
        <v>63</v>
      </c>
      <c r="V1342" s="6" t="s">
        <v>243</v>
      </c>
      <c r="W1342" s="67" t="str">
        <f t="shared" si="104"/>
        <v>Customer</v>
      </c>
    </row>
    <row r="1343" spans="1:23" x14ac:dyDescent="0.3">
      <c r="A1343" s="8" t="s">
        <v>3309</v>
      </c>
      <c r="B1343" s="8" t="s">
        <v>3310</v>
      </c>
      <c r="C1343" s="8">
        <v>9890340597</v>
      </c>
      <c r="D1343" s="8" t="s">
        <v>121</v>
      </c>
      <c r="E1343" s="8" t="s">
        <v>648</v>
      </c>
      <c r="F1343" s="8" t="s">
        <v>899</v>
      </c>
      <c r="G1343" s="8" t="s">
        <v>52</v>
      </c>
      <c r="H1343" s="8" t="s">
        <v>3082</v>
      </c>
      <c r="I1343" s="2" t="str">
        <f t="shared" si="100"/>
        <v>Jan</v>
      </c>
      <c r="J1343" s="2">
        <f t="shared" si="101"/>
        <v>1</v>
      </c>
      <c r="K1343" s="2">
        <f t="shared" si="102"/>
        <v>2025</v>
      </c>
      <c r="L1343" s="2">
        <f t="shared" si="103"/>
        <v>1</v>
      </c>
      <c r="M1343" s="8">
        <v>12</v>
      </c>
      <c r="N1343" s="8" t="s">
        <v>3250</v>
      </c>
      <c r="O1343" s="8" t="s">
        <v>27</v>
      </c>
      <c r="P1343" s="9">
        <v>324453</v>
      </c>
      <c r="Q1343" s="8"/>
      <c r="R1343" s="8"/>
      <c r="S1343" s="8" t="s">
        <v>5573</v>
      </c>
      <c r="T1343" s="8">
        <v>32.799999999999997</v>
      </c>
      <c r="U1343" s="8" t="s">
        <v>29</v>
      </c>
      <c r="V1343" s="8" t="s">
        <v>202</v>
      </c>
      <c r="W1343" s="67" t="str">
        <f t="shared" si="104"/>
        <v>-</v>
      </c>
    </row>
    <row r="1344" spans="1:23" x14ac:dyDescent="0.3">
      <c r="A1344" s="8" t="s">
        <v>3311</v>
      </c>
      <c r="B1344" s="8" t="s">
        <v>1742</v>
      </c>
      <c r="C1344" s="8">
        <v>9567777330</v>
      </c>
      <c r="D1344" s="8" t="s">
        <v>121</v>
      </c>
      <c r="E1344" s="8" t="s">
        <v>21</v>
      </c>
      <c r="F1344" s="8" t="s">
        <v>160</v>
      </c>
      <c r="G1344" s="8" t="s">
        <v>69</v>
      </c>
      <c r="H1344" s="8" t="s">
        <v>3053</v>
      </c>
      <c r="I1344" s="2" t="str">
        <f t="shared" si="100"/>
        <v>Jan</v>
      </c>
      <c r="J1344" s="2">
        <f t="shared" si="101"/>
        <v>1</v>
      </c>
      <c r="K1344" s="2">
        <f t="shared" si="102"/>
        <v>2025</v>
      </c>
      <c r="L1344" s="2">
        <f t="shared" si="103"/>
        <v>1</v>
      </c>
      <c r="M1344" s="8">
        <v>0</v>
      </c>
      <c r="N1344" s="8" t="s">
        <v>3193</v>
      </c>
      <c r="O1344" s="8" t="s">
        <v>97</v>
      </c>
      <c r="P1344" s="9">
        <v>112701</v>
      </c>
      <c r="Q1344" s="9">
        <v>108630</v>
      </c>
      <c r="R1344" s="8" t="s">
        <v>3225</v>
      </c>
      <c r="S1344" s="8" t="s">
        <v>5573</v>
      </c>
      <c r="T1344" s="8">
        <v>2</v>
      </c>
      <c r="U1344" s="8" t="s">
        <v>47</v>
      </c>
      <c r="V1344" s="8" t="s">
        <v>295</v>
      </c>
      <c r="W1344" s="67" t="str">
        <f t="shared" si="104"/>
        <v>Customer</v>
      </c>
    </row>
    <row r="1345" spans="1:23" x14ac:dyDescent="0.3">
      <c r="A1345" s="8" t="s">
        <v>3312</v>
      </c>
      <c r="B1345" s="8" t="s">
        <v>1803</v>
      </c>
      <c r="C1345" s="8">
        <v>9968596953</v>
      </c>
      <c r="D1345" s="8" t="s">
        <v>121</v>
      </c>
      <c r="E1345" s="8" t="s">
        <v>21</v>
      </c>
      <c r="F1345" s="8" t="s">
        <v>230</v>
      </c>
      <c r="G1345" s="8" t="s">
        <v>35</v>
      </c>
      <c r="H1345" s="8" t="s">
        <v>3053</v>
      </c>
      <c r="I1345" s="2" t="str">
        <f t="shared" si="100"/>
        <v>Jan</v>
      </c>
      <c r="J1345" s="2">
        <f t="shared" si="101"/>
        <v>1</v>
      </c>
      <c r="K1345" s="2">
        <f t="shared" si="102"/>
        <v>2025</v>
      </c>
      <c r="L1345" s="2">
        <f t="shared" si="103"/>
        <v>1</v>
      </c>
      <c r="M1345" s="8">
        <v>6</v>
      </c>
      <c r="N1345" s="8" t="s">
        <v>3313</v>
      </c>
      <c r="O1345" s="8" t="s">
        <v>45</v>
      </c>
      <c r="P1345" s="9">
        <v>107010</v>
      </c>
      <c r="Q1345" s="8"/>
      <c r="R1345" s="8"/>
      <c r="S1345" s="8" t="s">
        <v>5573</v>
      </c>
      <c r="T1345" s="8">
        <v>16.100000000000001</v>
      </c>
      <c r="U1345" s="8" t="s">
        <v>47</v>
      </c>
      <c r="V1345" s="8"/>
      <c r="W1345" s="67" t="str">
        <f t="shared" si="104"/>
        <v>-</v>
      </c>
    </row>
    <row r="1346" spans="1:23" x14ac:dyDescent="0.3">
      <c r="A1346" s="8" t="s">
        <v>3314</v>
      </c>
      <c r="B1346" s="8" t="s">
        <v>836</v>
      </c>
      <c r="C1346" s="8">
        <v>9491062442</v>
      </c>
      <c r="D1346" s="8" t="s">
        <v>51</v>
      </c>
      <c r="E1346" s="8" t="s">
        <v>641</v>
      </c>
      <c r="F1346" s="8" t="s">
        <v>717</v>
      </c>
      <c r="G1346" s="8" t="s">
        <v>3302</v>
      </c>
      <c r="H1346" s="8" t="s">
        <v>3053</v>
      </c>
      <c r="I1346" s="2" t="str">
        <f t="shared" ref="I1346:I1409" si="105">TEXT(H1346,"mmm")</f>
        <v>Jan</v>
      </c>
      <c r="J1346" s="2">
        <f t="shared" ref="J1346:J1409" si="106">MONTH(H1346)</f>
        <v>1</v>
      </c>
      <c r="K1346" s="2">
        <f t="shared" ref="K1346:K1409" si="107">YEAR(H1346)</f>
        <v>2025</v>
      </c>
      <c r="L1346" s="2">
        <f t="shared" ref="L1346:L1409" si="108">ROUNDUP(MONTH(H1346)/3,0)</f>
        <v>1</v>
      </c>
      <c r="M1346" s="8">
        <v>10</v>
      </c>
      <c r="N1346" s="8" t="s">
        <v>3073</v>
      </c>
      <c r="O1346" s="8" t="s">
        <v>55</v>
      </c>
      <c r="P1346" s="9">
        <v>1978257</v>
      </c>
      <c r="Q1346" s="8"/>
      <c r="R1346" s="8"/>
      <c r="S1346" s="8" t="s">
        <v>5573</v>
      </c>
      <c r="T1346" s="8">
        <v>27.8</v>
      </c>
      <c r="U1346" s="8" t="s">
        <v>29</v>
      </c>
      <c r="V1346" s="8" t="s">
        <v>206</v>
      </c>
      <c r="W1346" s="67" t="str">
        <f t="shared" ref="W1346:W1409" si="109">IF($O1346&lt;&gt;"Converted","-",IF(ISNUMBER(SEARCH("Architect",$F1346)),"Architect","Customer"))</f>
        <v>-</v>
      </c>
    </row>
    <row r="1347" spans="1:23" x14ac:dyDescent="0.3">
      <c r="A1347" s="8" t="s">
        <v>3315</v>
      </c>
      <c r="B1347" s="8" t="s">
        <v>1719</v>
      </c>
      <c r="C1347" s="8">
        <v>9305486907</v>
      </c>
      <c r="D1347" s="8" t="s">
        <v>121</v>
      </c>
      <c r="E1347" s="8" t="s">
        <v>67</v>
      </c>
      <c r="F1347" s="8" t="s">
        <v>80</v>
      </c>
      <c r="G1347" s="8" t="s">
        <v>1677</v>
      </c>
      <c r="H1347" s="8" t="s">
        <v>2967</v>
      </c>
      <c r="I1347" s="2" t="str">
        <f t="shared" si="105"/>
        <v>Jan</v>
      </c>
      <c r="J1347" s="2">
        <f t="shared" si="106"/>
        <v>1</v>
      </c>
      <c r="K1347" s="2">
        <f t="shared" si="107"/>
        <v>2025</v>
      </c>
      <c r="L1347" s="2">
        <f t="shared" si="108"/>
        <v>1</v>
      </c>
      <c r="M1347" s="8">
        <v>8</v>
      </c>
      <c r="N1347" s="8" t="s">
        <v>3308</v>
      </c>
      <c r="O1347" s="8" t="s">
        <v>97</v>
      </c>
      <c r="P1347" s="9">
        <v>1695341</v>
      </c>
      <c r="Q1347" s="9">
        <v>1639765</v>
      </c>
      <c r="R1347" s="8" t="s">
        <v>3257</v>
      </c>
      <c r="S1347" s="8" t="s">
        <v>5573</v>
      </c>
      <c r="T1347" s="8">
        <v>32.9</v>
      </c>
      <c r="U1347" s="8" t="s">
        <v>63</v>
      </c>
      <c r="V1347" s="8" t="s">
        <v>113</v>
      </c>
      <c r="W1347" s="67" t="str">
        <f t="shared" si="109"/>
        <v>Customer</v>
      </c>
    </row>
    <row r="1348" spans="1:23" x14ac:dyDescent="0.3">
      <c r="A1348" s="2" t="s">
        <v>3316</v>
      </c>
      <c r="B1348" s="2" t="s">
        <v>3317</v>
      </c>
      <c r="C1348" s="2">
        <v>9633810819</v>
      </c>
      <c r="D1348" s="2" t="s">
        <v>108</v>
      </c>
      <c r="E1348" s="2" t="s">
        <v>1632</v>
      </c>
      <c r="F1348" s="2" t="s">
        <v>1682</v>
      </c>
      <c r="G1348" s="2" t="s">
        <v>1735</v>
      </c>
      <c r="H1348" s="2" t="s">
        <v>2967</v>
      </c>
      <c r="I1348" s="2" t="str">
        <f t="shared" si="105"/>
        <v>Jan</v>
      </c>
      <c r="J1348" s="2">
        <f t="shared" si="106"/>
        <v>1</v>
      </c>
      <c r="K1348" s="2">
        <f t="shared" si="107"/>
        <v>2025</v>
      </c>
      <c r="L1348" s="2">
        <f t="shared" si="108"/>
        <v>1</v>
      </c>
      <c r="M1348" s="2">
        <v>5</v>
      </c>
      <c r="N1348" s="2" t="s">
        <v>3313</v>
      </c>
      <c r="O1348" s="2" t="s">
        <v>27</v>
      </c>
      <c r="P1348" s="3">
        <v>1599446</v>
      </c>
      <c r="Q1348" s="2"/>
      <c r="R1348" s="2"/>
      <c r="S1348" s="2" t="s">
        <v>5573</v>
      </c>
      <c r="T1348" s="2">
        <v>5.0999999999999996</v>
      </c>
      <c r="U1348" s="2" t="s">
        <v>29</v>
      </c>
      <c r="V1348" s="2" t="s">
        <v>153</v>
      </c>
      <c r="W1348" s="67" t="str">
        <f t="shared" si="109"/>
        <v>-</v>
      </c>
    </row>
    <row r="1349" spans="1:23" x14ac:dyDescent="0.3">
      <c r="A1349" s="4" t="s">
        <v>3318</v>
      </c>
      <c r="B1349" s="4" t="s">
        <v>3319</v>
      </c>
      <c r="C1349" s="4">
        <v>9255028146</v>
      </c>
      <c r="D1349" s="4" t="s">
        <v>20</v>
      </c>
      <c r="E1349" s="4" t="s">
        <v>1632</v>
      </c>
      <c r="F1349" s="4" t="s">
        <v>1849</v>
      </c>
      <c r="G1349" s="4" t="s">
        <v>643</v>
      </c>
      <c r="H1349" s="4" t="s">
        <v>3203</v>
      </c>
      <c r="I1349" s="2" t="str">
        <f t="shared" si="105"/>
        <v>Jan</v>
      </c>
      <c r="J1349" s="2">
        <f t="shared" si="106"/>
        <v>1</v>
      </c>
      <c r="K1349" s="2">
        <f t="shared" si="107"/>
        <v>2025</v>
      </c>
      <c r="L1349" s="2">
        <f t="shared" si="108"/>
        <v>1</v>
      </c>
      <c r="M1349" s="4"/>
      <c r="N1349" s="4" t="s">
        <v>3226</v>
      </c>
      <c r="O1349" s="4" t="s">
        <v>27</v>
      </c>
      <c r="P1349" s="5">
        <v>1246599</v>
      </c>
      <c r="Q1349" s="4"/>
      <c r="R1349" s="4"/>
      <c r="S1349" s="4" t="s">
        <v>5573</v>
      </c>
      <c r="T1349" s="4">
        <v>15.5</v>
      </c>
      <c r="U1349" s="4" t="s">
        <v>47</v>
      </c>
      <c r="V1349" s="4" t="s">
        <v>163</v>
      </c>
      <c r="W1349" s="67" t="str">
        <f t="shared" si="109"/>
        <v>-</v>
      </c>
    </row>
    <row r="1350" spans="1:23" x14ac:dyDescent="0.3">
      <c r="A1350" s="2" t="s">
        <v>3320</v>
      </c>
      <c r="B1350" s="2" t="s">
        <v>3321</v>
      </c>
      <c r="C1350" s="2">
        <v>9628956575</v>
      </c>
      <c r="D1350" s="2" t="s">
        <v>20</v>
      </c>
      <c r="E1350" s="2" t="s">
        <v>33</v>
      </c>
      <c r="F1350" s="2" t="s">
        <v>34</v>
      </c>
      <c r="G1350" s="2" t="s">
        <v>643</v>
      </c>
      <c r="H1350" s="2" t="s">
        <v>3203</v>
      </c>
      <c r="I1350" s="2" t="str">
        <f t="shared" si="105"/>
        <v>Jan</v>
      </c>
      <c r="J1350" s="2">
        <f t="shared" si="106"/>
        <v>1</v>
      </c>
      <c r="K1350" s="2">
        <f t="shared" si="107"/>
        <v>2025</v>
      </c>
      <c r="L1350" s="2">
        <f t="shared" si="108"/>
        <v>1</v>
      </c>
      <c r="M1350" s="2">
        <v>3</v>
      </c>
      <c r="N1350" s="2" t="s">
        <v>3073</v>
      </c>
      <c r="O1350" s="2" t="s">
        <v>27</v>
      </c>
      <c r="P1350" s="3">
        <v>1488564</v>
      </c>
      <c r="Q1350" s="2"/>
      <c r="R1350" s="2"/>
      <c r="S1350" s="2" t="s">
        <v>5573</v>
      </c>
      <c r="T1350" s="2"/>
      <c r="U1350" s="2" t="s">
        <v>29</v>
      </c>
      <c r="V1350" s="2" t="s">
        <v>163</v>
      </c>
      <c r="W1350" s="67" t="str">
        <f t="shared" si="109"/>
        <v>-</v>
      </c>
    </row>
    <row r="1351" spans="1:23" x14ac:dyDescent="0.3">
      <c r="A1351" s="4" t="s">
        <v>3322</v>
      </c>
      <c r="B1351" s="4" t="s">
        <v>3323</v>
      </c>
      <c r="C1351" s="4">
        <v>9881102503</v>
      </c>
      <c r="D1351" s="4" t="s">
        <v>20</v>
      </c>
      <c r="E1351" s="4" t="s">
        <v>21</v>
      </c>
      <c r="F1351" s="4" t="s">
        <v>22</v>
      </c>
      <c r="G1351" s="4" t="s">
        <v>52</v>
      </c>
      <c r="H1351" s="4" t="s">
        <v>3203</v>
      </c>
      <c r="I1351" s="2" t="str">
        <f t="shared" si="105"/>
        <v>Jan</v>
      </c>
      <c r="J1351" s="2">
        <f t="shared" si="106"/>
        <v>1</v>
      </c>
      <c r="K1351" s="2">
        <f t="shared" si="107"/>
        <v>2025</v>
      </c>
      <c r="L1351" s="2">
        <f t="shared" si="108"/>
        <v>1</v>
      </c>
      <c r="M1351" s="4">
        <v>12</v>
      </c>
      <c r="N1351" s="4" t="s">
        <v>3228</v>
      </c>
      <c r="O1351" s="4" t="s">
        <v>27</v>
      </c>
      <c r="P1351" s="5">
        <v>555818</v>
      </c>
      <c r="Q1351" s="4"/>
      <c r="R1351" s="4"/>
      <c r="S1351" s="4" t="s">
        <v>5573</v>
      </c>
      <c r="T1351" s="4">
        <v>15.9</v>
      </c>
      <c r="U1351" s="4" t="s">
        <v>47</v>
      </c>
      <c r="V1351" s="4" t="s">
        <v>123</v>
      </c>
      <c r="W1351" s="67" t="str">
        <f t="shared" si="109"/>
        <v>-</v>
      </c>
    </row>
    <row r="1352" spans="1:23" x14ac:dyDescent="0.3">
      <c r="A1352" s="2" t="s">
        <v>3324</v>
      </c>
      <c r="B1352" s="2" t="s">
        <v>3325</v>
      </c>
      <c r="C1352" s="2">
        <v>9567010400</v>
      </c>
      <c r="D1352" s="2" t="s">
        <v>108</v>
      </c>
      <c r="E1352" s="2" t="s">
        <v>641</v>
      </c>
      <c r="F1352" s="2" t="s">
        <v>717</v>
      </c>
      <c r="G1352" s="2" t="s">
        <v>23</v>
      </c>
      <c r="H1352" s="2" t="s">
        <v>3057</v>
      </c>
      <c r="I1352" s="2" t="str">
        <f t="shared" si="105"/>
        <v>Jan</v>
      </c>
      <c r="J1352" s="2">
        <f t="shared" si="106"/>
        <v>1</v>
      </c>
      <c r="K1352" s="2">
        <f t="shared" si="107"/>
        <v>2025</v>
      </c>
      <c r="L1352" s="2">
        <f t="shared" si="108"/>
        <v>1</v>
      </c>
      <c r="M1352" s="2">
        <v>11</v>
      </c>
      <c r="N1352" s="2" t="s">
        <v>3308</v>
      </c>
      <c r="O1352" s="2" t="s">
        <v>27</v>
      </c>
      <c r="P1352" s="3">
        <v>633071</v>
      </c>
      <c r="Q1352" s="2"/>
      <c r="R1352" s="2"/>
      <c r="S1352" s="2" t="s">
        <v>5573</v>
      </c>
      <c r="T1352" s="2">
        <v>6.9</v>
      </c>
      <c r="U1352" s="2" t="s">
        <v>29</v>
      </c>
      <c r="V1352" s="2" t="s">
        <v>238</v>
      </c>
      <c r="W1352" s="67" t="str">
        <f t="shared" si="109"/>
        <v>-</v>
      </c>
    </row>
    <row r="1353" spans="1:23" x14ac:dyDescent="0.3">
      <c r="A1353" s="8" t="s">
        <v>3326</v>
      </c>
      <c r="B1353" s="8" t="s">
        <v>3327</v>
      </c>
      <c r="C1353" s="8">
        <v>9480256642</v>
      </c>
      <c r="D1353" s="8" t="s">
        <v>121</v>
      </c>
      <c r="E1353" s="8" t="s">
        <v>1632</v>
      </c>
      <c r="F1353" s="8" t="s">
        <v>1633</v>
      </c>
      <c r="G1353" s="8" t="s">
        <v>1599</v>
      </c>
      <c r="H1353" s="8" t="s">
        <v>3095</v>
      </c>
      <c r="I1353" s="2" t="str">
        <f t="shared" si="105"/>
        <v>Jan</v>
      </c>
      <c r="J1353" s="2">
        <f t="shared" si="106"/>
        <v>1</v>
      </c>
      <c r="K1353" s="2">
        <f t="shared" si="107"/>
        <v>2025</v>
      </c>
      <c r="L1353" s="2">
        <f t="shared" si="108"/>
        <v>1</v>
      </c>
      <c r="M1353" s="8">
        <v>4</v>
      </c>
      <c r="N1353" s="8" t="s">
        <v>3308</v>
      </c>
      <c r="O1353" s="8" t="s">
        <v>27</v>
      </c>
      <c r="P1353" s="9">
        <v>487802</v>
      </c>
      <c r="Q1353" s="8"/>
      <c r="R1353" s="8"/>
      <c r="S1353" s="8" t="s">
        <v>5573</v>
      </c>
      <c r="T1353" s="8">
        <v>24.8</v>
      </c>
      <c r="U1353" s="8" t="s">
        <v>29</v>
      </c>
      <c r="V1353" s="8" t="s">
        <v>163</v>
      </c>
      <c r="W1353" s="67" t="str">
        <f t="shared" si="109"/>
        <v>-</v>
      </c>
    </row>
    <row r="1354" spans="1:23" x14ac:dyDescent="0.3">
      <c r="A1354" s="2" t="s">
        <v>3328</v>
      </c>
      <c r="B1354" s="2" t="s">
        <v>3329</v>
      </c>
      <c r="C1354" s="2">
        <v>9522885914</v>
      </c>
      <c r="D1354" s="2" t="s">
        <v>51</v>
      </c>
      <c r="E1354" s="2" t="s">
        <v>41</v>
      </c>
      <c r="F1354" s="2" t="s">
        <v>86</v>
      </c>
      <c r="G1354" s="2" t="s">
        <v>1621</v>
      </c>
      <c r="H1354" s="2" t="s">
        <v>3095</v>
      </c>
      <c r="I1354" s="2" t="str">
        <f t="shared" si="105"/>
        <v>Jan</v>
      </c>
      <c r="J1354" s="2">
        <f t="shared" si="106"/>
        <v>1</v>
      </c>
      <c r="K1354" s="2">
        <f t="shared" si="107"/>
        <v>2025</v>
      </c>
      <c r="L1354" s="2">
        <f t="shared" si="108"/>
        <v>1</v>
      </c>
      <c r="M1354" s="2">
        <v>11</v>
      </c>
      <c r="N1354" s="2" t="s">
        <v>3330</v>
      </c>
      <c r="O1354" s="2" t="s">
        <v>62</v>
      </c>
      <c r="P1354" s="3">
        <v>292177</v>
      </c>
      <c r="Q1354" s="2"/>
      <c r="R1354" s="2"/>
      <c r="S1354" s="2" t="s">
        <v>5573</v>
      </c>
      <c r="T1354" s="2">
        <v>29.6</v>
      </c>
      <c r="U1354" s="2" t="s">
        <v>47</v>
      </c>
      <c r="V1354" s="2" t="s">
        <v>183</v>
      </c>
      <c r="W1354" s="67" t="str">
        <f t="shared" si="109"/>
        <v>-</v>
      </c>
    </row>
    <row r="1355" spans="1:23" x14ac:dyDescent="0.3">
      <c r="A1355" s="4" t="s">
        <v>3331</v>
      </c>
      <c r="B1355" s="4" t="s">
        <v>2616</v>
      </c>
      <c r="C1355" s="4">
        <v>9211521396</v>
      </c>
      <c r="D1355" s="4" t="s">
        <v>20</v>
      </c>
      <c r="E1355" s="4" t="s">
        <v>41</v>
      </c>
      <c r="F1355" s="4" t="s">
        <v>92</v>
      </c>
      <c r="G1355" s="4" t="s">
        <v>87</v>
      </c>
      <c r="H1355" s="4" t="s">
        <v>3108</v>
      </c>
      <c r="I1355" s="2" t="str">
        <f t="shared" si="105"/>
        <v>Jan</v>
      </c>
      <c r="J1355" s="2">
        <f t="shared" si="106"/>
        <v>1</v>
      </c>
      <c r="K1355" s="2">
        <f t="shared" si="107"/>
        <v>2025</v>
      </c>
      <c r="L1355" s="2">
        <f t="shared" si="108"/>
        <v>1</v>
      </c>
      <c r="M1355" s="4">
        <v>7</v>
      </c>
      <c r="N1355" s="4" t="s">
        <v>3290</v>
      </c>
      <c r="O1355" s="4" t="s">
        <v>62</v>
      </c>
      <c r="P1355" s="5">
        <v>176117</v>
      </c>
      <c r="Q1355" s="4"/>
      <c r="R1355" s="4"/>
      <c r="S1355" s="4" t="s">
        <v>5573</v>
      </c>
      <c r="T1355" s="4">
        <v>13</v>
      </c>
      <c r="U1355" s="4" t="s">
        <v>63</v>
      </c>
      <c r="V1355" s="4" t="s">
        <v>678</v>
      </c>
      <c r="W1355" s="67" t="str">
        <f t="shared" si="109"/>
        <v>-</v>
      </c>
    </row>
    <row r="1356" spans="1:23" x14ac:dyDescent="0.3">
      <c r="A1356" s="2" t="s">
        <v>3332</v>
      </c>
      <c r="B1356" s="2" t="s">
        <v>2587</v>
      </c>
      <c r="C1356" s="2">
        <v>9185514406</v>
      </c>
      <c r="D1356" s="2" t="s">
        <v>20</v>
      </c>
      <c r="E1356" s="2" t="s">
        <v>33</v>
      </c>
      <c r="F1356" s="2" t="s">
        <v>201</v>
      </c>
      <c r="G1356" s="2" t="s">
        <v>52</v>
      </c>
      <c r="H1356" s="2" t="s">
        <v>3108</v>
      </c>
      <c r="I1356" s="2" t="str">
        <f t="shared" si="105"/>
        <v>Jan</v>
      </c>
      <c r="J1356" s="2">
        <f t="shared" si="106"/>
        <v>1</v>
      </c>
      <c r="K1356" s="2">
        <f t="shared" si="107"/>
        <v>2025</v>
      </c>
      <c r="L1356" s="2">
        <f t="shared" si="108"/>
        <v>1</v>
      </c>
      <c r="M1356" s="2">
        <v>4</v>
      </c>
      <c r="N1356" s="2" t="s">
        <v>3333</v>
      </c>
      <c r="O1356" s="2" t="s">
        <v>62</v>
      </c>
      <c r="P1356" s="3">
        <v>509036</v>
      </c>
      <c r="Q1356" s="2"/>
      <c r="R1356" s="2"/>
      <c r="S1356" s="2" t="s">
        <v>5573</v>
      </c>
      <c r="T1356" s="2">
        <v>17.600000000000001</v>
      </c>
      <c r="U1356" s="2" t="s">
        <v>29</v>
      </c>
      <c r="V1356" s="2" t="s">
        <v>206</v>
      </c>
      <c r="W1356" s="67" t="str">
        <f t="shared" si="109"/>
        <v>-</v>
      </c>
    </row>
    <row r="1357" spans="1:23" x14ac:dyDescent="0.3">
      <c r="A1357" s="6" t="s">
        <v>3334</v>
      </c>
      <c r="B1357" s="6" t="s">
        <v>3335</v>
      </c>
      <c r="C1357" s="6">
        <v>9508596754</v>
      </c>
      <c r="D1357" s="6" t="s">
        <v>121</v>
      </c>
      <c r="E1357" s="6" t="s">
        <v>41</v>
      </c>
      <c r="F1357" s="6" t="s">
        <v>151</v>
      </c>
      <c r="G1357" s="6" t="s">
        <v>35</v>
      </c>
      <c r="H1357" s="6" t="s">
        <v>3108</v>
      </c>
      <c r="I1357" s="2" t="str">
        <f t="shared" si="105"/>
        <v>Jan</v>
      </c>
      <c r="J1357" s="2">
        <f t="shared" si="106"/>
        <v>1</v>
      </c>
      <c r="K1357" s="2">
        <f t="shared" si="107"/>
        <v>2025</v>
      </c>
      <c r="L1357" s="2">
        <f t="shared" si="108"/>
        <v>1</v>
      </c>
      <c r="M1357" s="6">
        <v>0</v>
      </c>
      <c r="N1357" s="6" t="s">
        <v>3225</v>
      </c>
      <c r="O1357" s="6" t="s">
        <v>97</v>
      </c>
      <c r="P1357" s="7">
        <v>167644</v>
      </c>
      <c r="Q1357" s="7">
        <v>166577</v>
      </c>
      <c r="R1357" s="6" t="s">
        <v>3115</v>
      </c>
      <c r="S1357" s="6" t="s">
        <v>5573</v>
      </c>
      <c r="T1357" s="6">
        <v>26.5</v>
      </c>
      <c r="U1357" s="6" t="s">
        <v>63</v>
      </c>
      <c r="V1357" s="6" t="s">
        <v>243</v>
      </c>
      <c r="W1357" s="67" t="str">
        <f t="shared" si="109"/>
        <v>Architect</v>
      </c>
    </row>
    <row r="1358" spans="1:23" x14ac:dyDescent="0.3">
      <c r="A1358" s="8" t="s">
        <v>3336</v>
      </c>
      <c r="B1358" s="8" t="s">
        <v>3337</v>
      </c>
      <c r="C1358" s="8">
        <v>9217885943</v>
      </c>
      <c r="D1358" s="8" t="s">
        <v>108</v>
      </c>
      <c r="E1358" s="8" t="s">
        <v>41</v>
      </c>
      <c r="F1358" s="8" t="s">
        <v>92</v>
      </c>
      <c r="G1358" s="8" t="s">
        <v>3302</v>
      </c>
      <c r="H1358" s="8" t="s">
        <v>3108</v>
      </c>
      <c r="I1358" s="2" t="str">
        <f t="shared" si="105"/>
        <v>Jan</v>
      </c>
      <c r="J1358" s="2">
        <f t="shared" si="106"/>
        <v>1</v>
      </c>
      <c r="K1358" s="2">
        <f t="shared" si="107"/>
        <v>2025</v>
      </c>
      <c r="L1358" s="2">
        <f t="shared" si="108"/>
        <v>1</v>
      </c>
      <c r="M1358" s="8">
        <v>7</v>
      </c>
      <c r="N1358" s="8" t="s">
        <v>3338</v>
      </c>
      <c r="O1358" s="8" t="s">
        <v>27</v>
      </c>
      <c r="P1358" s="9">
        <v>1934607</v>
      </c>
      <c r="Q1358" s="8"/>
      <c r="R1358" s="8"/>
      <c r="S1358" s="8" t="s">
        <v>5573</v>
      </c>
      <c r="T1358" s="8">
        <v>13.3</v>
      </c>
      <c r="U1358" s="8" t="s">
        <v>29</v>
      </c>
      <c r="V1358" s="8" t="s">
        <v>118</v>
      </c>
      <c r="W1358" s="67" t="str">
        <f t="shared" si="109"/>
        <v>-</v>
      </c>
    </row>
    <row r="1359" spans="1:23" x14ac:dyDescent="0.3">
      <c r="A1359" s="4" t="s">
        <v>3339</v>
      </c>
      <c r="B1359" s="4" t="s">
        <v>501</v>
      </c>
      <c r="C1359" s="4">
        <v>9920475331</v>
      </c>
      <c r="D1359" s="4" t="s">
        <v>59</v>
      </c>
      <c r="E1359" s="4" t="s">
        <v>41</v>
      </c>
      <c r="F1359" s="4" t="s">
        <v>42</v>
      </c>
      <c r="G1359" s="4" t="s">
        <v>1735</v>
      </c>
      <c r="H1359" s="4" t="s">
        <v>3108</v>
      </c>
      <c r="I1359" s="2" t="str">
        <f t="shared" si="105"/>
        <v>Jan</v>
      </c>
      <c r="J1359" s="2">
        <f t="shared" si="106"/>
        <v>1</v>
      </c>
      <c r="K1359" s="2">
        <f t="shared" si="107"/>
        <v>2025</v>
      </c>
      <c r="L1359" s="2">
        <f t="shared" si="108"/>
        <v>1</v>
      </c>
      <c r="M1359" s="4">
        <v>0</v>
      </c>
      <c r="N1359" s="4" t="s">
        <v>3193</v>
      </c>
      <c r="O1359" s="4" t="s">
        <v>62</v>
      </c>
      <c r="P1359" s="5">
        <v>1881070</v>
      </c>
      <c r="Q1359" s="4"/>
      <c r="R1359" s="4"/>
      <c r="S1359" s="4" t="s">
        <v>5573</v>
      </c>
      <c r="T1359" s="4">
        <v>18.7</v>
      </c>
      <c r="U1359" s="4" t="s">
        <v>63</v>
      </c>
      <c r="V1359" s="4" t="s">
        <v>195</v>
      </c>
      <c r="W1359" s="67" t="str">
        <f t="shared" si="109"/>
        <v>-</v>
      </c>
    </row>
    <row r="1360" spans="1:23" x14ac:dyDescent="0.3">
      <c r="A1360" s="2" t="s">
        <v>3340</v>
      </c>
      <c r="B1360" s="2" t="s">
        <v>3087</v>
      </c>
      <c r="C1360" s="2">
        <v>9823864197</v>
      </c>
      <c r="D1360" s="2" t="s">
        <v>20</v>
      </c>
      <c r="E1360" s="2" t="s">
        <v>21</v>
      </c>
      <c r="F1360" s="2" t="s">
        <v>230</v>
      </c>
      <c r="G1360" s="2" t="s">
        <v>616</v>
      </c>
      <c r="H1360" s="2" t="s">
        <v>3128</v>
      </c>
      <c r="I1360" s="2" t="str">
        <f t="shared" si="105"/>
        <v>Jan</v>
      </c>
      <c r="J1360" s="2">
        <f t="shared" si="106"/>
        <v>1</v>
      </c>
      <c r="K1360" s="2">
        <f t="shared" si="107"/>
        <v>2025</v>
      </c>
      <c r="L1360" s="2">
        <f t="shared" si="108"/>
        <v>1</v>
      </c>
      <c r="M1360" s="2">
        <v>5</v>
      </c>
      <c r="N1360" s="2" t="s">
        <v>3271</v>
      </c>
      <c r="O1360" s="2" t="s">
        <v>45</v>
      </c>
      <c r="P1360" s="3">
        <v>393261</v>
      </c>
      <c r="Q1360" s="2"/>
      <c r="R1360" s="2"/>
      <c r="S1360" s="2" t="s">
        <v>5573</v>
      </c>
      <c r="T1360" s="2">
        <v>13.5</v>
      </c>
      <c r="U1360" s="2" t="s">
        <v>63</v>
      </c>
      <c r="V1360" s="2" t="s">
        <v>195</v>
      </c>
      <c r="W1360" s="67" t="str">
        <f t="shared" si="109"/>
        <v>-</v>
      </c>
    </row>
    <row r="1361" spans="1:23" x14ac:dyDescent="0.3">
      <c r="A1361" s="8" t="s">
        <v>3341</v>
      </c>
      <c r="B1361" s="8" t="s">
        <v>3342</v>
      </c>
      <c r="C1361" s="8">
        <v>9614130989</v>
      </c>
      <c r="D1361" s="8" t="s">
        <v>59</v>
      </c>
      <c r="E1361" s="8" t="s">
        <v>1632</v>
      </c>
      <c r="F1361" s="8" t="s">
        <v>1633</v>
      </c>
      <c r="G1361" s="8" t="s">
        <v>52</v>
      </c>
      <c r="H1361" s="8" t="s">
        <v>3128</v>
      </c>
      <c r="I1361" s="2" t="str">
        <f t="shared" si="105"/>
        <v>Jan</v>
      </c>
      <c r="J1361" s="2">
        <f t="shared" si="106"/>
        <v>1</v>
      </c>
      <c r="K1361" s="2">
        <f t="shared" si="107"/>
        <v>2025</v>
      </c>
      <c r="L1361" s="2">
        <f t="shared" si="108"/>
        <v>1</v>
      </c>
      <c r="M1361" s="8">
        <v>6</v>
      </c>
      <c r="N1361" s="8" t="s">
        <v>3213</v>
      </c>
      <c r="O1361" s="8" t="s">
        <v>27</v>
      </c>
      <c r="P1361" s="9">
        <v>393226</v>
      </c>
      <c r="Q1361" s="8"/>
      <c r="R1361" s="8"/>
      <c r="S1361" s="8" t="s">
        <v>5573</v>
      </c>
      <c r="T1361" s="8">
        <v>22.6</v>
      </c>
      <c r="U1361" s="8" t="s">
        <v>29</v>
      </c>
      <c r="V1361" s="8" t="s">
        <v>118</v>
      </c>
      <c r="W1361" s="67" t="str">
        <f t="shared" si="109"/>
        <v>-</v>
      </c>
    </row>
    <row r="1362" spans="1:23" x14ac:dyDescent="0.3">
      <c r="A1362" s="6" t="s">
        <v>3343</v>
      </c>
      <c r="B1362" s="6" t="s">
        <v>1338</v>
      </c>
      <c r="C1362" s="6">
        <v>9476923412</v>
      </c>
      <c r="D1362" s="6" t="s">
        <v>108</v>
      </c>
      <c r="E1362" s="6" t="s">
        <v>41</v>
      </c>
      <c r="F1362" s="6" t="s">
        <v>86</v>
      </c>
      <c r="G1362" s="6" t="s">
        <v>69</v>
      </c>
      <c r="H1362" s="6" t="s">
        <v>3128</v>
      </c>
      <c r="I1362" s="2" t="str">
        <f t="shared" si="105"/>
        <v>Jan</v>
      </c>
      <c r="J1362" s="2">
        <f t="shared" si="106"/>
        <v>1</v>
      </c>
      <c r="K1362" s="2">
        <f t="shared" si="107"/>
        <v>2025</v>
      </c>
      <c r="L1362" s="2">
        <f t="shared" si="108"/>
        <v>1</v>
      </c>
      <c r="M1362" s="6">
        <v>3</v>
      </c>
      <c r="N1362" s="6" t="s">
        <v>3212</v>
      </c>
      <c r="O1362" s="6" t="s">
        <v>97</v>
      </c>
      <c r="P1362" s="7">
        <v>310851</v>
      </c>
      <c r="Q1362" s="7">
        <v>316400</v>
      </c>
      <c r="R1362" s="6" t="s">
        <v>3344</v>
      </c>
      <c r="S1362" s="6" t="s">
        <v>5573</v>
      </c>
      <c r="T1362" s="6">
        <v>1.6</v>
      </c>
      <c r="U1362" s="6" t="s">
        <v>47</v>
      </c>
      <c r="V1362" s="6" t="s">
        <v>483</v>
      </c>
      <c r="W1362" s="67" t="str">
        <f t="shared" si="109"/>
        <v>Customer</v>
      </c>
    </row>
    <row r="1363" spans="1:23" x14ac:dyDescent="0.3">
      <c r="A1363" s="4" t="s">
        <v>3345</v>
      </c>
      <c r="B1363" s="4" t="s">
        <v>3346</v>
      </c>
      <c r="C1363" s="4">
        <v>9177298097</v>
      </c>
      <c r="D1363" s="4" t="s">
        <v>59</v>
      </c>
      <c r="E1363" s="4" t="s">
        <v>648</v>
      </c>
      <c r="F1363" s="4" t="s">
        <v>822</v>
      </c>
      <c r="G1363" s="4" t="s">
        <v>3302</v>
      </c>
      <c r="H1363" s="4" t="s">
        <v>3128</v>
      </c>
      <c r="I1363" s="2" t="str">
        <f t="shared" si="105"/>
        <v>Jan</v>
      </c>
      <c r="J1363" s="2">
        <f t="shared" si="106"/>
        <v>1</v>
      </c>
      <c r="K1363" s="2">
        <f t="shared" si="107"/>
        <v>2025</v>
      </c>
      <c r="L1363" s="2">
        <f t="shared" si="108"/>
        <v>1</v>
      </c>
      <c r="M1363" s="4">
        <v>0</v>
      </c>
      <c r="N1363" s="4" t="s">
        <v>3225</v>
      </c>
      <c r="O1363" s="4" t="s">
        <v>27</v>
      </c>
      <c r="P1363" s="5">
        <v>1960634</v>
      </c>
      <c r="Q1363" s="4"/>
      <c r="R1363" s="4"/>
      <c r="S1363" s="4" t="s">
        <v>5573</v>
      </c>
      <c r="T1363" s="4">
        <v>35</v>
      </c>
      <c r="U1363" s="4" t="s">
        <v>29</v>
      </c>
      <c r="V1363" s="4" t="s">
        <v>105</v>
      </c>
      <c r="W1363" s="67" t="str">
        <f t="shared" si="109"/>
        <v>-</v>
      </c>
    </row>
    <row r="1364" spans="1:23" x14ac:dyDescent="0.3">
      <c r="A1364" s="2" t="s">
        <v>3347</v>
      </c>
      <c r="B1364" s="2" t="s">
        <v>3348</v>
      </c>
      <c r="C1364" s="2">
        <v>9318566338</v>
      </c>
      <c r="D1364" s="2" t="s">
        <v>59</v>
      </c>
      <c r="E1364" s="2" t="s">
        <v>41</v>
      </c>
      <c r="F1364" s="2" t="s">
        <v>92</v>
      </c>
      <c r="G1364" s="2" t="s">
        <v>643</v>
      </c>
      <c r="H1364" s="2" t="s">
        <v>3128</v>
      </c>
      <c r="I1364" s="2" t="str">
        <f t="shared" si="105"/>
        <v>Jan</v>
      </c>
      <c r="J1364" s="2">
        <f t="shared" si="106"/>
        <v>1</v>
      </c>
      <c r="K1364" s="2">
        <f t="shared" si="107"/>
        <v>2025</v>
      </c>
      <c r="L1364" s="2">
        <f t="shared" si="108"/>
        <v>1</v>
      </c>
      <c r="M1364" s="2">
        <v>7</v>
      </c>
      <c r="N1364" s="2" t="s">
        <v>3178</v>
      </c>
      <c r="O1364" s="2" t="s">
        <v>27</v>
      </c>
      <c r="P1364" s="2"/>
      <c r="Q1364" s="2"/>
      <c r="R1364" s="2"/>
      <c r="S1364" s="2" t="s">
        <v>5573</v>
      </c>
      <c r="T1364" s="2">
        <v>15.2</v>
      </c>
      <c r="U1364" s="2" t="s">
        <v>29</v>
      </c>
      <c r="V1364" s="2" t="s">
        <v>38</v>
      </c>
      <c r="W1364" s="67" t="str">
        <f t="shared" si="109"/>
        <v>-</v>
      </c>
    </row>
    <row r="1365" spans="1:23" x14ac:dyDescent="0.3">
      <c r="A1365" s="8" t="s">
        <v>3349</v>
      </c>
      <c r="B1365" s="8" t="s">
        <v>3350</v>
      </c>
      <c r="C1365" s="8">
        <v>9761964951</v>
      </c>
      <c r="D1365" s="8" t="s">
        <v>108</v>
      </c>
      <c r="E1365" s="8" t="s">
        <v>1632</v>
      </c>
      <c r="F1365" s="8" t="s">
        <v>1682</v>
      </c>
      <c r="G1365" s="8" t="s">
        <v>23</v>
      </c>
      <c r="H1365" s="8" t="s">
        <v>3128</v>
      </c>
      <c r="I1365" s="2" t="str">
        <f t="shared" si="105"/>
        <v>Jan</v>
      </c>
      <c r="J1365" s="2">
        <f t="shared" si="106"/>
        <v>1</v>
      </c>
      <c r="K1365" s="2">
        <f t="shared" si="107"/>
        <v>2025</v>
      </c>
      <c r="L1365" s="2">
        <f t="shared" si="108"/>
        <v>1</v>
      </c>
      <c r="M1365" s="8">
        <v>0</v>
      </c>
      <c r="N1365" s="8" t="s">
        <v>3198</v>
      </c>
      <c r="O1365" s="8" t="s">
        <v>62</v>
      </c>
      <c r="P1365" s="9">
        <v>793818</v>
      </c>
      <c r="Q1365" s="8"/>
      <c r="R1365" s="8"/>
      <c r="S1365" s="8" t="s">
        <v>5573</v>
      </c>
      <c r="T1365" s="8">
        <v>29.7</v>
      </c>
      <c r="U1365" s="8" t="s">
        <v>47</v>
      </c>
      <c r="V1365" s="8" t="s">
        <v>212</v>
      </c>
      <c r="W1365" s="67" t="str">
        <f t="shared" si="109"/>
        <v>-</v>
      </c>
    </row>
    <row r="1366" spans="1:23" x14ac:dyDescent="0.3">
      <c r="A1366" s="6" t="s">
        <v>3351</v>
      </c>
      <c r="B1366" s="6" t="s">
        <v>2124</v>
      </c>
      <c r="C1366" s="6">
        <v>9518064414</v>
      </c>
      <c r="D1366" s="6" t="s">
        <v>59</v>
      </c>
      <c r="E1366" s="6" t="s">
        <v>21</v>
      </c>
      <c r="F1366" s="6" t="s">
        <v>230</v>
      </c>
      <c r="G1366" s="6" t="s">
        <v>643</v>
      </c>
      <c r="H1366" s="6" t="s">
        <v>3128</v>
      </c>
      <c r="I1366" s="2" t="str">
        <f t="shared" si="105"/>
        <v>Jan</v>
      </c>
      <c r="J1366" s="2">
        <f t="shared" si="106"/>
        <v>1</v>
      </c>
      <c r="K1366" s="2">
        <f t="shared" si="107"/>
        <v>2025</v>
      </c>
      <c r="L1366" s="2">
        <f t="shared" si="108"/>
        <v>1</v>
      </c>
      <c r="M1366" s="6">
        <v>5</v>
      </c>
      <c r="N1366" s="6" t="s">
        <v>3146</v>
      </c>
      <c r="O1366" s="6" t="s">
        <v>97</v>
      </c>
      <c r="P1366" s="7">
        <v>1169903</v>
      </c>
      <c r="Q1366" s="7">
        <v>1067430</v>
      </c>
      <c r="R1366" s="6" t="s">
        <v>3290</v>
      </c>
      <c r="S1366" s="6" t="s">
        <v>5573</v>
      </c>
      <c r="T1366" s="6">
        <v>16.2</v>
      </c>
      <c r="U1366" s="6" t="s">
        <v>47</v>
      </c>
      <c r="V1366" s="6"/>
      <c r="W1366" s="67" t="str">
        <f t="shared" si="109"/>
        <v>Customer</v>
      </c>
    </row>
    <row r="1367" spans="1:23" x14ac:dyDescent="0.3">
      <c r="A1367" s="4" t="s">
        <v>3352</v>
      </c>
      <c r="B1367" s="4" t="s">
        <v>3353</v>
      </c>
      <c r="C1367" s="4">
        <v>9152369237</v>
      </c>
      <c r="D1367" s="4" t="s">
        <v>121</v>
      </c>
      <c r="E1367" s="4" t="s">
        <v>41</v>
      </c>
      <c r="F1367" s="4" t="s">
        <v>86</v>
      </c>
      <c r="G1367" s="4" t="s">
        <v>23</v>
      </c>
      <c r="H1367" s="4" t="s">
        <v>3128</v>
      </c>
      <c r="I1367" s="2" t="str">
        <f t="shared" si="105"/>
        <v>Jan</v>
      </c>
      <c r="J1367" s="2">
        <f t="shared" si="106"/>
        <v>1</v>
      </c>
      <c r="K1367" s="2">
        <f t="shared" si="107"/>
        <v>2025</v>
      </c>
      <c r="L1367" s="2">
        <f t="shared" si="108"/>
        <v>1</v>
      </c>
      <c r="M1367" s="4">
        <v>5</v>
      </c>
      <c r="N1367" s="4" t="s">
        <v>3271</v>
      </c>
      <c r="O1367" s="4" t="s">
        <v>45</v>
      </c>
      <c r="P1367" s="5">
        <v>858208</v>
      </c>
      <c r="Q1367" s="4"/>
      <c r="R1367" s="4"/>
      <c r="S1367" s="4" t="s">
        <v>5573</v>
      </c>
      <c r="T1367" s="4">
        <v>25.6</v>
      </c>
      <c r="U1367" s="4" t="s">
        <v>29</v>
      </c>
      <c r="V1367" s="4" t="s">
        <v>589</v>
      </c>
      <c r="W1367" s="67" t="str">
        <f t="shared" si="109"/>
        <v>-</v>
      </c>
    </row>
    <row r="1368" spans="1:23" x14ac:dyDescent="0.3">
      <c r="A1368" s="6" t="s">
        <v>3354</v>
      </c>
      <c r="B1368" s="6" t="s">
        <v>3355</v>
      </c>
      <c r="C1368" s="6">
        <v>9148757534</v>
      </c>
      <c r="D1368" s="6" t="s">
        <v>121</v>
      </c>
      <c r="E1368" s="6" t="s">
        <v>109</v>
      </c>
      <c r="F1368" s="6" t="s">
        <v>217</v>
      </c>
      <c r="G1368" s="6" t="s">
        <v>52</v>
      </c>
      <c r="H1368" s="6" t="s">
        <v>3193</v>
      </c>
      <c r="I1368" s="2" t="str">
        <f t="shared" si="105"/>
        <v>Jan</v>
      </c>
      <c r="J1368" s="2">
        <f t="shared" si="106"/>
        <v>1</v>
      </c>
      <c r="K1368" s="2">
        <f t="shared" si="107"/>
        <v>2025</v>
      </c>
      <c r="L1368" s="2">
        <f t="shared" si="108"/>
        <v>1</v>
      </c>
      <c r="M1368" s="6">
        <v>7</v>
      </c>
      <c r="N1368" s="6" t="s">
        <v>3303</v>
      </c>
      <c r="O1368" s="6" t="s">
        <v>97</v>
      </c>
      <c r="P1368" s="7">
        <v>218758</v>
      </c>
      <c r="Q1368" s="7">
        <v>205722</v>
      </c>
      <c r="R1368" s="6" t="s">
        <v>3356</v>
      </c>
      <c r="S1368" s="6" t="s">
        <v>5573</v>
      </c>
      <c r="T1368" s="6">
        <v>30.2</v>
      </c>
      <c r="U1368" s="6" t="s">
        <v>63</v>
      </c>
      <c r="V1368" s="6" t="s">
        <v>465</v>
      </c>
      <c r="W1368" s="67" t="str">
        <f t="shared" si="109"/>
        <v>Customer</v>
      </c>
    </row>
    <row r="1369" spans="1:23" x14ac:dyDescent="0.3">
      <c r="A1369" s="4" t="s">
        <v>3357</v>
      </c>
      <c r="B1369" s="4" t="s">
        <v>2925</v>
      </c>
      <c r="C1369" s="4">
        <v>9933203117</v>
      </c>
      <c r="D1369" s="4" t="s">
        <v>51</v>
      </c>
      <c r="E1369" s="4" t="s">
        <v>648</v>
      </c>
      <c r="F1369" s="4" t="s">
        <v>649</v>
      </c>
      <c r="G1369" s="4" t="s">
        <v>643</v>
      </c>
      <c r="H1369" s="4" t="s">
        <v>3193</v>
      </c>
      <c r="I1369" s="2" t="str">
        <f t="shared" si="105"/>
        <v>Jan</v>
      </c>
      <c r="J1369" s="2">
        <f t="shared" si="106"/>
        <v>1</v>
      </c>
      <c r="K1369" s="2">
        <f t="shared" si="107"/>
        <v>2025</v>
      </c>
      <c r="L1369" s="2">
        <f t="shared" si="108"/>
        <v>1</v>
      </c>
      <c r="M1369" s="4">
        <v>4</v>
      </c>
      <c r="N1369" s="4" t="s">
        <v>3313</v>
      </c>
      <c r="O1369" s="4" t="s">
        <v>27</v>
      </c>
      <c r="P1369" s="5">
        <v>1240160</v>
      </c>
      <c r="Q1369" s="4"/>
      <c r="R1369" s="4"/>
      <c r="S1369" s="4" t="s">
        <v>5573</v>
      </c>
      <c r="T1369" s="4">
        <v>26.2</v>
      </c>
      <c r="U1369" s="4" t="s">
        <v>29</v>
      </c>
      <c r="V1369" s="4"/>
      <c r="W1369" s="67" t="str">
        <f t="shared" si="109"/>
        <v>-</v>
      </c>
    </row>
    <row r="1370" spans="1:23" x14ac:dyDescent="0.3">
      <c r="A1370" s="6" t="s">
        <v>3358</v>
      </c>
      <c r="B1370" s="6" t="s">
        <v>3359</v>
      </c>
      <c r="C1370" s="6">
        <v>9293789628</v>
      </c>
      <c r="D1370" s="6" t="s">
        <v>59</v>
      </c>
      <c r="E1370" s="6" t="s">
        <v>21</v>
      </c>
      <c r="F1370" s="6" t="s">
        <v>230</v>
      </c>
      <c r="G1370" s="6" t="s">
        <v>1677</v>
      </c>
      <c r="H1370" s="6" t="s">
        <v>3112</v>
      </c>
      <c r="I1370" s="2" t="str">
        <f t="shared" si="105"/>
        <v>Jan</v>
      </c>
      <c r="J1370" s="2">
        <f t="shared" si="106"/>
        <v>1</v>
      </c>
      <c r="K1370" s="2">
        <f t="shared" si="107"/>
        <v>2025</v>
      </c>
      <c r="L1370" s="2">
        <f t="shared" si="108"/>
        <v>1</v>
      </c>
      <c r="M1370" s="6">
        <v>4</v>
      </c>
      <c r="N1370" s="6" t="s">
        <v>3308</v>
      </c>
      <c r="O1370" s="6" t="s">
        <v>97</v>
      </c>
      <c r="P1370" s="7">
        <v>951952</v>
      </c>
      <c r="Q1370" s="7">
        <v>962610</v>
      </c>
      <c r="R1370" s="6" t="s">
        <v>3213</v>
      </c>
      <c r="S1370" s="6" t="s">
        <v>5573</v>
      </c>
      <c r="T1370" s="6">
        <v>23.3</v>
      </c>
      <c r="U1370" s="6" t="s">
        <v>63</v>
      </c>
      <c r="V1370" s="6"/>
      <c r="W1370" s="67" t="str">
        <f t="shared" si="109"/>
        <v>Customer</v>
      </c>
    </row>
    <row r="1371" spans="1:23" x14ac:dyDescent="0.3">
      <c r="A1371" s="6" t="s">
        <v>3360</v>
      </c>
      <c r="B1371" s="6" t="s">
        <v>3361</v>
      </c>
      <c r="C1371" s="6">
        <v>9261077524</v>
      </c>
      <c r="D1371" s="6" t="s">
        <v>108</v>
      </c>
      <c r="E1371" s="6" t="s">
        <v>41</v>
      </c>
      <c r="F1371" s="6" t="s">
        <v>151</v>
      </c>
      <c r="G1371" s="6" t="s">
        <v>1623</v>
      </c>
      <c r="H1371" s="6" t="s">
        <v>3198</v>
      </c>
      <c r="I1371" s="2" t="str">
        <f t="shared" si="105"/>
        <v>Jan</v>
      </c>
      <c r="J1371" s="2">
        <f t="shared" si="106"/>
        <v>1</v>
      </c>
      <c r="K1371" s="2">
        <f t="shared" si="107"/>
        <v>2025</v>
      </c>
      <c r="L1371" s="2">
        <f t="shared" si="108"/>
        <v>1</v>
      </c>
      <c r="M1371" s="6">
        <v>11</v>
      </c>
      <c r="N1371" s="6" t="s">
        <v>3362</v>
      </c>
      <c r="O1371" s="6" t="s">
        <v>97</v>
      </c>
      <c r="P1371" s="7">
        <v>214696</v>
      </c>
      <c r="Q1371" s="7">
        <v>201065</v>
      </c>
      <c r="R1371" s="6" t="s">
        <v>3363</v>
      </c>
      <c r="S1371" s="6" t="s">
        <v>5573</v>
      </c>
      <c r="T1371" s="6">
        <v>2.2000000000000002</v>
      </c>
      <c r="U1371" s="6" t="s">
        <v>63</v>
      </c>
      <c r="V1371" s="6" t="s">
        <v>907</v>
      </c>
      <c r="W1371" s="67" t="str">
        <f t="shared" si="109"/>
        <v>Architect</v>
      </c>
    </row>
    <row r="1372" spans="1:23" x14ac:dyDescent="0.3">
      <c r="A1372" s="8" t="s">
        <v>3364</v>
      </c>
      <c r="B1372" s="8" t="s">
        <v>3365</v>
      </c>
      <c r="C1372" s="8">
        <v>9288808900</v>
      </c>
      <c r="D1372" s="8" t="s">
        <v>51</v>
      </c>
      <c r="E1372" s="8" t="s">
        <v>1632</v>
      </c>
      <c r="F1372" s="8" t="s">
        <v>1659</v>
      </c>
      <c r="G1372" s="8" t="s">
        <v>23</v>
      </c>
      <c r="H1372" s="8" t="s">
        <v>3198</v>
      </c>
      <c r="I1372" s="2" t="str">
        <f t="shared" si="105"/>
        <v>Jan</v>
      </c>
      <c r="J1372" s="2">
        <f t="shared" si="106"/>
        <v>1</v>
      </c>
      <c r="K1372" s="2">
        <f t="shared" si="107"/>
        <v>2025</v>
      </c>
      <c r="L1372" s="2">
        <f t="shared" si="108"/>
        <v>1</v>
      </c>
      <c r="M1372" s="8">
        <v>11</v>
      </c>
      <c r="N1372" s="8" t="s">
        <v>3362</v>
      </c>
      <c r="O1372" s="8" t="s">
        <v>27</v>
      </c>
      <c r="P1372" s="9">
        <v>793458</v>
      </c>
      <c r="Q1372" s="8"/>
      <c r="R1372" s="8"/>
      <c r="S1372" s="8" t="s">
        <v>5573</v>
      </c>
      <c r="T1372" s="8">
        <v>17</v>
      </c>
      <c r="U1372" s="8" t="s">
        <v>29</v>
      </c>
      <c r="V1372" s="8" t="s">
        <v>163</v>
      </c>
      <c r="W1372" s="67" t="str">
        <f t="shared" si="109"/>
        <v>-</v>
      </c>
    </row>
    <row r="1373" spans="1:23" x14ac:dyDescent="0.3">
      <c r="A1373" s="8" t="s">
        <v>3366</v>
      </c>
      <c r="B1373" s="8" t="s">
        <v>579</v>
      </c>
      <c r="C1373" s="8">
        <v>9400823845</v>
      </c>
      <c r="D1373" s="8" t="s">
        <v>20</v>
      </c>
      <c r="E1373" s="8" t="s">
        <v>1632</v>
      </c>
      <c r="F1373" s="8" t="s">
        <v>1633</v>
      </c>
      <c r="G1373" s="8" t="s">
        <v>35</v>
      </c>
      <c r="H1373" s="8" t="s">
        <v>3225</v>
      </c>
      <c r="I1373" s="2" t="str">
        <f t="shared" si="105"/>
        <v>Jan</v>
      </c>
      <c r="J1373" s="2">
        <f t="shared" si="106"/>
        <v>1</v>
      </c>
      <c r="K1373" s="2">
        <f t="shared" si="107"/>
        <v>2025</v>
      </c>
      <c r="L1373" s="2">
        <f t="shared" si="108"/>
        <v>1</v>
      </c>
      <c r="M1373" s="8">
        <v>11</v>
      </c>
      <c r="N1373" s="8" t="s">
        <v>3367</v>
      </c>
      <c r="O1373" s="8" t="s">
        <v>55</v>
      </c>
      <c r="P1373" s="9">
        <v>316658</v>
      </c>
      <c r="Q1373" s="8"/>
      <c r="R1373" s="8"/>
      <c r="S1373" s="8" t="s">
        <v>5573</v>
      </c>
      <c r="T1373" s="8">
        <v>10.199999999999999</v>
      </c>
      <c r="U1373" s="8" t="s">
        <v>29</v>
      </c>
      <c r="V1373" s="8" t="s">
        <v>805</v>
      </c>
      <c r="W1373" s="67" t="str">
        <f t="shared" si="109"/>
        <v>-</v>
      </c>
    </row>
    <row r="1374" spans="1:23" x14ac:dyDescent="0.3">
      <c r="A1374" s="8" t="s">
        <v>3368</v>
      </c>
      <c r="B1374" s="8" t="s">
        <v>1335</v>
      </c>
      <c r="C1374" s="8">
        <v>9218758081</v>
      </c>
      <c r="D1374" s="8" t="s">
        <v>59</v>
      </c>
      <c r="E1374" s="8" t="s">
        <v>1632</v>
      </c>
      <c r="F1374" s="8" t="s">
        <v>1849</v>
      </c>
      <c r="G1374" s="8" t="s">
        <v>1599</v>
      </c>
      <c r="H1374" s="8" t="s">
        <v>3225</v>
      </c>
      <c r="I1374" s="2" t="str">
        <f t="shared" si="105"/>
        <v>Jan</v>
      </c>
      <c r="J1374" s="2">
        <f t="shared" si="106"/>
        <v>1</v>
      </c>
      <c r="K1374" s="2">
        <f t="shared" si="107"/>
        <v>2025</v>
      </c>
      <c r="L1374" s="2">
        <f t="shared" si="108"/>
        <v>1</v>
      </c>
      <c r="M1374" s="8">
        <v>12</v>
      </c>
      <c r="N1374" s="8" t="s">
        <v>3262</v>
      </c>
      <c r="O1374" s="8" t="s">
        <v>45</v>
      </c>
      <c r="P1374" s="9">
        <v>908090</v>
      </c>
      <c r="Q1374" s="8"/>
      <c r="R1374" s="8"/>
      <c r="S1374" s="8" t="s">
        <v>5573</v>
      </c>
      <c r="T1374" s="8">
        <v>13.8</v>
      </c>
      <c r="U1374" s="8" t="s">
        <v>47</v>
      </c>
      <c r="V1374" s="8" t="s">
        <v>597</v>
      </c>
      <c r="W1374" s="67" t="str">
        <f t="shared" si="109"/>
        <v>-</v>
      </c>
    </row>
    <row r="1375" spans="1:23" x14ac:dyDescent="0.3">
      <c r="A1375" s="8" t="s">
        <v>3369</v>
      </c>
      <c r="B1375" s="8" t="s">
        <v>1000</v>
      </c>
      <c r="C1375" s="8">
        <v>9958906815</v>
      </c>
      <c r="D1375" s="8" t="s">
        <v>121</v>
      </c>
      <c r="E1375" s="8" t="s">
        <v>33</v>
      </c>
      <c r="F1375" s="8" t="s">
        <v>201</v>
      </c>
      <c r="G1375" s="8" t="s">
        <v>1599</v>
      </c>
      <c r="H1375" s="8" t="s">
        <v>3225</v>
      </c>
      <c r="I1375" s="2" t="str">
        <f t="shared" si="105"/>
        <v>Jan</v>
      </c>
      <c r="J1375" s="2">
        <f t="shared" si="106"/>
        <v>1</v>
      </c>
      <c r="K1375" s="2">
        <f t="shared" si="107"/>
        <v>2025</v>
      </c>
      <c r="L1375" s="2">
        <f t="shared" si="108"/>
        <v>1</v>
      </c>
      <c r="M1375" s="8">
        <v>12</v>
      </c>
      <c r="N1375" s="8" t="s">
        <v>3370</v>
      </c>
      <c r="O1375" s="8" t="s">
        <v>55</v>
      </c>
      <c r="P1375" s="9">
        <v>646821</v>
      </c>
      <c r="Q1375" s="8"/>
      <c r="R1375" s="8"/>
      <c r="S1375" s="8" t="s">
        <v>5573</v>
      </c>
      <c r="T1375" s="8">
        <v>8.9</v>
      </c>
      <c r="U1375" s="8" t="s">
        <v>29</v>
      </c>
      <c r="V1375" s="8" t="s">
        <v>247</v>
      </c>
      <c r="W1375" s="67" t="str">
        <f t="shared" si="109"/>
        <v>-</v>
      </c>
    </row>
    <row r="1376" spans="1:23" x14ac:dyDescent="0.3">
      <c r="A1376" s="2" t="s">
        <v>3371</v>
      </c>
      <c r="B1376" s="2" t="s">
        <v>3372</v>
      </c>
      <c r="C1376" s="2">
        <v>9959840299</v>
      </c>
      <c r="D1376" s="2" t="s">
        <v>121</v>
      </c>
      <c r="E1376" s="2" t="s">
        <v>41</v>
      </c>
      <c r="F1376" s="2" t="s">
        <v>86</v>
      </c>
      <c r="G1376" s="2" t="s">
        <v>643</v>
      </c>
      <c r="H1376" s="2" t="s">
        <v>3225</v>
      </c>
      <c r="I1376" s="2" t="str">
        <f t="shared" si="105"/>
        <v>Jan</v>
      </c>
      <c r="J1376" s="2">
        <f t="shared" si="106"/>
        <v>1</v>
      </c>
      <c r="K1376" s="2">
        <f t="shared" si="107"/>
        <v>2025</v>
      </c>
      <c r="L1376" s="2">
        <f t="shared" si="108"/>
        <v>1</v>
      </c>
      <c r="M1376" s="2">
        <v>6</v>
      </c>
      <c r="N1376" s="2" t="s">
        <v>3344</v>
      </c>
      <c r="O1376" s="2" t="s">
        <v>27</v>
      </c>
      <c r="P1376" s="3">
        <v>862212</v>
      </c>
      <c r="Q1376" s="2"/>
      <c r="R1376" s="2"/>
      <c r="S1376" s="2" t="s">
        <v>5573</v>
      </c>
      <c r="T1376" s="2">
        <v>35.799999999999997</v>
      </c>
      <c r="U1376" s="2" t="s">
        <v>29</v>
      </c>
      <c r="V1376" s="2" t="s">
        <v>157</v>
      </c>
      <c r="W1376" s="67" t="str">
        <f t="shared" si="109"/>
        <v>-</v>
      </c>
    </row>
    <row r="1377" spans="1:23" x14ac:dyDescent="0.3">
      <c r="A1377" s="6" t="s">
        <v>3373</v>
      </c>
      <c r="B1377" s="6" t="s">
        <v>2019</v>
      </c>
      <c r="C1377" s="6">
        <v>9851640984</v>
      </c>
      <c r="D1377" s="6" t="s">
        <v>121</v>
      </c>
      <c r="E1377" s="6" t="s">
        <v>1632</v>
      </c>
      <c r="F1377" s="6" t="s">
        <v>1849</v>
      </c>
      <c r="G1377" s="6" t="s">
        <v>616</v>
      </c>
      <c r="H1377" s="6" t="s">
        <v>3225</v>
      </c>
      <c r="I1377" s="2" t="str">
        <f t="shared" si="105"/>
        <v>Jan</v>
      </c>
      <c r="J1377" s="2">
        <f t="shared" si="106"/>
        <v>1</v>
      </c>
      <c r="K1377" s="2">
        <f t="shared" si="107"/>
        <v>2025</v>
      </c>
      <c r="L1377" s="2">
        <f t="shared" si="108"/>
        <v>1</v>
      </c>
      <c r="M1377" s="6">
        <v>10</v>
      </c>
      <c r="N1377" s="6" t="s">
        <v>3374</v>
      </c>
      <c r="O1377" s="6" t="s">
        <v>97</v>
      </c>
      <c r="P1377" s="7">
        <v>383625</v>
      </c>
      <c r="Q1377" s="7">
        <v>354814</v>
      </c>
      <c r="R1377" s="6" t="s">
        <v>3375</v>
      </c>
      <c r="S1377" s="6" t="s">
        <v>5573</v>
      </c>
      <c r="T1377" s="6">
        <v>17.5</v>
      </c>
      <c r="U1377" s="6" t="s">
        <v>63</v>
      </c>
      <c r="V1377" s="6" t="s">
        <v>113</v>
      </c>
      <c r="W1377" s="67" t="str">
        <f t="shared" si="109"/>
        <v>Customer</v>
      </c>
    </row>
    <row r="1378" spans="1:23" x14ac:dyDescent="0.3">
      <c r="A1378" s="2" t="s">
        <v>3376</v>
      </c>
      <c r="B1378" s="2" t="s">
        <v>3377</v>
      </c>
      <c r="C1378" s="2">
        <v>9759799861</v>
      </c>
      <c r="D1378" s="2" t="s">
        <v>20</v>
      </c>
      <c r="E1378" s="2" t="s">
        <v>21</v>
      </c>
      <c r="F1378" s="2" t="s">
        <v>230</v>
      </c>
      <c r="G1378" s="2" t="s">
        <v>52</v>
      </c>
      <c r="H1378" s="2" t="s">
        <v>3225</v>
      </c>
      <c r="I1378" s="2" t="str">
        <f t="shared" si="105"/>
        <v>Jan</v>
      </c>
      <c r="J1378" s="2">
        <f t="shared" si="106"/>
        <v>1</v>
      </c>
      <c r="K1378" s="2">
        <f t="shared" si="107"/>
        <v>2025</v>
      </c>
      <c r="L1378" s="2">
        <f t="shared" si="108"/>
        <v>1</v>
      </c>
      <c r="M1378" s="2">
        <v>2</v>
      </c>
      <c r="N1378" s="2" t="s">
        <v>3146</v>
      </c>
      <c r="O1378" s="2" t="s">
        <v>45</v>
      </c>
      <c r="P1378" s="3">
        <v>580141</v>
      </c>
      <c r="Q1378" s="2"/>
      <c r="R1378" s="2"/>
      <c r="S1378" s="2" t="s">
        <v>5573</v>
      </c>
      <c r="T1378" s="2">
        <v>32.799999999999997</v>
      </c>
      <c r="U1378" s="2" t="s">
        <v>47</v>
      </c>
      <c r="V1378" s="2" t="s">
        <v>487</v>
      </c>
      <c r="W1378" s="67" t="str">
        <f t="shared" si="109"/>
        <v>-</v>
      </c>
    </row>
    <row r="1379" spans="1:23" x14ac:dyDescent="0.3">
      <c r="A1379" s="4" t="s">
        <v>3378</v>
      </c>
      <c r="B1379" s="4" t="s">
        <v>3379</v>
      </c>
      <c r="C1379" s="4">
        <v>9186274942</v>
      </c>
      <c r="D1379" s="4" t="s">
        <v>20</v>
      </c>
      <c r="E1379" s="4" t="s">
        <v>41</v>
      </c>
      <c r="F1379" s="4" t="s">
        <v>86</v>
      </c>
      <c r="G1379" s="4" t="s">
        <v>1621</v>
      </c>
      <c r="H1379" s="4" t="s">
        <v>3225</v>
      </c>
      <c r="I1379" s="2" t="str">
        <f t="shared" si="105"/>
        <v>Jan</v>
      </c>
      <c r="J1379" s="2">
        <f t="shared" si="106"/>
        <v>1</v>
      </c>
      <c r="K1379" s="2">
        <f t="shared" si="107"/>
        <v>2025</v>
      </c>
      <c r="L1379" s="2">
        <f t="shared" si="108"/>
        <v>1</v>
      </c>
      <c r="M1379" s="4">
        <v>11</v>
      </c>
      <c r="N1379" s="4" t="s">
        <v>3229</v>
      </c>
      <c r="O1379" s="4" t="s">
        <v>62</v>
      </c>
      <c r="P1379" s="5">
        <v>523849</v>
      </c>
      <c r="Q1379" s="4"/>
      <c r="R1379" s="4"/>
      <c r="S1379" s="4" t="s">
        <v>5573</v>
      </c>
      <c r="T1379" s="4">
        <v>18.3</v>
      </c>
      <c r="U1379" s="4" t="s">
        <v>47</v>
      </c>
      <c r="V1379" s="4" t="s">
        <v>597</v>
      </c>
      <c r="W1379" s="67" t="str">
        <f t="shared" si="109"/>
        <v>-</v>
      </c>
    </row>
    <row r="1380" spans="1:23" x14ac:dyDescent="0.3">
      <c r="A1380" s="2" t="s">
        <v>3380</v>
      </c>
      <c r="B1380" s="2" t="s">
        <v>1058</v>
      </c>
      <c r="C1380" s="2">
        <v>9270564185</v>
      </c>
      <c r="D1380" s="2" t="s">
        <v>20</v>
      </c>
      <c r="E1380" s="2" t="s">
        <v>1632</v>
      </c>
      <c r="F1380" s="2" t="s">
        <v>1659</v>
      </c>
      <c r="G1380" s="2" t="s">
        <v>1599</v>
      </c>
      <c r="H1380" s="2" t="s">
        <v>3225</v>
      </c>
      <c r="I1380" s="2" t="str">
        <f t="shared" si="105"/>
        <v>Jan</v>
      </c>
      <c r="J1380" s="2">
        <f t="shared" si="106"/>
        <v>1</v>
      </c>
      <c r="K1380" s="2">
        <f t="shared" si="107"/>
        <v>2025</v>
      </c>
      <c r="L1380" s="2">
        <f t="shared" si="108"/>
        <v>1</v>
      </c>
      <c r="M1380" s="2">
        <v>12</v>
      </c>
      <c r="N1380" s="2" t="s">
        <v>3381</v>
      </c>
      <c r="O1380" s="2" t="s">
        <v>45</v>
      </c>
      <c r="P1380" s="3">
        <v>1058090</v>
      </c>
      <c r="Q1380" s="2"/>
      <c r="R1380" s="2"/>
      <c r="S1380" s="2" t="s">
        <v>5573</v>
      </c>
      <c r="T1380" s="2">
        <v>32.1</v>
      </c>
      <c r="U1380" s="2" t="s">
        <v>63</v>
      </c>
      <c r="V1380" s="2" t="s">
        <v>221</v>
      </c>
      <c r="W1380" s="67" t="str">
        <f t="shared" si="109"/>
        <v>-</v>
      </c>
    </row>
    <row r="1381" spans="1:23" x14ac:dyDescent="0.3">
      <c r="A1381" s="4" t="s">
        <v>3382</v>
      </c>
      <c r="B1381" s="4" t="s">
        <v>1031</v>
      </c>
      <c r="C1381" s="4">
        <v>9810869393</v>
      </c>
      <c r="D1381" s="4" t="s">
        <v>20</v>
      </c>
      <c r="E1381" s="4" t="s">
        <v>641</v>
      </c>
      <c r="F1381" s="4" t="s">
        <v>727</v>
      </c>
      <c r="G1381" s="4" t="s">
        <v>1609</v>
      </c>
      <c r="H1381" s="4" t="s">
        <v>3225</v>
      </c>
      <c r="I1381" s="2" t="str">
        <f t="shared" si="105"/>
        <v>Jan</v>
      </c>
      <c r="J1381" s="2">
        <f t="shared" si="106"/>
        <v>1</v>
      </c>
      <c r="K1381" s="2">
        <f t="shared" si="107"/>
        <v>2025</v>
      </c>
      <c r="L1381" s="2">
        <f t="shared" si="108"/>
        <v>1</v>
      </c>
      <c r="M1381" s="4">
        <v>11</v>
      </c>
      <c r="N1381" s="4" t="s">
        <v>3250</v>
      </c>
      <c r="O1381" s="4" t="s">
        <v>55</v>
      </c>
      <c r="P1381" s="5">
        <v>287702</v>
      </c>
      <c r="Q1381" s="4"/>
      <c r="R1381" s="4"/>
      <c r="S1381" s="4" t="s">
        <v>5573</v>
      </c>
      <c r="T1381" s="4">
        <v>20.8</v>
      </c>
      <c r="U1381" s="4" t="s">
        <v>29</v>
      </c>
      <c r="V1381" s="4" t="s">
        <v>389</v>
      </c>
      <c r="W1381" s="67" t="str">
        <f t="shared" si="109"/>
        <v>-</v>
      </c>
    </row>
    <row r="1382" spans="1:23" x14ac:dyDescent="0.3">
      <c r="A1382" s="6" t="s">
        <v>3383</v>
      </c>
      <c r="B1382" s="6" t="s">
        <v>3384</v>
      </c>
      <c r="C1382" s="6">
        <v>9338768340</v>
      </c>
      <c r="D1382" s="6" t="s">
        <v>59</v>
      </c>
      <c r="E1382" s="6" t="s">
        <v>67</v>
      </c>
      <c r="F1382" s="6" t="s">
        <v>68</v>
      </c>
      <c r="G1382" s="6" t="s">
        <v>1609</v>
      </c>
      <c r="H1382" s="6" t="s">
        <v>3225</v>
      </c>
      <c r="I1382" s="2" t="str">
        <f t="shared" si="105"/>
        <v>Jan</v>
      </c>
      <c r="J1382" s="2">
        <f t="shared" si="106"/>
        <v>1</v>
      </c>
      <c r="K1382" s="2">
        <f t="shared" si="107"/>
        <v>2025</v>
      </c>
      <c r="L1382" s="2">
        <f t="shared" si="108"/>
        <v>1</v>
      </c>
      <c r="M1382" s="6">
        <v>6</v>
      </c>
      <c r="N1382" s="6" t="s">
        <v>3385</v>
      </c>
      <c r="O1382" s="6" t="s">
        <v>97</v>
      </c>
      <c r="P1382" s="7">
        <v>272605</v>
      </c>
      <c r="Q1382" s="7">
        <v>241578</v>
      </c>
      <c r="R1382" s="6" t="s">
        <v>3178</v>
      </c>
      <c r="S1382" s="6" t="s">
        <v>5573</v>
      </c>
      <c r="T1382" s="6">
        <v>19.100000000000001</v>
      </c>
      <c r="U1382" s="6" t="s">
        <v>63</v>
      </c>
      <c r="V1382" s="6" t="s">
        <v>243</v>
      </c>
      <c r="W1382" s="67" t="str">
        <f t="shared" si="109"/>
        <v>Customer</v>
      </c>
    </row>
    <row r="1383" spans="1:23" x14ac:dyDescent="0.3">
      <c r="A1383" s="4" t="s">
        <v>3386</v>
      </c>
      <c r="B1383" s="4" t="s">
        <v>3387</v>
      </c>
      <c r="C1383" s="4">
        <v>9740779931</v>
      </c>
      <c r="D1383" s="4" t="s">
        <v>20</v>
      </c>
      <c r="E1383" s="4" t="s">
        <v>41</v>
      </c>
      <c r="F1383" s="4" t="s">
        <v>42</v>
      </c>
      <c r="G1383" s="4" t="s">
        <v>616</v>
      </c>
      <c r="H1383" s="4" t="s">
        <v>3225</v>
      </c>
      <c r="I1383" s="2" t="str">
        <f t="shared" si="105"/>
        <v>Jan</v>
      </c>
      <c r="J1383" s="2">
        <f t="shared" si="106"/>
        <v>1</v>
      </c>
      <c r="K1383" s="2">
        <f t="shared" si="107"/>
        <v>2025</v>
      </c>
      <c r="L1383" s="2">
        <f t="shared" si="108"/>
        <v>1</v>
      </c>
      <c r="M1383" s="4">
        <v>6</v>
      </c>
      <c r="N1383" s="4" t="s">
        <v>3388</v>
      </c>
      <c r="O1383" s="4" t="s">
        <v>27</v>
      </c>
      <c r="P1383" s="5">
        <v>269117</v>
      </c>
      <c r="Q1383" s="4"/>
      <c r="R1383" s="4"/>
      <c r="S1383" s="4" t="s">
        <v>5573</v>
      </c>
      <c r="T1383" s="4">
        <v>5.8</v>
      </c>
      <c r="U1383" s="4" t="s">
        <v>29</v>
      </c>
      <c r="V1383" s="4"/>
      <c r="W1383" s="67" t="str">
        <f t="shared" si="109"/>
        <v>-</v>
      </c>
    </row>
    <row r="1384" spans="1:23" x14ac:dyDescent="0.3">
      <c r="A1384" s="2" t="s">
        <v>3389</v>
      </c>
      <c r="B1384" s="2" t="s">
        <v>3390</v>
      </c>
      <c r="C1384" s="2">
        <v>9728762664</v>
      </c>
      <c r="D1384" s="2" t="s">
        <v>59</v>
      </c>
      <c r="E1384" s="2" t="s">
        <v>109</v>
      </c>
      <c r="F1384" s="2" t="s">
        <v>110</v>
      </c>
      <c r="G1384" s="2" t="s">
        <v>1623</v>
      </c>
      <c r="H1384" s="2" t="s">
        <v>3225</v>
      </c>
      <c r="I1384" s="2" t="str">
        <f t="shared" si="105"/>
        <v>Jan</v>
      </c>
      <c r="J1384" s="2">
        <f t="shared" si="106"/>
        <v>1</v>
      </c>
      <c r="K1384" s="2">
        <f t="shared" si="107"/>
        <v>2025</v>
      </c>
      <c r="L1384" s="2">
        <f t="shared" si="108"/>
        <v>1</v>
      </c>
      <c r="M1384" s="2">
        <v>12</v>
      </c>
      <c r="N1384" s="2" t="s">
        <v>3257</v>
      </c>
      <c r="O1384" s="2" t="s">
        <v>55</v>
      </c>
      <c r="P1384" s="3">
        <v>300694</v>
      </c>
      <c r="Q1384" s="2"/>
      <c r="R1384" s="2"/>
      <c r="S1384" s="2" t="s">
        <v>5573</v>
      </c>
      <c r="T1384" s="2">
        <v>11.9</v>
      </c>
      <c r="U1384" s="2" t="s">
        <v>29</v>
      </c>
      <c r="V1384" s="2" t="s">
        <v>697</v>
      </c>
      <c r="W1384" s="67" t="str">
        <f t="shared" si="109"/>
        <v>-</v>
      </c>
    </row>
    <row r="1385" spans="1:23" x14ac:dyDescent="0.3">
      <c r="A1385" s="4" t="s">
        <v>3391</v>
      </c>
      <c r="B1385" s="4" t="s">
        <v>2738</v>
      </c>
      <c r="C1385" s="4">
        <v>9263149661</v>
      </c>
      <c r="D1385" s="4" t="s">
        <v>121</v>
      </c>
      <c r="E1385" s="4" t="s">
        <v>1632</v>
      </c>
      <c r="F1385" s="4" t="s">
        <v>1682</v>
      </c>
      <c r="G1385" s="4" t="s">
        <v>1735</v>
      </c>
      <c r="H1385" s="4" t="s">
        <v>3294</v>
      </c>
      <c r="I1385" s="2" t="str">
        <f t="shared" si="105"/>
        <v>Jan</v>
      </c>
      <c r="J1385" s="2">
        <f t="shared" si="106"/>
        <v>1</v>
      </c>
      <c r="K1385" s="2">
        <f t="shared" si="107"/>
        <v>2025</v>
      </c>
      <c r="L1385" s="2">
        <f t="shared" si="108"/>
        <v>1</v>
      </c>
      <c r="M1385" s="4">
        <v>2</v>
      </c>
      <c r="N1385" s="4" t="s">
        <v>3250</v>
      </c>
      <c r="O1385" s="4" t="s">
        <v>45</v>
      </c>
      <c r="P1385" s="5">
        <v>1932221</v>
      </c>
      <c r="Q1385" s="4"/>
      <c r="R1385" s="4"/>
      <c r="S1385" s="4" t="s">
        <v>5573</v>
      </c>
      <c r="T1385" s="4">
        <v>4.9000000000000004</v>
      </c>
      <c r="U1385" s="4" t="s">
        <v>29</v>
      </c>
      <c r="V1385" s="4" t="s">
        <v>454</v>
      </c>
      <c r="W1385" s="67" t="str">
        <f t="shared" si="109"/>
        <v>-</v>
      </c>
    </row>
    <row r="1386" spans="1:23" x14ac:dyDescent="0.3">
      <c r="A1386" s="6" t="s">
        <v>3392</v>
      </c>
      <c r="B1386" s="6" t="s">
        <v>3393</v>
      </c>
      <c r="C1386" s="6">
        <v>9736849180</v>
      </c>
      <c r="D1386" s="6" t="s">
        <v>121</v>
      </c>
      <c r="E1386" s="6" t="s">
        <v>1632</v>
      </c>
      <c r="F1386" s="6" t="s">
        <v>1849</v>
      </c>
      <c r="G1386" s="6" t="s">
        <v>1677</v>
      </c>
      <c r="H1386" s="6" t="s">
        <v>3294</v>
      </c>
      <c r="I1386" s="2" t="str">
        <f t="shared" si="105"/>
        <v>Jan</v>
      </c>
      <c r="J1386" s="2">
        <f t="shared" si="106"/>
        <v>1</v>
      </c>
      <c r="K1386" s="2">
        <f t="shared" si="107"/>
        <v>2025</v>
      </c>
      <c r="L1386" s="2">
        <f t="shared" si="108"/>
        <v>1</v>
      </c>
      <c r="M1386" s="6">
        <v>0</v>
      </c>
      <c r="N1386" s="6" t="s">
        <v>3083</v>
      </c>
      <c r="O1386" s="6" t="s">
        <v>97</v>
      </c>
      <c r="P1386" s="7">
        <v>1581122</v>
      </c>
      <c r="Q1386" s="7">
        <v>1614972</v>
      </c>
      <c r="R1386" s="6" t="s">
        <v>3333</v>
      </c>
      <c r="S1386" s="6" t="s">
        <v>5573</v>
      </c>
      <c r="T1386" s="6">
        <v>24.9</v>
      </c>
      <c r="U1386" s="6" t="s">
        <v>47</v>
      </c>
      <c r="V1386" s="6"/>
      <c r="W1386" s="67" t="str">
        <f t="shared" si="109"/>
        <v>Customer</v>
      </c>
    </row>
    <row r="1387" spans="1:23" x14ac:dyDescent="0.3">
      <c r="A1387" s="4" t="s">
        <v>3394</v>
      </c>
      <c r="B1387" s="4" t="s">
        <v>3395</v>
      </c>
      <c r="C1387" s="4">
        <v>9113924341</v>
      </c>
      <c r="D1387" s="4" t="s">
        <v>59</v>
      </c>
      <c r="E1387" s="4" t="s">
        <v>1632</v>
      </c>
      <c r="F1387" s="4" t="s">
        <v>1682</v>
      </c>
      <c r="G1387" s="4" t="s">
        <v>1677</v>
      </c>
      <c r="H1387" s="4" t="s">
        <v>3294</v>
      </c>
      <c r="I1387" s="2" t="str">
        <f t="shared" si="105"/>
        <v>Jan</v>
      </c>
      <c r="J1387" s="2">
        <f t="shared" si="106"/>
        <v>1</v>
      </c>
      <c r="K1387" s="2">
        <f t="shared" si="107"/>
        <v>2025</v>
      </c>
      <c r="L1387" s="2">
        <f t="shared" si="108"/>
        <v>1</v>
      </c>
      <c r="M1387" s="4">
        <v>1</v>
      </c>
      <c r="N1387" s="4" t="s">
        <v>3032</v>
      </c>
      <c r="O1387" s="4" t="s">
        <v>45</v>
      </c>
      <c r="P1387" s="5">
        <v>951754</v>
      </c>
      <c r="Q1387" s="4"/>
      <c r="R1387" s="4"/>
      <c r="S1387" s="4" t="s">
        <v>5573</v>
      </c>
      <c r="T1387" s="4">
        <v>6.4</v>
      </c>
      <c r="U1387" s="4" t="s">
        <v>29</v>
      </c>
      <c r="V1387" s="4" t="s">
        <v>613</v>
      </c>
      <c r="W1387" s="67" t="str">
        <f t="shared" si="109"/>
        <v>-</v>
      </c>
    </row>
    <row r="1388" spans="1:23" x14ac:dyDescent="0.3">
      <c r="A1388" s="6" t="s">
        <v>3396</v>
      </c>
      <c r="B1388" s="6" t="s">
        <v>1144</v>
      </c>
      <c r="C1388" s="6">
        <v>9992195121</v>
      </c>
      <c r="D1388" s="6" t="s">
        <v>20</v>
      </c>
      <c r="E1388" s="6" t="s">
        <v>41</v>
      </c>
      <c r="F1388" s="6" t="s">
        <v>92</v>
      </c>
      <c r="G1388" s="6" t="s">
        <v>616</v>
      </c>
      <c r="H1388" s="6" t="s">
        <v>3135</v>
      </c>
      <c r="I1388" s="2" t="str">
        <f t="shared" si="105"/>
        <v>Jan</v>
      </c>
      <c r="J1388" s="2">
        <f t="shared" si="106"/>
        <v>1</v>
      </c>
      <c r="K1388" s="2">
        <f t="shared" si="107"/>
        <v>2025</v>
      </c>
      <c r="L1388" s="2">
        <f t="shared" si="108"/>
        <v>1</v>
      </c>
      <c r="M1388" s="6">
        <v>8</v>
      </c>
      <c r="N1388" s="6" t="s">
        <v>3363</v>
      </c>
      <c r="O1388" s="6" t="s">
        <v>97</v>
      </c>
      <c r="P1388" s="7">
        <v>120473</v>
      </c>
      <c r="Q1388" s="7">
        <v>114624</v>
      </c>
      <c r="R1388" s="6" t="s">
        <v>3261</v>
      </c>
      <c r="S1388" s="6" t="s">
        <v>5573</v>
      </c>
      <c r="T1388" s="6">
        <v>24.7</v>
      </c>
      <c r="U1388" s="6" t="s">
        <v>47</v>
      </c>
      <c r="V1388" s="6" t="s">
        <v>113</v>
      </c>
      <c r="W1388" s="67" t="str">
        <f t="shared" si="109"/>
        <v>Customer</v>
      </c>
    </row>
    <row r="1389" spans="1:23" x14ac:dyDescent="0.3">
      <c r="A1389" s="4" t="s">
        <v>3397</v>
      </c>
      <c r="B1389" s="4" t="s">
        <v>3398</v>
      </c>
      <c r="C1389" s="4">
        <v>9607001451</v>
      </c>
      <c r="D1389" s="4" t="s">
        <v>20</v>
      </c>
      <c r="E1389" s="4" t="s">
        <v>21</v>
      </c>
      <c r="F1389" s="4" t="s">
        <v>160</v>
      </c>
      <c r="G1389" s="4" t="s">
        <v>1621</v>
      </c>
      <c r="H1389" s="4" t="s">
        <v>3135</v>
      </c>
      <c r="I1389" s="2" t="str">
        <f t="shared" si="105"/>
        <v>Jan</v>
      </c>
      <c r="J1389" s="2">
        <f t="shared" si="106"/>
        <v>1</v>
      </c>
      <c r="K1389" s="2">
        <f t="shared" si="107"/>
        <v>2025</v>
      </c>
      <c r="L1389" s="2">
        <f t="shared" si="108"/>
        <v>1</v>
      </c>
      <c r="M1389" s="4">
        <v>2</v>
      </c>
      <c r="N1389" s="4" t="s">
        <v>3399</v>
      </c>
      <c r="O1389" s="4" t="s">
        <v>45</v>
      </c>
      <c r="P1389" s="5">
        <v>379467</v>
      </c>
      <c r="Q1389" s="4"/>
      <c r="R1389" s="4"/>
      <c r="S1389" s="4" t="s">
        <v>5573</v>
      </c>
      <c r="T1389" s="4">
        <v>26.6</v>
      </c>
      <c r="U1389" s="4" t="s">
        <v>29</v>
      </c>
      <c r="V1389" s="4" t="s">
        <v>454</v>
      </c>
      <c r="W1389" s="67" t="str">
        <f t="shared" si="109"/>
        <v>-</v>
      </c>
    </row>
    <row r="1390" spans="1:23" x14ac:dyDescent="0.3">
      <c r="A1390" s="6" t="s">
        <v>3400</v>
      </c>
      <c r="B1390" s="6" t="s">
        <v>838</v>
      </c>
      <c r="C1390" s="6">
        <v>9219498988</v>
      </c>
      <c r="D1390" s="6" t="s">
        <v>20</v>
      </c>
      <c r="E1390" s="6" t="s">
        <v>41</v>
      </c>
      <c r="F1390" s="6" t="s">
        <v>92</v>
      </c>
      <c r="G1390" s="6" t="s">
        <v>1599</v>
      </c>
      <c r="H1390" s="6" t="s">
        <v>3135</v>
      </c>
      <c r="I1390" s="2" t="str">
        <f t="shared" si="105"/>
        <v>Jan</v>
      </c>
      <c r="J1390" s="2">
        <f t="shared" si="106"/>
        <v>1</v>
      </c>
      <c r="K1390" s="2">
        <f t="shared" si="107"/>
        <v>2025</v>
      </c>
      <c r="L1390" s="2">
        <f t="shared" si="108"/>
        <v>1</v>
      </c>
      <c r="M1390" s="6">
        <v>3</v>
      </c>
      <c r="N1390" s="6" t="s">
        <v>3344</v>
      </c>
      <c r="O1390" s="6" t="s">
        <v>97</v>
      </c>
      <c r="P1390" s="6"/>
      <c r="Q1390" s="7">
        <v>374040</v>
      </c>
      <c r="R1390" s="6" t="s">
        <v>3308</v>
      </c>
      <c r="S1390" s="6" t="s">
        <v>5573</v>
      </c>
      <c r="T1390" s="6"/>
      <c r="U1390" s="6" t="s">
        <v>63</v>
      </c>
      <c r="V1390" s="6" t="s">
        <v>465</v>
      </c>
      <c r="W1390" s="67" t="str">
        <f t="shared" si="109"/>
        <v>Customer</v>
      </c>
    </row>
    <row r="1391" spans="1:23" x14ac:dyDescent="0.3">
      <c r="A1391" s="4" t="s">
        <v>3401</v>
      </c>
      <c r="B1391" s="4" t="s">
        <v>3143</v>
      </c>
      <c r="C1391" s="4">
        <v>9591318575</v>
      </c>
      <c r="D1391" s="4" t="s">
        <v>59</v>
      </c>
      <c r="E1391" s="4" t="s">
        <v>41</v>
      </c>
      <c r="F1391" s="4" t="s">
        <v>42</v>
      </c>
      <c r="G1391" s="4" t="s">
        <v>69</v>
      </c>
      <c r="H1391" s="4" t="s">
        <v>3161</v>
      </c>
      <c r="I1391" s="2" t="str">
        <f t="shared" si="105"/>
        <v>Jan</v>
      </c>
      <c r="J1391" s="2">
        <f t="shared" si="106"/>
        <v>1</v>
      </c>
      <c r="K1391" s="2">
        <f t="shared" si="107"/>
        <v>2025</v>
      </c>
      <c r="L1391" s="2">
        <f t="shared" si="108"/>
        <v>1</v>
      </c>
      <c r="M1391" s="4">
        <v>7</v>
      </c>
      <c r="N1391" s="4" t="s">
        <v>3146</v>
      </c>
      <c r="O1391" s="4" t="s">
        <v>45</v>
      </c>
      <c r="P1391" s="5">
        <v>131852</v>
      </c>
      <c r="Q1391" s="4"/>
      <c r="R1391" s="4"/>
      <c r="S1391" s="4" t="s">
        <v>5573</v>
      </c>
      <c r="T1391" s="4">
        <v>22.2</v>
      </c>
      <c r="U1391" s="4" t="s">
        <v>47</v>
      </c>
      <c r="V1391" s="4" t="s">
        <v>276</v>
      </c>
      <c r="W1391" s="67" t="str">
        <f t="shared" si="109"/>
        <v>-</v>
      </c>
    </row>
    <row r="1392" spans="1:23" x14ac:dyDescent="0.3">
      <c r="A1392" s="6" t="s">
        <v>3402</v>
      </c>
      <c r="B1392" s="6" t="s">
        <v>3403</v>
      </c>
      <c r="C1392" s="6">
        <v>9541961521</v>
      </c>
      <c r="D1392" s="6" t="s">
        <v>121</v>
      </c>
      <c r="E1392" s="6" t="s">
        <v>41</v>
      </c>
      <c r="F1392" s="6" t="s">
        <v>42</v>
      </c>
      <c r="G1392" s="6" t="s">
        <v>643</v>
      </c>
      <c r="H1392" s="6" t="s">
        <v>3161</v>
      </c>
      <c r="I1392" s="2" t="str">
        <f t="shared" si="105"/>
        <v>Jan</v>
      </c>
      <c r="J1392" s="2">
        <f t="shared" si="106"/>
        <v>1</v>
      </c>
      <c r="K1392" s="2">
        <f t="shared" si="107"/>
        <v>2025</v>
      </c>
      <c r="L1392" s="2">
        <f t="shared" si="108"/>
        <v>1</v>
      </c>
      <c r="M1392" s="6">
        <v>8</v>
      </c>
      <c r="N1392" s="6" t="s">
        <v>3404</v>
      </c>
      <c r="O1392" s="6" t="s">
        <v>97</v>
      </c>
      <c r="P1392" s="7">
        <v>1012507</v>
      </c>
      <c r="Q1392" s="7">
        <v>948736</v>
      </c>
      <c r="R1392" s="6" t="s">
        <v>3261</v>
      </c>
      <c r="S1392" s="6" t="s">
        <v>5573</v>
      </c>
      <c r="T1392" s="6">
        <v>3.8</v>
      </c>
      <c r="U1392" s="6" t="s">
        <v>63</v>
      </c>
      <c r="V1392" s="6" t="s">
        <v>286</v>
      </c>
      <c r="W1392" s="67" t="str">
        <f t="shared" si="109"/>
        <v>Customer</v>
      </c>
    </row>
    <row r="1393" spans="1:23" x14ac:dyDescent="0.3">
      <c r="A1393" s="4" t="s">
        <v>3405</v>
      </c>
      <c r="B1393" s="4" t="s">
        <v>2720</v>
      </c>
      <c r="C1393" s="4">
        <v>9303021597</v>
      </c>
      <c r="D1393" s="4" t="s">
        <v>59</v>
      </c>
      <c r="E1393" s="4" t="s">
        <v>73</v>
      </c>
      <c r="F1393" s="4" t="s">
        <v>74</v>
      </c>
      <c r="G1393" s="4" t="s">
        <v>1621</v>
      </c>
      <c r="H1393" s="4" t="s">
        <v>3194</v>
      </c>
      <c r="I1393" s="2" t="str">
        <f t="shared" si="105"/>
        <v>Jan</v>
      </c>
      <c r="J1393" s="2">
        <f t="shared" si="106"/>
        <v>1</v>
      </c>
      <c r="K1393" s="2">
        <f t="shared" si="107"/>
        <v>2025</v>
      </c>
      <c r="L1393" s="2">
        <f t="shared" si="108"/>
        <v>1</v>
      </c>
      <c r="M1393" s="4">
        <v>3</v>
      </c>
      <c r="N1393" s="4" t="s">
        <v>3308</v>
      </c>
      <c r="O1393" s="4" t="s">
        <v>27</v>
      </c>
      <c r="P1393" s="5">
        <v>306278</v>
      </c>
      <c r="Q1393" s="4"/>
      <c r="R1393" s="4"/>
      <c r="S1393" s="4" t="s">
        <v>5573</v>
      </c>
      <c r="T1393" s="4">
        <v>27.7</v>
      </c>
      <c r="U1393" s="4" t="s">
        <v>29</v>
      </c>
      <c r="V1393" s="4" t="s">
        <v>38</v>
      </c>
      <c r="W1393" s="67" t="str">
        <f t="shared" si="109"/>
        <v>-</v>
      </c>
    </row>
    <row r="1394" spans="1:23" x14ac:dyDescent="0.3">
      <c r="A1394" s="2" t="s">
        <v>3406</v>
      </c>
      <c r="B1394" s="2" t="s">
        <v>3407</v>
      </c>
      <c r="C1394" s="2">
        <v>9552015070</v>
      </c>
      <c r="D1394" s="2" t="s">
        <v>59</v>
      </c>
      <c r="E1394" s="2" t="s">
        <v>41</v>
      </c>
      <c r="F1394" s="2" t="s">
        <v>42</v>
      </c>
      <c r="G1394" s="2" t="s">
        <v>52</v>
      </c>
      <c r="H1394" s="2" t="s">
        <v>3194</v>
      </c>
      <c r="I1394" s="2" t="str">
        <f t="shared" si="105"/>
        <v>Jan</v>
      </c>
      <c r="J1394" s="2">
        <f t="shared" si="106"/>
        <v>1</v>
      </c>
      <c r="K1394" s="2">
        <f t="shared" si="107"/>
        <v>2025</v>
      </c>
      <c r="L1394" s="2">
        <f t="shared" si="108"/>
        <v>1</v>
      </c>
      <c r="M1394" s="2">
        <v>10</v>
      </c>
      <c r="N1394" s="2" t="s">
        <v>3408</v>
      </c>
      <c r="O1394" s="2" t="s">
        <v>62</v>
      </c>
      <c r="P1394" s="3">
        <v>418272</v>
      </c>
      <c r="Q1394" s="2"/>
      <c r="R1394" s="2"/>
      <c r="S1394" s="2" t="s">
        <v>5573</v>
      </c>
      <c r="T1394" s="2">
        <v>20.3</v>
      </c>
      <c r="U1394" s="2" t="s">
        <v>63</v>
      </c>
      <c r="V1394" s="2" t="s">
        <v>535</v>
      </c>
      <c r="W1394" s="67" t="str">
        <f t="shared" si="109"/>
        <v>-</v>
      </c>
    </row>
    <row r="1395" spans="1:23" x14ac:dyDescent="0.3">
      <c r="A1395" s="6" t="s">
        <v>3409</v>
      </c>
      <c r="B1395" s="6" t="s">
        <v>3410</v>
      </c>
      <c r="C1395" s="6">
        <v>9735566972</v>
      </c>
      <c r="D1395" s="6" t="s">
        <v>20</v>
      </c>
      <c r="E1395" s="6" t="s">
        <v>641</v>
      </c>
      <c r="F1395" s="6" t="s">
        <v>642</v>
      </c>
      <c r="G1395" s="6" t="s">
        <v>69</v>
      </c>
      <c r="H1395" s="6" t="s">
        <v>3194</v>
      </c>
      <c r="I1395" s="2" t="str">
        <f t="shared" si="105"/>
        <v>Jan</v>
      </c>
      <c r="J1395" s="2">
        <f t="shared" si="106"/>
        <v>1</v>
      </c>
      <c r="K1395" s="2">
        <f t="shared" si="107"/>
        <v>2025</v>
      </c>
      <c r="L1395" s="2">
        <f t="shared" si="108"/>
        <v>1</v>
      </c>
      <c r="M1395" s="6">
        <v>7</v>
      </c>
      <c r="N1395" s="6" t="s">
        <v>3308</v>
      </c>
      <c r="O1395" s="6" t="s">
        <v>97</v>
      </c>
      <c r="P1395" s="7">
        <v>288093</v>
      </c>
      <c r="Q1395" s="7">
        <v>279161</v>
      </c>
      <c r="R1395" s="6" t="s">
        <v>3411</v>
      </c>
      <c r="S1395" s="6" t="s">
        <v>5573</v>
      </c>
      <c r="T1395" s="6">
        <v>12.1</v>
      </c>
      <c r="U1395" s="6" t="s">
        <v>63</v>
      </c>
      <c r="V1395" s="6"/>
      <c r="W1395" s="67" t="str">
        <f t="shared" si="109"/>
        <v>Customer</v>
      </c>
    </row>
    <row r="1396" spans="1:23" x14ac:dyDescent="0.3">
      <c r="A1396" s="2" t="s">
        <v>3412</v>
      </c>
      <c r="B1396" s="2" t="s">
        <v>3413</v>
      </c>
      <c r="C1396" s="2">
        <v>9799987026</v>
      </c>
      <c r="D1396" s="2" t="s">
        <v>121</v>
      </c>
      <c r="E1396" s="2" t="s">
        <v>1632</v>
      </c>
      <c r="F1396" s="2" t="s">
        <v>1659</v>
      </c>
      <c r="G1396" s="2" t="s">
        <v>23</v>
      </c>
      <c r="H1396" s="2" t="s">
        <v>3194</v>
      </c>
      <c r="I1396" s="2" t="str">
        <f t="shared" si="105"/>
        <v>Jan</v>
      </c>
      <c r="J1396" s="2">
        <f t="shared" si="106"/>
        <v>1</v>
      </c>
      <c r="K1396" s="2">
        <f t="shared" si="107"/>
        <v>2025</v>
      </c>
      <c r="L1396" s="2">
        <f t="shared" si="108"/>
        <v>1</v>
      </c>
      <c r="M1396" s="2">
        <v>5</v>
      </c>
      <c r="N1396" s="2" t="s">
        <v>3290</v>
      </c>
      <c r="O1396" s="2" t="s">
        <v>45</v>
      </c>
      <c r="P1396" s="3">
        <v>433101</v>
      </c>
      <c r="Q1396" s="2"/>
      <c r="R1396" s="2"/>
      <c r="S1396" s="2" t="s">
        <v>5573</v>
      </c>
      <c r="T1396" s="2">
        <v>6.1</v>
      </c>
      <c r="U1396" s="2" t="s">
        <v>29</v>
      </c>
      <c r="V1396" s="2" t="s">
        <v>697</v>
      </c>
      <c r="W1396" s="67" t="str">
        <f t="shared" si="109"/>
        <v>-</v>
      </c>
    </row>
    <row r="1397" spans="1:23" x14ac:dyDescent="0.3">
      <c r="A1397" s="6" t="s">
        <v>3414</v>
      </c>
      <c r="B1397" s="6" t="s">
        <v>3415</v>
      </c>
      <c r="C1397" s="6">
        <v>9946944948</v>
      </c>
      <c r="D1397" s="6" t="s">
        <v>121</v>
      </c>
      <c r="E1397" s="6" t="s">
        <v>41</v>
      </c>
      <c r="F1397" s="6" t="s">
        <v>92</v>
      </c>
      <c r="G1397" s="6" t="s">
        <v>87</v>
      </c>
      <c r="H1397" s="6" t="s">
        <v>3115</v>
      </c>
      <c r="I1397" s="2" t="str">
        <f t="shared" si="105"/>
        <v>Feb</v>
      </c>
      <c r="J1397" s="2">
        <f t="shared" si="106"/>
        <v>2</v>
      </c>
      <c r="K1397" s="2">
        <f t="shared" si="107"/>
        <v>2025</v>
      </c>
      <c r="L1397" s="2">
        <f t="shared" si="108"/>
        <v>1</v>
      </c>
      <c r="M1397" s="6">
        <v>4</v>
      </c>
      <c r="N1397" s="6" t="s">
        <v>3213</v>
      </c>
      <c r="O1397" s="6" t="s">
        <v>97</v>
      </c>
      <c r="P1397" s="7">
        <v>249076</v>
      </c>
      <c r="Q1397" s="7">
        <v>226625</v>
      </c>
      <c r="R1397" s="6" t="s">
        <v>3229</v>
      </c>
      <c r="S1397" s="6" t="s">
        <v>5573</v>
      </c>
      <c r="T1397" s="6">
        <v>4</v>
      </c>
      <c r="U1397" s="6" t="s">
        <v>63</v>
      </c>
      <c r="V1397" s="6" t="s">
        <v>170</v>
      </c>
      <c r="W1397" s="67" t="str">
        <f t="shared" si="109"/>
        <v>Customer</v>
      </c>
    </row>
    <row r="1398" spans="1:23" x14ac:dyDescent="0.3">
      <c r="A1398" s="8" t="s">
        <v>3416</v>
      </c>
      <c r="B1398" s="8" t="s">
        <v>2443</v>
      </c>
      <c r="C1398" s="8">
        <v>9366416788</v>
      </c>
      <c r="D1398" s="8" t="s">
        <v>20</v>
      </c>
      <c r="E1398" s="8" t="s">
        <v>41</v>
      </c>
      <c r="F1398" s="8" t="s">
        <v>151</v>
      </c>
      <c r="G1398" s="8" t="s">
        <v>35</v>
      </c>
      <c r="H1398" s="8" t="s">
        <v>3115</v>
      </c>
      <c r="I1398" s="2" t="str">
        <f t="shared" si="105"/>
        <v>Feb</v>
      </c>
      <c r="J1398" s="2">
        <f t="shared" si="106"/>
        <v>2</v>
      </c>
      <c r="K1398" s="2">
        <f t="shared" si="107"/>
        <v>2025</v>
      </c>
      <c r="L1398" s="2">
        <f t="shared" si="108"/>
        <v>1</v>
      </c>
      <c r="M1398" s="8">
        <v>11</v>
      </c>
      <c r="N1398" s="8" t="s">
        <v>3245</v>
      </c>
      <c r="O1398" s="8" t="s">
        <v>45</v>
      </c>
      <c r="P1398" s="9">
        <v>199052</v>
      </c>
      <c r="Q1398" s="8"/>
      <c r="R1398" s="8"/>
      <c r="S1398" s="8" t="s">
        <v>5573</v>
      </c>
      <c r="T1398" s="8">
        <v>18.7</v>
      </c>
      <c r="U1398" s="8" t="s">
        <v>63</v>
      </c>
      <c r="V1398" s="8" t="s">
        <v>678</v>
      </c>
      <c r="W1398" s="67" t="str">
        <f t="shared" si="109"/>
        <v>-</v>
      </c>
    </row>
    <row r="1399" spans="1:23" x14ac:dyDescent="0.3">
      <c r="A1399" s="6" t="s">
        <v>3417</v>
      </c>
      <c r="B1399" s="6" t="s">
        <v>1268</v>
      </c>
      <c r="C1399" s="6">
        <v>9994135247</v>
      </c>
      <c r="D1399" s="6" t="s">
        <v>59</v>
      </c>
      <c r="E1399" s="6" t="s">
        <v>41</v>
      </c>
      <c r="F1399" s="6" t="s">
        <v>42</v>
      </c>
      <c r="G1399" s="6" t="s">
        <v>52</v>
      </c>
      <c r="H1399" s="6" t="s">
        <v>3115</v>
      </c>
      <c r="I1399" s="2" t="str">
        <f t="shared" si="105"/>
        <v>Feb</v>
      </c>
      <c r="J1399" s="2">
        <f t="shared" si="106"/>
        <v>2</v>
      </c>
      <c r="K1399" s="2">
        <f t="shared" si="107"/>
        <v>2025</v>
      </c>
      <c r="L1399" s="2">
        <f t="shared" si="108"/>
        <v>1</v>
      </c>
      <c r="M1399" s="6">
        <v>7</v>
      </c>
      <c r="N1399" s="6" t="s">
        <v>3245</v>
      </c>
      <c r="O1399" s="6" t="s">
        <v>97</v>
      </c>
      <c r="P1399" s="7">
        <v>539780</v>
      </c>
      <c r="Q1399" s="7">
        <v>503628</v>
      </c>
      <c r="R1399" s="6" t="s">
        <v>3370</v>
      </c>
      <c r="S1399" s="6" t="s">
        <v>5573</v>
      </c>
      <c r="T1399" s="6">
        <v>11.9</v>
      </c>
      <c r="U1399" s="6" t="s">
        <v>63</v>
      </c>
      <c r="V1399" s="6" t="s">
        <v>170</v>
      </c>
      <c r="W1399" s="67" t="str">
        <f t="shared" si="109"/>
        <v>Customer</v>
      </c>
    </row>
    <row r="1400" spans="1:23" x14ac:dyDescent="0.3">
      <c r="A1400" s="6" t="s">
        <v>3418</v>
      </c>
      <c r="B1400" s="6" t="s">
        <v>283</v>
      </c>
      <c r="C1400" s="6">
        <v>9350497002</v>
      </c>
      <c r="D1400" s="6" t="s">
        <v>59</v>
      </c>
      <c r="E1400" s="6" t="s">
        <v>41</v>
      </c>
      <c r="F1400" s="6" t="s">
        <v>92</v>
      </c>
      <c r="G1400" s="6" t="s">
        <v>1609</v>
      </c>
      <c r="H1400" s="6" t="s">
        <v>3083</v>
      </c>
      <c r="I1400" s="2" t="str">
        <f t="shared" si="105"/>
        <v>Feb</v>
      </c>
      <c r="J1400" s="2">
        <f t="shared" si="106"/>
        <v>2</v>
      </c>
      <c r="K1400" s="2">
        <f t="shared" si="107"/>
        <v>2025</v>
      </c>
      <c r="L1400" s="2">
        <f t="shared" si="108"/>
        <v>1</v>
      </c>
      <c r="M1400" s="6">
        <v>5</v>
      </c>
      <c r="N1400" s="6" t="s">
        <v>3419</v>
      </c>
      <c r="O1400" s="6" t="s">
        <v>97</v>
      </c>
      <c r="P1400" s="7">
        <v>506725</v>
      </c>
      <c r="Q1400" s="7">
        <v>494842</v>
      </c>
      <c r="R1400" s="6" t="s">
        <v>3420</v>
      </c>
      <c r="S1400" s="6" t="s">
        <v>5573</v>
      </c>
      <c r="T1400" s="6">
        <v>35</v>
      </c>
      <c r="U1400" s="6" t="s">
        <v>63</v>
      </c>
      <c r="V1400" s="6" t="s">
        <v>483</v>
      </c>
      <c r="W1400" s="67" t="str">
        <f t="shared" si="109"/>
        <v>Customer</v>
      </c>
    </row>
    <row r="1401" spans="1:23" x14ac:dyDescent="0.3">
      <c r="A1401" s="4" t="s">
        <v>3421</v>
      </c>
      <c r="B1401" s="4" t="s">
        <v>1690</v>
      </c>
      <c r="C1401" s="4">
        <v>9696582757</v>
      </c>
      <c r="D1401" s="4" t="s">
        <v>20</v>
      </c>
      <c r="E1401" s="4" t="s">
        <v>67</v>
      </c>
      <c r="F1401" s="4" t="s">
        <v>80</v>
      </c>
      <c r="G1401" s="4" t="s">
        <v>616</v>
      </c>
      <c r="H1401" s="4" t="s">
        <v>3083</v>
      </c>
      <c r="I1401" s="2" t="str">
        <f t="shared" si="105"/>
        <v>Feb</v>
      </c>
      <c r="J1401" s="2">
        <f t="shared" si="106"/>
        <v>2</v>
      </c>
      <c r="K1401" s="2">
        <f t="shared" si="107"/>
        <v>2025</v>
      </c>
      <c r="L1401" s="2">
        <f t="shared" si="108"/>
        <v>1</v>
      </c>
      <c r="M1401" s="4">
        <v>6</v>
      </c>
      <c r="N1401" s="4" t="s">
        <v>3422</v>
      </c>
      <c r="O1401" s="4" t="s">
        <v>55</v>
      </c>
      <c r="P1401" s="5">
        <v>217300</v>
      </c>
      <c r="Q1401" s="4"/>
      <c r="R1401" s="4"/>
      <c r="S1401" s="4" t="s">
        <v>5573</v>
      </c>
      <c r="T1401" s="4">
        <v>5.8</v>
      </c>
      <c r="U1401" s="4" t="s">
        <v>29</v>
      </c>
      <c r="V1401" s="4"/>
      <c r="W1401" s="67" t="str">
        <f t="shared" si="109"/>
        <v>-</v>
      </c>
    </row>
    <row r="1402" spans="1:23" x14ac:dyDescent="0.3">
      <c r="A1402" s="8" t="s">
        <v>3423</v>
      </c>
      <c r="B1402" s="8" t="s">
        <v>3424</v>
      </c>
      <c r="C1402" s="8">
        <v>9657695689</v>
      </c>
      <c r="D1402" s="8" t="s">
        <v>108</v>
      </c>
      <c r="E1402" s="8" t="s">
        <v>73</v>
      </c>
      <c r="F1402" s="8" t="s">
        <v>126</v>
      </c>
      <c r="G1402" s="8" t="s">
        <v>1609</v>
      </c>
      <c r="H1402" s="8" t="s">
        <v>3083</v>
      </c>
      <c r="I1402" s="2" t="str">
        <f t="shared" si="105"/>
        <v>Feb</v>
      </c>
      <c r="J1402" s="2">
        <f t="shared" si="106"/>
        <v>2</v>
      </c>
      <c r="K1402" s="2">
        <f t="shared" si="107"/>
        <v>2025</v>
      </c>
      <c r="L1402" s="2">
        <f t="shared" si="108"/>
        <v>1</v>
      </c>
      <c r="M1402" s="8">
        <v>12</v>
      </c>
      <c r="N1402" s="8" t="s">
        <v>3425</v>
      </c>
      <c r="O1402" s="8" t="s">
        <v>27</v>
      </c>
      <c r="P1402" s="9">
        <v>213489</v>
      </c>
      <c r="Q1402" s="8"/>
      <c r="R1402" s="8"/>
      <c r="S1402" s="8" t="s">
        <v>5573</v>
      </c>
      <c r="T1402" s="8">
        <v>24</v>
      </c>
      <c r="U1402" s="8" t="s">
        <v>29</v>
      </c>
      <c r="V1402" s="8" t="s">
        <v>30</v>
      </c>
      <c r="W1402" s="67" t="str">
        <f t="shared" si="109"/>
        <v>-</v>
      </c>
    </row>
    <row r="1403" spans="1:23" x14ac:dyDescent="0.3">
      <c r="A1403" s="6" t="s">
        <v>3426</v>
      </c>
      <c r="B1403" s="6" t="s">
        <v>2255</v>
      </c>
      <c r="C1403" s="6">
        <v>9695779172</v>
      </c>
      <c r="D1403" s="6" t="s">
        <v>20</v>
      </c>
      <c r="E1403" s="6" t="s">
        <v>1632</v>
      </c>
      <c r="F1403" s="6" t="s">
        <v>1682</v>
      </c>
      <c r="G1403" s="6" t="s">
        <v>87</v>
      </c>
      <c r="H1403" s="6" t="s">
        <v>3083</v>
      </c>
      <c r="I1403" s="2" t="str">
        <f t="shared" si="105"/>
        <v>Feb</v>
      </c>
      <c r="J1403" s="2">
        <f t="shared" si="106"/>
        <v>2</v>
      </c>
      <c r="K1403" s="2">
        <f t="shared" si="107"/>
        <v>2025</v>
      </c>
      <c r="L1403" s="2">
        <f t="shared" si="108"/>
        <v>1</v>
      </c>
      <c r="M1403" s="6">
        <v>4</v>
      </c>
      <c r="N1403" s="6" t="s">
        <v>3272</v>
      </c>
      <c r="O1403" s="6" t="s">
        <v>97</v>
      </c>
      <c r="P1403" s="7">
        <v>232784</v>
      </c>
      <c r="Q1403" s="7">
        <v>206160</v>
      </c>
      <c r="R1403" s="6" t="s">
        <v>3404</v>
      </c>
      <c r="S1403" s="6" t="s">
        <v>5573</v>
      </c>
      <c r="T1403" s="6">
        <v>21.6</v>
      </c>
      <c r="U1403" s="6" t="s">
        <v>63</v>
      </c>
      <c r="V1403" s="6" t="s">
        <v>243</v>
      </c>
      <c r="W1403" s="67" t="str">
        <f t="shared" si="109"/>
        <v>Customer</v>
      </c>
    </row>
    <row r="1404" spans="1:23" x14ac:dyDescent="0.3">
      <c r="A1404" s="2" t="s">
        <v>3427</v>
      </c>
      <c r="B1404" s="2" t="s">
        <v>3428</v>
      </c>
      <c r="C1404" s="2">
        <v>9312283213</v>
      </c>
      <c r="D1404" s="2" t="s">
        <v>59</v>
      </c>
      <c r="E1404" s="2" t="s">
        <v>109</v>
      </c>
      <c r="F1404" s="2" t="s">
        <v>110</v>
      </c>
      <c r="G1404" s="2" t="s">
        <v>1621</v>
      </c>
      <c r="H1404" s="2" t="s">
        <v>3083</v>
      </c>
      <c r="I1404" s="2" t="str">
        <f t="shared" si="105"/>
        <v>Feb</v>
      </c>
      <c r="J1404" s="2">
        <f t="shared" si="106"/>
        <v>2</v>
      </c>
      <c r="K1404" s="2">
        <f t="shared" si="107"/>
        <v>2025</v>
      </c>
      <c r="L1404" s="2">
        <f t="shared" si="108"/>
        <v>1</v>
      </c>
      <c r="M1404" s="2">
        <v>7</v>
      </c>
      <c r="N1404" s="2" t="s">
        <v>3429</v>
      </c>
      <c r="O1404" s="2" t="s">
        <v>27</v>
      </c>
      <c r="P1404" s="3">
        <v>199670</v>
      </c>
      <c r="Q1404" s="2"/>
      <c r="R1404" s="2"/>
      <c r="S1404" s="2" t="s">
        <v>5573</v>
      </c>
      <c r="T1404" s="2">
        <v>5.8</v>
      </c>
      <c r="U1404" s="2" t="s">
        <v>29</v>
      </c>
      <c r="V1404" s="2" t="s">
        <v>153</v>
      </c>
      <c r="W1404" s="67" t="str">
        <f t="shared" si="109"/>
        <v>-</v>
      </c>
    </row>
    <row r="1405" spans="1:23" x14ac:dyDescent="0.3">
      <c r="A1405" s="4" t="s">
        <v>3430</v>
      </c>
      <c r="B1405" s="4" t="s">
        <v>2486</v>
      </c>
      <c r="C1405" s="4"/>
      <c r="D1405" s="4" t="s">
        <v>20</v>
      </c>
      <c r="E1405" s="4" t="s">
        <v>641</v>
      </c>
      <c r="F1405" s="4" t="s">
        <v>642</v>
      </c>
      <c r="G1405" s="4" t="s">
        <v>1677</v>
      </c>
      <c r="H1405" s="4" t="s">
        <v>3083</v>
      </c>
      <c r="I1405" s="2" t="str">
        <f t="shared" si="105"/>
        <v>Feb</v>
      </c>
      <c r="J1405" s="2">
        <f t="shared" si="106"/>
        <v>2</v>
      </c>
      <c r="K1405" s="2">
        <f t="shared" si="107"/>
        <v>2025</v>
      </c>
      <c r="L1405" s="2">
        <f t="shared" si="108"/>
        <v>1</v>
      </c>
      <c r="M1405" s="4">
        <v>2</v>
      </c>
      <c r="N1405" s="4" t="s">
        <v>3271</v>
      </c>
      <c r="O1405" s="4" t="s">
        <v>27</v>
      </c>
      <c r="P1405" s="5">
        <v>1352671</v>
      </c>
      <c r="Q1405" s="4"/>
      <c r="R1405" s="4"/>
      <c r="S1405" s="4" t="s">
        <v>5573</v>
      </c>
      <c r="T1405" s="4">
        <v>14.9</v>
      </c>
      <c r="U1405" s="4" t="s">
        <v>29</v>
      </c>
      <c r="V1405" s="4" t="s">
        <v>2595</v>
      </c>
      <c r="W1405" s="67" t="str">
        <f t="shared" si="109"/>
        <v>-</v>
      </c>
    </row>
    <row r="1406" spans="1:23" x14ac:dyDescent="0.3">
      <c r="A1406" s="2" t="s">
        <v>3431</v>
      </c>
      <c r="B1406" s="2" t="s">
        <v>3432</v>
      </c>
      <c r="C1406" s="2">
        <v>9765198077</v>
      </c>
      <c r="D1406" s="2" t="s">
        <v>59</v>
      </c>
      <c r="E1406" s="2" t="s">
        <v>109</v>
      </c>
      <c r="F1406" s="2" t="s">
        <v>110</v>
      </c>
      <c r="G1406" s="2" t="s">
        <v>23</v>
      </c>
      <c r="H1406" s="2" t="s">
        <v>3083</v>
      </c>
      <c r="I1406" s="2" t="str">
        <f t="shared" si="105"/>
        <v>Feb</v>
      </c>
      <c r="J1406" s="2">
        <f t="shared" si="106"/>
        <v>2</v>
      </c>
      <c r="K1406" s="2">
        <f t="shared" si="107"/>
        <v>2025</v>
      </c>
      <c r="L1406" s="2">
        <f t="shared" si="108"/>
        <v>1</v>
      </c>
      <c r="M1406" s="2">
        <v>1</v>
      </c>
      <c r="N1406" s="2" t="s">
        <v>3338</v>
      </c>
      <c r="O1406" s="2" t="s">
        <v>45</v>
      </c>
      <c r="P1406" s="3">
        <v>603083</v>
      </c>
      <c r="Q1406" s="2"/>
      <c r="R1406" s="2"/>
      <c r="S1406" s="2" t="s">
        <v>5573</v>
      </c>
      <c r="T1406" s="2">
        <v>11.1</v>
      </c>
      <c r="U1406" s="2" t="s">
        <v>47</v>
      </c>
      <c r="V1406" s="2" t="s">
        <v>381</v>
      </c>
      <c r="W1406" s="67" t="str">
        <f t="shared" si="109"/>
        <v>-</v>
      </c>
    </row>
    <row r="1407" spans="1:23" x14ac:dyDescent="0.3">
      <c r="A1407" s="4" t="s">
        <v>3433</v>
      </c>
      <c r="B1407" s="4" t="s">
        <v>3434</v>
      </c>
      <c r="C1407" s="4">
        <v>9341198759</v>
      </c>
      <c r="D1407" s="4" t="s">
        <v>20</v>
      </c>
      <c r="E1407" s="4" t="s">
        <v>641</v>
      </c>
      <c r="F1407" s="4" t="s">
        <v>727</v>
      </c>
      <c r="G1407" s="4" t="s">
        <v>1609</v>
      </c>
      <c r="H1407" s="4" t="s">
        <v>3399</v>
      </c>
      <c r="I1407" s="2" t="str">
        <f t="shared" si="105"/>
        <v>Feb</v>
      </c>
      <c r="J1407" s="2">
        <f t="shared" si="106"/>
        <v>2</v>
      </c>
      <c r="K1407" s="2">
        <f t="shared" si="107"/>
        <v>2025</v>
      </c>
      <c r="L1407" s="2">
        <f t="shared" si="108"/>
        <v>1</v>
      </c>
      <c r="M1407" s="4">
        <v>12</v>
      </c>
      <c r="N1407" s="4" t="s">
        <v>3435</v>
      </c>
      <c r="O1407" s="4" t="s">
        <v>45</v>
      </c>
      <c r="P1407" s="5">
        <v>253703</v>
      </c>
      <c r="Q1407" s="4"/>
      <c r="R1407" s="4"/>
      <c r="S1407" s="4" t="s">
        <v>5573</v>
      </c>
      <c r="T1407" s="4">
        <v>16.2</v>
      </c>
      <c r="U1407" s="4" t="s">
        <v>47</v>
      </c>
      <c r="V1407" s="4" t="s">
        <v>381</v>
      </c>
      <c r="W1407" s="67" t="str">
        <f t="shared" si="109"/>
        <v>-</v>
      </c>
    </row>
    <row r="1408" spans="1:23" x14ac:dyDescent="0.3">
      <c r="A1408" s="6" t="s">
        <v>3436</v>
      </c>
      <c r="B1408" s="6" t="s">
        <v>3437</v>
      </c>
      <c r="C1408" s="6">
        <v>9502597902</v>
      </c>
      <c r="D1408" s="6" t="s">
        <v>59</v>
      </c>
      <c r="E1408" s="6" t="s">
        <v>641</v>
      </c>
      <c r="F1408" s="6" t="s">
        <v>727</v>
      </c>
      <c r="G1408" s="6" t="s">
        <v>1599</v>
      </c>
      <c r="H1408" s="6" t="s">
        <v>3399</v>
      </c>
      <c r="I1408" s="2" t="str">
        <f t="shared" si="105"/>
        <v>Feb</v>
      </c>
      <c r="J1408" s="2">
        <f t="shared" si="106"/>
        <v>2</v>
      </c>
      <c r="K1408" s="2">
        <f t="shared" si="107"/>
        <v>2025</v>
      </c>
      <c r="L1408" s="2">
        <f t="shared" si="108"/>
        <v>1</v>
      </c>
      <c r="M1408" s="6">
        <v>0</v>
      </c>
      <c r="N1408" s="6" t="s">
        <v>3226</v>
      </c>
      <c r="O1408" s="6" t="s">
        <v>97</v>
      </c>
      <c r="P1408" s="7">
        <v>1067105</v>
      </c>
      <c r="Q1408" s="7">
        <v>947794</v>
      </c>
      <c r="R1408" s="6" t="s">
        <v>3338</v>
      </c>
      <c r="S1408" s="6" t="s">
        <v>5573</v>
      </c>
      <c r="T1408" s="6">
        <v>17.600000000000001</v>
      </c>
      <c r="U1408" s="6" t="s">
        <v>63</v>
      </c>
      <c r="V1408" s="6" t="s">
        <v>465</v>
      </c>
      <c r="W1408" s="67" t="str">
        <f t="shared" si="109"/>
        <v>Customer</v>
      </c>
    </row>
    <row r="1409" spans="1:23" x14ac:dyDescent="0.3">
      <c r="A1409" s="4" t="s">
        <v>3438</v>
      </c>
      <c r="B1409" s="4" t="s">
        <v>1338</v>
      </c>
      <c r="C1409" s="4"/>
      <c r="D1409" s="4" t="s">
        <v>59</v>
      </c>
      <c r="E1409" s="4" t="s">
        <v>1632</v>
      </c>
      <c r="F1409" s="4" t="s">
        <v>1633</v>
      </c>
      <c r="G1409" s="4" t="s">
        <v>1599</v>
      </c>
      <c r="H1409" s="4" t="s">
        <v>3399</v>
      </c>
      <c r="I1409" s="2" t="str">
        <f t="shared" si="105"/>
        <v>Feb</v>
      </c>
      <c r="J1409" s="2">
        <f t="shared" si="106"/>
        <v>2</v>
      </c>
      <c r="K1409" s="2">
        <f t="shared" si="107"/>
        <v>2025</v>
      </c>
      <c r="L1409" s="2">
        <f t="shared" si="108"/>
        <v>1</v>
      </c>
      <c r="M1409" s="4">
        <v>5</v>
      </c>
      <c r="N1409" s="4" t="s">
        <v>3313</v>
      </c>
      <c r="O1409" s="4" t="s">
        <v>27</v>
      </c>
      <c r="P1409" s="5">
        <v>604681</v>
      </c>
      <c r="Q1409" s="4"/>
      <c r="R1409" s="4"/>
      <c r="S1409" s="4" t="s">
        <v>5573</v>
      </c>
      <c r="T1409" s="4">
        <v>30.1</v>
      </c>
      <c r="U1409" s="4" t="s">
        <v>47</v>
      </c>
      <c r="V1409" s="4" t="s">
        <v>1697</v>
      </c>
      <c r="W1409" s="67" t="str">
        <f t="shared" si="109"/>
        <v>-</v>
      </c>
    </row>
    <row r="1410" spans="1:23" x14ac:dyDescent="0.3">
      <c r="A1410" s="6" t="s">
        <v>3439</v>
      </c>
      <c r="B1410" s="6" t="s">
        <v>3440</v>
      </c>
      <c r="C1410" s="6">
        <v>9209831955</v>
      </c>
      <c r="D1410" s="6" t="s">
        <v>20</v>
      </c>
      <c r="E1410" s="6" t="s">
        <v>41</v>
      </c>
      <c r="F1410" s="6" t="s">
        <v>92</v>
      </c>
      <c r="G1410" s="6" t="s">
        <v>69</v>
      </c>
      <c r="H1410" s="6" t="s">
        <v>3102</v>
      </c>
      <c r="I1410" s="2" t="str">
        <f t="shared" ref="I1410:I1473" si="110">TEXT(H1410,"mmm")</f>
        <v>Feb</v>
      </c>
      <c r="J1410" s="2">
        <f t="shared" ref="J1410:J1473" si="111">MONTH(H1410)</f>
        <v>2</v>
      </c>
      <c r="K1410" s="2">
        <f t="shared" ref="K1410:K1473" si="112">YEAR(H1410)</f>
        <v>2025</v>
      </c>
      <c r="L1410" s="2">
        <f t="shared" ref="L1410:L1473" si="113">ROUNDUP(MONTH(H1410)/3,0)</f>
        <v>1</v>
      </c>
      <c r="M1410" s="6">
        <v>1</v>
      </c>
      <c r="N1410" s="6" t="s">
        <v>3271</v>
      </c>
      <c r="O1410" s="6" t="s">
        <v>97</v>
      </c>
      <c r="P1410" s="7">
        <v>223308</v>
      </c>
      <c r="Q1410" s="7">
        <v>216715</v>
      </c>
      <c r="R1410" s="6" t="s">
        <v>3441</v>
      </c>
      <c r="S1410" s="6" t="s">
        <v>5573</v>
      </c>
      <c r="T1410" s="6">
        <v>4.0999999999999996</v>
      </c>
      <c r="U1410" s="6" t="s">
        <v>47</v>
      </c>
      <c r="V1410" s="6" t="s">
        <v>465</v>
      </c>
      <c r="W1410" s="67" t="str">
        <f t="shared" ref="W1410:W1473" si="114">IF($O1410&lt;&gt;"Converted","-",IF(ISNUMBER(SEARCH("Architect",$F1410)),"Architect","Customer"))</f>
        <v>Customer</v>
      </c>
    </row>
    <row r="1411" spans="1:23" x14ac:dyDescent="0.3">
      <c r="A1411" s="6" t="s">
        <v>3442</v>
      </c>
      <c r="B1411" s="6" t="s">
        <v>3443</v>
      </c>
      <c r="C1411" s="6">
        <v>9849755715</v>
      </c>
      <c r="D1411" s="6" t="s">
        <v>121</v>
      </c>
      <c r="E1411" s="6" t="s">
        <v>41</v>
      </c>
      <c r="F1411" s="6" t="s">
        <v>86</v>
      </c>
      <c r="G1411" s="6" t="s">
        <v>52</v>
      </c>
      <c r="H1411" s="6" t="s">
        <v>3102</v>
      </c>
      <c r="I1411" s="2" t="str">
        <f t="shared" si="110"/>
        <v>Feb</v>
      </c>
      <c r="J1411" s="2">
        <f t="shared" si="111"/>
        <v>2</v>
      </c>
      <c r="K1411" s="2">
        <f t="shared" si="112"/>
        <v>2025</v>
      </c>
      <c r="L1411" s="2">
        <f t="shared" si="113"/>
        <v>1</v>
      </c>
      <c r="M1411" s="6">
        <v>7</v>
      </c>
      <c r="N1411" s="6" t="s">
        <v>3444</v>
      </c>
      <c r="O1411" s="6" t="s">
        <v>97</v>
      </c>
      <c r="P1411" s="7">
        <v>241223</v>
      </c>
      <c r="Q1411" s="7">
        <v>243408</v>
      </c>
      <c r="R1411" s="6" t="s">
        <v>3229</v>
      </c>
      <c r="S1411" s="6" t="s">
        <v>5573</v>
      </c>
      <c r="T1411" s="6">
        <v>13.2</v>
      </c>
      <c r="U1411" s="6" t="s">
        <v>63</v>
      </c>
      <c r="V1411" s="6" t="s">
        <v>483</v>
      </c>
      <c r="W1411" s="67" t="str">
        <f t="shared" si="114"/>
        <v>Customer</v>
      </c>
    </row>
    <row r="1412" spans="1:23" x14ac:dyDescent="0.3">
      <c r="A1412" s="6" t="s">
        <v>3445</v>
      </c>
      <c r="B1412" s="6" t="s">
        <v>3446</v>
      </c>
      <c r="C1412" s="6">
        <v>9835815026</v>
      </c>
      <c r="D1412" s="6" t="s">
        <v>59</v>
      </c>
      <c r="E1412" s="6" t="s">
        <v>648</v>
      </c>
      <c r="F1412" s="6" t="s">
        <v>899</v>
      </c>
      <c r="G1412" s="6" t="s">
        <v>1621</v>
      </c>
      <c r="H1412" s="6" t="s">
        <v>3102</v>
      </c>
      <c r="I1412" s="2" t="str">
        <f t="shared" si="110"/>
        <v>Feb</v>
      </c>
      <c r="J1412" s="2">
        <f t="shared" si="111"/>
        <v>2</v>
      </c>
      <c r="K1412" s="2">
        <f t="shared" si="112"/>
        <v>2025</v>
      </c>
      <c r="L1412" s="2">
        <f t="shared" si="113"/>
        <v>1</v>
      </c>
      <c r="M1412" s="6">
        <v>12</v>
      </c>
      <c r="N1412" s="6" t="s">
        <v>3419</v>
      </c>
      <c r="O1412" s="6" t="s">
        <v>97</v>
      </c>
      <c r="P1412" s="6"/>
      <c r="Q1412" s="7">
        <v>349239</v>
      </c>
      <c r="R1412" s="6" t="s">
        <v>3420</v>
      </c>
      <c r="S1412" s="6" t="s">
        <v>5573</v>
      </c>
      <c r="T1412" s="6">
        <v>12.5</v>
      </c>
      <c r="U1412" s="6" t="s">
        <v>63</v>
      </c>
      <c r="V1412" s="6" t="s">
        <v>170</v>
      </c>
      <c r="W1412" s="67" t="str">
        <f t="shared" si="114"/>
        <v>Customer</v>
      </c>
    </row>
    <row r="1413" spans="1:23" x14ac:dyDescent="0.3">
      <c r="A1413" s="4" t="s">
        <v>3447</v>
      </c>
      <c r="B1413" s="4" t="s">
        <v>3448</v>
      </c>
      <c r="C1413" s="4">
        <v>9527610172</v>
      </c>
      <c r="D1413" s="4" t="s">
        <v>20</v>
      </c>
      <c r="E1413" s="4" t="s">
        <v>648</v>
      </c>
      <c r="F1413" s="4" t="s">
        <v>656</v>
      </c>
      <c r="G1413" s="4" t="s">
        <v>35</v>
      </c>
      <c r="H1413" s="4" t="s">
        <v>3102</v>
      </c>
      <c r="I1413" s="2" t="str">
        <f t="shared" si="110"/>
        <v>Feb</v>
      </c>
      <c r="J1413" s="2">
        <f t="shared" si="111"/>
        <v>2</v>
      </c>
      <c r="K1413" s="2">
        <f t="shared" si="112"/>
        <v>2025</v>
      </c>
      <c r="L1413" s="2">
        <f t="shared" si="113"/>
        <v>1</v>
      </c>
      <c r="M1413" s="4">
        <v>2</v>
      </c>
      <c r="N1413" s="4" t="s">
        <v>3344</v>
      </c>
      <c r="O1413" s="4" t="s">
        <v>45</v>
      </c>
      <c r="P1413" s="5">
        <v>272280</v>
      </c>
      <c r="Q1413" s="4"/>
      <c r="R1413" s="4"/>
      <c r="S1413" s="4" t="s">
        <v>5573</v>
      </c>
      <c r="T1413" s="4">
        <v>16.399999999999999</v>
      </c>
      <c r="U1413" s="4" t="s">
        <v>47</v>
      </c>
      <c r="V1413" s="4" t="s">
        <v>310</v>
      </c>
      <c r="W1413" s="67" t="str">
        <f t="shared" si="114"/>
        <v>-</v>
      </c>
    </row>
    <row r="1414" spans="1:23" x14ac:dyDescent="0.3">
      <c r="A1414" s="2" t="s">
        <v>3449</v>
      </c>
      <c r="B1414" s="2" t="s">
        <v>3134</v>
      </c>
      <c r="C1414" s="2">
        <v>9120920984</v>
      </c>
      <c r="D1414" s="2" t="s">
        <v>59</v>
      </c>
      <c r="E1414" s="2" t="s">
        <v>648</v>
      </c>
      <c r="F1414" s="2" t="s">
        <v>899</v>
      </c>
      <c r="G1414" s="2" t="s">
        <v>1609</v>
      </c>
      <c r="H1414" s="2" t="s">
        <v>3073</v>
      </c>
      <c r="I1414" s="2" t="str">
        <f t="shared" si="110"/>
        <v>Feb</v>
      </c>
      <c r="J1414" s="2">
        <f t="shared" si="111"/>
        <v>2</v>
      </c>
      <c r="K1414" s="2">
        <f t="shared" si="112"/>
        <v>2025</v>
      </c>
      <c r="L1414" s="2">
        <f t="shared" si="113"/>
        <v>1</v>
      </c>
      <c r="M1414" s="2">
        <v>5</v>
      </c>
      <c r="N1414" s="2" t="s">
        <v>3450</v>
      </c>
      <c r="O1414" s="2" t="s">
        <v>45</v>
      </c>
      <c r="P1414" s="3">
        <v>202527</v>
      </c>
      <c r="Q1414" s="2"/>
      <c r="R1414" s="2"/>
      <c r="S1414" s="2" t="s">
        <v>5573</v>
      </c>
      <c r="T1414" s="2">
        <v>22.7</v>
      </c>
      <c r="U1414" s="2" t="s">
        <v>63</v>
      </c>
      <c r="V1414" s="2" t="s">
        <v>621</v>
      </c>
      <c r="W1414" s="67" t="str">
        <f t="shared" si="114"/>
        <v>-</v>
      </c>
    </row>
    <row r="1415" spans="1:23" x14ac:dyDescent="0.3">
      <c r="A1415" s="4" t="s">
        <v>3451</v>
      </c>
      <c r="B1415" s="4" t="s">
        <v>2028</v>
      </c>
      <c r="C1415" s="4">
        <v>9553147900</v>
      </c>
      <c r="D1415" s="4" t="s">
        <v>20</v>
      </c>
      <c r="E1415" s="4" t="s">
        <v>648</v>
      </c>
      <c r="F1415" s="4" t="s">
        <v>649</v>
      </c>
      <c r="G1415" s="4" t="s">
        <v>35</v>
      </c>
      <c r="H1415" s="4" t="s">
        <v>3226</v>
      </c>
      <c r="I1415" s="2" t="str">
        <f t="shared" si="110"/>
        <v>Feb</v>
      </c>
      <c r="J1415" s="2">
        <f t="shared" si="111"/>
        <v>2</v>
      </c>
      <c r="K1415" s="2">
        <f t="shared" si="112"/>
        <v>2025</v>
      </c>
      <c r="L1415" s="2">
        <f t="shared" si="113"/>
        <v>1</v>
      </c>
      <c r="M1415" s="4">
        <v>1</v>
      </c>
      <c r="N1415" s="4" t="s">
        <v>3178</v>
      </c>
      <c r="O1415" s="4" t="s">
        <v>27</v>
      </c>
      <c r="P1415" s="5">
        <v>317440</v>
      </c>
      <c r="Q1415" s="4"/>
      <c r="R1415" s="4"/>
      <c r="S1415" s="4" t="s">
        <v>5573</v>
      </c>
      <c r="T1415" s="4">
        <v>20.399999999999999</v>
      </c>
      <c r="U1415" s="4" t="s">
        <v>29</v>
      </c>
      <c r="V1415" s="4" t="s">
        <v>202</v>
      </c>
      <c r="W1415" s="67" t="str">
        <f t="shared" si="114"/>
        <v>-</v>
      </c>
    </row>
    <row r="1416" spans="1:23" x14ac:dyDescent="0.3">
      <c r="A1416" s="8" t="s">
        <v>3452</v>
      </c>
      <c r="B1416" s="8" t="s">
        <v>3453</v>
      </c>
      <c r="C1416" s="8">
        <v>9954291507</v>
      </c>
      <c r="D1416" s="8" t="s">
        <v>20</v>
      </c>
      <c r="E1416" s="8" t="s">
        <v>33</v>
      </c>
      <c r="F1416" s="8" t="s">
        <v>34</v>
      </c>
      <c r="G1416" s="8" t="s">
        <v>1621</v>
      </c>
      <c r="H1416" s="8" t="s">
        <v>3226</v>
      </c>
      <c r="I1416" s="2" t="str">
        <f t="shared" si="110"/>
        <v>Feb</v>
      </c>
      <c r="J1416" s="2">
        <f t="shared" si="111"/>
        <v>2</v>
      </c>
      <c r="K1416" s="2">
        <f t="shared" si="112"/>
        <v>2025</v>
      </c>
      <c r="L1416" s="2">
        <f t="shared" si="113"/>
        <v>1</v>
      </c>
      <c r="M1416" s="8">
        <v>11</v>
      </c>
      <c r="N1416" s="8" t="s">
        <v>3454</v>
      </c>
      <c r="O1416" s="8" t="s">
        <v>27</v>
      </c>
      <c r="P1416" s="9">
        <v>188646</v>
      </c>
      <c r="Q1416" s="8"/>
      <c r="R1416" s="8"/>
      <c r="S1416" s="8" t="s">
        <v>5573</v>
      </c>
      <c r="T1416" s="8">
        <v>8.1999999999999993</v>
      </c>
      <c r="U1416" s="8" t="s">
        <v>29</v>
      </c>
      <c r="V1416" s="8" t="s">
        <v>118</v>
      </c>
      <c r="W1416" s="67" t="str">
        <f t="shared" si="114"/>
        <v>-</v>
      </c>
    </row>
    <row r="1417" spans="1:23" x14ac:dyDescent="0.3">
      <c r="A1417" s="4" t="s">
        <v>3455</v>
      </c>
      <c r="B1417" s="4" t="s">
        <v>3456</v>
      </c>
      <c r="C1417" s="4">
        <v>9287695309</v>
      </c>
      <c r="D1417" s="4" t="s">
        <v>59</v>
      </c>
      <c r="E1417" s="4" t="s">
        <v>109</v>
      </c>
      <c r="F1417" s="4" t="s">
        <v>331</v>
      </c>
      <c r="G1417" s="4" t="s">
        <v>87</v>
      </c>
      <c r="H1417" s="4" t="s">
        <v>3279</v>
      </c>
      <c r="I1417" s="2" t="str">
        <f t="shared" si="110"/>
        <v>Feb</v>
      </c>
      <c r="J1417" s="2">
        <f t="shared" si="111"/>
        <v>2</v>
      </c>
      <c r="K1417" s="2">
        <f t="shared" si="112"/>
        <v>2025</v>
      </c>
      <c r="L1417" s="2">
        <f t="shared" si="113"/>
        <v>1</v>
      </c>
      <c r="M1417" s="4">
        <v>2</v>
      </c>
      <c r="N1417" s="4" t="s">
        <v>3450</v>
      </c>
      <c r="O1417" s="4" t="s">
        <v>45</v>
      </c>
      <c r="P1417" s="5">
        <v>323975</v>
      </c>
      <c r="Q1417" s="4"/>
      <c r="R1417" s="4"/>
      <c r="S1417" s="4" t="s">
        <v>5573</v>
      </c>
      <c r="T1417" s="4">
        <v>28.5</v>
      </c>
      <c r="U1417" s="4" t="s">
        <v>63</v>
      </c>
      <c r="V1417" s="4" t="s">
        <v>559</v>
      </c>
      <c r="W1417" s="67" t="str">
        <f t="shared" si="114"/>
        <v>-</v>
      </c>
    </row>
    <row r="1418" spans="1:23" x14ac:dyDescent="0.3">
      <c r="A1418" s="2" t="s">
        <v>3457</v>
      </c>
      <c r="B1418" s="2" t="s">
        <v>3458</v>
      </c>
      <c r="C1418" s="2">
        <v>9691001660</v>
      </c>
      <c r="D1418" s="2" t="s">
        <v>59</v>
      </c>
      <c r="E1418" s="2" t="s">
        <v>1632</v>
      </c>
      <c r="F1418" s="2" t="s">
        <v>1849</v>
      </c>
      <c r="G1418" s="2" t="s">
        <v>643</v>
      </c>
      <c r="H1418" s="2" t="s">
        <v>3279</v>
      </c>
      <c r="I1418" s="2" t="str">
        <f t="shared" si="110"/>
        <v>Feb</v>
      </c>
      <c r="J1418" s="2">
        <f t="shared" si="111"/>
        <v>2</v>
      </c>
      <c r="K1418" s="2">
        <f t="shared" si="112"/>
        <v>2025</v>
      </c>
      <c r="L1418" s="2">
        <f t="shared" si="113"/>
        <v>1</v>
      </c>
      <c r="M1418" s="2">
        <v>1</v>
      </c>
      <c r="N1418" s="2" t="s">
        <v>3271</v>
      </c>
      <c r="O1418" s="2" t="s">
        <v>45</v>
      </c>
      <c r="P1418" s="3">
        <v>977857</v>
      </c>
      <c r="Q1418" s="2"/>
      <c r="R1418" s="2"/>
      <c r="S1418" s="2" t="s">
        <v>5573</v>
      </c>
      <c r="T1418" s="2">
        <v>17.3</v>
      </c>
      <c r="U1418" s="2" t="s">
        <v>63</v>
      </c>
      <c r="V1418" s="2" t="s">
        <v>559</v>
      </c>
      <c r="W1418" s="67" t="str">
        <f t="shared" si="114"/>
        <v>-</v>
      </c>
    </row>
    <row r="1419" spans="1:23" x14ac:dyDescent="0.3">
      <c r="A1419" s="4" t="s">
        <v>3459</v>
      </c>
      <c r="B1419" s="4" t="s">
        <v>3301</v>
      </c>
      <c r="C1419" s="4">
        <v>9277965855</v>
      </c>
      <c r="D1419" s="4" t="s">
        <v>121</v>
      </c>
      <c r="E1419" s="4" t="s">
        <v>67</v>
      </c>
      <c r="F1419" s="4" t="s">
        <v>80</v>
      </c>
      <c r="G1419" s="4" t="s">
        <v>1677</v>
      </c>
      <c r="H1419" s="4" t="s">
        <v>3279</v>
      </c>
      <c r="I1419" s="2" t="str">
        <f t="shared" si="110"/>
        <v>Feb</v>
      </c>
      <c r="J1419" s="2">
        <f t="shared" si="111"/>
        <v>2</v>
      </c>
      <c r="K1419" s="2">
        <f t="shared" si="112"/>
        <v>2025</v>
      </c>
      <c r="L1419" s="2">
        <f t="shared" si="113"/>
        <v>1</v>
      </c>
      <c r="M1419" s="4">
        <v>9</v>
      </c>
      <c r="N1419" s="4" t="s">
        <v>3262</v>
      </c>
      <c r="O1419" s="4" t="s">
        <v>27</v>
      </c>
      <c r="P1419" s="5">
        <v>1151559</v>
      </c>
      <c r="Q1419" s="4"/>
      <c r="R1419" s="4"/>
      <c r="S1419" s="4" t="s">
        <v>5573</v>
      </c>
      <c r="T1419" s="4">
        <v>3.4</v>
      </c>
      <c r="U1419" s="4" t="s">
        <v>29</v>
      </c>
      <c r="V1419" s="4" t="s">
        <v>238</v>
      </c>
      <c r="W1419" s="67" t="str">
        <f t="shared" si="114"/>
        <v>-</v>
      </c>
    </row>
    <row r="1420" spans="1:23" x14ac:dyDescent="0.3">
      <c r="A1420" s="2" t="s">
        <v>3460</v>
      </c>
      <c r="B1420" s="2" t="s">
        <v>3299</v>
      </c>
      <c r="C1420" s="2">
        <v>9347620008</v>
      </c>
      <c r="D1420" s="2" t="s">
        <v>59</v>
      </c>
      <c r="E1420" s="2" t="s">
        <v>1632</v>
      </c>
      <c r="F1420" s="2" t="s">
        <v>1717</v>
      </c>
      <c r="G1420" s="2" t="s">
        <v>87</v>
      </c>
      <c r="H1420" s="2" t="s">
        <v>3212</v>
      </c>
      <c r="I1420" s="2" t="str">
        <f t="shared" si="110"/>
        <v>Feb</v>
      </c>
      <c r="J1420" s="2">
        <f t="shared" si="111"/>
        <v>2</v>
      </c>
      <c r="K1420" s="2">
        <f t="shared" si="112"/>
        <v>2025</v>
      </c>
      <c r="L1420" s="2">
        <f t="shared" si="113"/>
        <v>1</v>
      </c>
      <c r="M1420" s="2">
        <v>7</v>
      </c>
      <c r="N1420" s="2" t="s">
        <v>3367</v>
      </c>
      <c r="O1420" s="2" t="s">
        <v>45</v>
      </c>
      <c r="P1420" s="3">
        <v>236196</v>
      </c>
      <c r="Q1420" s="2"/>
      <c r="R1420" s="2"/>
      <c r="S1420" s="2" t="s">
        <v>5573</v>
      </c>
      <c r="T1420" s="2">
        <v>27.4</v>
      </c>
      <c r="U1420" s="2" t="s">
        <v>47</v>
      </c>
      <c r="V1420" s="2" t="s">
        <v>276</v>
      </c>
      <c r="W1420" s="67" t="str">
        <f t="shared" si="114"/>
        <v>-</v>
      </c>
    </row>
    <row r="1421" spans="1:23" x14ac:dyDescent="0.3">
      <c r="A1421" s="4" t="s">
        <v>3461</v>
      </c>
      <c r="B1421" s="4" t="s">
        <v>2066</v>
      </c>
      <c r="C1421" s="4">
        <v>9174449369</v>
      </c>
      <c r="D1421" s="4" t="s">
        <v>59</v>
      </c>
      <c r="E1421" s="4" t="s">
        <v>648</v>
      </c>
      <c r="F1421" s="4" t="s">
        <v>899</v>
      </c>
      <c r="G1421" s="4" t="s">
        <v>643</v>
      </c>
      <c r="H1421" s="4" t="s">
        <v>3212</v>
      </c>
      <c r="I1421" s="2" t="str">
        <f t="shared" si="110"/>
        <v>Feb</v>
      </c>
      <c r="J1421" s="2">
        <f t="shared" si="111"/>
        <v>2</v>
      </c>
      <c r="K1421" s="2">
        <f t="shared" si="112"/>
        <v>2025</v>
      </c>
      <c r="L1421" s="2">
        <f t="shared" si="113"/>
        <v>1</v>
      </c>
      <c r="M1421" s="4">
        <v>9</v>
      </c>
      <c r="N1421" s="4" t="s">
        <v>3462</v>
      </c>
      <c r="O1421" s="4" t="s">
        <v>45</v>
      </c>
      <c r="P1421" s="5">
        <v>791414</v>
      </c>
      <c r="Q1421" s="4"/>
      <c r="R1421" s="4"/>
      <c r="S1421" s="4" t="s">
        <v>5573</v>
      </c>
      <c r="T1421" s="4">
        <v>21.2</v>
      </c>
      <c r="U1421" s="4" t="s">
        <v>47</v>
      </c>
      <c r="V1421" s="4" t="s">
        <v>137</v>
      </c>
      <c r="W1421" s="67" t="str">
        <f t="shared" si="114"/>
        <v>-</v>
      </c>
    </row>
    <row r="1422" spans="1:23" x14ac:dyDescent="0.3">
      <c r="A1422" s="8" t="s">
        <v>3463</v>
      </c>
      <c r="B1422" s="8" t="s">
        <v>3464</v>
      </c>
      <c r="C1422" s="8">
        <v>9469837972</v>
      </c>
      <c r="D1422" s="8" t="s">
        <v>121</v>
      </c>
      <c r="E1422" s="8" t="s">
        <v>41</v>
      </c>
      <c r="F1422" s="8" t="s">
        <v>92</v>
      </c>
      <c r="G1422" s="8" t="s">
        <v>52</v>
      </c>
      <c r="H1422" s="8" t="s">
        <v>3212</v>
      </c>
      <c r="I1422" s="2" t="str">
        <f t="shared" si="110"/>
        <v>Feb</v>
      </c>
      <c r="J1422" s="2">
        <f t="shared" si="111"/>
        <v>2</v>
      </c>
      <c r="K1422" s="2">
        <f t="shared" si="112"/>
        <v>2025</v>
      </c>
      <c r="L1422" s="2">
        <f t="shared" si="113"/>
        <v>1</v>
      </c>
      <c r="M1422" s="8">
        <v>11</v>
      </c>
      <c r="N1422" s="8" t="s">
        <v>3465</v>
      </c>
      <c r="O1422" s="8" t="s">
        <v>97</v>
      </c>
      <c r="P1422" s="9">
        <v>312020</v>
      </c>
      <c r="Q1422" s="9">
        <v>286279</v>
      </c>
      <c r="R1422" s="8" t="s">
        <v>3466</v>
      </c>
      <c r="S1422" s="8" t="s">
        <v>5573</v>
      </c>
      <c r="T1422" s="8">
        <v>25.4</v>
      </c>
      <c r="U1422" s="8" t="s">
        <v>63</v>
      </c>
      <c r="V1422" s="8"/>
      <c r="W1422" s="67" t="str">
        <f t="shared" si="114"/>
        <v>Customer</v>
      </c>
    </row>
    <row r="1423" spans="1:23" x14ac:dyDescent="0.3">
      <c r="A1423" s="4" t="s">
        <v>3467</v>
      </c>
      <c r="B1423" s="4" t="s">
        <v>3468</v>
      </c>
      <c r="C1423" s="4">
        <v>9170688266</v>
      </c>
      <c r="D1423" s="4" t="s">
        <v>59</v>
      </c>
      <c r="E1423" s="4" t="s">
        <v>1632</v>
      </c>
      <c r="F1423" s="4" t="s">
        <v>1717</v>
      </c>
      <c r="G1423" s="4" t="s">
        <v>23</v>
      </c>
      <c r="H1423" s="4" t="s">
        <v>3212</v>
      </c>
      <c r="I1423" s="2" t="str">
        <f t="shared" si="110"/>
        <v>Feb</v>
      </c>
      <c r="J1423" s="2">
        <f t="shared" si="111"/>
        <v>2</v>
      </c>
      <c r="K1423" s="2">
        <f t="shared" si="112"/>
        <v>2025</v>
      </c>
      <c r="L1423" s="2">
        <f t="shared" si="113"/>
        <v>1</v>
      </c>
      <c r="M1423" s="4">
        <v>2</v>
      </c>
      <c r="N1423" s="4" t="s">
        <v>3333</v>
      </c>
      <c r="O1423" s="4" t="s">
        <v>45</v>
      </c>
      <c r="P1423" s="5">
        <v>541883</v>
      </c>
      <c r="Q1423" s="4"/>
      <c r="R1423" s="4"/>
      <c r="S1423" s="4" t="s">
        <v>5573</v>
      </c>
      <c r="T1423" s="4">
        <v>4.5</v>
      </c>
      <c r="U1423" s="4" t="s">
        <v>29</v>
      </c>
      <c r="V1423" s="4" t="s">
        <v>589</v>
      </c>
      <c r="W1423" s="67" t="str">
        <f t="shared" si="114"/>
        <v>-</v>
      </c>
    </row>
    <row r="1424" spans="1:23" x14ac:dyDescent="0.3">
      <c r="A1424" s="2" t="s">
        <v>3469</v>
      </c>
      <c r="B1424" s="2" t="s">
        <v>3470</v>
      </c>
      <c r="C1424" s="2">
        <v>9290929805</v>
      </c>
      <c r="D1424" s="2" t="s">
        <v>20</v>
      </c>
      <c r="E1424" s="2" t="s">
        <v>109</v>
      </c>
      <c r="F1424" s="2" t="s">
        <v>331</v>
      </c>
      <c r="G1424" s="2" t="s">
        <v>69</v>
      </c>
      <c r="H1424" s="2" t="s">
        <v>3212</v>
      </c>
      <c r="I1424" s="2" t="str">
        <f t="shared" si="110"/>
        <v>Feb</v>
      </c>
      <c r="J1424" s="2">
        <f t="shared" si="111"/>
        <v>2</v>
      </c>
      <c r="K1424" s="2">
        <f t="shared" si="112"/>
        <v>2025</v>
      </c>
      <c r="L1424" s="2">
        <f t="shared" si="113"/>
        <v>1</v>
      </c>
      <c r="M1424" s="2">
        <v>8</v>
      </c>
      <c r="N1424" s="2" t="s">
        <v>3370</v>
      </c>
      <c r="O1424" s="2" t="s">
        <v>62</v>
      </c>
      <c r="P1424" s="3">
        <v>172982</v>
      </c>
      <c r="Q1424" s="2"/>
      <c r="R1424" s="2"/>
      <c r="S1424" s="2" t="s">
        <v>5573</v>
      </c>
      <c r="T1424" s="2">
        <v>12.8</v>
      </c>
      <c r="U1424" s="2" t="s">
        <v>47</v>
      </c>
      <c r="V1424" s="2" t="s">
        <v>310</v>
      </c>
      <c r="W1424" s="67" t="str">
        <f t="shared" si="114"/>
        <v>-</v>
      </c>
    </row>
    <row r="1425" spans="1:23" x14ac:dyDescent="0.3">
      <c r="A1425" s="8" t="s">
        <v>3471</v>
      </c>
      <c r="B1425" s="8" t="s">
        <v>799</v>
      </c>
      <c r="C1425" s="8">
        <v>9145143576</v>
      </c>
      <c r="D1425" s="8" t="s">
        <v>20</v>
      </c>
      <c r="E1425" s="8" t="s">
        <v>109</v>
      </c>
      <c r="F1425" s="8" t="s">
        <v>217</v>
      </c>
      <c r="G1425" s="8" t="s">
        <v>643</v>
      </c>
      <c r="H1425" s="8" t="s">
        <v>3212</v>
      </c>
      <c r="I1425" s="2" t="str">
        <f t="shared" si="110"/>
        <v>Feb</v>
      </c>
      <c r="J1425" s="2">
        <f t="shared" si="111"/>
        <v>2</v>
      </c>
      <c r="K1425" s="2">
        <f t="shared" si="112"/>
        <v>2025</v>
      </c>
      <c r="L1425" s="2">
        <f t="shared" si="113"/>
        <v>1</v>
      </c>
      <c r="M1425" s="8">
        <v>8</v>
      </c>
      <c r="N1425" s="8" t="s">
        <v>3258</v>
      </c>
      <c r="O1425" s="8" t="s">
        <v>62</v>
      </c>
      <c r="P1425" s="9">
        <v>1041782</v>
      </c>
      <c r="Q1425" s="8"/>
      <c r="R1425" s="8"/>
      <c r="S1425" s="8" t="s">
        <v>5573</v>
      </c>
      <c r="T1425" s="8">
        <v>20</v>
      </c>
      <c r="U1425" s="8" t="s">
        <v>29</v>
      </c>
      <c r="V1425" s="8" t="s">
        <v>389</v>
      </c>
      <c r="W1425" s="67" t="str">
        <f t="shared" si="114"/>
        <v>-</v>
      </c>
    </row>
    <row r="1426" spans="1:23" x14ac:dyDescent="0.3">
      <c r="A1426" s="2" t="s">
        <v>3472</v>
      </c>
      <c r="B1426" s="2" t="s">
        <v>1994</v>
      </c>
      <c r="C1426" s="2">
        <v>9197006089</v>
      </c>
      <c r="D1426" s="2" t="s">
        <v>121</v>
      </c>
      <c r="E1426" s="2" t="s">
        <v>1632</v>
      </c>
      <c r="F1426" s="2" t="s">
        <v>1659</v>
      </c>
      <c r="G1426" s="2" t="s">
        <v>87</v>
      </c>
      <c r="H1426" s="2" t="s">
        <v>3212</v>
      </c>
      <c r="I1426" s="2" t="str">
        <f t="shared" si="110"/>
        <v>Feb</v>
      </c>
      <c r="J1426" s="2">
        <f t="shared" si="111"/>
        <v>2</v>
      </c>
      <c r="K1426" s="2">
        <f t="shared" si="112"/>
        <v>2025</v>
      </c>
      <c r="L1426" s="2">
        <f t="shared" si="113"/>
        <v>1</v>
      </c>
      <c r="M1426" s="2">
        <v>6</v>
      </c>
      <c r="N1426" s="2" t="s">
        <v>3422</v>
      </c>
      <c r="O1426" s="2" t="s">
        <v>62</v>
      </c>
      <c r="P1426" s="3">
        <v>192049</v>
      </c>
      <c r="Q1426" s="2"/>
      <c r="R1426" s="2"/>
      <c r="S1426" s="2" t="s">
        <v>5573</v>
      </c>
      <c r="T1426" s="2">
        <v>12.6</v>
      </c>
      <c r="U1426" s="2" t="s">
        <v>63</v>
      </c>
      <c r="V1426" s="2" t="s">
        <v>668</v>
      </c>
      <c r="W1426" s="67" t="str">
        <f t="shared" si="114"/>
        <v>-</v>
      </c>
    </row>
    <row r="1427" spans="1:23" x14ac:dyDescent="0.3">
      <c r="A1427" s="4" t="s">
        <v>3473</v>
      </c>
      <c r="B1427" s="4" t="s">
        <v>3319</v>
      </c>
      <c r="C1427" s="4">
        <v>9562897965</v>
      </c>
      <c r="D1427" s="4" t="s">
        <v>59</v>
      </c>
      <c r="E1427" s="4" t="s">
        <v>1632</v>
      </c>
      <c r="F1427" s="4" t="s">
        <v>1633</v>
      </c>
      <c r="G1427" s="4" t="s">
        <v>23</v>
      </c>
      <c r="H1427" s="4" t="s">
        <v>3212</v>
      </c>
      <c r="I1427" s="2" t="str">
        <f t="shared" si="110"/>
        <v>Feb</v>
      </c>
      <c r="J1427" s="2">
        <f t="shared" si="111"/>
        <v>2</v>
      </c>
      <c r="K1427" s="2">
        <f t="shared" si="112"/>
        <v>2025</v>
      </c>
      <c r="L1427" s="2">
        <f t="shared" si="113"/>
        <v>1</v>
      </c>
      <c r="M1427" s="4">
        <v>12</v>
      </c>
      <c r="N1427" s="4" t="s">
        <v>3408</v>
      </c>
      <c r="O1427" s="4" t="s">
        <v>27</v>
      </c>
      <c r="P1427" s="5">
        <v>831037</v>
      </c>
      <c r="Q1427" s="4"/>
      <c r="R1427" s="4"/>
      <c r="S1427" s="4" t="s">
        <v>5573</v>
      </c>
      <c r="T1427" s="4">
        <v>31.3</v>
      </c>
      <c r="U1427" s="4" t="s">
        <v>29</v>
      </c>
      <c r="V1427" s="4"/>
      <c r="W1427" s="67" t="str">
        <f t="shared" si="114"/>
        <v>-</v>
      </c>
    </row>
    <row r="1428" spans="1:23" x14ac:dyDescent="0.3">
      <c r="A1428" s="2" t="s">
        <v>3474</v>
      </c>
      <c r="B1428" s="2" t="s">
        <v>2215</v>
      </c>
      <c r="C1428" s="2">
        <v>9119069792</v>
      </c>
      <c r="D1428" s="2" t="s">
        <v>20</v>
      </c>
      <c r="E1428" s="2" t="s">
        <v>41</v>
      </c>
      <c r="F1428" s="2" t="s">
        <v>151</v>
      </c>
      <c r="G1428" s="2" t="s">
        <v>1599</v>
      </c>
      <c r="H1428" s="2" t="s">
        <v>3212</v>
      </c>
      <c r="I1428" s="2" t="str">
        <f t="shared" si="110"/>
        <v>Feb</v>
      </c>
      <c r="J1428" s="2">
        <f t="shared" si="111"/>
        <v>2</v>
      </c>
      <c r="K1428" s="2">
        <f t="shared" si="112"/>
        <v>2025</v>
      </c>
      <c r="L1428" s="2">
        <f t="shared" si="113"/>
        <v>1</v>
      </c>
      <c r="M1428" s="2">
        <v>9</v>
      </c>
      <c r="N1428" s="2" t="s">
        <v>3475</v>
      </c>
      <c r="O1428" s="2" t="s">
        <v>45</v>
      </c>
      <c r="P1428" s="3">
        <v>903647</v>
      </c>
      <c r="Q1428" s="2"/>
      <c r="R1428" s="2"/>
      <c r="S1428" s="2" t="s">
        <v>5573</v>
      </c>
      <c r="T1428" s="2">
        <v>8.4</v>
      </c>
      <c r="U1428" s="2" t="s">
        <v>63</v>
      </c>
      <c r="V1428" s="2" t="s">
        <v>260</v>
      </c>
      <c r="W1428" s="67" t="str">
        <f t="shared" si="114"/>
        <v>-</v>
      </c>
    </row>
    <row r="1429" spans="1:23" x14ac:dyDescent="0.3">
      <c r="A1429" s="4" t="s">
        <v>3476</v>
      </c>
      <c r="B1429" s="4" t="s">
        <v>752</v>
      </c>
      <c r="C1429" s="4">
        <v>9334130786</v>
      </c>
      <c r="D1429" s="4" t="s">
        <v>59</v>
      </c>
      <c r="E1429" s="4" t="s">
        <v>1632</v>
      </c>
      <c r="F1429" s="4" t="s">
        <v>1682</v>
      </c>
      <c r="G1429" s="4" t="s">
        <v>643</v>
      </c>
      <c r="H1429" s="4" t="s">
        <v>3212</v>
      </c>
      <c r="I1429" s="2" t="str">
        <f t="shared" si="110"/>
        <v>Feb</v>
      </c>
      <c r="J1429" s="2">
        <f t="shared" si="111"/>
        <v>2</v>
      </c>
      <c r="K1429" s="2">
        <f t="shared" si="112"/>
        <v>2025</v>
      </c>
      <c r="L1429" s="2">
        <f t="shared" si="113"/>
        <v>1</v>
      </c>
      <c r="M1429" s="4">
        <v>6</v>
      </c>
      <c r="N1429" s="4" t="s">
        <v>3477</v>
      </c>
      <c r="O1429" s="4" t="s">
        <v>45</v>
      </c>
      <c r="P1429" s="5">
        <v>939933</v>
      </c>
      <c r="Q1429" s="4"/>
      <c r="R1429" s="4"/>
      <c r="S1429" s="4" t="s">
        <v>5573</v>
      </c>
      <c r="T1429" s="4">
        <v>25.7</v>
      </c>
      <c r="U1429" s="4" t="s">
        <v>29</v>
      </c>
      <c r="V1429" s="4" t="s">
        <v>805</v>
      </c>
      <c r="W1429" s="67" t="str">
        <f t="shared" si="114"/>
        <v>-</v>
      </c>
    </row>
    <row r="1430" spans="1:23" x14ac:dyDescent="0.3">
      <c r="A1430" s="6" t="s">
        <v>3478</v>
      </c>
      <c r="B1430" s="6" t="s">
        <v>3479</v>
      </c>
      <c r="C1430" s="6">
        <v>9176029916</v>
      </c>
      <c r="D1430" s="6" t="s">
        <v>51</v>
      </c>
      <c r="E1430" s="6" t="s">
        <v>41</v>
      </c>
      <c r="F1430" s="6" t="s">
        <v>42</v>
      </c>
      <c r="G1430" s="6" t="s">
        <v>1609</v>
      </c>
      <c r="H1430" s="6" t="s">
        <v>3212</v>
      </c>
      <c r="I1430" s="2" t="str">
        <f t="shared" si="110"/>
        <v>Feb</v>
      </c>
      <c r="J1430" s="2">
        <f t="shared" si="111"/>
        <v>2</v>
      </c>
      <c r="K1430" s="2">
        <f t="shared" si="112"/>
        <v>2025</v>
      </c>
      <c r="L1430" s="2">
        <f t="shared" si="113"/>
        <v>1</v>
      </c>
      <c r="M1430" s="6">
        <v>4</v>
      </c>
      <c r="N1430" s="6" t="s">
        <v>3308</v>
      </c>
      <c r="O1430" s="6" t="s">
        <v>97</v>
      </c>
      <c r="P1430" s="7">
        <v>492465</v>
      </c>
      <c r="Q1430" s="7">
        <v>485114</v>
      </c>
      <c r="R1430" s="6" t="s">
        <v>3213</v>
      </c>
      <c r="S1430" s="6" t="s">
        <v>5573</v>
      </c>
      <c r="T1430" s="6">
        <v>14.5</v>
      </c>
      <c r="U1430" s="6" t="s">
        <v>63</v>
      </c>
      <c r="V1430" s="6" t="s">
        <v>243</v>
      </c>
      <c r="W1430" s="67" t="str">
        <f t="shared" si="114"/>
        <v>Customer</v>
      </c>
    </row>
    <row r="1431" spans="1:23" x14ac:dyDescent="0.3">
      <c r="A1431" s="6" t="s">
        <v>3480</v>
      </c>
      <c r="B1431" s="6" t="s">
        <v>3481</v>
      </c>
      <c r="C1431" s="6">
        <v>9347794376</v>
      </c>
      <c r="D1431" s="6" t="s">
        <v>59</v>
      </c>
      <c r="E1431" s="6" t="s">
        <v>641</v>
      </c>
      <c r="F1431" s="6" t="s">
        <v>727</v>
      </c>
      <c r="G1431" s="6" t="s">
        <v>69</v>
      </c>
      <c r="H1431" s="6" t="s">
        <v>3212</v>
      </c>
      <c r="I1431" s="2" t="str">
        <f t="shared" si="110"/>
        <v>Feb</v>
      </c>
      <c r="J1431" s="2">
        <f t="shared" si="111"/>
        <v>2</v>
      </c>
      <c r="K1431" s="2">
        <f t="shared" si="112"/>
        <v>2025</v>
      </c>
      <c r="L1431" s="2">
        <f t="shared" si="113"/>
        <v>1</v>
      </c>
      <c r="M1431" s="6">
        <v>10</v>
      </c>
      <c r="N1431" s="6" t="s">
        <v>3482</v>
      </c>
      <c r="O1431" s="6" t="s">
        <v>97</v>
      </c>
      <c r="P1431" s="7">
        <v>195327</v>
      </c>
      <c r="Q1431" s="7">
        <v>177118</v>
      </c>
      <c r="R1431" s="6" t="s">
        <v>3435</v>
      </c>
      <c r="S1431" s="6" t="s">
        <v>5573</v>
      </c>
      <c r="T1431" s="6">
        <v>4.0999999999999996</v>
      </c>
      <c r="U1431" s="6" t="s">
        <v>63</v>
      </c>
      <c r="V1431" s="6" t="s">
        <v>465</v>
      </c>
      <c r="W1431" s="67" t="str">
        <f t="shared" si="114"/>
        <v>Customer</v>
      </c>
    </row>
    <row r="1432" spans="1:23" x14ac:dyDescent="0.3">
      <c r="A1432" s="6" t="s">
        <v>3483</v>
      </c>
      <c r="B1432" s="6" t="s">
        <v>366</v>
      </c>
      <c r="C1432" s="6">
        <v>9592456949</v>
      </c>
      <c r="D1432" s="6" t="s">
        <v>20</v>
      </c>
      <c r="E1432" s="6" t="s">
        <v>41</v>
      </c>
      <c r="F1432" s="6" t="s">
        <v>151</v>
      </c>
      <c r="G1432" s="6" t="s">
        <v>1609</v>
      </c>
      <c r="H1432" s="6" t="s">
        <v>3032</v>
      </c>
      <c r="I1432" s="2" t="str">
        <f t="shared" si="110"/>
        <v>Feb</v>
      </c>
      <c r="J1432" s="2">
        <f t="shared" si="111"/>
        <v>2</v>
      </c>
      <c r="K1432" s="2">
        <f t="shared" si="112"/>
        <v>2025</v>
      </c>
      <c r="L1432" s="2">
        <f t="shared" si="113"/>
        <v>1</v>
      </c>
      <c r="M1432" s="6">
        <v>4</v>
      </c>
      <c r="N1432" s="6" t="s">
        <v>3333</v>
      </c>
      <c r="O1432" s="6" t="s">
        <v>97</v>
      </c>
      <c r="P1432" s="7">
        <v>488580</v>
      </c>
      <c r="Q1432" s="7">
        <v>450104</v>
      </c>
      <c r="R1432" s="6" t="s">
        <v>3419</v>
      </c>
      <c r="S1432" s="6" t="s">
        <v>5573</v>
      </c>
      <c r="T1432" s="6">
        <v>5.9</v>
      </c>
      <c r="U1432" s="6" t="s">
        <v>47</v>
      </c>
      <c r="V1432" s="6" t="s">
        <v>99</v>
      </c>
      <c r="W1432" s="67" t="str">
        <f t="shared" si="114"/>
        <v>Architect</v>
      </c>
    </row>
    <row r="1433" spans="1:23" x14ac:dyDescent="0.3">
      <c r="A1433" s="4" t="s">
        <v>3484</v>
      </c>
      <c r="B1433" s="4" t="s">
        <v>3485</v>
      </c>
      <c r="C1433" s="4">
        <v>9362576565</v>
      </c>
      <c r="D1433" s="4" t="s">
        <v>59</v>
      </c>
      <c r="E1433" s="4" t="s">
        <v>41</v>
      </c>
      <c r="F1433" s="4" t="s">
        <v>151</v>
      </c>
      <c r="G1433" s="4" t="s">
        <v>643</v>
      </c>
      <c r="H1433" s="4" t="s">
        <v>3032</v>
      </c>
      <c r="I1433" s="2" t="str">
        <f t="shared" si="110"/>
        <v>Feb</v>
      </c>
      <c r="J1433" s="2">
        <f t="shared" si="111"/>
        <v>2</v>
      </c>
      <c r="K1433" s="2">
        <f t="shared" si="112"/>
        <v>2025</v>
      </c>
      <c r="L1433" s="2">
        <f t="shared" si="113"/>
        <v>1</v>
      </c>
      <c r="M1433" s="4">
        <v>0</v>
      </c>
      <c r="N1433" s="4" t="s">
        <v>3385</v>
      </c>
      <c r="O1433" s="4" t="s">
        <v>45</v>
      </c>
      <c r="P1433" s="5">
        <v>1294847</v>
      </c>
      <c r="Q1433" s="4"/>
      <c r="R1433" s="4"/>
      <c r="S1433" s="4" t="s">
        <v>5573</v>
      </c>
      <c r="T1433" s="4">
        <v>26.6</v>
      </c>
      <c r="U1433" s="4" t="s">
        <v>29</v>
      </c>
      <c r="V1433" s="4" t="s">
        <v>805</v>
      </c>
      <c r="W1433" s="67" t="str">
        <f t="shared" si="114"/>
        <v>-</v>
      </c>
    </row>
    <row r="1434" spans="1:23" x14ac:dyDescent="0.3">
      <c r="A1434" s="2" t="s">
        <v>3486</v>
      </c>
      <c r="B1434" s="2" t="s">
        <v>3487</v>
      </c>
      <c r="C1434" s="2">
        <v>9120827652</v>
      </c>
      <c r="D1434" s="2" t="s">
        <v>20</v>
      </c>
      <c r="E1434" s="2" t="s">
        <v>648</v>
      </c>
      <c r="F1434" s="2" t="s">
        <v>822</v>
      </c>
      <c r="G1434" s="2" t="s">
        <v>1609</v>
      </c>
      <c r="H1434" s="2" t="s">
        <v>3032</v>
      </c>
      <c r="I1434" s="2" t="str">
        <f t="shared" si="110"/>
        <v>Feb</v>
      </c>
      <c r="J1434" s="2">
        <f t="shared" si="111"/>
        <v>2</v>
      </c>
      <c r="K1434" s="2">
        <f t="shared" si="112"/>
        <v>2025</v>
      </c>
      <c r="L1434" s="2">
        <f t="shared" si="113"/>
        <v>1</v>
      </c>
      <c r="M1434" s="2">
        <v>1</v>
      </c>
      <c r="N1434" s="2" t="s">
        <v>3362</v>
      </c>
      <c r="O1434" s="2" t="s">
        <v>62</v>
      </c>
      <c r="P1434" s="3">
        <v>258476</v>
      </c>
      <c r="Q1434" s="2"/>
      <c r="R1434" s="2"/>
      <c r="S1434" s="2" t="s">
        <v>5573</v>
      </c>
      <c r="T1434" s="2">
        <v>22</v>
      </c>
      <c r="U1434" s="2" t="s">
        <v>63</v>
      </c>
      <c r="V1434" s="2" t="s">
        <v>260</v>
      </c>
      <c r="W1434" s="67" t="str">
        <f t="shared" si="114"/>
        <v>-</v>
      </c>
    </row>
    <row r="1435" spans="1:23" x14ac:dyDescent="0.3">
      <c r="A1435" s="4" t="s">
        <v>3488</v>
      </c>
      <c r="B1435" s="4" t="s">
        <v>3489</v>
      </c>
      <c r="C1435" s="4">
        <v>9781703236</v>
      </c>
      <c r="D1435" s="4" t="s">
        <v>59</v>
      </c>
      <c r="E1435" s="4" t="s">
        <v>67</v>
      </c>
      <c r="F1435" s="4" t="s">
        <v>68</v>
      </c>
      <c r="G1435" s="4" t="s">
        <v>643</v>
      </c>
      <c r="H1435" s="4" t="s">
        <v>3032</v>
      </c>
      <c r="I1435" s="2" t="str">
        <f t="shared" si="110"/>
        <v>Feb</v>
      </c>
      <c r="J1435" s="2">
        <f t="shared" si="111"/>
        <v>2</v>
      </c>
      <c r="K1435" s="2">
        <f t="shared" si="112"/>
        <v>2025</v>
      </c>
      <c r="L1435" s="2">
        <f t="shared" si="113"/>
        <v>1</v>
      </c>
      <c r="M1435" s="4">
        <v>7</v>
      </c>
      <c r="N1435" s="4" t="s">
        <v>3291</v>
      </c>
      <c r="O1435" s="4" t="s">
        <v>27</v>
      </c>
      <c r="P1435" s="5">
        <v>1132661</v>
      </c>
      <c r="Q1435" s="4"/>
      <c r="R1435" s="4"/>
      <c r="S1435" s="4" t="s">
        <v>5573</v>
      </c>
      <c r="T1435" s="4">
        <v>8.1999999999999993</v>
      </c>
      <c r="U1435" s="4" t="s">
        <v>29</v>
      </c>
      <c r="V1435" s="4" t="s">
        <v>163</v>
      </c>
      <c r="W1435" s="67" t="str">
        <f t="shared" si="114"/>
        <v>-</v>
      </c>
    </row>
    <row r="1436" spans="1:23" x14ac:dyDescent="0.3">
      <c r="A1436" s="2" t="s">
        <v>3490</v>
      </c>
      <c r="B1436" s="2" t="s">
        <v>3491</v>
      </c>
      <c r="C1436" s="2">
        <v>9378659207</v>
      </c>
      <c r="D1436" s="2" t="s">
        <v>121</v>
      </c>
      <c r="E1436" s="2" t="s">
        <v>109</v>
      </c>
      <c r="F1436" s="2" t="s">
        <v>217</v>
      </c>
      <c r="G1436" s="2" t="s">
        <v>616</v>
      </c>
      <c r="H1436" s="2" t="s">
        <v>3032</v>
      </c>
      <c r="I1436" s="2" t="str">
        <f t="shared" si="110"/>
        <v>Feb</v>
      </c>
      <c r="J1436" s="2">
        <f t="shared" si="111"/>
        <v>2</v>
      </c>
      <c r="K1436" s="2">
        <f t="shared" si="112"/>
        <v>2025</v>
      </c>
      <c r="L1436" s="2">
        <f t="shared" si="113"/>
        <v>1</v>
      </c>
      <c r="M1436" s="2">
        <v>0</v>
      </c>
      <c r="N1436" s="2" t="s">
        <v>3385</v>
      </c>
      <c r="O1436" s="2" t="s">
        <v>45</v>
      </c>
      <c r="P1436" s="3">
        <v>209185</v>
      </c>
      <c r="Q1436" s="2"/>
      <c r="R1436" s="2"/>
      <c r="S1436" s="2" t="s">
        <v>5573</v>
      </c>
      <c r="T1436" s="2">
        <v>11.2</v>
      </c>
      <c r="U1436" s="2" t="s">
        <v>29</v>
      </c>
      <c r="V1436" s="2" t="s">
        <v>805</v>
      </c>
      <c r="W1436" s="67" t="str">
        <f t="shared" si="114"/>
        <v>-</v>
      </c>
    </row>
    <row r="1437" spans="1:23" x14ac:dyDescent="0.3">
      <c r="A1437" s="6" t="s">
        <v>3492</v>
      </c>
      <c r="B1437" s="6" t="s">
        <v>3493</v>
      </c>
      <c r="C1437" s="6">
        <v>9101296353</v>
      </c>
      <c r="D1437" s="6" t="s">
        <v>20</v>
      </c>
      <c r="E1437" s="6" t="s">
        <v>641</v>
      </c>
      <c r="F1437" s="6" t="s">
        <v>727</v>
      </c>
      <c r="G1437" s="6" t="s">
        <v>23</v>
      </c>
      <c r="H1437" s="6" t="s">
        <v>3032</v>
      </c>
      <c r="I1437" s="2" t="str">
        <f t="shared" si="110"/>
        <v>Feb</v>
      </c>
      <c r="J1437" s="2">
        <f t="shared" si="111"/>
        <v>2</v>
      </c>
      <c r="K1437" s="2">
        <f t="shared" si="112"/>
        <v>2025</v>
      </c>
      <c r="L1437" s="2">
        <f t="shared" si="113"/>
        <v>1</v>
      </c>
      <c r="M1437" s="6">
        <v>10</v>
      </c>
      <c r="N1437" s="6" t="s">
        <v>3408</v>
      </c>
      <c r="O1437" s="6" t="s">
        <v>97</v>
      </c>
      <c r="P1437" s="7">
        <v>653838</v>
      </c>
      <c r="Q1437" s="7">
        <v>599390</v>
      </c>
      <c r="R1437" s="6" t="s">
        <v>3494</v>
      </c>
      <c r="S1437" s="6" t="s">
        <v>5573</v>
      </c>
      <c r="T1437" s="6">
        <v>34.9</v>
      </c>
      <c r="U1437" s="6" t="s">
        <v>63</v>
      </c>
      <c r="V1437" s="6" t="s">
        <v>341</v>
      </c>
      <c r="W1437" s="67" t="str">
        <f t="shared" si="114"/>
        <v>Customer</v>
      </c>
    </row>
    <row r="1438" spans="1:23" x14ac:dyDescent="0.3">
      <c r="A1438" s="2" t="s">
        <v>3495</v>
      </c>
      <c r="B1438" s="2" t="s">
        <v>3134</v>
      </c>
      <c r="C1438" s="2">
        <v>9285413575</v>
      </c>
      <c r="D1438" s="2" t="s">
        <v>20</v>
      </c>
      <c r="E1438" s="2" t="s">
        <v>641</v>
      </c>
      <c r="F1438" s="2" t="s">
        <v>717</v>
      </c>
      <c r="G1438" s="2" t="s">
        <v>60</v>
      </c>
      <c r="H1438" s="2" t="s">
        <v>3344</v>
      </c>
      <c r="I1438" s="2" t="str">
        <f t="shared" si="110"/>
        <v>Feb</v>
      </c>
      <c r="J1438" s="2">
        <f t="shared" si="111"/>
        <v>2</v>
      </c>
      <c r="K1438" s="2">
        <f t="shared" si="112"/>
        <v>2025</v>
      </c>
      <c r="L1438" s="2">
        <f t="shared" si="113"/>
        <v>1</v>
      </c>
      <c r="M1438" s="2">
        <v>3</v>
      </c>
      <c r="N1438" s="2" t="s">
        <v>3308</v>
      </c>
      <c r="O1438" s="2" t="s">
        <v>27</v>
      </c>
      <c r="P1438" s="3">
        <v>176309</v>
      </c>
      <c r="Q1438" s="2"/>
      <c r="R1438" s="2"/>
      <c r="S1438" s="2" t="s">
        <v>5573</v>
      </c>
      <c r="T1438" s="2">
        <v>15.7</v>
      </c>
      <c r="U1438" s="2" t="s">
        <v>29</v>
      </c>
      <c r="V1438" s="2" t="s">
        <v>163</v>
      </c>
      <c r="W1438" s="67" t="str">
        <f t="shared" si="114"/>
        <v>-</v>
      </c>
    </row>
    <row r="1439" spans="1:23" x14ac:dyDescent="0.3">
      <c r="A1439" s="4" t="s">
        <v>3496</v>
      </c>
      <c r="B1439" s="4" t="s">
        <v>3497</v>
      </c>
      <c r="C1439" s="4">
        <v>9283914316</v>
      </c>
      <c r="D1439" s="4" t="s">
        <v>59</v>
      </c>
      <c r="E1439" s="4" t="s">
        <v>641</v>
      </c>
      <c r="F1439" s="4" t="s">
        <v>717</v>
      </c>
      <c r="G1439" s="4" t="s">
        <v>87</v>
      </c>
      <c r="H1439" s="4" t="s">
        <v>3344</v>
      </c>
      <c r="I1439" s="2" t="str">
        <f t="shared" si="110"/>
        <v>Feb</v>
      </c>
      <c r="J1439" s="2">
        <f t="shared" si="111"/>
        <v>2</v>
      </c>
      <c r="K1439" s="2">
        <f t="shared" si="112"/>
        <v>2025</v>
      </c>
      <c r="L1439" s="2">
        <f t="shared" si="113"/>
        <v>1</v>
      </c>
      <c r="M1439" s="4">
        <v>2</v>
      </c>
      <c r="N1439" s="4" t="s">
        <v>3290</v>
      </c>
      <c r="O1439" s="4" t="s">
        <v>45</v>
      </c>
      <c r="P1439" s="5">
        <v>293679</v>
      </c>
      <c r="Q1439" s="4"/>
      <c r="R1439" s="4"/>
      <c r="S1439" s="4" t="s">
        <v>5573</v>
      </c>
      <c r="T1439" s="4">
        <v>22.8</v>
      </c>
      <c r="U1439" s="4" t="s">
        <v>29</v>
      </c>
      <c r="V1439" s="4" t="s">
        <v>206</v>
      </c>
      <c r="W1439" s="67" t="str">
        <f t="shared" si="114"/>
        <v>-</v>
      </c>
    </row>
    <row r="1440" spans="1:23" x14ac:dyDescent="0.3">
      <c r="A1440" s="8" t="s">
        <v>3498</v>
      </c>
      <c r="B1440" s="8" t="s">
        <v>3499</v>
      </c>
      <c r="C1440" s="8">
        <v>9914608646</v>
      </c>
      <c r="D1440" s="8" t="s">
        <v>59</v>
      </c>
      <c r="E1440" s="8" t="s">
        <v>73</v>
      </c>
      <c r="F1440" s="8" t="s">
        <v>126</v>
      </c>
      <c r="G1440" s="8" t="s">
        <v>1599</v>
      </c>
      <c r="H1440" s="8" t="s">
        <v>3344</v>
      </c>
      <c r="I1440" s="2" t="str">
        <f t="shared" si="110"/>
        <v>Feb</v>
      </c>
      <c r="J1440" s="2">
        <f t="shared" si="111"/>
        <v>2</v>
      </c>
      <c r="K1440" s="2">
        <f t="shared" si="112"/>
        <v>2025</v>
      </c>
      <c r="L1440" s="2">
        <f t="shared" si="113"/>
        <v>1</v>
      </c>
      <c r="M1440" s="8">
        <v>5</v>
      </c>
      <c r="N1440" s="8" t="s">
        <v>3290</v>
      </c>
      <c r="O1440" s="8" t="s">
        <v>62</v>
      </c>
      <c r="P1440" s="9">
        <v>974986</v>
      </c>
      <c r="Q1440" s="8"/>
      <c r="R1440" s="8"/>
      <c r="S1440" s="8" t="s">
        <v>5573</v>
      </c>
      <c r="T1440" s="8">
        <v>24</v>
      </c>
      <c r="U1440" s="8" t="s">
        <v>47</v>
      </c>
      <c r="V1440" s="8" t="s">
        <v>77</v>
      </c>
      <c r="W1440" s="67" t="str">
        <f t="shared" si="114"/>
        <v>-</v>
      </c>
    </row>
    <row r="1441" spans="1:23" x14ac:dyDescent="0.3">
      <c r="A1441" s="6" t="s">
        <v>3500</v>
      </c>
      <c r="B1441" s="6" t="s">
        <v>1598</v>
      </c>
      <c r="C1441" s="6">
        <v>9124145585</v>
      </c>
      <c r="D1441" s="6" t="s">
        <v>51</v>
      </c>
      <c r="E1441" s="6" t="s">
        <v>1632</v>
      </c>
      <c r="F1441" s="6" t="s">
        <v>1659</v>
      </c>
      <c r="G1441" s="6" t="s">
        <v>52</v>
      </c>
      <c r="H1441" s="6" t="s">
        <v>3344</v>
      </c>
      <c r="I1441" s="2" t="str">
        <f t="shared" si="110"/>
        <v>Feb</v>
      </c>
      <c r="J1441" s="2">
        <f t="shared" si="111"/>
        <v>2</v>
      </c>
      <c r="K1441" s="2">
        <f t="shared" si="112"/>
        <v>2025</v>
      </c>
      <c r="L1441" s="2">
        <f t="shared" si="113"/>
        <v>1</v>
      </c>
      <c r="M1441" s="6">
        <v>1</v>
      </c>
      <c r="N1441" s="6" t="s">
        <v>3429</v>
      </c>
      <c r="O1441" s="6" t="s">
        <v>97</v>
      </c>
      <c r="P1441" s="7">
        <v>195017</v>
      </c>
      <c r="Q1441" s="7">
        <v>174644</v>
      </c>
      <c r="R1441" s="6" t="s">
        <v>3450</v>
      </c>
      <c r="S1441" s="6" t="s">
        <v>5573</v>
      </c>
      <c r="T1441" s="6"/>
      <c r="U1441" s="6" t="s">
        <v>63</v>
      </c>
      <c r="V1441" s="6" t="s">
        <v>243</v>
      </c>
      <c r="W1441" s="67" t="str">
        <f t="shared" si="114"/>
        <v>Customer</v>
      </c>
    </row>
    <row r="1442" spans="1:23" x14ac:dyDescent="0.3">
      <c r="A1442" s="6" t="s">
        <v>3501</v>
      </c>
      <c r="B1442" s="6" t="s">
        <v>3502</v>
      </c>
      <c r="C1442" s="6">
        <v>9949592974</v>
      </c>
      <c r="D1442" s="6" t="s">
        <v>20</v>
      </c>
      <c r="E1442" s="6" t="s">
        <v>41</v>
      </c>
      <c r="F1442" s="6" t="s">
        <v>86</v>
      </c>
      <c r="G1442" s="6" t="s">
        <v>87</v>
      </c>
      <c r="H1442" s="6" t="s">
        <v>3338</v>
      </c>
      <c r="I1442" s="2" t="str">
        <f t="shared" si="110"/>
        <v>Feb</v>
      </c>
      <c r="J1442" s="2">
        <f t="shared" si="111"/>
        <v>2</v>
      </c>
      <c r="K1442" s="2">
        <f t="shared" si="112"/>
        <v>2025</v>
      </c>
      <c r="L1442" s="2">
        <f t="shared" si="113"/>
        <v>1</v>
      </c>
      <c r="M1442" s="6">
        <v>12</v>
      </c>
      <c r="N1442" s="6" t="s">
        <v>3477</v>
      </c>
      <c r="O1442" s="6" t="s">
        <v>97</v>
      </c>
      <c r="P1442" s="7">
        <v>122102</v>
      </c>
      <c r="Q1442" s="7">
        <v>122678</v>
      </c>
      <c r="R1442" s="6" t="s">
        <v>3291</v>
      </c>
      <c r="S1442" s="6" t="s">
        <v>5573</v>
      </c>
      <c r="T1442" s="6">
        <v>30.4</v>
      </c>
      <c r="U1442" s="6" t="s">
        <v>47</v>
      </c>
      <c r="V1442" s="6" t="s">
        <v>113</v>
      </c>
      <c r="W1442" s="67" t="str">
        <f t="shared" si="114"/>
        <v>Customer</v>
      </c>
    </row>
    <row r="1443" spans="1:23" x14ac:dyDescent="0.3">
      <c r="A1443" s="4" t="s">
        <v>3503</v>
      </c>
      <c r="B1443" s="4" t="s">
        <v>3504</v>
      </c>
      <c r="C1443" s="4">
        <v>9506266415</v>
      </c>
      <c r="D1443" s="4" t="s">
        <v>20</v>
      </c>
      <c r="E1443" s="4" t="s">
        <v>73</v>
      </c>
      <c r="F1443" s="4" t="s">
        <v>126</v>
      </c>
      <c r="G1443" s="4" t="s">
        <v>23</v>
      </c>
      <c r="H1443" s="4" t="s">
        <v>3338</v>
      </c>
      <c r="I1443" s="2" t="str">
        <f t="shared" si="110"/>
        <v>Feb</v>
      </c>
      <c r="J1443" s="2">
        <f t="shared" si="111"/>
        <v>2</v>
      </c>
      <c r="K1443" s="2">
        <f t="shared" si="112"/>
        <v>2025</v>
      </c>
      <c r="L1443" s="2">
        <f t="shared" si="113"/>
        <v>1</v>
      </c>
      <c r="M1443" s="4">
        <v>12</v>
      </c>
      <c r="N1443" s="4" t="s">
        <v>3505</v>
      </c>
      <c r="O1443" s="4" t="s">
        <v>27</v>
      </c>
      <c r="P1443" s="5">
        <v>529722</v>
      </c>
      <c r="Q1443" s="4"/>
      <c r="R1443" s="4"/>
      <c r="S1443" s="4" t="s">
        <v>5573</v>
      </c>
      <c r="T1443" s="4">
        <v>30</v>
      </c>
      <c r="U1443" s="4" t="s">
        <v>29</v>
      </c>
      <c r="V1443" s="4" t="s">
        <v>30</v>
      </c>
      <c r="W1443" s="67" t="str">
        <f t="shared" si="114"/>
        <v>-</v>
      </c>
    </row>
    <row r="1444" spans="1:23" x14ac:dyDescent="0.3">
      <c r="A1444" s="8" t="s">
        <v>3506</v>
      </c>
      <c r="B1444" s="8" t="s">
        <v>3507</v>
      </c>
      <c r="C1444" s="8">
        <v>9463999747</v>
      </c>
      <c r="D1444" s="8" t="s">
        <v>108</v>
      </c>
      <c r="E1444" s="8" t="s">
        <v>33</v>
      </c>
      <c r="F1444" s="8" t="s">
        <v>34</v>
      </c>
      <c r="G1444" s="8" t="s">
        <v>643</v>
      </c>
      <c r="H1444" s="8" t="s">
        <v>3313</v>
      </c>
      <c r="I1444" s="2" t="str">
        <f t="shared" si="110"/>
        <v>Feb</v>
      </c>
      <c r="J1444" s="2">
        <f t="shared" si="111"/>
        <v>2</v>
      </c>
      <c r="K1444" s="2">
        <f t="shared" si="112"/>
        <v>2025</v>
      </c>
      <c r="L1444" s="2">
        <f t="shared" si="113"/>
        <v>1</v>
      </c>
      <c r="M1444" s="8">
        <v>1</v>
      </c>
      <c r="N1444" s="8" t="s">
        <v>3213</v>
      </c>
      <c r="O1444" s="8" t="s">
        <v>27</v>
      </c>
      <c r="P1444" s="9">
        <v>1262163</v>
      </c>
      <c r="Q1444" s="8"/>
      <c r="R1444" s="8"/>
      <c r="S1444" s="8" t="s">
        <v>5573</v>
      </c>
      <c r="T1444" s="8">
        <v>16.899999999999999</v>
      </c>
      <c r="U1444" s="8" t="s">
        <v>29</v>
      </c>
      <c r="V1444" s="8" t="s">
        <v>38</v>
      </c>
      <c r="W1444" s="67" t="str">
        <f t="shared" si="114"/>
        <v>-</v>
      </c>
    </row>
    <row r="1445" spans="1:23" x14ac:dyDescent="0.3">
      <c r="A1445" s="4" t="s">
        <v>3508</v>
      </c>
      <c r="B1445" s="4" t="s">
        <v>3509</v>
      </c>
      <c r="C1445" s="4">
        <v>9540943574</v>
      </c>
      <c r="D1445" s="4" t="s">
        <v>121</v>
      </c>
      <c r="E1445" s="4" t="s">
        <v>1632</v>
      </c>
      <c r="F1445" s="4" t="s">
        <v>1659</v>
      </c>
      <c r="G1445" s="4" t="s">
        <v>87</v>
      </c>
      <c r="H1445" s="4" t="s">
        <v>3385</v>
      </c>
      <c r="I1445" s="2" t="str">
        <f t="shared" si="110"/>
        <v>Feb</v>
      </c>
      <c r="J1445" s="2">
        <f t="shared" si="111"/>
        <v>2</v>
      </c>
      <c r="K1445" s="2">
        <f t="shared" si="112"/>
        <v>2025</v>
      </c>
      <c r="L1445" s="2">
        <f t="shared" si="113"/>
        <v>1</v>
      </c>
      <c r="M1445" s="4">
        <v>12</v>
      </c>
      <c r="N1445" s="4" t="s">
        <v>3482</v>
      </c>
      <c r="O1445" s="4" t="s">
        <v>55</v>
      </c>
      <c r="P1445" s="5">
        <v>127966</v>
      </c>
      <c r="Q1445" s="4"/>
      <c r="R1445" s="4"/>
      <c r="S1445" s="4" t="s">
        <v>5573</v>
      </c>
      <c r="T1445" s="4">
        <v>5.4</v>
      </c>
      <c r="U1445" s="4" t="s">
        <v>47</v>
      </c>
      <c r="V1445" s="4" t="s">
        <v>137</v>
      </c>
      <c r="W1445" s="67" t="str">
        <f t="shared" si="114"/>
        <v>-</v>
      </c>
    </row>
    <row r="1446" spans="1:23" x14ac:dyDescent="0.3">
      <c r="A1446" s="2" t="s">
        <v>3510</v>
      </c>
      <c r="B1446" s="2" t="s">
        <v>3511</v>
      </c>
      <c r="C1446" s="2"/>
      <c r="D1446" s="2" t="s">
        <v>20</v>
      </c>
      <c r="E1446" s="2" t="s">
        <v>648</v>
      </c>
      <c r="F1446" s="2" t="s">
        <v>656</v>
      </c>
      <c r="G1446" s="2" t="s">
        <v>23</v>
      </c>
      <c r="H1446" s="2" t="s">
        <v>3385</v>
      </c>
      <c r="I1446" s="2" t="str">
        <f t="shared" si="110"/>
        <v>Feb</v>
      </c>
      <c r="J1446" s="2">
        <f t="shared" si="111"/>
        <v>2</v>
      </c>
      <c r="K1446" s="2">
        <f t="shared" si="112"/>
        <v>2025</v>
      </c>
      <c r="L1446" s="2">
        <f t="shared" si="113"/>
        <v>1</v>
      </c>
      <c r="M1446" s="2">
        <v>12</v>
      </c>
      <c r="N1446" s="2" t="s">
        <v>3512</v>
      </c>
      <c r="O1446" s="2" t="s">
        <v>27</v>
      </c>
      <c r="P1446" s="3">
        <v>896227</v>
      </c>
      <c r="Q1446" s="2"/>
      <c r="R1446" s="2"/>
      <c r="S1446" s="2" t="s">
        <v>5573</v>
      </c>
      <c r="T1446" s="2">
        <v>11.5</v>
      </c>
      <c r="U1446" s="2" t="s">
        <v>29</v>
      </c>
      <c r="V1446" s="2" t="s">
        <v>3513</v>
      </c>
      <c r="W1446" s="67" t="str">
        <f t="shared" si="114"/>
        <v>-</v>
      </c>
    </row>
    <row r="1447" spans="1:23" x14ac:dyDescent="0.3">
      <c r="A1447" s="6" t="s">
        <v>3514</v>
      </c>
      <c r="B1447" s="6" t="s">
        <v>3515</v>
      </c>
      <c r="C1447" s="6">
        <v>9111379275</v>
      </c>
      <c r="D1447" s="6" t="s">
        <v>20</v>
      </c>
      <c r="E1447" s="6" t="s">
        <v>648</v>
      </c>
      <c r="F1447" s="6" t="s">
        <v>822</v>
      </c>
      <c r="G1447" s="6" t="s">
        <v>52</v>
      </c>
      <c r="H1447" s="6" t="s">
        <v>3146</v>
      </c>
      <c r="I1447" s="2" t="str">
        <f t="shared" si="110"/>
        <v>Feb</v>
      </c>
      <c r="J1447" s="2">
        <f t="shared" si="111"/>
        <v>2</v>
      </c>
      <c r="K1447" s="2">
        <f t="shared" si="112"/>
        <v>2025</v>
      </c>
      <c r="L1447" s="2">
        <f t="shared" si="113"/>
        <v>1</v>
      </c>
      <c r="M1447" s="6">
        <v>11</v>
      </c>
      <c r="N1447" s="6" t="s">
        <v>3291</v>
      </c>
      <c r="O1447" s="6" t="s">
        <v>97</v>
      </c>
      <c r="P1447" s="7">
        <v>221547</v>
      </c>
      <c r="Q1447" s="7">
        <v>202440</v>
      </c>
      <c r="R1447" s="6" t="s">
        <v>3516</v>
      </c>
      <c r="S1447" s="6" t="s">
        <v>5573</v>
      </c>
      <c r="T1447" s="6">
        <v>27.8</v>
      </c>
      <c r="U1447" s="6" t="s">
        <v>63</v>
      </c>
      <c r="V1447" s="6" t="s">
        <v>99</v>
      </c>
      <c r="W1447" s="67" t="str">
        <f t="shared" si="114"/>
        <v>Customer</v>
      </c>
    </row>
    <row r="1448" spans="1:23" x14ac:dyDescent="0.3">
      <c r="A1448" s="2" t="s">
        <v>3517</v>
      </c>
      <c r="B1448" s="2" t="s">
        <v>2662</v>
      </c>
      <c r="C1448" s="2">
        <v>9619033172</v>
      </c>
      <c r="D1448" s="2" t="s">
        <v>59</v>
      </c>
      <c r="E1448" s="2" t="s">
        <v>67</v>
      </c>
      <c r="F1448" s="2" t="s">
        <v>68</v>
      </c>
      <c r="G1448" s="2" t="s">
        <v>69</v>
      </c>
      <c r="H1448" s="2" t="s">
        <v>3146</v>
      </c>
      <c r="I1448" s="2" t="str">
        <f t="shared" si="110"/>
        <v>Feb</v>
      </c>
      <c r="J1448" s="2">
        <f t="shared" si="111"/>
        <v>2</v>
      </c>
      <c r="K1448" s="2">
        <f t="shared" si="112"/>
        <v>2025</v>
      </c>
      <c r="L1448" s="2">
        <f t="shared" si="113"/>
        <v>1</v>
      </c>
      <c r="M1448" s="2">
        <v>9</v>
      </c>
      <c r="N1448" s="2" t="s">
        <v>3420</v>
      </c>
      <c r="O1448" s="2" t="s">
        <v>27</v>
      </c>
      <c r="P1448" s="3">
        <v>395997</v>
      </c>
      <c r="Q1448" s="2"/>
      <c r="R1448" s="2"/>
      <c r="S1448" s="2" t="s">
        <v>5573</v>
      </c>
      <c r="T1448" s="2">
        <v>13.5</v>
      </c>
      <c r="U1448" s="2" t="s">
        <v>47</v>
      </c>
      <c r="V1448" s="2" t="s">
        <v>157</v>
      </c>
      <c r="W1448" s="67" t="str">
        <f t="shared" si="114"/>
        <v>-</v>
      </c>
    </row>
    <row r="1449" spans="1:23" x14ac:dyDescent="0.3">
      <c r="A1449" s="4" t="s">
        <v>3518</v>
      </c>
      <c r="B1449" s="4" t="s">
        <v>3519</v>
      </c>
      <c r="C1449" s="4">
        <v>9432705736</v>
      </c>
      <c r="D1449" s="4" t="s">
        <v>20</v>
      </c>
      <c r="E1449" s="4" t="s">
        <v>1632</v>
      </c>
      <c r="F1449" s="4" t="s">
        <v>1717</v>
      </c>
      <c r="G1449" s="4" t="s">
        <v>1677</v>
      </c>
      <c r="H1449" s="4" t="s">
        <v>3146</v>
      </c>
      <c r="I1449" s="2" t="str">
        <f t="shared" si="110"/>
        <v>Feb</v>
      </c>
      <c r="J1449" s="2">
        <f t="shared" si="111"/>
        <v>2</v>
      </c>
      <c r="K1449" s="2">
        <f t="shared" si="112"/>
        <v>2025</v>
      </c>
      <c r="L1449" s="2">
        <f t="shared" si="113"/>
        <v>1</v>
      </c>
      <c r="M1449" s="4">
        <v>3</v>
      </c>
      <c r="N1449" s="4" t="s">
        <v>3419</v>
      </c>
      <c r="O1449" s="4" t="s">
        <v>45</v>
      </c>
      <c r="P1449" s="5">
        <v>1215395</v>
      </c>
      <c r="Q1449" s="4"/>
      <c r="R1449" s="4"/>
      <c r="S1449" s="4" t="s">
        <v>5573</v>
      </c>
      <c r="T1449" s="4">
        <v>18.100000000000001</v>
      </c>
      <c r="U1449" s="4" t="s">
        <v>47</v>
      </c>
      <c r="V1449" s="4" t="s">
        <v>137</v>
      </c>
      <c r="W1449" s="67" t="str">
        <f t="shared" si="114"/>
        <v>-</v>
      </c>
    </row>
    <row r="1450" spans="1:23" x14ac:dyDescent="0.3">
      <c r="A1450" s="2" t="s">
        <v>3520</v>
      </c>
      <c r="B1450" s="2" t="s">
        <v>3497</v>
      </c>
      <c r="C1450" s="2">
        <v>9279206920</v>
      </c>
      <c r="D1450" s="2" t="s">
        <v>51</v>
      </c>
      <c r="E1450" s="2" t="s">
        <v>33</v>
      </c>
      <c r="F1450" s="2" t="s">
        <v>102</v>
      </c>
      <c r="G1450" s="2" t="s">
        <v>35</v>
      </c>
      <c r="H1450" s="2" t="s">
        <v>3146</v>
      </c>
      <c r="I1450" s="2" t="str">
        <f t="shared" si="110"/>
        <v>Feb</v>
      </c>
      <c r="J1450" s="2">
        <f t="shared" si="111"/>
        <v>2</v>
      </c>
      <c r="K1450" s="2">
        <f t="shared" si="112"/>
        <v>2025</v>
      </c>
      <c r="L1450" s="2">
        <f t="shared" si="113"/>
        <v>1</v>
      </c>
      <c r="M1450" s="2">
        <v>12</v>
      </c>
      <c r="N1450" s="2" t="s">
        <v>3521</v>
      </c>
      <c r="O1450" s="2" t="s">
        <v>27</v>
      </c>
      <c r="P1450" s="3">
        <v>104827</v>
      </c>
      <c r="Q1450" s="2"/>
      <c r="R1450" s="2"/>
      <c r="S1450" s="2" t="s">
        <v>5573</v>
      </c>
      <c r="T1450" s="2">
        <v>24.5</v>
      </c>
      <c r="U1450" s="2" t="s">
        <v>29</v>
      </c>
      <c r="V1450" s="2" t="s">
        <v>202</v>
      </c>
      <c r="W1450" s="67" t="str">
        <f t="shared" si="114"/>
        <v>-</v>
      </c>
    </row>
    <row r="1451" spans="1:23" x14ac:dyDescent="0.3">
      <c r="A1451" s="4" t="s">
        <v>3522</v>
      </c>
      <c r="B1451" s="4" t="s">
        <v>426</v>
      </c>
      <c r="C1451" s="4">
        <v>9119050984</v>
      </c>
      <c r="D1451" s="4" t="s">
        <v>51</v>
      </c>
      <c r="E1451" s="4" t="s">
        <v>109</v>
      </c>
      <c r="F1451" s="4" t="s">
        <v>331</v>
      </c>
      <c r="G1451" s="4" t="s">
        <v>23</v>
      </c>
      <c r="H1451" s="4" t="s">
        <v>3146</v>
      </c>
      <c r="I1451" s="2" t="str">
        <f t="shared" si="110"/>
        <v>Feb</v>
      </c>
      <c r="J1451" s="2">
        <f t="shared" si="111"/>
        <v>2</v>
      </c>
      <c r="K1451" s="2">
        <f t="shared" si="112"/>
        <v>2025</v>
      </c>
      <c r="L1451" s="2">
        <f t="shared" si="113"/>
        <v>1</v>
      </c>
      <c r="M1451" s="4">
        <v>7</v>
      </c>
      <c r="N1451" s="4" t="s">
        <v>3257</v>
      </c>
      <c r="O1451" s="4" t="s">
        <v>45</v>
      </c>
      <c r="P1451" s="5">
        <v>395629</v>
      </c>
      <c r="Q1451" s="4"/>
      <c r="R1451" s="4"/>
      <c r="S1451" s="4" t="s">
        <v>5573</v>
      </c>
      <c r="T1451" s="4">
        <v>16.399999999999999</v>
      </c>
      <c r="U1451" s="4" t="s">
        <v>29</v>
      </c>
      <c r="V1451" s="4" t="s">
        <v>187</v>
      </c>
      <c r="W1451" s="67" t="str">
        <f t="shared" si="114"/>
        <v>-</v>
      </c>
    </row>
    <row r="1452" spans="1:23" x14ac:dyDescent="0.3">
      <c r="A1452" s="6" t="s">
        <v>3523</v>
      </c>
      <c r="B1452" s="6" t="s">
        <v>270</v>
      </c>
      <c r="C1452" s="6">
        <v>9948856783</v>
      </c>
      <c r="D1452" s="6" t="s">
        <v>108</v>
      </c>
      <c r="E1452" s="6" t="s">
        <v>41</v>
      </c>
      <c r="F1452" s="6" t="s">
        <v>92</v>
      </c>
      <c r="G1452" s="6" t="s">
        <v>23</v>
      </c>
      <c r="H1452" s="6" t="s">
        <v>3146</v>
      </c>
      <c r="I1452" s="2" t="str">
        <f t="shared" si="110"/>
        <v>Feb</v>
      </c>
      <c r="J1452" s="2">
        <f t="shared" si="111"/>
        <v>2</v>
      </c>
      <c r="K1452" s="2">
        <f t="shared" si="112"/>
        <v>2025</v>
      </c>
      <c r="L1452" s="2">
        <f t="shared" si="113"/>
        <v>1</v>
      </c>
      <c r="M1452" s="6">
        <v>7</v>
      </c>
      <c r="N1452" s="6" t="s">
        <v>3245</v>
      </c>
      <c r="O1452" s="6" t="s">
        <v>97</v>
      </c>
      <c r="P1452" s="7">
        <v>687899</v>
      </c>
      <c r="Q1452" s="7">
        <v>643087</v>
      </c>
      <c r="R1452" s="6" t="s">
        <v>3229</v>
      </c>
      <c r="S1452" s="6" t="s">
        <v>5573</v>
      </c>
      <c r="T1452" s="6">
        <v>14.3</v>
      </c>
      <c r="U1452" s="6" t="s">
        <v>63</v>
      </c>
      <c r="V1452" s="6" t="s">
        <v>286</v>
      </c>
      <c r="W1452" s="67" t="str">
        <f t="shared" si="114"/>
        <v>Customer</v>
      </c>
    </row>
    <row r="1453" spans="1:23" x14ac:dyDescent="0.3">
      <c r="A1453" s="4" t="s">
        <v>3524</v>
      </c>
      <c r="B1453" s="4" t="s">
        <v>1701</v>
      </c>
      <c r="C1453" s="4">
        <v>9752367808</v>
      </c>
      <c r="D1453" s="4" t="s">
        <v>108</v>
      </c>
      <c r="E1453" s="4" t="s">
        <v>41</v>
      </c>
      <c r="F1453" s="4" t="s">
        <v>42</v>
      </c>
      <c r="G1453" s="4" t="s">
        <v>23</v>
      </c>
      <c r="H1453" s="4" t="s">
        <v>3250</v>
      </c>
      <c r="I1453" s="2" t="str">
        <f t="shared" si="110"/>
        <v>Feb</v>
      </c>
      <c r="J1453" s="2">
        <f t="shared" si="111"/>
        <v>2</v>
      </c>
      <c r="K1453" s="2">
        <f t="shared" si="112"/>
        <v>2025</v>
      </c>
      <c r="L1453" s="2">
        <f t="shared" si="113"/>
        <v>1</v>
      </c>
      <c r="M1453" s="4">
        <v>10</v>
      </c>
      <c r="N1453" s="4" t="s">
        <v>3258</v>
      </c>
      <c r="O1453" s="4" t="s">
        <v>45</v>
      </c>
      <c r="P1453" s="5">
        <v>857522</v>
      </c>
      <c r="Q1453" s="4"/>
      <c r="R1453" s="4"/>
      <c r="S1453" s="4" t="s">
        <v>5573</v>
      </c>
      <c r="T1453" s="4">
        <v>20.7</v>
      </c>
      <c r="U1453" s="4" t="s">
        <v>47</v>
      </c>
      <c r="V1453" s="4" t="s">
        <v>212</v>
      </c>
      <c r="W1453" s="67" t="str">
        <f t="shared" si="114"/>
        <v>-</v>
      </c>
    </row>
    <row r="1454" spans="1:23" x14ac:dyDescent="0.3">
      <c r="A1454" s="2" t="s">
        <v>3525</v>
      </c>
      <c r="B1454" s="2" t="s">
        <v>3526</v>
      </c>
      <c r="C1454" s="2">
        <v>9703832627</v>
      </c>
      <c r="D1454" s="2" t="s">
        <v>121</v>
      </c>
      <c r="E1454" s="2" t="s">
        <v>648</v>
      </c>
      <c r="F1454" s="2" t="s">
        <v>649</v>
      </c>
      <c r="G1454" s="2" t="s">
        <v>1623</v>
      </c>
      <c r="H1454" s="2" t="s">
        <v>3250</v>
      </c>
      <c r="I1454" s="2" t="str">
        <f t="shared" si="110"/>
        <v>Feb</v>
      </c>
      <c r="J1454" s="2">
        <f t="shared" si="111"/>
        <v>2</v>
      </c>
      <c r="K1454" s="2">
        <f t="shared" si="112"/>
        <v>2025</v>
      </c>
      <c r="L1454" s="2">
        <f t="shared" si="113"/>
        <v>1</v>
      </c>
      <c r="M1454" s="2"/>
      <c r="N1454" s="2" t="s">
        <v>3388</v>
      </c>
      <c r="O1454" s="2" t="s">
        <v>27</v>
      </c>
      <c r="P1454" s="3">
        <v>338409</v>
      </c>
      <c r="Q1454" s="2"/>
      <c r="R1454" s="2"/>
      <c r="S1454" s="2" t="s">
        <v>5573</v>
      </c>
      <c r="T1454" s="2">
        <v>7.5</v>
      </c>
      <c r="U1454" s="2" t="s">
        <v>29</v>
      </c>
      <c r="V1454" s="2" t="s">
        <v>38</v>
      </c>
      <c r="W1454" s="67" t="str">
        <f t="shared" si="114"/>
        <v>-</v>
      </c>
    </row>
    <row r="1455" spans="1:23" x14ac:dyDescent="0.3">
      <c r="A1455" s="4" t="s">
        <v>3527</v>
      </c>
      <c r="B1455" s="4" t="s">
        <v>3528</v>
      </c>
      <c r="C1455" s="4">
        <v>9359229220</v>
      </c>
      <c r="D1455" s="4" t="s">
        <v>121</v>
      </c>
      <c r="E1455" s="4" t="s">
        <v>21</v>
      </c>
      <c r="F1455" s="4" t="s">
        <v>160</v>
      </c>
      <c r="G1455" s="4" t="s">
        <v>1599</v>
      </c>
      <c r="H1455" s="4" t="s">
        <v>3250</v>
      </c>
      <c r="I1455" s="2" t="str">
        <f t="shared" si="110"/>
        <v>Feb</v>
      </c>
      <c r="J1455" s="2">
        <f t="shared" si="111"/>
        <v>2</v>
      </c>
      <c r="K1455" s="2">
        <f t="shared" si="112"/>
        <v>2025</v>
      </c>
      <c r="L1455" s="2">
        <f t="shared" si="113"/>
        <v>1</v>
      </c>
      <c r="M1455" s="4">
        <v>7</v>
      </c>
      <c r="N1455" s="4" t="s">
        <v>3245</v>
      </c>
      <c r="O1455" s="4" t="s">
        <v>62</v>
      </c>
      <c r="P1455" s="5">
        <v>631961</v>
      </c>
      <c r="Q1455" s="4"/>
      <c r="R1455" s="4"/>
      <c r="S1455" s="4" t="s">
        <v>5573</v>
      </c>
      <c r="T1455" s="4">
        <v>29.3</v>
      </c>
      <c r="U1455" s="4" t="s">
        <v>47</v>
      </c>
      <c r="V1455" s="4" t="s">
        <v>381</v>
      </c>
      <c r="W1455" s="67" t="str">
        <f t="shared" si="114"/>
        <v>-</v>
      </c>
    </row>
    <row r="1456" spans="1:23" x14ac:dyDescent="0.3">
      <c r="A1456" s="6" t="s">
        <v>3529</v>
      </c>
      <c r="B1456" s="6" t="s">
        <v>916</v>
      </c>
      <c r="C1456" s="6">
        <v>9124221107</v>
      </c>
      <c r="D1456" s="6" t="s">
        <v>59</v>
      </c>
      <c r="E1456" s="6" t="s">
        <v>1632</v>
      </c>
      <c r="F1456" s="6" t="s">
        <v>1849</v>
      </c>
      <c r="G1456" s="6" t="s">
        <v>60</v>
      </c>
      <c r="H1456" s="6" t="s">
        <v>3250</v>
      </c>
      <c r="I1456" s="2" t="str">
        <f t="shared" si="110"/>
        <v>Feb</v>
      </c>
      <c r="J1456" s="2">
        <f t="shared" si="111"/>
        <v>2</v>
      </c>
      <c r="K1456" s="2">
        <f t="shared" si="112"/>
        <v>2025</v>
      </c>
      <c r="L1456" s="2">
        <f t="shared" si="113"/>
        <v>1</v>
      </c>
      <c r="M1456" s="6">
        <v>3</v>
      </c>
      <c r="N1456" s="6" t="s">
        <v>3257</v>
      </c>
      <c r="O1456" s="6" t="s">
        <v>97</v>
      </c>
      <c r="P1456" s="7">
        <v>140869</v>
      </c>
      <c r="Q1456" s="7">
        <v>124059</v>
      </c>
      <c r="R1456" s="6" t="s">
        <v>3530</v>
      </c>
      <c r="S1456" s="6" t="s">
        <v>5573</v>
      </c>
      <c r="T1456" s="6">
        <v>2.2999999999999998</v>
      </c>
      <c r="U1456" s="6" t="s">
        <v>63</v>
      </c>
      <c r="V1456" s="6" t="s">
        <v>483</v>
      </c>
      <c r="W1456" s="67" t="str">
        <f t="shared" si="114"/>
        <v>Customer</v>
      </c>
    </row>
    <row r="1457" spans="1:23" x14ac:dyDescent="0.3">
      <c r="A1457" s="6" t="s">
        <v>3531</v>
      </c>
      <c r="B1457" s="6" t="s">
        <v>1643</v>
      </c>
      <c r="C1457" s="6">
        <v>9483959761</v>
      </c>
      <c r="D1457" s="6" t="s">
        <v>20</v>
      </c>
      <c r="E1457" s="6" t="s">
        <v>641</v>
      </c>
      <c r="F1457" s="6" t="s">
        <v>727</v>
      </c>
      <c r="G1457" s="6" t="s">
        <v>52</v>
      </c>
      <c r="H1457" s="6" t="s">
        <v>3271</v>
      </c>
      <c r="I1457" s="2" t="str">
        <f t="shared" si="110"/>
        <v>Feb</v>
      </c>
      <c r="J1457" s="2">
        <f t="shared" si="111"/>
        <v>2</v>
      </c>
      <c r="K1457" s="2">
        <f t="shared" si="112"/>
        <v>2025</v>
      </c>
      <c r="L1457" s="2">
        <f t="shared" si="113"/>
        <v>1</v>
      </c>
      <c r="M1457" s="6">
        <v>1</v>
      </c>
      <c r="N1457" s="6" t="s">
        <v>3532</v>
      </c>
      <c r="O1457" s="6" t="s">
        <v>97</v>
      </c>
      <c r="P1457" s="7">
        <v>252999</v>
      </c>
      <c r="Q1457" s="7">
        <v>259770</v>
      </c>
      <c r="R1457" s="6" t="s">
        <v>3290</v>
      </c>
      <c r="S1457" s="6" t="s">
        <v>5573</v>
      </c>
      <c r="T1457" s="6">
        <v>27.4</v>
      </c>
      <c r="U1457" s="6" t="s">
        <v>63</v>
      </c>
      <c r="V1457" s="6" t="s">
        <v>286</v>
      </c>
      <c r="W1457" s="67" t="str">
        <f t="shared" si="114"/>
        <v>Customer</v>
      </c>
    </row>
    <row r="1458" spans="1:23" x14ac:dyDescent="0.3">
      <c r="A1458" s="6" t="s">
        <v>3533</v>
      </c>
      <c r="B1458" s="6" t="s">
        <v>1235</v>
      </c>
      <c r="C1458" s="6">
        <v>9221295908</v>
      </c>
      <c r="D1458" s="6" t="s">
        <v>108</v>
      </c>
      <c r="E1458" s="6" t="s">
        <v>41</v>
      </c>
      <c r="F1458" s="6" t="s">
        <v>151</v>
      </c>
      <c r="G1458" s="6" t="s">
        <v>60</v>
      </c>
      <c r="H1458" s="6" t="s">
        <v>3271</v>
      </c>
      <c r="I1458" s="2" t="str">
        <f t="shared" si="110"/>
        <v>Feb</v>
      </c>
      <c r="J1458" s="2">
        <f t="shared" si="111"/>
        <v>2</v>
      </c>
      <c r="K1458" s="2">
        <f t="shared" si="112"/>
        <v>2025</v>
      </c>
      <c r="L1458" s="2">
        <f t="shared" si="113"/>
        <v>1</v>
      </c>
      <c r="M1458" s="6">
        <v>12</v>
      </c>
      <c r="N1458" s="6" t="s">
        <v>3370</v>
      </c>
      <c r="O1458" s="6" t="s">
        <v>97</v>
      </c>
      <c r="P1458" s="7">
        <v>252120</v>
      </c>
      <c r="Q1458" s="7">
        <v>242446</v>
      </c>
      <c r="R1458" s="6" t="s">
        <v>3516</v>
      </c>
      <c r="S1458" s="6" t="s">
        <v>5573</v>
      </c>
      <c r="T1458" s="6">
        <v>24.8</v>
      </c>
      <c r="U1458" s="6" t="s">
        <v>63</v>
      </c>
      <c r="V1458" s="6" t="s">
        <v>170</v>
      </c>
      <c r="W1458" s="67" t="str">
        <f t="shared" si="114"/>
        <v>Architect</v>
      </c>
    </row>
    <row r="1459" spans="1:23" x14ac:dyDescent="0.3">
      <c r="A1459" s="4" t="s">
        <v>3534</v>
      </c>
      <c r="B1459" s="4" t="s">
        <v>3535</v>
      </c>
      <c r="C1459" s="4">
        <v>9367862292</v>
      </c>
      <c r="D1459" s="4" t="s">
        <v>51</v>
      </c>
      <c r="E1459" s="4" t="s">
        <v>1632</v>
      </c>
      <c r="F1459" s="4" t="s">
        <v>1849</v>
      </c>
      <c r="G1459" s="4" t="s">
        <v>60</v>
      </c>
      <c r="H1459" s="4" t="s">
        <v>3271</v>
      </c>
      <c r="I1459" s="2" t="str">
        <f t="shared" si="110"/>
        <v>Feb</v>
      </c>
      <c r="J1459" s="2">
        <f t="shared" si="111"/>
        <v>2</v>
      </c>
      <c r="K1459" s="2">
        <f t="shared" si="112"/>
        <v>2025</v>
      </c>
      <c r="L1459" s="2">
        <f t="shared" si="113"/>
        <v>1</v>
      </c>
      <c r="M1459" s="4">
        <v>12</v>
      </c>
      <c r="N1459" s="4" t="s">
        <v>3375</v>
      </c>
      <c r="O1459" s="4" t="s">
        <v>62</v>
      </c>
      <c r="P1459" s="5">
        <v>177534</v>
      </c>
      <c r="Q1459" s="4"/>
      <c r="R1459" s="4"/>
      <c r="S1459" s="4" t="s">
        <v>5573</v>
      </c>
      <c r="T1459" s="4">
        <v>29.3</v>
      </c>
      <c r="U1459" s="4" t="s">
        <v>47</v>
      </c>
      <c r="V1459" s="4" t="s">
        <v>48</v>
      </c>
      <c r="W1459" s="67" t="str">
        <f t="shared" si="114"/>
        <v>-</v>
      </c>
    </row>
    <row r="1460" spans="1:23" x14ac:dyDescent="0.3">
      <c r="A1460" s="2" t="s">
        <v>3536</v>
      </c>
      <c r="B1460" s="2" t="s">
        <v>2958</v>
      </c>
      <c r="C1460" s="2"/>
      <c r="D1460" s="2" t="s">
        <v>51</v>
      </c>
      <c r="E1460" s="2" t="s">
        <v>1632</v>
      </c>
      <c r="F1460" s="2" t="s">
        <v>1694</v>
      </c>
      <c r="G1460" s="2" t="s">
        <v>23</v>
      </c>
      <c r="H1460" s="2" t="s">
        <v>3271</v>
      </c>
      <c r="I1460" s="2" t="str">
        <f t="shared" si="110"/>
        <v>Feb</v>
      </c>
      <c r="J1460" s="2">
        <f t="shared" si="111"/>
        <v>2</v>
      </c>
      <c r="K1460" s="2">
        <f t="shared" si="112"/>
        <v>2025</v>
      </c>
      <c r="L1460" s="2">
        <f t="shared" si="113"/>
        <v>1</v>
      </c>
      <c r="M1460" s="2">
        <v>3</v>
      </c>
      <c r="N1460" s="2" t="s">
        <v>3178</v>
      </c>
      <c r="O1460" s="2" t="s">
        <v>27</v>
      </c>
      <c r="P1460" s="3">
        <v>425185</v>
      </c>
      <c r="Q1460" s="2"/>
      <c r="R1460" s="2"/>
      <c r="S1460" s="2" t="s">
        <v>5573</v>
      </c>
      <c r="T1460" s="2">
        <v>30.9</v>
      </c>
      <c r="U1460" s="2" t="s">
        <v>29</v>
      </c>
      <c r="V1460" s="2" t="s">
        <v>1697</v>
      </c>
      <c r="W1460" s="67" t="str">
        <f t="shared" si="114"/>
        <v>-</v>
      </c>
    </row>
    <row r="1461" spans="1:23" x14ac:dyDescent="0.3">
      <c r="A1461" s="4" t="s">
        <v>3537</v>
      </c>
      <c r="B1461" s="4" t="s">
        <v>3538</v>
      </c>
      <c r="C1461" s="4">
        <v>9471790314</v>
      </c>
      <c r="D1461" s="4" t="s">
        <v>59</v>
      </c>
      <c r="E1461" s="4" t="s">
        <v>41</v>
      </c>
      <c r="F1461" s="4" t="s">
        <v>42</v>
      </c>
      <c r="G1461" s="4" t="s">
        <v>643</v>
      </c>
      <c r="H1461" s="4" t="s">
        <v>3362</v>
      </c>
      <c r="I1461" s="2" t="str">
        <f t="shared" si="110"/>
        <v>Feb</v>
      </c>
      <c r="J1461" s="2">
        <f t="shared" si="111"/>
        <v>2</v>
      </c>
      <c r="K1461" s="2">
        <f t="shared" si="112"/>
        <v>2025</v>
      </c>
      <c r="L1461" s="2">
        <f t="shared" si="113"/>
        <v>1</v>
      </c>
      <c r="M1461" s="4">
        <v>5</v>
      </c>
      <c r="N1461" s="4" t="s">
        <v>3462</v>
      </c>
      <c r="O1461" s="4" t="s">
        <v>27</v>
      </c>
      <c r="P1461" s="5">
        <v>1172808</v>
      </c>
      <c r="Q1461" s="4"/>
      <c r="R1461" s="4"/>
      <c r="S1461" s="4" t="s">
        <v>5573</v>
      </c>
      <c r="T1461" s="4">
        <v>20.8</v>
      </c>
      <c r="U1461" s="4" t="s">
        <v>29</v>
      </c>
      <c r="V1461" s="4" t="s">
        <v>30</v>
      </c>
      <c r="W1461" s="67" t="str">
        <f t="shared" si="114"/>
        <v>-</v>
      </c>
    </row>
    <row r="1462" spans="1:23" x14ac:dyDescent="0.3">
      <c r="A1462" s="2" t="s">
        <v>3539</v>
      </c>
      <c r="B1462" s="2" t="s">
        <v>3540</v>
      </c>
      <c r="C1462" s="2">
        <v>9429288079</v>
      </c>
      <c r="D1462" s="2" t="s">
        <v>108</v>
      </c>
      <c r="E1462" s="2" t="s">
        <v>1632</v>
      </c>
      <c r="F1462" s="2" t="s">
        <v>1849</v>
      </c>
      <c r="G1462" s="2" t="s">
        <v>1621</v>
      </c>
      <c r="H1462" s="2" t="s">
        <v>3362</v>
      </c>
      <c r="I1462" s="2" t="str">
        <f t="shared" si="110"/>
        <v>Feb</v>
      </c>
      <c r="J1462" s="2">
        <f t="shared" si="111"/>
        <v>2</v>
      </c>
      <c r="K1462" s="2">
        <f t="shared" si="112"/>
        <v>2025</v>
      </c>
      <c r="L1462" s="2">
        <f t="shared" si="113"/>
        <v>1</v>
      </c>
      <c r="M1462" s="2">
        <v>0</v>
      </c>
      <c r="N1462" s="2" t="s">
        <v>3450</v>
      </c>
      <c r="O1462" s="2" t="s">
        <v>62</v>
      </c>
      <c r="P1462" s="3">
        <v>503525</v>
      </c>
      <c r="Q1462" s="2"/>
      <c r="R1462" s="2"/>
      <c r="S1462" s="2" t="s">
        <v>5573</v>
      </c>
      <c r="T1462" s="2">
        <v>4.7</v>
      </c>
      <c r="U1462" s="2" t="s">
        <v>47</v>
      </c>
      <c r="V1462" s="2" t="s">
        <v>174</v>
      </c>
      <c r="W1462" s="67" t="str">
        <f t="shared" si="114"/>
        <v>-</v>
      </c>
    </row>
    <row r="1463" spans="1:23" x14ac:dyDescent="0.3">
      <c r="A1463" s="6" t="s">
        <v>3541</v>
      </c>
      <c r="B1463" s="6" t="s">
        <v>997</v>
      </c>
      <c r="C1463" s="6">
        <v>9995569515</v>
      </c>
      <c r="D1463" s="6" t="s">
        <v>121</v>
      </c>
      <c r="E1463" s="6" t="s">
        <v>67</v>
      </c>
      <c r="F1463" s="6" t="s">
        <v>68</v>
      </c>
      <c r="G1463" s="6" t="s">
        <v>1599</v>
      </c>
      <c r="H1463" s="6" t="s">
        <v>3429</v>
      </c>
      <c r="I1463" s="2" t="str">
        <f t="shared" si="110"/>
        <v>Feb</v>
      </c>
      <c r="J1463" s="2">
        <f t="shared" si="111"/>
        <v>2</v>
      </c>
      <c r="K1463" s="2">
        <f t="shared" si="112"/>
        <v>2025</v>
      </c>
      <c r="L1463" s="2">
        <f t="shared" si="113"/>
        <v>1</v>
      </c>
      <c r="M1463" s="6">
        <v>7</v>
      </c>
      <c r="N1463" s="6" t="s">
        <v>3542</v>
      </c>
      <c r="O1463" s="6" t="s">
        <v>97</v>
      </c>
      <c r="P1463" s="7">
        <v>594156</v>
      </c>
      <c r="Q1463" s="7">
        <v>595876</v>
      </c>
      <c r="R1463" s="6" t="s">
        <v>3381</v>
      </c>
      <c r="S1463" s="6" t="s">
        <v>5573</v>
      </c>
      <c r="T1463" s="6">
        <v>22.2</v>
      </c>
      <c r="U1463" s="6" t="s">
        <v>47</v>
      </c>
      <c r="V1463" s="6" t="s">
        <v>170</v>
      </c>
      <c r="W1463" s="67" t="str">
        <f t="shared" si="114"/>
        <v>Customer</v>
      </c>
    </row>
    <row r="1464" spans="1:23" x14ac:dyDescent="0.3">
      <c r="A1464" s="6" t="s">
        <v>3543</v>
      </c>
      <c r="B1464" s="6" t="s">
        <v>1144</v>
      </c>
      <c r="C1464" s="6">
        <v>9754434050</v>
      </c>
      <c r="D1464" s="6" t="s">
        <v>121</v>
      </c>
      <c r="E1464" s="6" t="s">
        <v>1632</v>
      </c>
      <c r="F1464" s="6" t="s">
        <v>1659</v>
      </c>
      <c r="G1464" s="6" t="s">
        <v>1609</v>
      </c>
      <c r="H1464" s="6" t="s">
        <v>3429</v>
      </c>
      <c r="I1464" s="2" t="str">
        <f t="shared" si="110"/>
        <v>Feb</v>
      </c>
      <c r="J1464" s="2">
        <f t="shared" si="111"/>
        <v>2</v>
      </c>
      <c r="K1464" s="2">
        <f t="shared" si="112"/>
        <v>2025</v>
      </c>
      <c r="L1464" s="2">
        <f t="shared" si="113"/>
        <v>1</v>
      </c>
      <c r="M1464" s="6">
        <v>9</v>
      </c>
      <c r="N1464" s="6" t="s">
        <v>3542</v>
      </c>
      <c r="O1464" s="6" t="s">
        <v>97</v>
      </c>
      <c r="P1464" s="7">
        <v>537186</v>
      </c>
      <c r="Q1464" s="7">
        <v>498478</v>
      </c>
      <c r="R1464" s="6" t="s">
        <v>3544</v>
      </c>
      <c r="S1464" s="6" t="s">
        <v>5573</v>
      </c>
      <c r="T1464" s="6"/>
      <c r="U1464" s="6" t="s">
        <v>63</v>
      </c>
      <c r="V1464" s="6" t="s">
        <v>907</v>
      </c>
      <c r="W1464" s="67" t="str">
        <f t="shared" si="114"/>
        <v>Customer</v>
      </c>
    </row>
    <row r="1465" spans="1:23" x14ac:dyDescent="0.3">
      <c r="A1465" s="8" t="s">
        <v>3545</v>
      </c>
      <c r="B1465" s="8" t="s">
        <v>3546</v>
      </c>
      <c r="C1465" s="8">
        <v>9857701919</v>
      </c>
      <c r="D1465" s="8" t="s">
        <v>59</v>
      </c>
      <c r="E1465" s="8" t="s">
        <v>67</v>
      </c>
      <c r="F1465" s="8" t="s">
        <v>68</v>
      </c>
      <c r="G1465" s="8" t="s">
        <v>643</v>
      </c>
      <c r="H1465" s="8" t="s">
        <v>3429</v>
      </c>
      <c r="I1465" s="2" t="str">
        <f t="shared" si="110"/>
        <v>Feb</v>
      </c>
      <c r="J1465" s="2">
        <f t="shared" si="111"/>
        <v>2</v>
      </c>
      <c r="K1465" s="2">
        <f t="shared" si="112"/>
        <v>2025</v>
      </c>
      <c r="L1465" s="2">
        <f t="shared" si="113"/>
        <v>1</v>
      </c>
      <c r="M1465" s="8">
        <v>8</v>
      </c>
      <c r="N1465" s="8" t="s">
        <v>3494</v>
      </c>
      <c r="O1465" s="8" t="s">
        <v>62</v>
      </c>
      <c r="P1465" s="9">
        <v>884459</v>
      </c>
      <c r="Q1465" s="8"/>
      <c r="R1465" s="8"/>
      <c r="S1465" s="8" t="s">
        <v>5573</v>
      </c>
      <c r="T1465" s="8">
        <v>11.2</v>
      </c>
      <c r="U1465" s="8" t="s">
        <v>47</v>
      </c>
      <c r="V1465" s="8" t="s">
        <v>310</v>
      </c>
      <c r="W1465" s="67" t="str">
        <f t="shared" si="114"/>
        <v>-</v>
      </c>
    </row>
    <row r="1466" spans="1:23" x14ac:dyDescent="0.3">
      <c r="A1466" s="2" t="s">
        <v>3547</v>
      </c>
      <c r="B1466" s="2" t="s">
        <v>591</v>
      </c>
      <c r="C1466" s="2">
        <v>9585698123</v>
      </c>
      <c r="D1466" s="2" t="s">
        <v>59</v>
      </c>
      <c r="E1466" s="2" t="s">
        <v>641</v>
      </c>
      <c r="F1466" s="2" t="s">
        <v>642</v>
      </c>
      <c r="G1466" s="2" t="s">
        <v>35</v>
      </c>
      <c r="H1466" s="2" t="s">
        <v>3429</v>
      </c>
      <c r="I1466" s="2" t="str">
        <f t="shared" si="110"/>
        <v>Feb</v>
      </c>
      <c r="J1466" s="2">
        <f t="shared" si="111"/>
        <v>2</v>
      </c>
      <c r="K1466" s="2">
        <f t="shared" si="112"/>
        <v>2025</v>
      </c>
      <c r="L1466" s="2">
        <f t="shared" si="113"/>
        <v>1</v>
      </c>
      <c r="M1466" s="2">
        <v>8</v>
      </c>
      <c r="N1466" s="2" t="s">
        <v>3516</v>
      </c>
      <c r="O1466" s="2" t="s">
        <v>27</v>
      </c>
      <c r="P1466" s="3">
        <v>165093</v>
      </c>
      <c r="Q1466" s="2"/>
      <c r="R1466" s="2"/>
      <c r="S1466" s="2" t="s">
        <v>5573</v>
      </c>
      <c r="T1466" s="2">
        <v>7.4</v>
      </c>
      <c r="U1466" s="2" t="s">
        <v>29</v>
      </c>
      <c r="V1466" s="2" t="s">
        <v>202</v>
      </c>
      <c r="W1466" s="67" t="str">
        <f t="shared" si="114"/>
        <v>-</v>
      </c>
    </row>
    <row r="1467" spans="1:23" x14ac:dyDescent="0.3">
      <c r="A1467" s="8" t="s">
        <v>3548</v>
      </c>
      <c r="B1467" s="8" t="s">
        <v>1941</v>
      </c>
      <c r="C1467" s="8">
        <v>9395161407</v>
      </c>
      <c r="D1467" s="8" t="s">
        <v>59</v>
      </c>
      <c r="E1467" s="8" t="s">
        <v>1632</v>
      </c>
      <c r="F1467" s="8" t="s">
        <v>1694</v>
      </c>
      <c r="G1467" s="8" t="s">
        <v>87</v>
      </c>
      <c r="H1467" s="8" t="s">
        <v>3308</v>
      </c>
      <c r="I1467" s="2" t="str">
        <f t="shared" si="110"/>
        <v>Feb</v>
      </c>
      <c r="J1467" s="2">
        <f t="shared" si="111"/>
        <v>2</v>
      </c>
      <c r="K1467" s="2">
        <f t="shared" si="112"/>
        <v>2025</v>
      </c>
      <c r="L1467" s="2">
        <f t="shared" si="113"/>
        <v>1</v>
      </c>
      <c r="M1467" s="8">
        <v>0</v>
      </c>
      <c r="N1467" s="8" t="s">
        <v>3272</v>
      </c>
      <c r="O1467" s="8" t="s">
        <v>27</v>
      </c>
      <c r="P1467" s="9">
        <v>220350</v>
      </c>
      <c r="Q1467" s="8"/>
      <c r="R1467" s="8"/>
      <c r="S1467" s="8" t="s">
        <v>5573</v>
      </c>
      <c r="T1467" s="8">
        <v>11.5</v>
      </c>
      <c r="U1467" s="8" t="s">
        <v>29</v>
      </c>
      <c r="V1467" s="8" t="s">
        <v>238</v>
      </c>
      <c r="W1467" s="67" t="str">
        <f t="shared" si="114"/>
        <v>-</v>
      </c>
    </row>
    <row r="1468" spans="1:23" x14ac:dyDescent="0.3">
      <c r="A1468" s="2" t="s">
        <v>3549</v>
      </c>
      <c r="B1468" s="2" t="s">
        <v>3550</v>
      </c>
      <c r="C1468" s="2">
        <v>9724039816</v>
      </c>
      <c r="D1468" s="2" t="s">
        <v>108</v>
      </c>
      <c r="E1468" s="2" t="s">
        <v>41</v>
      </c>
      <c r="F1468" s="2" t="s">
        <v>92</v>
      </c>
      <c r="G1468" s="2" t="s">
        <v>87</v>
      </c>
      <c r="H1468" s="2" t="s">
        <v>3308</v>
      </c>
      <c r="I1468" s="2" t="str">
        <f t="shared" si="110"/>
        <v>Feb</v>
      </c>
      <c r="J1468" s="2">
        <f t="shared" si="111"/>
        <v>2</v>
      </c>
      <c r="K1468" s="2">
        <f t="shared" si="112"/>
        <v>2025</v>
      </c>
      <c r="L1468" s="2">
        <f t="shared" si="113"/>
        <v>1</v>
      </c>
      <c r="M1468" s="2">
        <v>10</v>
      </c>
      <c r="N1468" s="2" t="s">
        <v>3420</v>
      </c>
      <c r="O1468" s="2" t="s">
        <v>62</v>
      </c>
      <c r="P1468" s="3">
        <v>189880</v>
      </c>
      <c r="Q1468" s="2"/>
      <c r="R1468" s="2"/>
      <c r="S1468" s="2" t="s">
        <v>5573</v>
      </c>
      <c r="T1468" s="2"/>
      <c r="U1468" s="2" t="s">
        <v>63</v>
      </c>
      <c r="V1468" s="2" t="s">
        <v>668</v>
      </c>
      <c r="W1468" s="67" t="str">
        <f t="shared" si="114"/>
        <v>-</v>
      </c>
    </row>
    <row r="1469" spans="1:23" x14ac:dyDescent="0.3">
      <c r="A1469" s="4" t="s">
        <v>3551</v>
      </c>
      <c r="B1469" s="4" t="s">
        <v>3552</v>
      </c>
      <c r="C1469" s="4">
        <v>9643921929</v>
      </c>
      <c r="D1469" s="4" t="s">
        <v>20</v>
      </c>
      <c r="E1469" s="4" t="s">
        <v>641</v>
      </c>
      <c r="F1469" s="4" t="s">
        <v>717</v>
      </c>
      <c r="G1469" s="4" t="s">
        <v>1677</v>
      </c>
      <c r="H1469" s="4" t="s">
        <v>3308</v>
      </c>
      <c r="I1469" s="2" t="str">
        <f t="shared" si="110"/>
        <v>Feb</v>
      </c>
      <c r="J1469" s="2">
        <f t="shared" si="111"/>
        <v>2</v>
      </c>
      <c r="K1469" s="2">
        <f t="shared" si="112"/>
        <v>2025</v>
      </c>
      <c r="L1469" s="2">
        <f t="shared" si="113"/>
        <v>1</v>
      </c>
      <c r="M1469" s="4">
        <v>9</v>
      </c>
      <c r="N1469" s="4" t="s">
        <v>3420</v>
      </c>
      <c r="O1469" s="4" t="s">
        <v>55</v>
      </c>
      <c r="P1469" s="5">
        <v>910777</v>
      </c>
      <c r="Q1469" s="4"/>
      <c r="R1469" s="4"/>
      <c r="S1469" s="4" t="s">
        <v>5573</v>
      </c>
      <c r="T1469" s="4">
        <v>35.799999999999997</v>
      </c>
      <c r="U1469" s="4" t="s">
        <v>29</v>
      </c>
      <c r="V1469" s="4" t="s">
        <v>589</v>
      </c>
      <c r="W1469" s="67" t="str">
        <f t="shared" si="114"/>
        <v>-</v>
      </c>
    </row>
    <row r="1470" spans="1:23" x14ac:dyDescent="0.3">
      <c r="A1470" s="6" t="s">
        <v>3553</v>
      </c>
      <c r="B1470" s="6" t="s">
        <v>1078</v>
      </c>
      <c r="C1470" s="6">
        <v>9845962571</v>
      </c>
      <c r="D1470" s="6" t="s">
        <v>20</v>
      </c>
      <c r="E1470" s="6" t="s">
        <v>41</v>
      </c>
      <c r="F1470" s="6" t="s">
        <v>151</v>
      </c>
      <c r="G1470" s="6" t="s">
        <v>643</v>
      </c>
      <c r="H1470" s="6" t="s">
        <v>3308</v>
      </c>
      <c r="I1470" s="2" t="str">
        <f t="shared" si="110"/>
        <v>Feb</v>
      </c>
      <c r="J1470" s="2">
        <f t="shared" si="111"/>
        <v>2</v>
      </c>
      <c r="K1470" s="2">
        <f t="shared" si="112"/>
        <v>2025</v>
      </c>
      <c r="L1470" s="2">
        <f t="shared" si="113"/>
        <v>1</v>
      </c>
      <c r="M1470" s="6">
        <v>5</v>
      </c>
      <c r="N1470" s="6" t="s">
        <v>3419</v>
      </c>
      <c r="O1470" s="6" t="s">
        <v>97</v>
      </c>
      <c r="P1470" s="7">
        <v>1464633</v>
      </c>
      <c r="Q1470" s="7">
        <v>1369974</v>
      </c>
      <c r="R1470" s="6" t="s">
        <v>3554</v>
      </c>
      <c r="S1470" s="6" t="s">
        <v>5573</v>
      </c>
      <c r="T1470" s="6">
        <v>8</v>
      </c>
      <c r="U1470" s="6" t="s">
        <v>63</v>
      </c>
      <c r="V1470" s="6" t="s">
        <v>465</v>
      </c>
      <c r="W1470" s="67" t="str">
        <f t="shared" si="114"/>
        <v>Architect</v>
      </c>
    </row>
    <row r="1471" spans="1:23" x14ac:dyDescent="0.3">
      <c r="A1471" s="6" t="s">
        <v>3555</v>
      </c>
      <c r="B1471" s="6" t="s">
        <v>3181</v>
      </c>
      <c r="C1471" s="6">
        <v>9972064462</v>
      </c>
      <c r="D1471" s="6" t="s">
        <v>20</v>
      </c>
      <c r="E1471" s="6" t="s">
        <v>67</v>
      </c>
      <c r="F1471" s="6" t="s">
        <v>68</v>
      </c>
      <c r="G1471" s="6" t="s">
        <v>87</v>
      </c>
      <c r="H1471" s="6" t="s">
        <v>3308</v>
      </c>
      <c r="I1471" s="2" t="str">
        <f t="shared" si="110"/>
        <v>Feb</v>
      </c>
      <c r="J1471" s="2">
        <f t="shared" si="111"/>
        <v>2</v>
      </c>
      <c r="K1471" s="2">
        <f t="shared" si="112"/>
        <v>2025</v>
      </c>
      <c r="L1471" s="2">
        <f t="shared" si="113"/>
        <v>1</v>
      </c>
      <c r="M1471" s="6">
        <v>8</v>
      </c>
      <c r="N1471" s="6" t="s">
        <v>3419</v>
      </c>
      <c r="O1471" s="6" t="s">
        <v>97</v>
      </c>
      <c r="P1471" s="7">
        <v>105103</v>
      </c>
      <c r="Q1471" s="7">
        <v>98330</v>
      </c>
      <c r="R1471" s="6" t="s">
        <v>3475</v>
      </c>
      <c r="S1471" s="6" t="s">
        <v>5573</v>
      </c>
      <c r="T1471" s="6">
        <v>3.1</v>
      </c>
      <c r="U1471" s="6" t="s">
        <v>63</v>
      </c>
      <c r="V1471" s="6" t="s">
        <v>243</v>
      </c>
      <c r="W1471" s="67" t="str">
        <f t="shared" si="114"/>
        <v>Customer</v>
      </c>
    </row>
    <row r="1472" spans="1:23" x14ac:dyDescent="0.3">
      <c r="A1472" s="6" t="s">
        <v>3556</v>
      </c>
      <c r="B1472" s="6" t="s">
        <v>3319</v>
      </c>
      <c r="C1472" s="6">
        <v>9589857352</v>
      </c>
      <c r="D1472" s="6" t="s">
        <v>121</v>
      </c>
      <c r="E1472" s="6" t="s">
        <v>1632</v>
      </c>
      <c r="F1472" s="6" t="s">
        <v>1682</v>
      </c>
      <c r="G1472" s="6" t="s">
        <v>1735</v>
      </c>
      <c r="H1472" s="6" t="s">
        <v>3308</v>
      </c>
      <c r="I1472" s="2" t="str">
        <f t="shared" si="110"/>
        <v>Feb</v>
      </c>
      <c r="J1472" s="2">
        <f t="shared" si="111"/>
        <v>2</v>
      </c>
      <c r="K1472" s="2">
        <f t="shared" si="112"/>
        <v>2025</v>
      </c>
      <c r="L1472" s="2">
        <f t="shared" si="113"/>
        <v>1</v>
      </c>
      <c r="M1472" s="6">
        <v>6</v>
      </c>
      <c r="N1472" s="6" t="s">
        <v>3408</v>
      </c>
      <c r="O1472" s="6" t="s">
        <v>97</v>
      </c>
      <c r="P1472" s="7">
        <v>1840798</v>
      </c>
      <c r="Q1472" s="7">
        <v>1676151</v>
      </c>
      <c r="R1472" s="6" t="s">
        <v>3557</v>
      </c>
      <c r="S1472" s="6" t="s">
        <v>5573</v>
      </c>
      <c r="T1472" s="6">
        <v>8.3000000000000007</v>
      </c>
      <c r="U1472" s="6" t="s">
        <v>63</v>
      </c>
      <c r="V1472" s="6" t="s">
        <v>286</v>
      </c>
      <c r="W1472" s="67" t="str">
        <f t="shared" si="114"/>
        <v>Customer</v>
      </c>
    </row>
    <row r="1473" spans="1:23" x14ac:dyDescent="0.3">
      <c r="A1473" s="6" t="s">
        <v>3558</v>
      </c>
      <c r="B1473" s="6" t="s">
        <v>3559</v>
      </c>
      <c r="C1473" s="6">
        <v>9667952632</v>
      </c>
      <c r="D1473" s="6" t="s">
        <v>108</v>
      </c>
      <c r="E1473" s="6" t="s">
        <v>41</v>
      </c>
      <c r="F1473" s="6" t="s">
        <v>151</v>
      </c>
      <c r="G1473" s="6" t="s">
        <v>1677</v>
      </c>
      <c r="H1473" s="6" t="s">
        <v>3330</v>
      </c>
      <c r="I1473" s="2" t="str">
        <f t="shared" si="110"/>
        <v>Feb</v>
      </c>
      <c r="J1473" s="2">
        <f t="shared" si="111"/>
        <v>2</v>
      </c>
      <c r="K1473" s="2">
        <f t="shared" si="112"/>
        <v>2025</v>
      </c>
      <c r="L1473" s="2">
        <f t="shared" si="113"/>
        <v>1</v>
      </c>
      <c r="M1473" s="6">
        <v>2</v>
      </c>
      <c r="N1473" s="6" t="s">
        <v>3272</v>
      </c>
      <c r="O1473" s="6" t="s">
        <v>97</v>
      </c>
      <c r="P1473" s="7">
        <v>1122142</v>
      </c>
      <c r="Q1473" s="7">
        <v>1031633</v>
      </c>
      <c r="R1473" s="6" t="s">
        <v>3257</v>
      </c>
      <c r="S1473" s="6" t="s">
        <v>5573</v>
      </c>
      <c r="T1473" s="6">
        <v>15.4</v>
      </c>
      <c r="U1473" s="6" t="s">
        <v>63</v>
      </c>
      <c r="V1473" s="6" t="s">
        <v>113</v>
      </c>
      <c r="W1473" s="67" t="str">
        <f t="shared" si="114"/>
        <v>Architect</v>
      </c>
    </row>
    <row r="1474" spans="1:23" x14ac:dyDescent="0.3">
      <c r="A1474" s="2" t="s">
        <v>3560</v>
      </c>
      <c r="B1474" s="2" t="s">
        <v>395</v>
      </c>
      <c r="C1474" s="2">
        <v>9914349140</v>
      </c>
      <c r="D1474" s="2" t="s">
        <v>20</v>
      </c>
      <c r="E1474" s="2" t="s">
        <v>73</v>
      </c>
      <c r="F1474" s="2" t="s">
        <v>74</v>
      </c>
      <c r="G1474" s="2" t="s">
        <v>1599</v>
      </c>
      <c r="H1474" s="2" t="s">
        <v>3330</v>
      </c>
      <c r="I1474" s="2" t="str">
        <f t="shared" ref="I1474:I1537" si="115">TEXT(H1474,"mmm")</f>
        <v>Feb</v>
      </c>
      <c r="J1474" s="2">
        <f t="shared" ref="J1474:J1537" si="116">MONTH(H1474)</f>
        <v>2</v>
      </c>
      <c r="K1474" s="2">
        <f t="shared" ref="K1474:K1537" si="117">YEAR(H1474)</f>
        <v>2025</v>
      </c>
      <c r="L1474" s="2">
        <f t="shared" ref="L1474:L1537" si="118">ROUNDUP(MONTH(H1474)/3,0)</f>
        <v>1</v>
      </c>
      <c r="M1474" s="2">
        <v>5</v>
      </c>
      <c r="N1474" s="2" t="s">
        <v>3261</v>
      </c>
      <c r="O1474" s="2" t="s">
        <v>62</v>
      </c>
      <c r="P1474" s="3">
        <v>493921</v>
      </c>
      <c r="Q1474" s="2"/>
      <c r="R1474" s="2"/>
      <c r="S1474" s="2" t="s">
        <v>5573</v>
      </c>
      <c r="T1474" s="2">
        <v>26.1</v>
      </c>
      <c r="U1474" s="2" t="s">
        <v>63</v>
      </c>
      <c r="V1474" s="2" t="s">
        <v>678</v>
      </c>
      <c r="W1474" s="67" t="str">
        <f t="shared" ref="W1474:W1537" si="119">IF($O1474&lt;&gt;"Converted","-",IF(ISNUMBER(SEARCH("Architect",$F1474)),"Architect","Customer"))</f>
        <v>-</v>
      </c>
    </row>
    <row r="1475" spans="1:23" x14ac:dyDescent="0.3">
      <c r="A1475" s="8" t="s">
        <v>3561</v>
      </c>
      <c r="B1475" s="8" t="s">
        <v>3398</v>
      </c>
      <c r="C1475" s="8">
        <v>9736579301</v>
      </c>
      <c r="D1475" s="8" t="s">
        <v>20</v>
      </c>
      <c r="E1475" s="8" t="s">
        <v>21</v>
      </c>
      <c r="F1475" s="8" t="s">
        <v>22</v>
      </c>
      <c r="G1475" s="8" t="s">
        <v>1623</v>
      </c>
      <c r="H1475" s="8" t="s">
        <v>3178</v>
      </c>
      <c r="I1475" s="2" t="str">
        <f t="shared" si="115"/>
        <v>Feb</v>
      </c>
      <c r="J1475" s="2">
        <f t="shared" si="116"/>
        <v>2</v>
      </c>
      <c r="K1475" s="2">
        <f t="shared" si="117"/>
        <v>2025</v>
      </c>
      <c r="L1475" s="2">
        <f t="shared" si="118"/>
        <v>1</v>
      </c>
      <c r="M1475" s="8">
        <v>0</v>
      </c>
      <c r="N1475" s="8" t="s">
        <v>3290</v>
      </c>
      <c r="O1475" s="8" t="s">
        <v>27</v>
      </c>
      <c r="P1475" s="9">
        <v>402148</v>
      </c>
      <c r="Q1475" s="8"/>
      <c r="R1475" s="8"/>
      <c r="S1475" s="8" t="s">
        <v>5573</v>
      </c>
      <c r="T1475" s="8">
        <v>24.8</v>
      </c>
      <c r="U1475" s="8" t="s">
        <v>29</v>
      </c>
      <c r="V1475" s="8" t="s">
        <v>118</v>
      </c>
      <c r="W1475" s="67" t="str">
        <f t="shared" si="119"/>
        <v>-</v>
      </c>
    </row>
    <row r="1476" spans="1:23" x14ac:dyDescent="0.3">
      <c r="A1476" s="6" t="s">
        <v>3562</v>
      </c>
      <c r="B1476" s="6" t="s">
        <v>3563</v>
      </c>
      <c r="C1476" s="6">
        <v>9178552321</v>
      </c>
      <c r="D1476" s="6" t="s">
        <v>121</v>
      </c>
      <c r="E1476" s="6" t="s">
        <v>641</v>
      </c>
      <c r="F1476" s="6" t="s">
        <v>727</v>
      </c>
      <c r="G1476" s="6" t="s">
        <v>52</v>
      </c>
      <c r="H1476" s="6" t="s">
        <v>3178</v>
      </c>
      <c r="I1476" s="2" t="str">
        <f t="shared" si="115"/>
        <v>Feb</v>
      </c>
      <c r="J1476" s="2">
        <f t="shared" si="116"/>
        <v>2</v>
      </c>
      <c r="K1476" s="2">
        <f t="shared" si="117"/>
        <v>2025</v>
      </c>
      <c r="L1476" s="2">
        <f t="shared" si="118"/>
        <v>1</v>
      </c>
      <c r="M1476" s="6">
        <v>3</v>
      </c>
      <c r="N1476" s="6" t="s">
        <v>3257</v>
      </c>
      <c r="O1476" s="6" t="s">
        <v>97</v>
      </c>
      <c r="P1476" s="7">
        <v>199744</v>
      </c>
      <c r="Q1476" s="7">
        <v>176187</v>
      </c>
      <c r="R1476" s="6" t="s">
        <v>3356</v>
      </c>
      <c r="S1476" s="6" t="s">
        <v>5573</v>
      </c>
      <c r="T1476" s="6">
        <v>13.4</v>
      </c>
      <c r="U1476" s="6" t="s">
        <v>63</v>
      </c>
      <c r="V1476" s="6" t="s">
        <v>465</v>
      </c>
      <c r="W1476" s="67" t="str">
        <f t="shared" si="119"/>
        <v>Customer</v>
      </c>
    </row>
    <row r="1477" spans="1:23" x14ac:dyDescent="0.3">
      <c r="A1477" s="4" t="s">
        <v>3564</v>
      </c>
      <c r="B1477" s="4" t="s">
        <v>3565</v>
      </c>
      <c r="C1477" s="4">
        <v>9276942899</v>
      </c>
      <c r="D1477" s="4" t="s">
        <v>59</v>
      </c>
      <c r="E1477" s="4" t="s">
        <v>648</v>
      </c>
      <c r="F1477" s="4" t="s">
        <v>649</v>
      </c>
      <c r="G1477" s="4" t="s">
        <v>616</v>
      </c>
      <c r="H1477" s="4" t="s">
        <v>3178</v>
      </c>
      <c r="I1477" s="2" t="str">
        <f t="shared" si="115"/>
        <v>Feb</v>
      </c>
      <c r="J1477" s="2">
        <f t="shared" si="116"/>
        <v>2</v>
      </c>
      <c r="K1477" s="2">
        <f t="shared" si="117"/>
        <v>2025</v>
      </c>
      <c r="L1477" s="2">
        <f t="shared" si="118"/>
        <v>1</v>
      </c>
      <c r="M1477" s="4">
        <v>4</v>
      </c>
      <c r="N1477" s="4" t="s">
        <v>3262</v>
      </c>
      <c r="O1477" s="4" t="s">
        <v>62</v>
      </c>
      <c r="P1477" s="5">
        <v>273662</v>
      </c>
      <c r="Q1477" s="4"/>
      <c r="R1477" s="4"/>
      <c r="S1477" s="4" t="s">
        <v>5573</v>
      </c>
      <c r="T1477" s="4">
        <v>22.9</v>
      </c>
      <c r="U1477" s="4" t="s">
        <v>63</v>
      </c>
      <c r="V1477" s="4" t="s">
        <v>559</v>
      </c>
      <c r="W1477" s="67" t="str">
        <f t="shared" si="119"/>
        <v>-</v>
      </c>
    </row>
    <row r="1478" spans="1:23" x14ac:dyDescent="0.3">
      <c r="A1478" s="8" t="s">
        <v>3566</v>
      </c>
      <c r="B1478" s="8" t="s">
        <v>3567</v>
      </c>
      <c r="C1478" s="8">
        <v>9475877510</v>
      </c>
      <c r="D1478" s="8" t="s">
        <v>51</v>
      </c>
      <c r="E1478" s="8" t="s">
        <v>41</v>
      </c>
      <c r="F1478" s="8" t="s">
        <v>86</v>
      </c>
      <c r="G1478" s="8" t="s">
        <v>87</v>
      </c>
      <c r="H1478" s="8" t="s">
        <v>3450</v>
      </c>
      <c r="I1478" s="2" t="str">
        <f t="shared" si="115"/>
        <v>Feb</v>
      </c>
      <c r="J1478" s="2">
        <f t="shared" si="116"/>
        <v>2</v>
      </c>
      <c r="K1478" s="2">
        <f t="shared" si="117"/>
        <v>2025</v>
      </c>
      <c r="L1478" s="2">
        <f t="shared" si="118"/>
        <v>1</v>
      </c>
      <c r="M1478" s="8">
        <v>10</v>
      </c>
      <c r="N1478" s="8" t="s">
        <v>3568</v>
      </c>
      <c r="O1478" s="8" t="s">
        <v>97</v>
      </c>
      <c r="P1478" s="9">
        <v>271704</v>
      </c>
      <c r="Q1478" s="9">
        <v>269771</v>
      </c>
      <c r="R1478" s="8" t="s">
        <v>3569</v>
      </c>
      <c r="S1478" s="8" t="s">
        <v>5574</v>
      </c>
      <c r="T1478" s="8">
        <v>4.5999999999999996</v>
      </c>
      <c r="U1478" s="8" t="s">
        <v>63</v>
      </c>
      <c r="V1478" s="8" t="s">
        <v>483</v>
      </c>
      <c r="W1478" s="67" t="str">
        <f t="shared" si="119"/>
        <v>Customer</v>
      </c>
    </row>
    <row r="1479" spans="1:23" x14ac:dyDescent="0.3">
      <c r="A1479" s="4" t="s">
        <v>3570</v>
      </c>
      <c r="B1479" s="4" t="s">
        <v>3571</v>
      </c>
      <c r="C1479" s="4">
        <v>9841381731</v>
      </c>
      <c r="D1479" s="4" t="s">
        <v>20</v>
      </c>
      <c r="E1479" s="4" t="s">
        <v>73</v>
      </c>
      <c r="F1479" s="4" t="s">
        <v>126</v>
      </c>
      <c r="G1479" s="4" t="s">
        <v>52</v>
      </c>
      <c r="H1479" s="4" t="s">
        <v>3228</v>
      </c>
      <c r="I1479" s="2" t="str">
        <f t="shared" si="115"/>
        <v>Mar</v>
      </c>
      <c r="J1479" s="2">
        <f t="shared" si="116"/>
        <v>3</v>
      </c>
      <c r="K1479" s="2">
        <f t="shared" si="117"/>
        <v>2025</v>
      </c>
      <c r="L1479" s="2">
        <f t="shared" si="118"/>
        <v>1</v>
      </c>
      <c r="M1479" s="4">
        <v>6</v>
      </c>
      <c r="N1479" s="4" t="s">
        <v>3516</v>
      </c>
      <c r="O1479" s="4" t="s">
        <v>45</v>
      </c>
      <c r="P1479" s="5">
        <v>454468</v>
      </c>
      <c r="Q1479" s="4"/>
      <c r="R1479" s="4"/>
      <c r="S1479" s="4" t="s">
        <v>5573</v>
      </c>
      <c r="T1479" s="4">
        <v>8.3000000000000007</v>
      </c>
      <c r="U1479" s="4" t="s">
        <v>63</v>
      </c>
      <c r="V1479" s="4" t="s">
        <v>535</v>
      </c>
      <c r="W1479" s="67" t="str">
        <f t="shared" si="119"/>
        <v>-</v>
      </c>
    </row>
    <row r="1480" spans="1:23" x14ac:dyDescent="0.3">
      <c r="A1480" s="2" t="s">
        <v>3572</v>
      </c>
      <c r="B1480" s="2" t="s">
        <v>3573</v>
      </c>
      <c r="C1480" s="2">
        <v>9507210819</v>
      </c>
      <c r="D1480" s="2" t="s">
        <v>59</v>
      </c>
      <c r="E1480" s="2" t="s">
        <v>648</v>
      </c>
      <c r="F1480" s="2" t="s">
        <v>656</v>
      </c>
      <c r="G1480" s="2" t="s">
        <v>52</v>
      </c>
      <c r="H1480" s="2" t="s">
        <v>3228</v>
      </c>
      <c r="I1480" s="2" t="str">
        <f t="shared" si="115"/>
        <v>Mar</v>
      </c>
      <c r="J1480" s="2">
        <f t="shared" si="116"/>
        <v>3</v>
      </c>
      <c r="K1480" s="2">
        <f t="shared" si="117"/>
        <v>2025</v>
      </c>
      <c r="L1480" s="2">
        <f t="shared" si="118"/>
        <v>1</v>
      </c>
      <c r="M1480" s="2">
        <v>11</v>
      </c>
      <c r="N1480" s="2" t="s">
        <v>3557</v>
      </c>
      <c r="O1480" s="2" t="s">
        <v>45</v>
      </c>
      <c r="P1480" s="3">
        <v>359359</v>
      </c>
      <c r="Q1480" s="2"/>
      <c r="R1480" s="2"/>
      <c r="S1480" s="2" t="s">
        <v>5819</v>
      </c>
      <c r="T1480" s="2">
        <v>6.8</v>
      </c>
      <c r="U1480" s="2" t="s">
        <v>47</v>
      </c>
      <c r="V1480" s="2" t="s">
        <v>256</v>
      </c>
      <c r="W1480" s="67" t="str">
        <f t="shared" si="119"/>
        <v>-</v>
      </c>
    </row>
    <row r="1481" spans="1:23" x14ac:dyDescent="0.3">
      <c r="A1481" s="6" t="s">
        <v>3574</v>
      </c>
      <c r="B1481" s="6" t="s">
        <v>3008</v>
      </c>
      <c r="C1481" s="6">
        <v>9704308190</v>
      </c>
      <c r="D1481" s="6" t="s">
        <v>51</v>
      </c>
      <c r="E1481" s="6" t="s">
        <v>41</v>
      </c>
      <c r="F1481" s="6" t="s">
        <v>42</v>
      </c>
      <c r="G1481" s="6" t="s">
        <v>1623</v>
      </c>
      <c r="H1481" s="6" t="s">
        <v>3213</v>
      </c>
      <c r="I1481" s="2" t="str">
        <f t="shared" si="115"/>
        <v>Mar</v>
      </c>
      <c r="J1481" s="2">
        <f t="shared" si="116"/>
        <v>3</v>
      </c>
      <c r="K1481" s="2">
        <f t="shared" si="117"/>
        <v>2025</v>
      </c>
      <c r="L1481" s="2">
        <f t="shared" si="118"/>
        <v>1</v>
      </c>
      <c r="M1481" s="6">
        <v>11</v>
      </c>
      <c r="N1481" s="6" t="s">
        <v>3575</v>
      </c>
      <c r="O1481" s="6" t="s">
        <v>97</v>
      </c>
      <c r="P1481" s="7">
        <v>265891</v>
      </c>
      <c r="Q1481" s="7">
        <v>261888</v>
      </c>
      <c r="R1481" s="6" t="s">
        <v>3576</v>
      </c>
      <c r="S1481" s="6" t="s">
        <v>5573</v>
      </c>
      <c r="T1481" s="6">
        <v>14.7</v>
      </c>
      <c r="U1481" s="6" t="s">
        <v>47</v>
      </c>
      <c r="V1481" s="6" t="s">
        <v>243</v>
      </c>
      <c r="W1481" s="67" t="str">
        <f t="shared" si="119"/>
        <v>Customer</v>
      </c>
    </row>
    <row r="1482" spans="1:23" x14ac:dyDescent="0.3">
      <c r="A1482" s="6" t="s">
        <v>3577</v>
      </c>
      <c r="B1482" s="6" t="s">
        <v>3578</v>
      </c>
      <c r="C1482" s="6">
        <v>9649212255</v>
      </c>
      <c r="D1482" s="6" t="s">
        <v>20</v>
      </c>
      <c r="E1482" s="6" t="s">
        <v>33</v>
      </c>
      <c r="F1482" s="6" t="s">
        <v>102</v>
      </c>
      <c r="G1482" s="6" t="s">
        <v>1599</v>
      </c>
      <c r="H1482" s="6" t="s">
        <v>3213</v>
      </c>
      <c r="I1482" s="2" t="str">
        <f t="shared" si="115"/>
        <v>Mar</v>
      </c>
      <c r="J1482" s="2">
        <f t="shared" si="116"/>
        <v>3</v>
      </c>
      <c r="K1482" s="2">
        <f t="shared" si="117"/>
        <v>2025</v>
      </c>
      <c r="L1482" s="2">
        <f t="shared" si="118"/>
        <v>1</v>
      </c>
      <c r="M1482" s="6">
        <v>5</v>
      </c>
      <c r="N1482" s="6" t="s">
        <v>3258</v>
      </c>
      <c r="O1482" s="6" t="s">
        <v>97</v>
      </c>
      <c r="P1482" s="7">
        <v>569769</v>
      </c>
      <c r="Q1482" s="7">
        <v>508509</v>
      </c>
      <c r="R1482" s="6" t="s">
        <v>3557</v>
      </c>
      <c r="S1482" s="6" t="s">
        <v>5574</v>
      </c>
      <c r="T1482" s="6">
        <v>10.4</v>
      </c>
      <c r="U1482" s="6" t="s">
        <v>63</v>
      </c>
      <c r="V1482" s="6" t="s">
        <v>286</v>
      </c>
      <c r="W1482" s="67" t="str">
        <f t="shared" si="119"/>
        <v>Customer</v>
      </c>
    </row>
    <row r="1483" spans="1:23" x14ac:dyDescent="0.3">
      <c r="A1483" s="6" t="s">
        <v>3579</v>
      </c>
      <c r="B1483" s="6" t="s">
        <v>1688</v>
      </c>
      <c r="C1483" s="6">
        <v>9576890143</v>
      </c>
      <c r="D1483" s="6" t="s">
        <v>20</v>
      </c>
      <c r="E1483" s="6" t="s">
        <v>41</v>
      </c>
      <c r="F1483" s="6" t="s">
        <v>42</v>
      </c>
      <c r="G1483" s="6" t="s">
        <v>52</v>
      </c>
      <c r="H1483" s="6" t="s">
        <v>3213</v>
      </c>
      <c r="I1483" s="2" t="str">
        <f t="shared" si="115"/>
        <v>Mar</v>
      </c>
      <c r="J1483" s="2">
        <f t="shared" si="116"/>
        <v>3</v>
      </c>
      <c r="K1483" s="2">
        <f t="shared" si="117"/>
        <v>2025</v>
      </c>
      <c r="L1483" s="2">
        <f t="shared" si="118"/>
        <v>1</v>
      </c>
      <c r="M1483" s="6">
        <v>1</v>
      </c>
      <c r="N1483" s="6" t="s">
        <v>3462</v>
      </c>
      <c r="O1483" s="6" t="s">
        <v>97</v>
      </c>
      <c r="P1483" s="7">
        <v>207598</v>
      </c>
      <c r="Q1483" s="7">
        <v>204926</v>
      </c>
      <c r="R1483" s="6" t="s">
        <v>3542</v>
      </c>
      <c r="S1483" s="6" t="s">
        <v>5574</v>
      </c>
      <c r="T1483" s="6">
        <v>1.9</v>
      </c>
      <c r="U1483" s="6" t="s">
        <v>63</v>
      </c>
      <c r="V1483" s="6" t="s">
        <v>295</v>
      </c>
      <c r="W1483" s="67" t="str">
        <f t="shared" si="119"/>
        <v>Customer</v>
      </c>
    </row>
    <row r="1484" spans="1:23" x14ac:dyDescent="0.3">
      <c r="A1484" s="2" t="s">
        <v>3580</v>
      </c>
      <c r="B1484" s="2" t="s">
        <v>3581</v>
      </c>
      <c r="C1484" s="2">
        <v>9871770122</v>
      </c>
      <c r="D1484" s="2" t="s">
        <v>59</v>
      </c>
      <c r="E1484" s="2" t="s">
        <v>1632</v>
      </c>
      <c r="F1484" s="2" t="s">
        <v>1694</v>
      </c>
      <c r="G1484" s="2" t="s">
        <v>1621</v>
      </c>
      <c r="H1484" s="2" t="s">
        <v>3213</v>
      </c>
      <c r="I1484" s="2" t="str">
        <f t="shared" si="115"/>
        <v>Mar</v>
      </c>
      <c r="J1484" s="2">
        <f t="shared" si="116"/>
        <v>3</v>
      </c>
      <c r="K1484" s="2">
        <f t="shared" si="117"/>
        <v>2025</v>
      </c>
      <c r="L1484" s="2">
        <f t="shared" si="118"/>
        <v>1</v>
      </c>
      <c r="M1484" s="2">
        <v>8</v>
      </c>
      <c r="N1484" s="2" t="s">
        <v>3408</v>
      </c>
      <c r="O1484" s="2" t="s">
        <v>27</v>
      </c>
      <c r="P1484" s="3">
        <v>460507</v>
      </c>
      <c r="Q1484" s="2"/>
      <c r="R1484" s="2"/>
      <c r="S1484" s="2" t="s">
        <v>5573</v>
      </c>
      <c r="T1484" s="2">
        <v>5.9</v>
      </c>
      <c r="U1484" s="2" t="s">
        <v>47</v>
      </c>
      <c r="V1484" s="2" t="s">
        <v>153</v>
      </c>
      <c r="W1484" s="67" t="str">
        <f t="shared" si="119"/>
        <v>-</v>
      </c>
    </row>
    <row r="1485" spans="1:23" x14ac:dyDescent="0.3">
      <c r="A1485" s="6" t="s">
        <v>3582</v>
      </c>
      <c r="B1485" s="6" t="s">
        <v>544</v>
      </c>
      <c r="C1485" s="6">
        <v>9143336417</v>
      </c>
      <c r="D1485" s="6" t="s">
        <v>20</v>
      </c>
      <c r="E1485" s="6" t="s">
        <v>641</v>
      </c>
      <c r="F1485" s="6" t="s">
        <v>642</v>
      </c>
      <c r="G1485" s="6" t="s">
        <v>1623</v>
      </c>
      <c r="H1485" s="6" t="s">
        <v>3213</v>
      </c>
      <c r="I1485" s="2" t="str">
        <f t="shared" si="115"/>
        <v>Mar</v>
      </c>
      <c r="J1485" s="2">
        <f t="shared" si="116"/>
        <v>3</v>
      </c>
      <c r="K1485" s="2">
        <f t="shared" si="117"/>
        <v>2025</v>
      </c>
      <c r="L1485" s="2">
        <f t="shared" si="118"/>
        <v>1</v>
      </c>
      <c r="M1485" s="6">
        <v>7</v>
      </c>
      <c r="N1485" s="6" t="s">
        <v>3583</v>
      </c>
      <c r="O1485" s="6" t="s">
        <v>97</v>
      </c>
      <c r="P1485" s="7">
        <v>195994</v>
      </c>
      <c r="Q1485" s="7">
        <v>199777</v>
      </c>
      <c r="R1485" s="6" t="s">
        <v>3584</v>
      </c>
      <c r="S1485" s="6" t="s">
        <v>5819</v>
      </c>
      <c r="T1485" s="6">
        <v>11.1</v>
      </c>
      <c r="U1485" s="6" t="s">
        <v>63</v>
      </c>
      <c r="V1485" s="6" t="s">
        <v>465</v>
      </c>
      <c r="W1485" s="67" t="str">
        <f t="shared" si="119"/>
        <v>Customer</v>
      </c>
    </row>
    <row r="1486" spans="1:23" x14ac:dyDescent="0.3">
      <c r="A1486" s="2" t="s">
        <v>3585</v>
      </c>
      <c r="B1486" s="2" t="s">
        <v>3586</v>
      </c>
      <c r="C1486" s="2">
        <v>9950874426</v>
      </c>
      <c r="D1486" s="2" t="s">
        <v>51</v>
      </c>
      <c r="E1486" s="2" t="s">
        <v>648</v>
      </c>
      <c r="F1486" s="2" t="s">
        <v>656</v>
      </c>
      <c r="G1486" s="2" t="s">
        <v>1599</v>
      </c>
      <c r="H1486" s="2" t="s">
        <v>3213</v>
      </c>
      <c r="I1486" s="2" t="str">
        <f t="shared" si="115"/>
        <v>Mar</v>
      </c>
      <c r="J1486" s="2">
        <f t="shared" si="116"/>
        <v>3</v>
      </c>
      <c r="K1486" s="2">
        <f t="shared" si="117"/>
        <v>2025</v>
      </c>
      <c r="L1486" s="2">
        <f t="shared" si="118"/>
        <v>1</v>
      </c>
      <c r="M1486" s="2">
        <v>1</v>
      </c>
      <c r="N1486" s="2" t="s">
        <v>3229</v>
      </c>
      <c r="O1486" s="2" t="s">
        <v>27</v>
      </c>
      <c r="P1486" s="3">
        <v>701556</v>
      </c>
      <c r="Q1486" s="2"/>
      <c r="R1486" s="2"/>
      <c r="S1486" s="2" t="s">
        <v>5574</v>
      </c>
      <c r="T1486" s="2">
        <v>4.7</v>
      </c>
      <c r="U1486" s="2" t="s">
        <v>47</v>
      </c>
      <c r="V1486" s="2" t="s">
        <v>30</v>
      </c>
      <c r="W1486" s="67" t="str">
        <f t="shared" si="119"/>
        <v>-</v>
      </c>
    </row>
    <row r="1487" spans="1:23" x14ac:dyDescent="0.3">
      <c r="A1487" s="6" t="s">
        <v>3587</v>
      </c>
      <c r="B1487" s="6" t="s">
        <v>3588</v>
      </c>
      <c r="C1487" s="6">
        <v>9766195088</v>
      </c>
      <c r="D1487" s="6" t="s">
        <v>59</v>
      </c>
      <c r="E1487" s="6" t="s">
        <v>109</v>
      </c>
      <c r="F1487" s="6" t="s">
        <v>217</v>
      </c>
      <c r="G1487" s="6" t="s">
        <v>60</v>
      </c>
      <c r="H1487" s="6" t="s">
        <v>3213</v>
      </c>
      <c r="I1487" s="2" t="str">
        <f t="shared" si="115"/>
        <v>Mar</v>
      </c>
      <c r="J1487" s="2">
        <f t="shared" si="116"/>
        <v>3</v>
      </c>
      <c r="K1487" s="2">
        <f t="shared" si="117"/>
        <v>2025</v>
      </c>
      <c r="L1487" s="2">
        <f t="shared" si="118"/>
        <v>1</v>
      </c>
      <c r="M1487" s="6">
        <v>7</v>
      </c>
      <c r="N1487" s="6" t="s">
        <v>3583</v>
      </c>
      <c r="O1487" s="6" t="s">
        <v>97</v>
      </c>
      <c r="P1487" s="7">
        <v>197504</v>
      </c>
      <c r="Q1487" s="7">
        <v>182683</v>
      </c>
      <c r="R1487" s="6" t="s">
        <v>3482</v>
      </c>
      <c r="S1487" s="6" t="s">
        <v>5574</v>
      </c>
      <c r="T1487" s="6">
        <v>8.8000000000000007</v>
      </c>
      <c r="U1487" s="6" t="s">
        <v>63</v>
      </c>
      <c r="V1487" s="6" t="s">
        <v>465</v>
      </c>
      <c r="W1487" s="67" t="str">
        <f t="shared" si="119"/>
        <v>Customer</v>
      </c>
    </row>
    <row r="1488" spans="1:23" x14ac:dyDescent="0.3">
      <c r="A1488" s="2" t="s">
        <v>3589</v>
      </c>
      <c r="B1488" s="2" t="s">
        <v>1967</v>
      </c>
      <c r="C1488" s="2">
        <v>9796641699</v>
      </c>
      <c r="D1488" s="2" t="s">
        <v>20</v>
      </c>
      <c r="E1488" s="2" t="s">
        <v>641</v>
      </c>
      <c r="F1488" s="2" t="s">
        <v>717</v>
      </c>
      <c r="G1488" s="2" t="s">
        <v>60</v>
      </c>
      <c r="H1488" s="2" t="s">
        <v>3441</v>
      </c>
      <c r="I1488" s="2" t="str">
        <f t="shared" si="115"/>
        <v>Mar</v>
      </c>
      <c r="J1488" s="2">
        <f t="shared" si="116"/>
        <v>3</v>
      </c>
      <c r="K1488" s="2">
        <f t="shared" si="117"/>
        <v>2025</v>
      </c>
      <c r="L1488" s="2">
        <f t="shared" si="118"/>
        <v>1</v>
      </c>
      <c r="M1488" s="2"/>
      <c r="N1488" s="2" t="s">
        <v>3505</v>
      </c>
      <c r="O1488" s="2" t="s">
        <v>27</v>
      </c>
      <c r="P1488" s="3">
        <v>197684</v>
      </c>
      <c r="Q1488" s="2"/>
      <c r="R1488" s="2"/>
      <c r="S1488" s="2" t="s">
        <v>5574</v>
      </c>
      <c r="T1488" s="2">
        <v>8.6999999999999993</v>
      </c>
      <c r="U1488" s="2" t="s">
        <v>29</v>
      </c>
      <c r="V1488" s="2" t="s">
        <v>123</v>
      </c>
      <c r="W1488" s="67" t="str">
        <f t="shared" si="119"/>
        <v>-</v>
      </c>
    </row>
    <row r="1489" spans="1:23" x14ac:dyDescent="0.3">
      <c r="A1489" s="8" t="s">
        <v>3590</v>
      </c>
      <c r="B1489" s="8" t="s">
        <v>940</v>
      </c>
      <c r="C1489" s="8">
        <v>9367664010</v>
      </c>
      <c r="D1489" s="8" t="s">
        <v>108</v>
      </c>
      <c r="E1489" s="8" t="s">
        <v>648</v>
      </c>
      <c r="F1489" s="8" t="s">
        <v>656</v>
      </c>
      <c r="G1489" s="8" t="s">
        <v>87</v>
      </c>
      <c r="H1489" s="8" t="s">
        <v>3441</v>
      </c>
      <c r="I1489" s="2" t="str">
        <f t="shared" si="115"/>
        <v>Mar</v>
      </c>
      <c r="J1489" s="2">
        <f t="shared" si="116"/>
        <v>3</v>
      </c>
      <c r="K1489" s="2">
        <f t="shared" si="117"/>
        <v>2025</v>
      </c>
      <c r="L1489" s="2">
        <f t="shared" si="118"/>
        <v>1</v>
      </c>
      <c r="M1489" s="8">
        <v>12</v>
      </c>
      <c r="N1489" s="8" t="s">
        <v>3591</v>
      </c>
      <c r="O1489" s="8" t="s">
        <v>97</v>
      </c>
      <c r="P1489" s="9">
        <v>231552</v>
      </c>
      <c r="Q1489" s="9">
        <v>224847</v>
      </c>
      <c r="R1489" s="8" t="s">
        <v>3592</v>
      </c>
      <c r="S1489" s="8" t="s">
        <v>5573</v>
      </c>
      <c r="T1489" s="8">
        <v>20.5</v>
      </c>
      <c r="U1489" s="8" t="s">
        <v>63</v>
      </c>
      <c r="V1489" s="8" t="s">
        <v>341</v>
      </c>
      <c r="W1489" s="67" t="str">
        <f t="shared" si="119"/>
        <v>Customer</v>
      </c>
    </row>
    <row r="1490" spans="1:23" x14ac:dyDescent="0.3">
      <c r="A1490" s="2" t="s">
        <v>3593</v>
      </c>
      <c r="B1490" s="2" t="s">
        <v>3594</v>
      </c>
      <c r="C1490" s="2"/>
      <c r="D1490" s="2" t="s">
        <v>59</v>
      </c>
      <c r="E1490" s="2" t="s">
        <v>648</v>
      </c>
      <c r="F1490" s="2" t="s">
        <v>899</v>
      </c>
      <c r="G1490" s="2" t="s">
        <v>23</v>
      </c>
      <c r="H1490" s="2" t="s">
        <v>3441</v>
      </c>
      <c r="I1490" s="2" t="str">
        <f t="shared" si="115"/>
        <v>Mar</v>
      </c>
      <c r="J1490" s="2">
        <f t="shared" si="116"/>
        <v>3</v>
      </c>
      <c r="K1490" s="2">
        <f t="shared" si="117"/>
        <v>2025</v>
      </c>
      <c r="L1490" s="2">
        <f t="shared" si="118"/>
        <v>1</v>
      </c>
      <c r="M1490" s="2">
        <v>7</v>
      </c>
      <c r="N1490" s="2" t="s">
        <v>3381</v>
      </c>
      <c r="O1490" s="2" t="s">
        <v>27</v>
      </c>
      <c r="P1490" s="3">
        <v>398920</v>
      </c>
      <c r="Q1490" s="2"/>
      <c r="R1490" s="2"/>
      <c r="S1490" s="2" t="s">
        <v>5573</v>
      </c>
      <c r="T1490" s="2">
        <v>23.5</v>
      </c>
      <c r="U1490" s="2" t="s">
        <v>29</v>
      </c>
      <c r="V1490" s="2" t="s">
        <v>3513</v>
      </c>
      <c r="W1490" s="67" t="str">
        <f t="shared" si="119"/>
        <v>-</v>
      </c>
    </row>
    <row r="1491" spans="1:23" x14ac:dyDescent="0.3">
      <c r="A1491" s="4" t="s">
        <v>3595</v>
      </c>
      <c r="B1491" s="4" t="s">
        <v>283</v>
      </c>
      <c r="C1491" s="4">
        <v>9166253067</v>
      </c>
      <c r="D1491" s="4" t="s">
        <v>51</v>
      </c>
      <c r="E1491" s="4" t="s">
        <v>41</v>
      </c>
      <c r="F1491" s="4" t="s">
        <v>86</v>
      </c>
      <c r="G1491" s="4" t="s">
        <v>1599</v>
      </c>
      <c r="H1491" s="4" t="s">
        <v>3441</v>
      </c>
      <c r="I1491" s="2" t="str">
        <f t="shared" si="115"/>
        <v>Mar</v>
      </c>
      <c r="J1491" s="2">
        <f t="shared" si="116"/>
        <v>3</v>
      </c>
      <c r="K1491" s="2">
        <f t="shared" si="117"/>
        <v>2025</v>
      </c>
      <c r="L1491" s="2">
        <f t="shared" si="118"/>
        <v>1</v>
      </c>
      <c r="M1491" s="4">
        <v>2</v>
      </c>
      <c r="N1491" s="4" t="s">
        <v>3462</v>
      </c>
      <c r="O1491" s="4" t="s">
        <v>62</v>
      </c>
      <c r="P1491" s="5">
        <v>983047</v>
      </c>
      <c r="Q1491" s="4"/>
      <c r="R1491" s="4"/>
      <c r="S1491" s="4" t="s">
        <v>5574</v>
      </c>
      <c r="T1491" s="4">
        <v>33.9</v>
      </c>
      <c r="U1491" s="4" t="s">
        <v>47</v>
      </c>
      <c r="V1491" s="4" t="s">
        <v>183</v>
      </c>
      <c r="W1491" s="67" t="str">
        <f t="shared" si="119"/>
        <v>-</v>
      </c>
    </row>
    <row r="1492" spans="1:23" x14ac:dyDescent="0.3">
      <c r="A1492" s="2" t="s">
        <v>3596</v>
      </c>
      <c r="B1492" s="2" t="s">
        <v>3597</v>
      </c>
      <c r="C1492" s="2">
        <v>9730700395</v>
      </c>
      <c r="D1492" s="2" t="s">
        <v>108</v>
      </c>
      <c r="E1492" s="2" t="s">
        <v>648</v>
      </c>
      <c r="F1492" s="2" t="s">
        <v>822</v>
      </c>
      <c r="G1492" s="2" t="s">
        <v>3302</v>
      </c>
      <c r="H1492" s="2" t="s">
        <v>3441</v>
      </c>
      <c r="I1492" s="2" t="str">
        <f t="shared" si="115"/>
        <v>Mar</v>
      </c>
      <c r="J1492" s="2">
        <f t="shared" si="116"/>
        <v>3</v>
      </c>
      <c r="K1492" s="2">
        <f t="shared" si="117"/>
        <v>2025</v>
      </c>
      <c r="L1492" s="2">
        <f t="shared" si="118"/>
        <v>1</v>
      </c>
      <c r="M1492" s="2">
        <v>0</v>
      </c>
      <c r="N1492" s="2" t="s">
        <v>3290</v>
      </c>
      <c r="O1492" s="2" t="s">
        <v>45</v>
      </c>
      <c r="P1492" s="3">
        <v>2305206</v>
      </c>
      <c r="Q1492" s="2"/>
      <c r="R1492" s="2"/>
      <c r="S1492" s="2" t="s">
        <v>5819</v>
      </c>
      <c r="T1492" s="2">
        <v>25.8</v>
      </c>
      <c r="U1492" s="2" t="s">
        <v>63</v>
      </c>
      <c r="V1492" s="2" t="s">
        <v>559</v>
      </c>
      <c r="W1492" s="67" t="str">
        <f t="shared" si="119"/>
        <v>-</v>
      </c>
    </row>
    <row r="1493" spans="1:23" x14ac:dyDescent="0.3">
      <c r="A1493" s="4" t="s">
        <v>3598</v>
      </c>
      <c r="B1493" s="4" t="s">
        <v>3599</v>
      </c>
      <c r="C1493" s="4">
        <v>9900480028</v>
      </c>
      <c r="D1493" s="4" t="s">
        <v>51</v>
      </c>
      <c r="E1493" s="4" t="s">
        <v>67</v>
      </c>
      <c r="F1493" s="4" t="s">
        <v>68</v>
      </c>
      <c r="G1493" s="4" t="s">
        <v>60</v>
      </c>
      <c r="H1493" s="4" t="s">
        <v>3441</v>
      </c>
      <c r="I1493" s="2" t="str">
        <f t="shared" si="115"/>
        <v>Mar</v>
      </c>
      <c r="J1493" s="2">
        <f t="shared" si="116"/>
        <v>3</v>
      </c>
      <c r="K1493" s="2">
        <f t="shared" si="117"/>
        <v>2025</v>
      </c>
      <c r="L1493" s="2">
        <f t="shared" si="118"/>
        <v>1</v>
      </c>
      <c r="M1493" s="4">
        <v>10</v>
      </c>
      <c r="N1493" s="4" t="s">
        <v>3482</v>
      </c>
      <c r="O1493" s="4" t="s">
        <v>62</v>
      </c>
      <c r="P1493" s="5">
        <v>265806</v>
      </c>
      <c r="Q1493" s="4"/>
      <c r="R1493" s="4"/>
      <c r="S1493" s="4" t="s">
        <v>5573</v>
      </c>
      <c r="T1493" s="4">
        <v>10.3</v>
      </c>
      <c r="U1493" s="4" t="s">
        <v>63</v>
      </c>
      <c r="V1493" s="4" t="s">
        <v>221</v>
      </c>
      <c r="W1493" s="67" t="str">
        <f t="shared" si="119"/>
        <v>-</v>
      </c>
    </row>
    <row r="1494" spans="1:23" x14ac:dyDescent="0.3">
      <c r="A1494" s="2" t="s">
        <v>3600</v>
      </c>
      <c r="B1494" s="2" t="s">
        <v>3601</v>
      </c>
      <c r="C1494" s="2">
        <v>9569812347</v>
      </c>
      <c r="D1494" s="2" t="s">
        <v>121</v>
      </c>
      <c r="E1494" s="2" t="s">
        <v>641</v>
      </c>
      <c r="F1494" s="2" t="s">
        <v>717</v>
      </c>
      <c r="G1494" s="2" t="s">
        <v>1599</v>
      </c>
      <c r="H1494" s="2" t="s">
        <v>3367</v>
      </c>
      <c r="I1494" s="2" t="str">
        <f t="shared" si="115"/>
        <v>Mar</v>
      </c>
      <c r="J1494" s="2">
        <f t="shared" si="116"/>
        <v>3</v>
      </c>
      <c r="K1494" s="2">
        <f t="shared" si="117"/>
        <v>2025</v>
      </c>
      <c r="L1494" s="2">
        <f t="shared" si="118"/>
        <v>1</v>
      </c>
      <c r="M1494" s="2">
        <v>11</v>
      </c>
      <c r="N1494" s="2" t="s">
        <v>3602</v>
      </c>
      <c r="O1494" s="2" t="s">
        <v>62</v>
      </c>
      <c r="P1494" s="3">
        <v>988852</v>
      </c>
      <c r="Q1494" s="2"/>
      <c r="R1494" s="2"/>
      <c r="S1494" s="2" t="s">
        <v>5819</v>
      </c>
      <c r="T1494" s="2">
        <v>14.7</v>
      </c>
      <c r="U1494" s="2" t="s">
        <v>63</v>
      </c>
      <c r="V1494" s="2" t="s">
        <v>64</v>
      </c>
      <c r="W1494" s="67" t="str">
        <f t="shared" si="119"/>
        <v>-</v>
      </c>
    </row>
    <row r="1495" spans="1:23" x14ac:dyDescent="0.3">
      <c r="A1495" s="4" t="s">
        <v>3603</v>
      </c>
      <c r="B1495" s="4" t="s">
        <v>3604</v>
      </c>
      <c r="C1495" s="4">
        <v>9824326118</v>
      </c>
      <c r="D1495" s="4" t="s">
        <v>121</v>
      </c>
      <c r="E1495" s="4" t="s">
        <v>21</v>
      </c>
      <c r="F1495" s="4" t="s">
        <v>160</v>
      </c>
      <c r="G1495" s="4" t="s">
        <v>1623</v>
      </c>
      <c r="H1495" s="4" t="s">
        <v>3367</v>
      </c>
      <c r="I1495" s="2" t="str">
        <f t="shared" si="115"/>
        <v>Mar</v>
      </c>
      <c r="J1495" s="2">
        <f t="shared" si="116"/>
        <v>3</v>
      </c>
      <c r="K1495" s="2">
        <f t="shared" si="117"/>
        <v>2025</v>
      </c>
      <c r="L1495" s="2">
        <f t="shared" si="118"/>
        <v>1</v>
      </c>
      <c r="M1495" s="4">
        <v>2</v>
      </c>
      <c r="N1495" s="4" t="s">
        <v>3411</v>
      </c>
      <c r="O1495" s="4" t="s">
        <v>27</v>
      </c>
      <c r="P1495" s="5">
        <v>361961</v>
      </c>
      <c r="Q1495" s="4"/>
      <c r="R1495" s="4"/>
      <c r="S1495" s="4" t="s">
        <v>5573</v>
      </c>
      <c r="T1495" s="4">
        <v>25.5</v>
      </c>
      <c r="U1495" s="4" t="s">
        <v>29</v>
      </c>
      <c r="V1495" s="4"/>
      <c r="W1495" s="67" t="str">
        <f t="shared" si="119"/>
        <v>-</v>
      </c>
    </row>
    <row r="1496" spans="1:23" x14ac:dyDescent="0.3">
      <c r="A1496" s="2" t="s">
        <v>3605</v>
      </c>
      <c r="B1496" s="2" t="s">
        <v>3606</v>
      </c>
      <c r="C1496" s="2">
        <v>9412605184</v>
      </c>
      <c r="D1496" s="2" t="s">
        <v>59</v>
      </c>
      <c r="E1496" s="2" t="s">
        <v>648</v>
      </c>
      <c r="F1496" s="2" t="s">
        <v>656</v>
      </c>
      <c r="G1496" s="2" t="s">
        <v>52</v>
      </c>
      <c r="H1496" s="2" t="s">
        <v>3532</v>
      </c>
      <c r="I1496" s="2" t="str">
        <f t="shared" si="115"/>
        <v>Mar</v>
      </c>
      <c r="J1496" s="2">
        <f t="shared" si="116"/>
        <v>3</v>
      </c>
      <c r="K1496" s="2">
        <f t="shared" si="117"/>
        <v>2025</v>
      </c>
      <c r="L1496" s="2">
        <f t="shared" si="118"/>
        <v>1</v>
      </c>
      <c r="M1496" s="2">
        <v>1</v>
      </c>
      <c r="N1496" s="2" t="s">
        <v>3290</v>
      </c>
      <c r="O1496" s="2" t="s">
        <v>27</v>
      </c>
      <c r="P1496" s="3">
        <v>291235</v>
      </c>
      <c r="Q1496" s="2"/>
      <c r="R1496" s="2"/>
      <c r="S1496" s="2" t="s">
        <v>5573</v>
      </c>
      <c r="T1496" s="2">
        <v>25.1</v>
      </c>
      <c r="U1496" s="2" t="s">
        <v>29</v>
      </c>
      <c r="V1496" s="2" t="s">
        <v>202</v>
      </c>
      <c r="W1496" s="67" t="str">
        <f t="shared" si="119"/>
        <v>-</v>
      </c>
    </row>
    <row r="1497" spans="1:23" x14ac:dyDescent="0.3">
      <c r="A1497" s="8" t="s">
        <v>3607</v>
      </c>
      <c r="B1497" s="8" t="s">
        <v>2344</v>
      </c>
      <c r="C1497" s="8">
        <v>9118247134</v>
      </c>
      <c r="D1497" s="8" t="s">
        <v>59</v>
      </c>
      <c r="E1497" s="8" t="s">
        <v>1632</v>
      </c>
      <c r="F1497" s="8" t="s">
        <v>1694</v>
      </c>
      <c r="G1497" s="8" t="s">
        <v>1735</v>
      </c>
      <c r="H1497" s="8" t="s">
        <v>3532</v>
      </c>
      <c r="I1497" s="2" t="str">
        <f t="shared" si="115"/>
        <v>Mar</v>
      </c>
      <c r="J1497" s="2">
        <f t="shared" si="116"/>
        <v>3</v>
      </c>
      <c r="K1497" s="2">
        <f t="shared" si="117"/>
        <v>2025</v>
      </c>
      <c r="L1497" s="2">
        <f t="shared" si="118"/>
        <v>1</v>
      </c>
      <c r="M1497" s="8">
        <v>9</v>
      </c>
      <c r="N1497" s="8" t="s">
        <v>3602</v>
      </c>
      <c r="O1497" s="8" t="s">
        <v>27</v>
      </c>
      <c r="P1497" s="9">
        <v>1759298</v>
      </c>
      <c r="Q1497" s="8"/>
      <c r="R1497" s="8"/>
      <c r="S1497" s="8" t="s">
        <v>5819</v>
      </c>
      <c r="T1497" s="8">
        <v>17.899999999999999</v>
      </c>
      <c r="U1497" s="8" t="s">
        <v>29</v>
      </c>
      <c r="V1497" s="8" t="s">
        <v>105</v>
      </c>
      <c r="W1497" s="67" t="str">
        <f t="shared" si="119"/>
        <v>-</v>
      </c>
    </row>
    <row r="1498" spans="1:23" x14ac:dyDescent="0.3">
      <c r="A1498" s="2" t="s">
        <v>3608</v>
      </c>
      <c r="B1498" s="2" t="s">
        <v>2031</v>
      </c>
      <c r="C1498" s="2">
        <v>9696096970</v>
      </c>
      <c r="D1498" s="2" t="s">
        <v>20</v>
      </c>
      <c r="E1498" s="2" t="s">
        <v>41</v>
      </c>
      <c r="F1498" s="2" t="s">
        <v>86</v>
      </c>
      <c r="G1498" s="2" t="s">
        <v>1623</v>
      </c>
      <c r="H1498" s="2" t="s">
        <v>3532</v>
      </c>
      <c r="I1498" s="2" t="str">
        <f t="shared" si="115"/>
        <v>Mar</v>
      </c>
      <c r="J1498" s="2">
        <f t="shared" si="116"/>
        <v>3</v>
      </c>
      <c r="K1498" s="2">
        <f t="shared" si="117"/>
        <v>2025</v>
      </c>
      <c r="L1498" s="2">
        <f t="shared" si="118"/>
        <v>1</v>
      </c>
      <c r="M1498" s="2">
        <v>0</v>
      </c>
      <c r="N1498" s="2" t="s">
        <v>3257</v>
      </c>
      <c r="O1498" s="2" t="s">
        <v>62</v>
      </c>
      <c r="P1498" s="3">
        <v>382906</v>
      </c>
      <c r="Q1498" s="2"/>
      <c r="R1498" s="2"/>
      <c r="S1498" s="2" t="s">
        <v>5819</v>
      </c>
      <c r="T1498" s="2">
        <v>6.2</v>
      </c>
      <c r="U1498" s="2" t="s">
        <v>63</v>
      </c>
      <c r="V1498" s="2"/>
      <c r="W1498" s="67" t="str">
        <f t="shared" si="119"/>
        <v>-</v>
      </c>
    </row>
    <row r="1499" spans="1:23" x14ac:dyDescent="0.3">
      <c r="A1499" s="4" t="s">
        <v>3609</v>
      </c>
      <c r="B1499" s="4" t="s">
        <v>1788</v>
      </c>
      <c r="C1499" s="4">
        <v>9899963146</v>
      </c>
      <c r="D1499" s="4" t="s">
        <v>51</v>
      </c>
      <c r="E1499" s="4" t="s">
        <v>648</v>
      </c>
      <c r="F1499" s="4" t="s">
        <v>822</v>
      </c>
      <c r="G1499" s="4" t="s">
        <v>87</v>
      </c>
      <c r="H1499" s="4" t="s">
        <v>3363</v>
      </c>
      <c r="I1499" s="2" t="str">
        <f t="shared" si="115"/>
        <v>Mar</v>
      </c>
      <c r="J1499" s="2">
        <f t="shared" si="116"/>
        <v>3</v>
      </c>
      <c r="K1499" s="2">
        <f t="shared" si="117"/>
        <v>2025</v>
      </c>
      <c r="L1499" s="2">
        <f t="shared" si="118"/>
        <v>1</v>
      </c>
      <c r="M1499" s="4">
        <v>12</v>
      </c>
      <c r="N1499" s="4" t="s">
        <v>3576</v>
      </c>
      <c r="O1499" s="4" t="s">
        <v>27</v>
      </c>
      <c r="P1499" s="5">
        <v>215685</v>
      </c>
      <c r="Q1499" s="4"/>
      <c r="R1499" s="4"/>
      <c r="S1499" s="4" t="s">
        <v>5819</v>
      </c>
      <c r="T1499" s="4">
        <v>19.3</v>
      </c>
      <c r="U1499" s="4" t="s">
        <v>29</v>
      </c>
      <c r="V1499" s="4" t="s">
        <v>118</v>
      </c>
      <c r="W1499" s="67" t="str">
        <f t="shared" si="119"/>
        <v>-</v>
      </c>
    </row>
    <row r="1500" spans="1:23" x14ac:dyDescent="0.3">
      <c r="A1500" s="2" t="s">
        <v>3610</v>
      </c>
      <c r="B1500" s="2" t="s">
        <v>1778</v>
      </c>
      <c r="C1500" s="2">
        <v>9973333566</v>
      </c>
      <c r="D1500" s="2" t="s">
        <v>20</v>
      </c>
      <c r="E1500" s="2" t="s">
        <v>1632</v>
      </c>
      <c r="F1500" s="2" t="s">
        <v>1633</v>
      </c>
      <c r="G1500" s="2" t="s">
        <v>52</v>
      </c>
      <c r="H1500" s="2" t="s">
        <v>3363</v>
      </c>
      <c r="I1500" s="2" t="str">
        <f t="shared" si="115"/>
        <v>Mar</v>
      </c>
      <c r="J1500" s="2">
        <f t="shared" si="116"/>
        <v>3</v>
      </c>
      <c r="K1500" s="2">
        <f t="shared" si="117"/>
        <v>2025</v>
      </c>
      <c r="L1500" s="2">
        <f t="shared" si="118"/>
        <v>1</v>
      </c>
      <c r="M1500" s="2">
        <v>5</v>
      </c>
      <c r="N1500" s="2" t="s">
        <v>3494</v>
      </c>
      <c r="O1500" s="2" t="s">
        <v>27</v>
      </c>
      <c r="P1500" s="3">
        <v>380779</v>
      </c>
      <c r="Q1500" s="2"/>
      <c r="R1500" s="2"/>
      <c r="S1500" s="2" t="s">
        <v>5573</v>
      </c>
      <c r="T1500" s="2">
        <v>8.1</v>
      </c>
      <c r="U1500" s="2" t="s">
        <v>29</v>
      </c>
      <c r="V1500" s="2" t="s">
        <v>30</v>
      </c>
      <c r="W1500" s="67" t="str">
        <f t="shared" si="119"/>
        <v>-</v>
      </c>
    </row>
    <row r="1501" spans="1:23" x14ac:dyDescent="0.3">
      <c r="A1501" s="4" t="s">
        <v>3611</v>
      </c>
      <c r="B1501" s="4" t="s">
        <v>3612</v>
      </c>
      <c r="C1501" s="4"/>
      <c r="D1501" s="4" t="s">
        <v>20</v>
      </c>
      <c r="E1501" s="4" t="s">
        <v>648</v>
      </c>
      <c r="F1501" s="4" t="s">
        <v>656</v>
      </c>
      <c r="G1501" s="4" t="s">
        <v>1599</v>
      </c>
      <c r="H1501" s="4" t="s">
        <v>3272</v>
      </c>
      <c r="I1501" s="2" t="str">
        <f t="shared" si="115"/>
        <v>Mar</v>
      </c>
      <c r="J1501" s="2">
        <f t="shared" si="116"/>
        <v>3</v>
      </c>
      <c r="K1501" s="2">
        <f t="shared" si="117"/>
        <v>2025</v>
      </c>
      <c r="L1501" s="2">
        <f t="shared" si="118"/>
        <v>1</v>
      </c>
      <c r="M1501" s="4">
        <v>12</v>
      </c>
      <c r="N1501" s="4" t="s">
        <v>3613</v>
      </c>
      <c r="O1501" s="4" t="s">
        <v>27</v>
      </c>
      <c r="P1501" s="5">
        <v>539263</v>
      </c>
      <c r="Q1501" s="4"/>
      <c r="R1501" s="4"/>
      <c r="S1501" s="4" t="s">
        <v>5819</v>
      </c>
      <c r="T1501" s="4">
        <v>25.5</v>
      </c>
      <c r="U1501" s="4" t="s">
        <v>29</v>
      </c>
      <c r="V1501" s="4" t="s">
        <v>3513</v>
      </c>
      <c r="W1501" s="67" t="str">
        <f t="shared" si="119"/>
        <v>-</v>
      </c>
    </row>
    <row r="1502" spans="1:23" x14ac:dyDescent="0.3">
      <c r="A1502" s="8" t="s">
        <v>3614</v>
      </c>
      <c r="B1502" s="8" t="s">
        <v>2752</v>
      </c>
      <c r="C1502" s="8">
        <v>9555586900</v>
      </c>
      <c r="D1502" s="8" t="s">
        <v>20</v>
      </c>
      <c r="E1502" s="8" t="s">
        <v>41</v>
      </c>
      <c r="F1502" s="8" t="s">
        <v>92</v>
      </c>
      <c r="G1502" s="8" t="s">
        <v>1621</v>
      </c>
      <c r="H1502" s="8" t="s">
        <v>3272</v>
      </c>
      <c r="I1502" s="2" t="str">
        <f t="shared" si="115"/>
        <v>Mar</v>
      </c>
      <c r="J1502" s="2">
        <f t="shared" si="116"/>
        <v>3</v>
      </c>
      <c r="K1502" s="2">
        <f t="shared" si="117"/>
        <v>2025</v>
      </c>
      <c r="L1502" s="2">
        <f t="shared" si="118"/>
        <v>1</v>
      </c>
      <c r="M1502" s="8">
        <v>2</v>
      </c>
      <c r="N1502" s="8" t="s">
        <v>3370</v>
      </c>
      <c r="O1502" s="8" t="s">
        <v>45</v>
      </c>
      <c r="P1502" s="9">
        <v>512188</v>
      </c>
      <c r="Q1502" s="8"/>
      <c r="R1502" s="8"/>
      <c r="S1502" s="8" t="s">
        <v>5819</v>
      </c>
      <c r="T1502" s="8">
        <v>31.3</v>
      </c>
      <c r="U1502" s="8" t="s">
        <v>47</v>
      </c>
      <c r="V1502" s="8" t="s">
        <v>310</v>
      </c>
      <c r="W1502" s="67" t="str">
        <f t="shared" si="119"/>
        <v>-</v>
      </c>
    </row>
    <row r="1503" spans="1:23" x14ac:dyDescent="0.3">
      <c r="A1503" s="8" t="s">
        <v>3615</v>
      </c>
      <c r="B1503" s="8" t="s">
        <v>1848</v>
      </c>
      <c r="C1503" s="8">
        <v>9453918250</v>
      </c>
      <c r="D1503" s="8" t="s">
        <v>59</v>
      </c>
      <c r="E1503" s="8" t="s">
        <v>21</v>
      </c>
      <c r="F1503" s="8" t="s">
        <v>22</v>
      </c>
      <c r="G1503" s="8" t="s">
        <v>69</v>
      </c>
      <c r="H1503" s="8" t="s">
        <v>3272</v>
      </c>
      <c r="I1503" s="2" t="str">
        <f t="shared" si="115"/>
        <v>Mar</v>
      </c>
      <c r="J1503" s="2">
        <f t="shared" si="116"/>
        <v>3</v>
      </c>
      <c r="K1503" s="2">
        <f t="shared" si="117"/>
        <v>2025</v>
      </c>
      <c r="L1503" s="2">
        <f t="shared" si="118"/>
        <v>1</v>
      </c>
      <c r="M1503" s="8">
        <v>9</v>
      </c>
      <c r="N1503" s="8" t="s">
        <v>3375</v>
      </c>
      <c r="O1503" s="8" t="s">
        <v>97</v>
      </c>
      <c r="P1503" s="9">
        <v>301312</v>
      </c>
      <c r="Q1503" s="9">
        <v>275809</v>
      </c>
      <c r="R1503" s="8" t="s">
        <v>3616</v>
      </c>
      <c r="S1503" s="8" t="s">
        <v>5819</v>
      </c>
      <c r="T1503" s="8">
        <v>12.6</v>
      </c>
      <c r="U1503" s="8" t="s">
        <v>63</v>
      </c>
      <c r="V1503" s="8" t="s">
        <v>341</v>
      </c>
      <c r="W1503" s="67" t="str">
        <f t="shared" si="119"/>
        <v>Customer</v>
      </c>
    </row>
    <row r="1504" spans="1:23" x14ac:dyDescent="0.3">
      <c r="A1504" s="2" t="s">
        <v>3617</v>
      </c>
      <c r="B1504" s="2" t="s">
        <v>3618</v>
      </c>
      <c r="C1504" s="2">
        <v>9326039741</v>
      </c>
      <c r="D1504" s="2" t="s">
        <v>108</v>
      </c>
      <c r="E1504" s="2" t="s">
        <v>1632</v>
      </c>
      <c r="F1504" s="2" t="s">
        <v>1849</v>
      </c>
      <c r="G1504" s="2" t="s">
        <v>1599</v>
      </c>
      <c r="H1504" s="2" t="s">
        <v>3272</v>
      </c>
      <c r="I1504" s="2" t="str">
        <f t="shared" si="115"/>
        <v>Mar</v>
      </c>
      <c r="J1504" s="2">
        <f t="shared" si="116"/>
        <v>3</v>
      </c>
      <c r="K1504" s="2">
        <f t="shared" si="117"/>
        <v>2025</v>
      </c>
      <c r="L1504" s="2">
        <f t="shared" si="118"/>
        <v>1</v>
      </c>
      <c r="M1504" s="2">
        <v>4</v>
      </c>
      <c r="N1504" s="2" t="s">
        <v>3408</v>
      </c>
      <c r="O1504" s="2" t="s">
        <v>27</v>
      </c>
      <c r="P1504" s="3">
        <v>908874</v>
      </c>
      <c r="Q1504" s="2"/>
      <c r="R1504" s="2"/>
      <c r="S1504" s="2" t="s">
        <v>5819</v>
      </c>
      <c r="T1504" s="2">
        <v>35.9</v>
      </c>
      <c r="U1504" s="2" t="s">
        <v>29</v>
      </c>
      <c r="V1504" s="2" t="s">
        <v>118</v>
      </c>
      <c r="W1504" s="67" t="str">
        <f t="shared" si="119"/>
        <v>-</v>
      </c>
    </row>
    <row r="1505" spans="1:23" x14ac:dyDescent="0.3">
      <c r="A1505" s="8" t="s">
        <v>3619</v>
      </c>
      <c r="B1505" s="8" t="s">
        <v>3620</v>
      </c>
      <c r="C1505" s="8">
        <v>9368741801</v>
      </c>
      <c r="D1505" s="8" t="s">
        <v>20</v>
      </c>
      <c r="E1505" s="8" t="s">
        <v>41</v>
      </c>
      <c r="F1505" s="8" t="s">
        <v>42</v>
      </c>
      <c r="G1505" s="8" t="s">
        <v>52</v>
      </c>
      <c r="H1505" s="8" t="s">
        <v>3272</v>
      </c>
      <c r="I1505" s="2" t="str">
        <f t="shared" si="115"/>
        <v>Mar</v>
      </c>
      <c r="J1505" s="2">
        <f t="shared" si="116"/>
        <v>3</v>
      </c>
      <c r="K1505" s="2">
        <f t="shared" si="117"/>
        <v>2025</v>
      </c>
      <c r="L1505" s="2">
        <f t="shared" si="118"/>
        <v>1</v>
      </c>
      <c r="M1505" s="8">
        <v>5</v>
      </c>
      <c r="N1505" s="8" t="s">
        <v>3516</v>
      </c>
      <c r="O1505" s="8" t="s">
        <v>45</v>
      </c>
      <c r="P1505" s="9">
        <v>397661</v>
      </c>
      <c r="Q1505" s="8"/>
      <c r="R1505" s="8"/>
      <c r="S1505" s="8" t="s">
        <v>5819</v>
      </c>
      <c r="T1505" s="8">
        <v>34.700000000000003</v>
      </c>
      <c r="U1505" s="8" t="s">
        <v>63</v>
      </c>
      <c r="V1505" s="8" t="s">
        <v>621</v>
      </c>
      <c r="W1505" s="67" t="str">
        <f t="shared" si="119"/>
        <v>-</v>
      </c>
    </row>
    <row r="1506" spans="1:23" x14ac:dyDescent="0.3">
      <c r="A1506" s="2" t="s">
        <v>3621</v>
      </c>
      <c r="B1506" s="2" t="s">
        <v>40</v>
      </c>
      <c r="C1506" s="2">
        <v>9609782492</v>
      </c>
      <c r="D1506" s="2" t="s">
        <v>20</v>
      </c>
      <c r="E1506" s="2" t="s">
        <v>648</v>
      </c>
      <c r="F1506" s="2" t="s">
        <v>649</v>
      </c>
      <c r="G1506" s="2" t="s">
        <v>69</v>
      </c>
      <c r="H1506" s="2" t="s">
        <v>3290</v>
      </c>
      <c r="I1506" s="2" t="str">
        <f t="shared" si="115"/>
        <v>Mar</v>
      </c>
      <c r="J1506" s="2">
        <f t="shared" si="116"/>
        <v>3</v>
      </c>
      <c r="K1506" s="2">
        <f t="shared" si="117"/>
        <v>2025</v>
      </c>
      <c r="L1506" s="2">
        <f t="shared" si="118"/>
        <v>1</v>
      </c>
      <c r="M1506" s="2">
        <v>9</v>
      </c>
      <c r="N1506" s="2" t="s">
        <v>3616</v>
      </c>
      <c r="O1506" s="2" t="s">
        <v>45</v>
      </c>
      <c r="P1506" s="3">
        <v>137004</v>
      </c>
      <c r="Q1506" s="2"/>
      <c r="R1506" s="2"/>
      <c r="S1506" s="2" t="s">
        <v>5819</v>
      </c>
      <c r="T1506" s="2">
        <v>31.2</v>
      </c>
      <c r="U1506" s="2" t="s">
        <v>47</v>
      </c>
      <c r="V1506" s="2"/>
      <c r="W1506" s="67" t="str">
        <f t="shared" si="119"/>
        <v>-</v>
      </c>
    </row>
    <row r="1507" spans="1:23" x14ac:dyDescent="0.3">
      <c r="A1507" s="4" t="s">
        <v>3622</v>
      </c>
      <c r="B1507" s="4" t="s">
        <v>3623</v>
      </c>
      <c r="C1507" s="4">
        <v>9688027540</v>
      </c>
      <c r="D1507" s="4" t="s">
        <v>108</v>
      </c>
      <c r="E1507" s="4" t="s">
        <v>648</v>
      </c>
      <c r="F1507" s="4" t="s">
        <v>822</v>
      </c>
      <c r="G1507" s="4" t="s">
        <v>1677</v>
      </c>
      <c r="H1507" s="4" t="s">
        <v>3290</v>
      </c>
      <c r="I1507" s="2" t="str">
        <f t="shared" si="115"/>
        <v>Mar</v>
      </c>
      <c r="J1507" s="2">
        <f t="shared" si="116"/>
        <v>3</v>
      </c>
      <c r="K1507" s="2">
        <f t="shared" si="117"/>
        <v>2025</v>
      </c>
      <c r="L1507" s="2">
        <f t="shared" si="118"/>
        <v>1</v>
      </c>
      <c r="M1507" s="4">
        <v>3</v>
      </c>
      <c r="N1507" s="4" t="s">
        <v>3420</v>
      </c>
      <c r="O1507" s="4" t="s">
        <v>45</v>
      </c>
      <c r="P1507" s="5">
        <v>1723767</v>
      </c>
      <c r="Q1507" s="4"/>
      <c r="R1507" s="4"/>
      <c r="S1507" s="4" t="s">
        <v>5819</v>
      </c>
      <c r="T1507" s="4">
        <v>11</v>
      </c>
      <c r="U1507" s="4" t="s">
        <v>47</v>
      </c>
      <c r="V1507" s="4" t="s">
        <v>48</v>
      </c>
      <c r="W1507" s="67" t="str">
        <f t="shared" si="119"/>
        <v>-</v>
      </c>
    </row>
    <row r="1508" spans="1:23" x14ac:dyDescent="0.3">
      <c r="A1508" s="2" t="s">
        <v>3624</v>
      </c>
      <c r="B1508" s="2" t="s">
        <v>492</v>
      </c>
      <c r="C1508" s="2">
        <v>9279918106</v>
      </c>
      <c r="D1508" s="2" t="s">
        <v>20</v>
      </c>
      <c r="E1508" s="2" t="s">
        <v>109</v>
      </c>
      <c r="F1508" s="2" t="s">
        <v>331</v>
      </c>
      <c r="G1508" s="2" t="s">
        <v>1599</v>
      </c>
      <c r="H1508" s="2" t="s">
        <v>3290</v>
      </c>
      <c r="I1508" s="2" t="str">
        <f t="shared" si="115"/>
        <v>Mar</v>
      </c>
      <c r="J1508" s="2">
        <f t="shared" si="116"/>
        <v>3</v>
      </c>
      <c r="K1508" s="2">
        <f t="shared" si="117"/>
        <v>2025</v>
      </c>
      <c r="L1508" s="2">
        <f t="shared" si="118"/>
        <v>1</v>
      </c>
      <c r="M1508" s="2">
        <v>1</v>
      </c>
      <c r="N1508" s="2" t="s">
        <v>3261</v>
      </c>
      <c r="O1508" s="2" t="s">
        <v>62</v>
      </c>
      <c r="P1508" s="3">
        <v>639846</v>
      </c>
      <c r="Q1508" s="2"/>
      <c r="R1508" s="2"/>
      <c r="S1508" s="2" t="s">
        <v>5573</v>
      </c>
      <c r="T1508" s="2">
        <v>6</v>
      </c>
      <c r="U1508" s="2" t="s">
        <v>63</v>
      </c>
      <c r="V1508" s="2" t="s">
        <v>335</v>
      </c>
      <c r="W1508" s="67" t="str">
        <f t="shared" si="119"/>
        <v>-</v>
      </c>
    </row>
    <row r="1509" spans="1:23" x14ac:dyDescent="0.3">
      <c r="A1509" s="4" t="s">
        <v>3625</v>
      </c>
      <c r="B1509" s="4" t="s">
        <v>3626</v>
      </c>
      <c r="C1509" s="4">
        <v>9976784946</v>
      </c>
      <c r="D1509" s="4" t="s">
        <v>20</v>
      </c>
      <c r="E1509" s="4" t="s">
        <v>648</v>
      </c>
      <c r="F1509" s="4" t="s">
        <v>656</v>
      </c>
      <c r="G1509" s="4" t="s">
        <v>643</v>
      </c>
      <c r="H1509" s="4" t="s">
        <v>3290</v>
      </c>
      <c r="I1509" s="2" t="str">
        <f t="shared" si="115"/>
        <v>Mar</v>
      </c>
      <c r="J1509" s="2">
        <f t="shared" si="116"/>
        <v>3</v>
      </c>
      <c r="K1509" s="2">
        <f t="shared" si="117"/>
        <v>2025</v>
      </c>
      <c r="L1509" s="2">
        <f t="shared" si="118"/>
        <v>1</v>
      </c>
      <c r="M1509" s="4">
        <v>7</v>
      </c>
      <c r="N1509" s="4" t="s">
        <v>3627</v>
      </c>
      <c r="O1509" s="4" t="s">
        <v>62</v>
      </c>
      <c r="P1509" s="5">
        <v>1428785</v>
      </c>
      <c r="Q1509" s="4"/>
      <c r="R1509" s="4"/>
      <c r="S1509" s="4" t="s">
        <v>5819</v>
      </c>
      <c r="T1509" s="4">
        <v>32</v>
      </c>
      <c r="U1509" s="4" t="s">
        <v>47</v>
      </c>
      <c r="V1509" s="4" t="s">
        <v>256</v>
      </c>
      <c r="W1509" s="67" t="str">
        <f t="shared" si="119"/>
        <v>-</v>
      </c>
    </row>
    <row r="1510" spans="1:23" x14ac:dyDescent="0.3">
      <c r="A1510" s="6" t="s">
        <v>3628</v>
      </c>
      <c r="B1510" s="6" t="s">
        <v>2325</v>
      </c>
      <c r="C1510" s="6">
        <v>9760159756</v>
      </c>
      <c r="D1510" s="6" t="s">
        <v>20</v>
      </c>
      <c r="E1510" s="6" t="s">
        <v>648</v>
      </c>
      <c r="F1510" s="6" t="s">
        <v>822</v>
      </c>
      <c r="G1510" s="6" t="s">
        <v>1599</v>
      </c>
      <c r="H1510" s="6" t="s">
        <v>3290</v>
      </c>
      <c r="I1510" s="2" t="str">
        <f t="shared" si="115"/>
        <v>Mar</v>
      </c>
      <c r="J1510" s="2">
        <f t="shared" si="116"/>
        <v>3</v>
      </c>
      <c r="K1510" s="2">
        <f t="shared" si="117"/>
        <v>2025</v>
      </c>
      <c r="L1510" s="2">
        <f t="shared" si="118"/>
        <v>1</v>
      </c>
      <c r="M1510" s="6">
        <v>7</v>
      </c>
      <c r="N1510" s="6" t="s">
        <v>3591</v>
      </c>
      <c r="O1510" s="6" t="s">
        <v>97</v>
      </c>
      <c r="P1510" s="7">
        <v>579671</v>
      </c>
      <c r="Q1510" s="7">
        <v>527770</v>
      </c>
      <c r="R1510" s="6" t="s">
        <v>3465</v>
      </c>
      <c r="S1510" s="6" t="s">
        <v>5573</v>
      </c>
      <c r="T1510" s="6">
        <v>15.3</v>
      </c>
      <c r="U1510" s="6" t="s">
        <v>63</v>
      </c>
      <c r="V1510" s="6" t="s">
        <v>341</v>
      </c>
      <c r="W1510" s="67" t="str">
        <f t="shared" si="119"/>
        <v>Customer</v>
      </c>
    </row>
    <row r="1511" spans="1:23" x14ac:dyDescent="0.3">
      <c r="A1511" s="4" t="s">
        <v>3629</v>
      </c>
      <c r="B1511" s="4" t="s">
        <v>40</v>
      </c>
      <c r="C1511" s="4">
        <v>9609782492</v>
      </c>
      <c r="D1511" s="4" t="s">
        <v>20</v>
      </c>
      <c r="E1511" s="4" t="s">
        <v>648</v>
      </c>
      <c r="F1511" s="4" t="s">
        <v>649</v>
      </c>
      <c r="G1511" s="4" t="s">
        <v>69</v>
      </c>
      <c r="H1511" s="4" t="s">
        <v>3290</v>
      </c>
      <c r="I1511" s="2" t="str">
        <f t="shared" si="115"/>
        <v>Mar</v>
      </c>
      <c r="J1511" s="2">
        <f t="shared" si="116"/>
        <v>3</v>
      </c>
      <c r="K1511" s="2">
        <f t="shared" si="117"/>
        <v>2025</v>
      </c>
      <c r="L1511" s="2">
        <f t="shared" si="118"/>
        <v>1</v>
      </c>
      <c r="M1511" s="4">
        <v>9</v>
      </c>
      <c r="N1511" s="4" t="s">
        <v>3616</v>
      </c>
      <c r="O1511" s="4" t="s">
        <v>45</v>
      </c>
      <c r="P1511" s="5">
        <v>210763</v>
      </c>
      <c r="Q1511" s="4"/>
      <c r="R1511" s="4"/>
      <c r="S1511" s="4" t="s">
        <v>5574</v>
      </c>
      <c r="T1511" s="4">
        <v>31.2</v>
      </c>
      <c r="U1511" s="4" t="s">
        <v>47</v>
      </c>
      <c r="V1511" s="4"/>
      <c r="W1511" s="67" t="str">
        <f t="shared" si="119"/>
        <v>-</v>
      </c>
    </row>
    <row r="1512" spans="1:23" x14ac:dyDescent="0.3">
      <c r="A1512" s="6" t="s">
        <v>3630</v>
      </c>
      <c r="B1512" s="6" t="s">
        <v>921</v>
      </c>
      <c r="C1512" s="6">
        <v>9470093554</v>
      </c>
      <c r="D1512" s="6" t="s">
        <v>121</v>
      </c>
      <c r="E1512" s="6" t="s">
        <v>1632</v>
      </c>
      <c r="F1512" s="6" t="s">
        <v>1717</v>
      </c>
      <c r="G1512" s="6" t="s">
        <v>1677</v>
      </c>
      <c r="H1512" s="6" t="s">
        <v>3290</v>
      </c>
      <c r="I1512" s="2" t="str">
        <f t="shared" si="115"/>
        <v>Mar</v>
      </c>
      <c r="J1512" s="2">
        <f t="shared" si="116"/>
        <v>3</v>
      </c>
      <c r="K1512" s="2">
        <f t="shared" si="117"/>
        <v>2025</v>
      </c>
      <c r="L1512" s="2">
        <f t="shared" si="118"/>
        <v>1</v>
      </c>
      <c r="M1512" s="6">
        <v>5</v>
      </c>
      <c r="N1512" s="6" t="s">
        <v>3375</v>
      </c>
      <c r="O1512" s="6" t="s">
        <v>97</v>
      </c>
      <c r="P1512" s="7">
        <v>1238362</v>
      </c>
      <c r="Q1512" s="7">
        <v>1269974</v>
      </c>
      <c r="R1512" s="6" t="s">
        <v>3616</v>
      </c>
      <c r="S1512" s="6" t="s">
        <v>5574</v>
      </c>
      <c r="T1512" s="6">
        <v>10.9</v>
      </c>
      <c r="U1512" s="6" t="s">
        <v>63</v>
      </c>
      <c r="V1512" s="6" t="s">
        <v>907</v>
      </c>
      <c r="W1512" s="67" t="str">
        <f t="shared" si="119"/>
        <v>Customer</v>
      </c>
    </row>
    <row r="1513" spans="1:23" x14ac:dyDescent="0.3">
      <c r="A1513" s="4" t="s">
        <v>3631</v>
      </c>
      <c r="B1513" s="4" t="s">
        <v>3632</v>
      </c>
      <c r="C1513" s="4">
        <v>9455087512</v>
      </c>
      <c r="D1513" s="4" t="s">
        <v>108</v>
      </c>
      <c r="E1513" s="4" t="s">
        <v>41</v>
      </c>
      <c r="F1513" s="4" t="s">
        <v>92</v>
      </c>
      <c r="G1513" s="4" t="s">
        <v>1621</v>
      </c>
      <c r="H1513" s="4" t="s">
        <v>3290</v>
      </c>
      <c r="I1513" s="2" t="str">
        <f t="shared" si="115"/>
        <v>Mar</v>
      </c>
      <c r="J1513" s="2">
        <f t="shared" si="116"/>
        <v>3</v>
      </c>
      <c r="K1513" s="2">
        <f t="shared" si="117"/>
        <v>2025</v>
      </c>
      <c r="L1513" s="2">
        <f t="shared" si="118"/>
        <v>1</v>
      </c>
      <c r="M1513" s="4">
        <v>10</v>
      </c>
      <c r="N1513" s="4" t="s">
        <v>3375</v>
      </c>
      <c r="O1513" s="4" t="s">
        <v>27</v>
      </c>
      <c r="P1513" s="5">
        <v>434844</v>
      </c>
      <c r="Q1513" s="4"/>
      <c r="R1513" s="4"/>
      <c r="S1513" s="4" t="s">
        <v>5573</v>
      </c>
      <c r="T1513" s="4">
        <v>10.6</v>
      </c>
      <c r="U1513" s="4" t="s">
        <v>29</v>
      </c>
      <c r="V1513" s="4" t="s">
        <v>157</v>
      </c>
      <c r="W1513" s="67" t="str">
        <f t="shared" si="119"/>
        <v>-</v>
      </c>
    </row>
    <row r="1514" spans="1:23" x14ac:dyDescent="0.3">
      <c r="A1514" s="2" t="s">
        <v>3633</v>
      </c>
      <c r="B1514" s="2" t="s">
        <v>3634</v>
      </c>
      <c r="C1514" s="2">
        <v>9681708414</v>
      </c>
      <c r="D1514" s="2" t="s">
        <v>59</v>
      </c>
      <c r="E1514" s="2" t="s">
        <v>648</v>
      </c>
      <c r="F1514" s="2" t="s">
        <v>822</v>
      </c>
      <c r="G1514" s="2" t="s">
        <v>23</v>
      </c>
      <c r="H1514" s="2" t="s">
        <v>3303</v>
      </c>
      <c r="I1514" s="2" t="str">
        <f t="shared" si="115"/>
        <v>Mar</v>
      </c>
      <c r="J1514" s="2">
        <f t="shared" si="116"/>
        <v>3</v>
      </c>
      <c r="K1514" s="2">
        <f t="shared" si="117"/>
        <v>2025</v>
      </c>
      <c r="L1514" s="2">
        <f t="shared" si="118"/>
        <v>1</v>
      </c>
      <c r="M1514" s="2">
        <v>9</v>
      </c>
      <c r="N1514" s="2" t="s">
        <v>3505</v>
      </c>
      <c r="O1514" s="2" t="s">
        <v>27</v>
      </c>
      <c r="P1514" s="3">
        <v>581569</v>
      </c>
      <c r="Q1514" s="2"/>
      <c r="R1514" s="2"/>
      <c r="S1514" s="2" t="s">
        <v>5819</v>
      </c>
      <c r="T1514" s="2">
        <v>16.3</v>
      </c>
      <c r="U1514" s="2" t="s">
        <v>29</v>
      </c>
      <c r="V1514" s="2" t="s">
        <v>163</v>
      </c>
      <c r="W1514" s="67" t="str">
        <f t="shared" si="119"/>
        <v>-</v>
      </c>
    </row>
    <row r="1515" spans="1:23" x14ac:dyDescent="0.3">
      <c r="A1515" s="6" t="s">
        <v>3635</v>
      </c>
      <c r="B1515" s="6" t="s">
        <v>3636</v>
      </c>
      <c r="C1515" s="6">
        <v>9324181309</v>
      </c>
      <c r="D1515" s="6" t="s">
        <v>108</v>
      </c>
      <c r="E1515" s="6" t="s">
        <v>1632</v>
      </c>
      <c r="F1515" s="6" t="s">
        <v>1633</v>
      </c>
      <c r="G1515" s="6" t="s">
        <v>23</v>
      </c>
      <c r="H1515" s="6" t="s">
        <v>3303</v>
      </c>
      <c r="I1515" s="2" t="str">
        <f t="shared" si="115"/>
        <v>Mar</v>
      </c>
      <c r="J1515" s="2">
        <f t="shared" si="116"/>
        <v>3</v>
      </c>
      <c r="K1515" s="2">
        <f t="shared" si="117"/>
        <v>2025</v>
      </c>
      <c r="L1515" s="2">
        <f t="shared" si="118"/>
        <v>1</v>
      </c>
      <c r="M1515" s="6">
        <v>5</v>
      </c>
      <c r="N1515" s="6" t="s">
        <v>3557</v>
      </c>
      <c r="O1515" s="6" t="s">
        <v>97</v>
      </c>
      <c r="P1515" s="7">
        <v>659319</v>
      </c>
      <c r="Q1515" s="7">
        <v>606471</v>
      </c>
      <c r="R1515" s="6" t="s">
        <v>3516</v>
      </c>
      <c r="S1515" s="6" t="s">
        <v>5573</v>
      </c>
      <c r="T1515" s="6">
        <v>1.3</v>
      </c>
      <c r="U1515" s="6" t="s">
        <v>47</v>
      </c>
      <c r="V1515" s="6" t="s">
        <v>465</v>
      </c>
      <c r="W1515" s="67" t="str">
        <f t="shared" si="119"/>
        <v>Customer</v>
      </c>
    </row>
    <row r="1516" spans="1:23" x14ac:dyDescent="0.3">
      <c r="A1516" s="2" t="s">
        <v>3637</v>
      </c>
      <c r="B1516" s="2" t="s">
        <v>2130</v>
      </c>
      <c r="C1516" s="2">
        <v>9833919725</v>
      </c>
      <c r="D1516" s="2" t="s">
        <v>59</v>
      </c>
      <c r="E1516" s="2" t="s">
        <v>1632</v>
      </c>
      <c r="F1516" s="2" t="s">
        <v>1633</v>
      </c>
      <c r="G1516" s="2" t="s">
        <v>52</v>
      </c>
      <c r="H1516" s="2" t="s">
        <v>3303</v>
      </c>
      <c r="I1516" s="2" t="str">
        <f t="shared" si="115"/>
        <v>Mar</v>
      </c>
      <c r="J1516" s="2">
        <f t="shared" si="116"/>
        <v>3</v>
      </c>
      <c r="K1516" s="2">
        <f t="shared" si="117"/>
        <v>2025</v>
      </c>
      <c r="L1516" s="2">
        <f t="shared" si="118"/>
        <v>1</v>
      </c>
      <c r="M1516" s="2">
        <v>9</v>
      </c>
      <c r="N1516" s="2" t="s">
        <v>3505</v>
      </c>
      <c r="O1516" s="2" t="s">
        <v>45</v>
      </c>
      <c r="P1516" s="3">
        <v>325826</v>
      </c>
      <c r="Q1516" s="2"/>
      <c r="R1516" s="2"/>
      <c r="S1516" s="2" t="s">
        <v>5574</v>
      </c>
      <c r="T1516" s="2">
        <v>32.799999999999997</v>
      </c>
      <c r="U1516" s="2" t="s">
        <v>47</v>
      </c>
      <c r="V1516" s="2"/>
      <c r="W1516" s="67" t="str">
        <f t="shared" si="119"/>
        <v>-</v>
      </c>
    </row>
    <row r="1517" spans="1:23" x14ac:dyDescent="0.3">
      <c r="A1517" s="6" t="s">
        <v>3638</v>
      </c>
      <c r="B1517" s="6" t="s">
        <v>3639</v>
      </c>
      <c r="C1517" s="6">
        <v>9332344317</v>
      </c>
      <c r="D1517" s="6" t="s">
        <v>20</v>
      </c>
      <c r="E1517" s="6" t="s">
        <v>41</v>
      </c>
      <c r="F1517" s="6" t="s">
        <v>86</v>
      </c>
      <c r="G1517" s="6" t="s">
        <v>1621</v>
      </c>
      <c r="H1517" s="6" t="s">
        <v>3303</v>
      </c>
      <c r="I1517" s="2" t="str">
        <f t="shared" si="115"/>
        <v>Mar</v>
      </c>
      <c r="J1517" s="2">
        <f t="shared" si="116"/>
        <v>3</v>
      </c>
      <c r="K1517" s="2">
        <f t="shared" si="117"/>
        <v>2025</v>
      </c>
      <c r="L1517" s="2">
        <f t="shared" si="118"/>
        <v>1</v>
      </c>
      <c r="M1517" s="6">
        <v>12</v>
      </c>
      <c r="N1517" s="6" t="s">
        <v>3568</v>
      </c>
      <c r="O1517" s="6" t="s">
        <v>97</v>
      </c>
      <c r="P1517" s="7">
        <v>607901</v>
      </c>
      <c r="Q1517" s="7">
        <v>618801</v>
      </c>
      <c r="R1517" s="6" t="s">
        <v>3640</v>
      </c>
      <c r="S1517" s="6" t="s">
        <v>5573</v>
      </c>
      <c r="T1517" s="6">
        <v>18.2</v>
      </c>
      <c r="U1517" s="6" t="s">
        <v>63</v>
      </c>
      <c r="V1517" s="6" t="s">
        <v>483</v>
      </c>
      <c r="W1517" s="67" t="str">
        <f t="shared" si="119"/>
        <v>Customer</v>
      </c>
    </row>
    <row r="1518" spans="1:23" x14ac:dyDescent="0.3">
      <c r="A1518" s="2" t="s">
        <v>3641</v>
      </c>
      <c r="B1518" s="2" t="s">
        <v>1293</v>
      </c>
      <c r="C1518" s="2">
        <v>9637997627</v>
      </c>
      <c r="D1518" s="2" t="s">
        <v>59</v>
      </c>
      <c r="E1518" s="2" t="s">
        <v>73</v>
      </c>
      <c r="F1518" s="2" t="s">
        <v>74</v>
      </c>
      <c r="G1518" s="2" t="s">
        <v>1677</v>
      </c>
      <c r="H1518" s="2" t="s">
        <v>3245</v>
      </c>
      <c r="I1518" s="2" t="str">
        <f t="shared" si="115"/>
        <v>Mar</v>
      </c>
      <c r="J1518" s="2">
        <f t="shared" si="116"/>
        <v>3</v>
      </c>
      <c r="K1518" s="2">
        <f t="shared" si="117"/>
        <v>2025</v>
      </c>
      <c r="L1518" s="2">
        <f t="shared" si="118"/>
        <v>1</v>
      </c>
      <c r="M1518" s="2">
        <v>9</v>
      </c>
      <c r="N1518" s="2" t="s">
        <v>3482</v>
      </c>
      <c r="O1518" s="2" t="s">
        <v>27</v>
      </c>
      <c r="P1518" s="3">
        <v>1187669</v>
      </c>
      <c r="Q1518" s="2"/>
      <c r="R1518" s="2"/>
      <c r="S1518" s="2" t="s">
        <v>5574</v>
      </c>
      <c r="T1518" s="2">
        <v>19.5</v>
      </c>
      <c r="U1518" s="2" t="s">
        <v>29</v>
      </c>
      <c r="V1518" s="2" t="s">
        <v>123</v>
      </c>
      <c r="W1518" s="67" t="str">
        <f t="shared" si="119"/>
        <v>-</v>
      </c>
    </row>
    <row r="1519" spans="1:23" x14ac:dyDescent="0.3">
      <c r="A1519" s="6" t="s">
        <v>3642</v>
      </c>
      <c r="B1519" s="6" t="s">
        <v>3643</v>
      </c>
      <c r="C1519" s="6">
        <v>9458462604</v>
      </c>
      <c r="D1519" s="6" t="s">
        <v>20</v>
      </c>
      <c r="E1519" s="6" t="s">
        <v>21</v>
      </c>
      <c r="F1519" s="6" t="s">
        <v>160</v>
      </c>
      <c r="G1519" s="6" t="s">
        <v>1623</v>
      </c>
      <c r="H1519" s="6" t="s">
        <v>3245</v>
      </c>
      <c r="I1519" s="2" t="str">
        <f t="shared" si="115"/>
        <v>Mar</v>
      </c>
      <c r="J1519" s="2">
        <f t="shared" si="116"/>
        <v>3</v>
      </c>
      <c r="K1519" s="2">
        <f t="shared" si="117"/>
        <v>2025</v>
      </c>
      <c r="L1519" s="2">
        <f t="shared" si="118"/>
        <v>1</v>
      </c>
      <c r="M1519" s="6">
        <v>7</v>
      </c>
      <c r="N1519" s="6" t="s">
        <v>3465</v>
      </c>
      <c r="O1519" s="6" t="s">
        <v>97</v>
      </c>
      <c r="P1519" s="7">
        <v>413088</v>
      </c>
      <c r="Q1519" s="7">
        <v>397533</v>
      </c>
      <c r="R1519" s="6" t="s">
        <v>3644</v>
      </c>
      <c r="S1519" s="6" t="s">
        <v>5573</v>
      </c>
      <c r="T1519" s="6">
        <v>35.9</v>
      </c>
      <c r="U1519" s="6" t="s">
        <v>63</v>
      </c>
      <c r="V1519" s="6" t="s">
        <v>465</v>
      </c>
      <c r="W1519" s="67" t="str">
        <f t="shared" si="119"/>
        <v>Customer</v>
      </c>
    </row>
    <row r="1520" spans="1:23" x14ac:dyDescent="0.3">
      <c r="A1520" s="6" t="s">
        <v>3645</v>
      </c>
      <c r="B1520" s="6" t="s">
        <v>3646</v>
      </c>
      <c r="C1520" s="6">
        <v>9338224905</v>
      </c>
      <c r="D1520" s="6" t="s">
        <v>20</v>
      </c>
      <c r="E1520" s="6" t="s">
        <v>33</v>
      </c>
      <c r="F1520" s="6" t="s">
        <v>201</v>
      </c>
      <c r="G1520" s="6" t="s">
        <v>1677</v>
      </c>
      <c r="H1520" s="6" t="s">
        <v>3245</v>
      </c>
      <c r="I1520" s="2" t="str">
        <f t="shared" si="115"/>
        <v>Mar</v>
      </c>
      <c r="J1520" s="2">
        <f t="shared" si="116"/>
        <v>3</v>
      </c>
      <c r="K1520" s="2">
        <f t="shared" si="117"/>
        <v>2025</v>
      </c>
      <c r="L1520" s="2">
        <f t="shared" si="118"/>
        <v>1</v>
      </c>
      <c r="M1520" s="6">
        <v>11</v>
      </c>
      <c r="N1520" s="6" t="s">
        <v>3627</v>
      </c>
      <c r="O1520" s="6" t="s">
        <v>97</v>
      </c>
      <c r="P1520" s="7">
        <v>1109135</v>
      </c>
      <c r="Q1520" s="7">
        <v>1055950</v>
      </c>
      <c r="R1520" s="6" t="s">
        <v>3647</v>
      </c>
      <c r="S1520" s="6" t="s">
        <v>5573</v>
      </c>
      <c r="T1520" s="6">
        <v>10</v>
      </c>
      <c r="U1520" s="6" t="s">
        <v>63</v>
      </c>
      <c r="V1520" s="6" t="s">
        <v>170</v>
      </c>
      <c r="W1520" s="67" t="str">
        <f t="shared" si="119"/>
        <v>Customer</v>
      </c>
    </row>
    <row r="1521" spans="1:23" x14ac:dyDescent="0.3">
      <c r="A1521" s="4" t="s">
        <v>3648</v>
      </c>
      <c r="B1521" s="4" t="s">
        <v>1440</v>
      </c>
      <c r="C1521" s="4">
        <v>9494795773</v>
      </c>
      <c r="D1521" s="4" t="s">
        <v>121</v>
      </c>
      <c r="E1521" s="4" t="s">
        <v>1632</v>
      </c>
      <c r="F1521" s="4" t="s">
        <v>1633</v>
      </c>
      <c r="G1521" s="4" t="s">
        <v>1677</v>
      </c>
      <c r="H1521" s="4" t="s">
        <v>3245</v>
      </c>
      <c r="I1521" s="2" t="str">
        <f t="shared" si="115"/>
        <v>Mar</v>
      </c>
      <c r="J1521" s="2">
        <f t="shared" si="116"/>
        <v>3</v>
      </c>
      <c r="K1521" s="2">
        <f t="shared" si="117"/>
        <v>2025</v>
      </c>
      <c r="L1521" s="2">
        <f t="shared" si="118"/>
        <v>1</v>
      </c>
      <c r="M1521" s="4">
        <v>6</v>
      </c>
      <c r="N1521" s="4" t="s">
        <v>3649</v>
      </c>
      <c r="O1521" s="4" t="s">
        <v>27</v>
      </c>
      <c r="P1521" s="5">
        <v>1651687</v>
      </c>
      <c r="Q1521" s="4"/>
      <c r="R1521" s="4"/>
      <c r="S1521" s="4" t="s">
        <v>5573</v>
      </c>
      <c r="T1521" s="4">
        <v>34.700000000000003</v>
      </c>
      <c r="U1521" s="4" t="s">
        <v>29</v>
      </c>
      <c r="V1521" s="4" t="s">
        <v>157</v>
      </c>
      <c r="W1521" s="67" t="str">
        <f t="shared" si="119"/>
        <v>-</v>
      </c>
    </row>
    <row r="1522" spans="1:23" x14ac:dyDescent="0.3">
      <c r="A1522" s="2" t="s">
        <v>3650</v>
      </c>
      <c r="B1522" s="2" t="s">
        <v>3651</v>
      </c>
      <c r="C1522" s="2">
        <v>9470663396</v>
      </c>
      <c r="D1522" s="2" t="s">
        <v>20</v>
      </c>
      <c r="E1522" s="2" t="s">
        <v>41</v>
      </c>
      <c r="F1522" s="2" t="s">
        <v>42</v>
      </c>
      <c r="G1522" s="2" t="s">
        <v>1599</v>
      </c>
      <c r="H1522" s="2" t="s">
        <v>3419</v>
      </c>
      <c r="I1522" s="2" t="str">
        <f t="shared" si="115"/>
        <v>Mar</v>
      </c>
      <c r="J1522" s="2">
        <f t="shared" si="116"/>
        <v>3</v>
      </c>
      <c r="K1522" s="2">
        <f t="shared" si="117"/>
        <v>2025</v>
      </c>
      <c r="L1522" s="2">
        <f t="shared" si="118"/>
        <v>1</v>
      </c>
      <c r="M1522" s="2">
        <v>6</v>
      </c>
      <c r="N1522" s="2" t="s">
        <v>3374</v>
      </c>
      <c r="O1522" s="2" t="s">
        <v>45</v>
      </c>
      <c r="P1522" s="3">
        <v>604650</v>
      </c>
      <c r="Q1522" s="2"/>
      <c r="R1522" s="2"/>
      <c r="S1522" s="2" t="s">
        <v>5573</v>
      </c>
      <c r="T1522" s="2">
        <v>3.6</v>
      </c>
      <c r="U1522" s="2" t="s">
        <v>47</v>
      </c>
      <c r="V1522" s="2" t="s">
        <v>48</v>
      </c>
      <c r="W1522" s="67" t="str">
        <f t="shared" si="119"/>
        <v>-</v>
      </c>
    </row>
    <row r="1523" spans="1:23" x14ac:dyDescent="0.3">
      <c r="A1523" s="4" t="s">
        <v>3652</v>
      </c>
      <c r="B1523" s="4" t="s">
        <v>3653</v>
      </c>
      <c r="C1523" s="4">
        <v>9965493516</v>
      </c>
      <c r="D1523" s="4" t="s">
        <v>5356</v>
      </c>
      <c r="E1523" s="4" t="s">
        <v>41</v>
      </c>
      <c r="F1523" s="4" t="s">
        <v>42</v>
      </c>
      <c r="G1523" s="4" t="s">
        <v>52</v>
      </c>
      <c r="H1523" s="4" t="s">
        <v>3419</v>
      </c>
      <c r="I1523" s="2" t="str">
        <f t="shared" si="115"/>
        <v>Mar</v>
      </c>
      <c r="J1523" s="2">
        <f t="shared" si="116"/>
        <v>3</v>
      </c>
      <c r="K1523" s="2">
        <f t="shared" si="117"/>
        <v>2025</v>
      </c>
      <c r="L1523" s="2">
        <f t="shared" si="118"/>
        <v>1</v>
      </c>
      <c r="M1523" s="4">
        <v>0</v>
      </c>
      <c r="N1523" s="4" t="s">
        <v>3261</v>
      </c>
      <c r="O1523" s="4" t="s">
        <v>62</v>
      </c>
      <c r="P1523" s="5">
        <v>183355</v>
      </c>
      <c r="Q1523" s="4"/>
      <c r="R1523" s="4"/>
      <c r="S1523" s="4" t="s">
        <v>5573</v>
      </c>
      <c r="T1523" s="4">
        <v>3.9</v>
      </c>
      <c r="U1523" s="4" t="s">
        <v>63</v>
      </c>
      <c r="V1523" s="4" t="s">
        <v>195</v>
      </c>
      <c r="W1523" s="67" t="str">
        <f t="shared" si="119"/>
        <v>-</v>
      </c>
    </row>
    <row r="1524" spans="1:23" x14ac:dyDescent="0.3">
      <c r="A1524" s="8" t="s">
        <v>3654</v>
      </c>
      <c r="B1524" s="8" t="s">
        <v>3655</v>
      </c>
      <c r="C1524" s="8">
        <v>9656692246</v>
      </c>
      <c r="D1524" s="8" t="s">
        <v>20</v>
      </c>
      <c r="E1524" s="8" t="s">
        <v>648</v>
      </c>
      <c r="F1524" s="8" t="s">
        <v>649</v>
      </c>
      <c r="G1524" s="8" t="s">
        <v>643</v>
      </c>
      <c r="H1524" s="8" t="s">
        <v>3419</v>
      </c>
      <c r="I1524" s="2" t="str">
        <f t="shared" si="115"/>
        <v>Mar</v>
      </c>
      <c r="J1524" s="2">
        <f t="shared" si="116"/>
        <v>3</v>
      </c>
      <c r="K1524" s="2">
        <f t="shared" si="117"/>
        <v>2025</v>
      </c>
      <c r="L1524" s="2">
        <f t="shared" si="118"/>
        <v>1</v>
      </c>
      <c r="M1524" s="8">
        <v>0</v>
      </c>
      <c r="N1524" s="8" t="s">
        <v>3261</v>
      </c>
      <c r="O1524" s="8" t="s">
        <v>45</v>
      </c>
      <c r="P1524" s="9">
        <v>979757</v>
      </c>
      <c r="Q1524" s="8"/>
      <c r="R1524" s="8"/>
      <c r="S1524" s="8" t="s">
        <v>5574</v>
      </c>
      <c r="T1524" s="8">
        <v>33.9</v>
      </c>
      <c r="U1524" s="8" t="s">
        <v>63</v>
      </c>
      <c r="V1524" s="8" t="s">
        <v>678</v>
      </c>
      <c r="W1524" s="67" t="str">
        <f t="shared" si="119"/>
        <v>-</v>
      </c>
    </row>
    <row r="1525" spans="1:23" x14ac:dyDescent="0.3">
      <c r="A1525" s="8" t="s">
        <v>3656</v>
      </c>
      <c r="B1525" s="8" t="s">
        <v>3657</v>
      </c>
      <c r="C1525" s="8">
        <v>9467867499</v>
      </c>
      <c r="D1525" s="8" t="s">
        <v>20</v>
      </c>
      <c r="E1525" s="8" t="s">
        <v>1632</v>
      </c>
      <c r="F1525" s="8" t="s">
        <v>1849</v>
      </c>
      <c r="G1525" s="8" t="s">
        <v>1609</v>
      </c>
      <c r="H1525" s="8" t="s">
        <v>3419</v>
      </c>
      <c r="I1525" s="2" t="str">
        <f t="shared" si="115"/>
        <v>Mar</v>
      </c>
      <c r="J1525" s="2">
        <f t="shared" si="116"/>
        <v>3</v>
      </c>
      <c r="K1525" s="2">
        <f t="shared" si="117"/>
        <v>2025</v>
      </c>
      <c r="L1525" s="2">
        <f t="shared" si="118"/>
        <v>1</v>
      </c>
      <c r="M1525" s="8">
        <v>5</v>
      </c>
      <c r="N1525" s="8" t="s">
        <v>3516</v>
      </c>
      <c r="O1525" s="8" t="s">
        <v>27</v>
      </c>
      <c r="P1525" s="9">
        <v>521687</v>
      </c>
      <c r="Q1525" s="8"/>
      <c r="R1525" s="8"/>
      <c r="S1525" s="8" t="s">
        <v>5573</v>
      </c>
      <c r="T1525" s="8">
        <v>18.100000000000001</v>
      </c>
      <c r="U1525" s="8" t="s">
        <v>29</v>
      </c>
      <c r="V1525" s="8" t="s">
        <v>30</v>
      </c>
      <c r="W1525" s="67" t="str">
        <f t="shared" si="119"/>
        <v>-</v>
      </c>
    </row>
    <row r="1526" spans="1:23" x14ac:dyDescent="0.3">
      <c r="A1526" s="6" t="s">
        <v>3658</v>
      </c>
      <c r="B1526" s="6" t="s">
        <v>3599</v>
      </c>
      <c r="C1526" s="6">
        <v>9954444866</v>
      </c>
      <c r="D1526" s="6" t="s">
        <v>51</v>
      </c>
      <c r="E1526" s="6" t="s">
        <v>33</v>
      </c>
      <c r="F1526" s="6" t="s">
        <v>102</v>
      </c>
      <c r="G1526" s="6" t="s">
        <v>35</v>
      </c>
      <c r="H1526" s="6" t="s">
        <v>3411</v>
      </c>
      <c r="I1526" s="2" t="str">
        <f t="shared" si="115"/>
        <v>Mar</v>
      </c>
      <c r="J1526" s="2">
        <f t="shared" si="116"/>
        <v>3</v>
      </c>
      <c r="K1526" s="2">
        <f t="shared" si="117"/>
        <v>2025</v>
      </c>
      <c r="L1526" s="2">
        <f t="shared" si="118"/>
        <v>1</v>
      </c>
      <c r="M1526" s="6">
        <v>4</v>
      </c>
      <c r="N1526" s="6" t="s">
        <v>3583</v>
      </c>
      <c r="O1526" s="6" t="s">
        <v>97</v>
      </c>
      <c r="P1526" s="7">
        <v>370462</v>
      </c>
      <c r="Q1526" s="7">
        <v>369122</v>
      </c>
      <c r="R1526" s="6" t="s">
        <v>3591</v>
      </c>
      <c r="S1526" s="6" t="s">
        <v>5573</v>
      </c>
      <c r="T1526" s="6">
        <v>12.3</v>
      </c>
      <c r="U1526" s="6" t="s">
        <v>47</v>
      </c>
      <c r="V1526" s="6" t="s">
        <v>99</v>
      </c>
      <c r="W1526" s="67" t="str">
        <f t="shared" si="119"/>
        <v>Customer</v>
      </c>
    </row>
    <row r="1527" spans="1:23" x14ac:dyDescent="0.3">
      <c r="A1527" s="8" t="s">
        <v>3659</v>
      </c>
      <c r="B1527" s="8" t="s">
        <v>3660</v>
      </c>
      <c r="C1527" s="8">
        <v>9805769648</v>
      </c>
      <c r="D1527" s="8" t="s">
        <v>121</v>
      </c>
      <c r="E1527" s="8" t="s">
        <v>641</v>
      </c>
      <c r="F1527" s="8" t="s">
        <v>717</v>
      </c>
      <c r="G1527" s="8" t="s">
        <v>1599</v>
      </c>
      <c r="H1527" s="8" t="s">
        <v>3411</v>
      </c>
      <c r="I1527" s="2" t="str">
        <f t="shared" si="115"/>
        <v>Mar</v>
      </c>
      <c r="J1527" s="2">
        <f t="shared" si="116"/>
        <v>3</v>
      </c>
      <c r="K1527" s="2">
        <f t="shared" si="117"/>
        <v>2025</v>
      </c>
      <c r="L1527" s="2">
        <f t="shared" si="118"/>
        <v>1</v>
      </c>
      <c r="M1527" s="8">
        <v>12</v>
      </c>
      <c r="N1527" s="8" t="s">
        <v>3516</v>
      </c>
      <c r="O1527" s="8" t="s">
        <v>45</v>
      </c>
      <c r="P1527" s="9">
        <v>552825</v>
      </c>
      <c r="Q1527" s="8"/>
      <c r="R1527" s="8"/>
      <c r="S1527" s="8" t="s">
        <v>5573</v>
      </c>
      <c r="T1527" s="8">
        <v>11.9</v>
      </c>
      <c r="U1527" s="8" t="s">
        <v>29</v>
      </c>
      <c r="V1527" s="8" t="s">
        <v>206</v>
      </c>
      <c r="W1527" s="67" t="str">
        <f t="shared" si="119"/>
        <v>-</v>
      </c>
    </row>
    <row r="1528" spans="1:23" x14ac:dyDescent="0.3">
      <c r="A1528" s="8" t="s">
        <v>3661</v>
      </c>
      <c r="B1528" s="8" t="s">
        <v>1788</v>
      </c>
      <c r="C1528" s="8">
        <v>9956342071</v>
      </c>
      <c r="D1528" s="8" t="s">
        <v>108</v>
      </c>
      <c r="E1528" s="8" t="s">
        <v>641</v>
      </c>
      <c r="F1528" s="8" t="s">
        <v>681</v>
      </c>
      <c r="G1528" s="8" t="s">
        <v>1677</v>
      </c>
      <c r="H1528" s="8" t="s">
        <v>3411</v>
      </c>
      <c r="I1528" s="2" t="str">
        <f t="shared" si="115"/>
        <v>Mar</v>
      </c>
      <c r="J1528" s="2">
        <f t="shared" si="116"/>
        <v>3</v>
      </c>
      <c r="K1528" s="2">
        <f t="shared" si="117"/>
        <v>2025</v>
      </c>
      <c r="L1528" s="2">
        <f t="shared" si="118"/>
        <v>1</v>
      </c>
      <c r="M1528" s="8">
        <v>0</v>
      </c>
      <c r="N1528" s="8" t="s">
        <v>3404</v>
      </c>
      <c r="O1528" s="8" t="s">
        <v>27</v>
      </c>
      <c r="P1528" s="9">
        <v>1456837</v>
      </c>
      <c r="Q1528" s="8"/>
      <c r="R1528" s="8"/>
      <c r="S1528" s="8" t="s">
        <v>5819</v>
      </c>
      <c r="T1528" s="8">
        <v>21.4</v>
      </c>
      <c r="U1528" s="8" t="s">
        <v>29</v>
      </c>
      <c r="V1528" s="8" t="s">
        <v>238</v>
      </c>
      <c r="W1528" s="67" t="str">
        <f t="shared" si="119"/>
        <v>-</v>
      </c>
    </row>
    <row r="1529" spans="1:23" x14ac:dyDescent="0.3">
      <c r="A1529" s="6" t="s">
        <v>3662</v>
      </c>
      <c r="B1529" s="6" t="s">
        <v>2022</v>
      </c>
      <c r="C1529" s="6">
        <v>9406801200</v>
      </c>
      <c r="D1529" s="6" t="s">
        <v>20</v>
      </c>
      <c r="E1529" s="6" t="s">
        <v>41</v>
      </c>
      <c r="F1529" s="6" t="s">
        <v>151</v>
      </c>
      <c r="G1529" s="6" t="s">
        <v>23</v>
      </c>
      <c r="H1529" s="6" t="s">
        <v>3411</v>
      </c>
      <c r="I1529" s="2" t="str">
        <f t="shared" si="115"/>
        <v>Mar</v>
      </c>
      <c r="J1529" s="2">
        <f t="shared" si="116"/>
        <v>3</v>
      </c>
      <c r="K1529" s="2">
        <f t="shared" si="117"/>
        <v>2025</v>
      </c>
      <c r="L1529" s="2">
        <f t="shared" si="118"/>
        <v>1</v>
      </c>
      <c r="M1529" s="6">
        <v>11</v>
      </c>
      <c r="N1529" s="6" t="s">
        <v>3482</v>
      </c>
      <c r="O1529" s="6" t="s">
        <v>97</v>
      </c>
      <c r="P1529" s="7">
        <v>642360</v>
      </c>
      <c r="Q1529" s="7">
        <v>606349</v>
      </c>
      <c r="R1529" s="6" t="s">
        <v>3375</v>
      </c>
      <c r="S1529" s="6" t="s">
        <v>5574</v>
      </c>
      <c r="T1529" s="6">
        <v>31</v>
      </c>
      <c r="U1529" s="6" t="s">
        <v>63</v>
      </c>
      <c r="V1529" s="6" t="s">
        <v>483</v>
      </c>
      <c r="W1529" s="67" t="str">
        <f t="shared" si="119"/>
        <v>Architect</v>
      </c>
    </row>
    <row r="1530" spans="1:23" x14ac:dyDescent="0.3">
      <c r="A1530" s="6" t="s">
        <v>3663</v>
      </c>
      <c r="B1530" s="6" t="s">
        <v>249</v>
      </c>
      <c r="C1530" s="6">
        <v>9902837921</v>
      </c>
      <c r="D1530" s="6" t="s">
        <v>59</v>
      </c>
      <c r="E1530" s="6" t="s">
        <v>641</v>
      </c>
      <c r="F1530" s="6" t="s">
        <v>717</v>
      </c>
      <c r="G1530" s="6" t="s">
        <v>1677</v>
      </c>
      <c r="H1530" s="6" t="s">
        <v>3411</v>
      </c>
      <c r="I1530" s="2" t="str">
        <f t="shared" si="115"/>
        <v>Mar</v>
      </c>
      <c r="J1530" s="2">
        <f t="shared" si="116"/>
        <v>3</v>
      </c>
      <c r="K1530" s="2">
        <f t="shared" si="117"/>
        <v>2025</v>
      </c>
      <c r="L1530" s="2">
        <f t="shared" si="118"/>
        <v>1</v>
      </c>
      <c r="M1530" s="6">
        <v>0</v>
      </c>
      <c r="N1530" s="6" t="s">
        <v>3512</v>
      </c>
      <c r="O1530" s="6" t="s">
        <v>97</v>
      </c>
      <c r="P1530" s="7">
        <v>1710415</v>
      </c>
      <c r="Q1530" s="7">
        <v>1703506</v>
      </c>
      <c r="R1530" s="6" t="s">
        <v>3627</v>
      </c>
      <c r="S1530" s="6" t="s">
        <v>5573</v>
      </c>
      <c r="T1530" s="6">
        <v>22.4</v>
      </c>
      <c r="U1530" s="6" t="s">
        <v>63</v>
      </c>
      <c r="V1530" s="6" t="s">
        <v>341</v>
      </c>
      <c r="W1530" s="67" t="str">
        <f t="shared" si="119"/>
        <v>Customer</v>
      </c>
    </row>
    <row r="1531" spans="1:23" x14ac:dyDescent="0.3">
      <c r="A1531" s="4" t="s">
        <v>3664</v>
      </c>
      <c r="B1531" s="4" t="s">
        <v>3665</v>
      </c>
      <c r="C1531" s="4">
        <v>9749140639</v>
      </c>
      <c r="D1531" s="4" t="s">
        <v>121</v>
      </c>
      <c r="E1531" s="4" t="s">
        <v>41</v>
      </c>
      <c r="F1531" s="4" t="s">
        <v>86</v>
      </c>
      <c r="G1531" s="4" t="s">
        <v>1599</v>
      </c>
      <c r="H1531" s="4" t="s">
        <v>3257</v>
      </c>
      <c r="I1531" s="2" t="str">
        <f t="shared" si="115"/>
        <v>Mar</v>
      </c>
      <c r="J1531" s="2">
        <f t="shared" si="116"/>
        <v>3</v>
      </c>
      <c r="K1531" s="2">
        <f t="shared" si="117"/>
        <v>2025</v>
      </c>
      <c r="L1531" s="2">
        <f t="shared" si="118"/>
        <v>1</v>
      </c>
      <c r="M1531" s="4">
        <v>3</v>
      </c>
      <c r="N1531" s="4" t="s">
        <v>3627</v>
      </c>
      <c r="O1531" s="4" t="s">
        <v>45</v>
      </c>
      <c r="P1531" s="5">
        <v>922083</v>
      </c>
      <c r="Q1531" s="4"/>
      <c r="R1531" s="4"/>
      <c r="S1531" s="4" t="s">
        <v>5574</v>
      </c>
      <c r="T1531" s="4">
        <v>16.5</v>
      </c>
      <c r="U1531" s="4" t="s">
        <v>47</v>
      </c>
      <c r="V1531" s="4" t="s">
        <v>302</v>
      </c>
      <c r="W1531" s="67" t="str">
        <f t="shared" si="119"/>
        <v>-</v>
      </c>
    </row>
    <row r="1532" spans="1:23" x14ac:dyDescent="0.3">
      <c r="A1532" s="6" t="s">
        <v>3666</v>
      </c>
      <c r="B1532" s="6" t="s">
        <v>2186</v>
      </c>
      <c r="C1532" s="6">
        <v>9629454290</v>
      </c>
      <c r="D1532" s="6" t="s">
        <v>59</v>
      </c>
      <c r="E1532" s="6" t="s">
        <v>1632</v>
      </c>
      <c r="F1532" s="6" t="s">
        <v>1849</v>
      </c>
      <c r="G1532" s="6" t="s">
        <v>616</v>
      </c>
      <c r="H1532" s="6" t="s">
        <v>3257</v>
      </c>
      <c r="I1532" s="2" t="str">
        <f t="shared" si="115"/>
        <v>Mar</v>
      </c>
      <c r="J1532" s="2">
        <f t="shared" si="116"/>
        <v>3</v>
      </c>
      <c r="K1532" s="2">
        <f t="shared" si="117"/>
        <v>2025</v>
      </c>
      <c r="L1532" s="2">
        <f t="shared" si="118"/>
        <v>1</v>
      </c>
      <c r="M1532" s="6">
        <v>4</v>
      </c>
      <c r="N1532" s="6" t="s">
        <v>3375</v>
      </c>
      <c r="O1532" s="6" t="s">
        <v>97</v>
      </c>
      <c r="P1532" s="7">
        <v>279445</v>
      </c>
      <c r="Q1532" s="7">
        <v>281110</v>
      </c>
      <c r="R1532" s="6" t="s">
        <v>3667</v>
      </c>
      <c r="S1532" s="6" t="s">
        <v>5573</v>
      </c>
      <c r="T1532" s="6">
        <v>6.1</v>
      </c>
      <c r="U1532" s="6" t="s">
        <v>63</v>
      </c>
      <c r="V1532" s="6"/>
      <c r="W1532" s="67" t="str">
        <f t="shared" si="119"/>
        <v>Customer</v>
      </c>
    </row>
    <row r="1533" spans="1:23" x14ac:dyDescent="0.3">
      <c r="A1533" s="4" t="s">
        <v>3668</v>
      </c>
      <c r="B1533" s="4" t="s">
        <v>3669</v>
      </c>
      <c r="C1533" s="4">
        <v>9789868119</v>
      </c>
      <c r="D1533" s="4" t="s">
        <v>20</v>
      </c>
      <c r="E1533" s="4" t="s">
        <v>648</v>
      </c>
      <c r="F1533" s="4" t="s">
        <v>649</v>
      </c>
      <c r="G1533" s="4" t="s">
        <v>643</v>
      </c>
      <c r="H1533" s="4" t="s">
        <v>3257</v>
      </c>
      <c r="I1533" s="2" t="str">
        <f t="shared" si="115"/>
        <v>Mar</v>
      </c>
      <c r="J1533" s="2">
        <f t="shared" si="116"/>
        <v>3</v>
      </c>
      <c r="K1533" s="2">
        <f t="shared" si="117"/>
        <v>2025</v>
      </c>
      <c r="L1533" s="2">
        <f t="shared" si="118"/>
        <v>1</v>
      </c>
      <c r="M1533" s="4">
        <v>1</v>
      </c>
      <c r="N1533" s="4" t="s">
        <v>3258</v>
      </c>
      <c r="O1533" s="4" t="s">
        <v>27</v>
      </c>
      <c r="P1533" s="5">
        <v>1087718</v>
      </c>
      <c r="Q1533" s="4"/>
      <c r="R1533" s="4"/>
      <c r="S1533" s="4" t="s">
        <v>5819</v>
      </c>
      <c r="T1533" s="4">
        <v>29.8</v>
      </c>
      <c r="U1533" s="4" t="s">
        <v>29</v>
      </c>
      <c r="V1533" s="4" t="s">
        <v>118</v>
      </c>
      <c r="W1533" s="67" t="str">
        <f t="shared" si="119"/>
        <v>-</v>
      </c>
    </row>
    <row r="1534" spans="1:23" x14ac:dyDescent="0.3">
      <c r="A1534" s="6" t="s">
        <v>3670</v>
      </c>
      <c r="B1534" s="6" t="s">
        <v>3671</v>
      </c>
      <c r="C1534" s="6">
        <v>9358897885</v>
      </c>
      <c r="D1534" s="6" t="s">
        <v>51</v>
      </c>
      <c r="E1534" s="6" t="s">
        <v>1632</v>
      </c>
      <c r="F1534" s="6" t="s">
        <v>1717</v>
      </c>
      <c r="G1534" s="6" t="s">
        <v>1621</v>
      </c>
      <c r="H1534" s="6" t="s">
        <v>3257</v>
      </c>
      <c r="I1534" s="2" t="str">
        <f t="shared" si="115"/>
        <v>Mar</v>
      </c>
      <c r="J1534" s="2">
        <f t="shared" si="116"/>
        <v>3</v>
      </c>
      <c r="K1534" s="2">
        <f t="shared" si="117"/>
        <v>2025</v>
      </c>
      <c r="L1534" s="2">
        <f t="shared" si="118"/>
        <v>1</v>
      </c>
      <c r="M1534" s="6">
        <v>11</v>
      </c>
      <c r="N1534" s="6" t="s">
        <v>3672</v>
      </c>
      <c r="O1534" s="6" t="s">
        <v>97</v>
      </c>
      <c r="P1534" s="7">
        <v>229996</v>
      </c>
      <c r="Q1534" s="7">
        <v>230063</v>
      </c>
      <c r="R1534" s="6" t="s">
        <v>3613</v>
      </c>
      <c r="S1534" s="6" t="s">
        <v>5574</v>
      </c>
      <c r="T1534" s="6">
        <v>9.6999999999999993</v>
      </c>
      <c r="U1534" s="6" t="s">
        <v>47</v>
      </c>
      <c r="V1534" s="6" t="s">
        <v>295</v>
      </c>
      <c r="W1534" s="67" t="str">
        <f t="shared" si="119"/>
        <v>Customer</v>
      </c>
    </row>
    <row r="1535" spans="1:23" x14ac:dyDescent="0.3">
      <c r="A1535" s="6" t="s">
        <v>3673</v>
      </c>
      <c r="B1535" s="6" t="s">
        <v>2459</v>
      </c>
      <c r="C1535" s="6">
        <v>9957440249</v>
      </c>
      <c r="D1535" s="6" t="s">
        <v>20</v>
      </c>
      <c r="E1535" s="6" t="s">
        <v>41</v>
      </c>
      <c r="F1535" s="6" t="s">
        <v>151</v>
      </c>
      <c r="G1535" s="6" t="s">
        <v>52</v>
      </c>
      <c r="H1535" s="6" t="s">
        <v>3257</v>
      </c>
      <c r="I1535" s="2" t="str">
        <f t="shared" si="115"/>
        <v>Mar</v>
      </c>
      <c r="J1535" s="2">
        <f t="shared" si="116"/>
        <v>3</v>
      </c>
      <c r="K1535" s="2">
        <f t="shared" si="117"/>
        <v>2025</v>
      </c>
      <c r="L1535" s="2">
        <f t="shared" si="118"/>
        <v>1</v>
      </c>
      <c r="M1535" s="6">
        <v>3</v>
      </c>
      <c r="N1535" s="6" t="s">
        <v>3557</v>
      </c>
      <c r="O1535" s="6" t="s">
        <v>97</v>
      </c>
      <c r="P1535" s="7">
        <v>370432</v>
      </c>
      <c r="Q1535" s="7">
        <v>361503</v>
      </c>
      <c r="R1535" s="6" t="s">
        <v>3667</v>
      </c>
      <c r="S1535" s="6" t="s">
        <v>5819</v>
      </c>
      <c r="T1535" s="6">
        <v>12.7</v>
      </c>
      <c r="U1535" s="6" t="s">
        <v>63</v>
      </c>
      <c r="V1535" s="6"/>
      <c r="W1535" s="67" t="str">
        <f t="shared" si="119"/>
        <v>Architect</v>
      </c>
    </row>
    <row r="1536" spans="1:23" x14ac:dyDescent="0.3">
      <c r="A1536" s="2" t="s">
        <v>3674</v>
      </c>
      <c r="B1536" s="2" t="s">
        <v>3675</v>
      </c>
      <c r="C1536" s="2">
        <v>9468583030</v>
      </c>
      <c r="D1536" s="2" t="s">
        <v>59</v>
      </c>
      <c r="E1536" s="2" t="s">
        <v>648</v>
      </c>
      <c r="F1536" s="2" t="s">
        <v>822</v>
      </c>
      <c r="G1536" s="2" t="s">
        <v>23</v>
      </c>
      <c r="H1536" s="2" t="s">
        <v>3422</v>
      </c>
      <c r="I1536" s="2" t="str">
        <f t="shared" si="115"/>
        <v>Mar</v>
      </c>
      <c r="J1536" s="2">
        <f t="shared" si="116"/>
        <v>3</v>
      </c>
      <c r="K1536" s="2">
        <f t="shared" si="117"/>
        <v>2025</v>
      </c>
      <c r="L1536" s="2">
        <f t="shared" si="118"/>
        <v>1</v>
      </c>
      <c r="M1536" s="2">
        <v>3</v>
      </c>
      <c r="N1536" s="2" t="s">
        <v>3494</v>
      </c>
      <c r="O1536" s="2" t="s">
        <v>45</v>
      </c>
      <c r="P1536" s="3">
        <v>616081</v>
      </c>
      <c r="Q1536" s="2"/>
      <c r="R1536" s="2"/>
      <c r="S1536" s="2" t="s">
        <v>5819</v>
      </c>
      <c r="T1536" s="2">
        <v>31.4</v>
      </c>
      <c r="U1536" s="2" t="s">
        <v>63</v>
      </c>
      <c r="V1536" s="2" t="s">
        <v>64</v>
      </c>
      <c r="W1536" s="67" t="str">
        <f t="shared" si="119"/>
        <v>-</v>
      </c>
    </row>
    <row r="1537" spans="1:23" x14ac:dyDescent="0.3">
      <c r="A1537" s="6" t="s">
        <v>3676</v>
      </c>
      <c r="B1537" s="6" t="s">
        <v>509</v>
      </c>
      <c r="C1537" s="6">
        <v>9692769282</v>
      </c>
      <c r="D1537" s="6" t="s">
        <v>59</v>
      </c>
      <c r="E1537" s="6" t="s">
        <v>641</v>
      </c>
      <c r="F1537" s="6" t="s">
        <v>681</v>
      </c>
      <c r="G1537" s="6" t="s">
        <v>60</v>
      </c>
      <c r="H1537" s="6" t="s">
        <v>3422</v>
      </c>
      <c r="I1537" s="2" t="str">
        <f t="shared" si="115"/>
        <v>Mar</v>
      </c>
      <c r="J1537" s="2">
        <f t="shared" si="116"/>
        <v>3</v>
      </c>
      <c r="K1537" s="2">
        <f t="shared" si="117"/>
        <v>2025</v>
      </c>
      <c r="L1537" s="2">
        <f t="shared" si="118"/>
        <v>1</v>
      </c>
      <c r="M1537" s="6">
        <v>12</v>
      </c>
      <c r="N1537" s="6" t="s">
        <v>3677</v>
      </c>
      <c r="O1537" s="6" t="s">
        <v>97</v>
      </c>
      <c r="P1537" s="7">
        <v>72571</v>
      </c>
      <c r="Q1537" s="7">
        <v>69066</v>
      </c>
      <c r="R1537" s="6" t="s">
        <v>3678</v>
      </c>
      <c r="S1537" s="6" t="s">
        <v>5573</v>
      </c>
      <c r="T1537" s="6">
        <v>14.9</v>
      </c>
      <c r="U1537" s="6" t="s">
        <v>63</v>
      </c>
      <c r="V1537" s="6" t="s">
        <v>170</v>
      </c>
      <c r="W1537" s="67" t="str">
        <f t="shared" si="119"/>
        <v>Customer</v>
      </c>
    </row>
    <row r="1538" spans="1:23" x14ac:dyDescent="0.3">
      <c r="A1538" s="2" t="s">
        <v>3679</v>
      </c>
      <c r="B1538" s="2" t="s">
        <v>3680</v>
      </c>
      <c r="C1538" s="2">
        <v>9142341383</v>
      </c>
      <c r="D1538" s="2" t="s">
        <v>59</v>
      </c>
      <c r="E1538" s="2" t="s">
        <v>641</v>
      </c>
      <c r="F1538" s="2" t="s">
        <v>681</v>
      </c>
      <c r="G1538" s="2" t="s">
        <v>52</v>
      </c>
      <c r="H1538" s="2" t="s">
        <v>3422</v>
      </c>
      <c r="I1538" s="2" t="str">
        <f t="shared" ref="I1538:I1601" si="120">TEXT(H1538,"mmm")</f>
        <v>Mar</v>
      </c>
      <c r="J1538" s="2">
        <f t="shared" ref="J1538:J1601" si="121">MONTH(H1538)</f>
        <v>3</v>
      </c>
      <c r="K1538" s="2">
        <f t="shared" ref="K1538:K1601" si="122">YEAR(H1538)</f>
        <v>2025</v>
      </c>
      <c r="L1538" s="2">
        <f t="shared" ref="L1538:L1601" si="123">ROUNDUP(MONTH(H1538)/3,0)</f>
        <v>1</v>
      </c>
      <c r="M1538" s="2">
        <v>9</v>
      </c>
      <c r="N1538" s="2" t="s">
        <v>3557</v>
      </c>
      <c r="O1538" s="2" t="s">
        <v>27</v>
      </c>
      <c r="P1538" s="3">
        <v>562872</v>
      </c>
      <c r="Q1538" s="2"/>
      <c r="R1538" s="2"/>
      <c r="S1538" s="2" t="s">
        <v>5574</v>
      </c>
      <c r="T1538" s="2">
        <v>1.4</v>
      </c>
      <c r="U1538" s="2" t="s">
        <v>47</v>
      </c>
      <c r="V1538" s="2" t="s">
        <v>105</v>
      </c>
      <c r="W1538" s="67" t="str">
        <f t="shared" ref="W1538:W1601" si="124">IF($O1538&lt;&gt;"Converted","-",IF(ISNUMBER(SEARCH("Architect",$F1538)),"Architect","Customer"))</f>
        <v>-</v>
      </c>
    </row>
    <row r="1539" spans="1:23" x14ac:dyDescent="0.3">
      <c r="A1539" s="4" t="s">
        <v>3681</v>
      </c>
      <c r="B1539" s="4" t="s">
        <v>1489</v>
      </c>
      <c r="C1539" s="4">
        <v>9368557996</v>
      </c>
      <c r="D1539" s="4" t="s">
        <v>108</v>
      </c>
      <c r="E1539" s="4" t="s">
        <v>73</v>
      </c>
      <c r="F1539" s="4" t="s">
        <v>74</v>
      </c>
      <c r="G1539" s="4" t="s">
        <v>52</v>
      </c>
      <c r="H1539" s="4" t="s">
        <v>3475</v>
      </c>
      <c r="I1539" s="2" t="str">
        <f t="shared" si="120"/>
        <v>Mar</v>
      </c>
      <c r="J1539" s="2">
        <f t="shared" si="121"/>
        <v>3</v>
      </c>
      <c r="K1539" s="2">
        <f t="shared" si="122"/>
        <v>2025</v>
      </c>
      <c r="L1539" s="2">
        <f t="shared" si="123"/>
        <v>1</v>
      </c>
      <c r="M1539" s="4">
        <v>7</v>
      </c>
      <c r="N1539" s="4" t="s">
        <v>3667</v>
      </c>
      <c r="O1539" s="4" t="s">
        <v>45</v>
      </c>
      <c r="P1539" s="5">
        <v>457508</v>
      </c>
      <c r="Q1539" s="4"/>
      <c r="R1539" s="4"/>
      <c r="S1539" s="4" t="s">
        <v>5574</v>
      </c>
      <c r="T1539" s="4">
        <v>11.3</v>
      </c>
      <c r="U1539" s="4" t="s">
        <v>63</v>
      </c>
      <c r="V1539" s="4" t="s">
        <v>668</v>
      </c>
      <c r="W1539" s="67" t="str">
        <f t="shared" si="124"/>
        <v>-</v>
      </c>
    </row>
    <row r="1540" spans="1:23" x14ac:dyDescent="0.3">
      <c r="A1540" s="8" t="s">
        <v>3682</v>
      </c>
      <c r="B1540" s="8" t="s">
        <v>3683</v>
      </c>
      <c r="C1540" s="8">
        <v>9595474385</v>
      </c>
      <c r="D1540" s="8" t="s">
        <v>59</v>
      </c>
      <c r="E1540" s="8" t="s">
        <v>41</v>
      </c>
      <c r="F1540" s="8" t="s">
        <v>151</v>
      </c>
      <c r="G1540" s="8" t="s">
        <v>23</v>
      </c>
      <c r="H1540" s="8" t="s">
        <v>3475</v>
      </c>
      <c r="I1540" s="2" t="str">
        <f t="shared" si="120"/>
        <v>Mar</v>
      </c>
      <c r="J1540" s="2">
        <f t="shared" si="121"/>
        <v>3</v>
      </c>
      <c r="K1540" s="2">
        <f t="shared" si="122"/>
        <v>2025</v>
      </c>
      <c r="L1540" s="2">
        <f t="shared" si="123"/>
        <v>1</v>
      </c>
      <c r="M1540" s="8">
        <v>7</v>
      </c>
      <c r="N1540" s="8" t="s">
        <v>3647</v>
      </c>
      <c r="O1540" s="8" t="s">
        <v>97</v>
      </c>
      <c r="P1540" s="9">
        <v>658191</v>
      </c>
      <c r="Q1540" s="9">
        <v>621449</v>
      </c>
      <c r="R1540" s="8" t="s">
        <v>3465</v>
      </c>
      <c r="S1540" s="8" t="s">
        <v>5574</v>
      </c>
      <c r="T1540" s="8">
        <v>6.6</v>
      </c>
      <c r="U1540" s="8" t="s">
        <v>63</v>
      </c>
      <c r="V1540" s="8" t="s">
        <v>465</v>
      </c>
      <c r="W1540" s="67" t="str">
        <f t="shared" si="124"/>
        <v>Architect</v>
      </c>
    </row>
    <row r="1541" spans="1:23" x14ac:dyDescent="0.3">
      <c r="A1541" s="8" t="s">
        <v>3684</v>
      </c>
      <c r="B1541" s="8" t="s">
        <v>3685</v>
      </c>
      <c r="C1541" s="8"/>
      <c r="D1541" s="8" t="s">
        <v>20</v>
      </c>
      <c r="E1541" s="8" t="s">
        <v>67</v>
      </c>
      <c r="F1541" s="8" t="s">
        <v>80</v>
      </c>
      <c r="G1541" s="8" t="s">
        <v>87</v>
      </c>
      <c r="H1541" s="8" t="s">
        <v>3462</v>
      </c>
      <c r="I1541" s="2" t="str">
        <f t="shared" si="120"/>
        <v>Mar</v>
      </c>
      <c r="J1541" s="2">
        <f t="shared" si="121"/>
        <v>3</v>
      </c>
      <c r="K1541" s="2">
        <f t="shared" si="122"/>
        <v>2025</v>
      </c>
      <c r="L1541" s="2">
        <f t="shared" si="123"/>
        <v>1</v>
      </c>
      <c r="M1541" s="8">
        <v>6</v>
      </c>
      <c r="N1541" s="8" t="s">
        <v>3374</v>
      </c>
      <c r="O1541" s="8" t="s">
        <v>27</v>
      </c>
      <c r="P1541" s="9">
        <v>152186</v>
      </c>
      <c r="Q1541" s="8"/>
      <c r="R1541" s="8"/>
      <c r="S1541" s="8" t="s">
        <v>5574</v>
      </c>
      <c r="T1541" s="8">
        <v>28.8</v>
      </c>
      <c r="U1541" s="8" t="s">
        <v>29</v>
      </c>
      <c r="V1541" s="8" t="s">
        <v>328</v>
      </c>
      <c r="W1541" s="67" t="str">
        <f t="shared" si="124"/>
        <v>-</v>
      </c>
    </row>
    <row r="1542" spans="1:23" x14ac:dyDescent="0.3">
      <c r="A1542" s="2" t="s">
        <v>3686</v>
      </c>
      <c r="B1542" s="2" t="s">
        <v>3687</v>
      </c>
      <c r="C1542" s="2">
        <v>9511863583</v>
      </c>
      <c r="D1542" s="2" t="s">
        <v>108</v>
      </c>
      <c r="E1542" s="2" t="s">
        <v>648</v>
      </c>
      <c r="F1542" s="2" t="s">
        <v>822</v>
      </c>
      <c r="G1542" s="2" t="s">
        <v>1623</v>
      </c>
      <c r="H1542" s="2" t="s">
        <v>3462</v>
      </c>
      <c r="I1542" s="2" t="str">
        <f t="shared" si="120"/>
        <v>Mar</v>
      </c>
      <c r="J1542" s="2">
        <f t="shared" si="121"/>
        <v>3</v>
      </c>
      <c r="K1542" s="2">
        <f t="shared" si="122"/>
        <v>2025</v>
      </c>
      <c r="L1542" s="2">
        <f t="shared" si="123"/>
        <v>1</v>
      </c>
      <c r="M1542" s="2">
        <v>4</v>
      </c>
      <c r="N1542" s="2" t="s">
        <v>3465</v>
      </c>
      <c r="O1542" s="2" t="s">
        <v>45</v>
      </c>
      <c r="P1542" s="3">
        <v>474330</v>
      </c>
      <c r="Q1542" s="2"/>
      <c r="R1542" s="2"/>
      <c r="S1542" s="2" t="s">
        <v>5573</v>
      </c>
      <c r="T1542" s="2">
        <v>35.6</v>
      </c>
      <c r="U1542" s="2" t="s">
        <v>29</v>
      </c>
      <c r="V1542" s="2" t="s">
        <v>805</v>
      </c>
      <c r="W1542" s="67" t="str">
        <f t="shared" si="124"/>
        <v>-</v>
      </c>
    </row>
    <row r="1543" spans="1:23" x14ac:dyDescent="0.3">
      <c r="A1543" s="6" t="s">
        <v>3688</v>
      </c>
      <c r="B1543" s="6" t="s">
        <v>1784</v>
      </c>
      <c r="C1543" s="6">
        <v>9128894028</v>
      </c>
      <c r="D1543" s="6" t="s">
        <v>108</v>
      </c>
      <c r="E1543" s="6" t="s">
        <v>33</v>
      </c>
      <c r="F1543" s="6" t="s">
        <v>34</v>
      </c>
      <c r="G1543" s="6" t="s">
        <v>1621</v>
      </c>
      <c r="H1543" s="6" t="s">
        <v>3462</v>
      </c>
      <c r="I1543" s="2" t="str">
        <f t="shared" si="120"/>
        <v>Mar</v>
      </c>
      <c r="J1543" s="2">
        <f t="shared" si="121"/>
        <v>3</v>
      </c>
      <c r="K1543" s="2">
        <f t="shared" si="122"/>
        <v>2025</v>
      </c>
      <c r="L1543" s="2">
        <f t="shared" si="123"/>
        <v>1</v>
      </c>
      <c r="M1543" s="6">
        <v>5</v>
      </c>
      <c r="N1543" s="6" t="s">
        <v>3516</v>
      </c>
      <c r="O1543" s="6" t="s">
        <v>97</v>
      </c>
      <c r="P1543" s="7">
        <v>235000</v>
      </c>
      <c r="Q1543" s="7">
        <v>218959</v>
      </c>
      <c r="R1543" s="6" t="s">
        <v>3466</v>
      </c>
      <c r="S1543" s="6" t="s">
        <v>5573</v>
      </c>
      <c r="T1543" s="6">
        <v>1.9</v>
      </c>
      <c r="U1543" s="6" t="s">
        <v>63</v>
      </c>
      <c r="V1543" s="6"/>
      <c r="W1543" s="67" t="str">
        <f t="shared" si="124"/>
        <v>Customer</v>
      </c>
    </row>
    <row r="1544" spans="1:23" x14ac:dyDescent="0.3">
      <c r="A1544" s="6" t="s">
        <v>3689</v>
      </c>
      <c r="B1544" s="6" t="s">
        <v>974</v>
      </c>
      <c r="C1544" s="6">
        <v>9607870785</v>
      </c>
      <c r="D1544" s="6" t="s">
        <v>5356</v>
      </c>
      <c r="E1544" s="6" t="s">
        <v>41</v>
      </c>
      <c r="F1544" s="6" t="s">
        <v>86</v>
      </c>
      <c r="G1544" s="6" t="s">
        <v>52</v>
      </c>
      <c r="H1544" s="6" t="s">
        <v>3462</v>
      </c>
      <c r="I1544" s="2" t="str">
        <f t="shared" si="120"/>
        <v>Mar</v>
      </c>
      <c r="J1544" s="2">
        <f t="shared" si="121"/>
        <v>3</v>
      </c>
      <c r="K1544" s="2">
        <f t="shared" si="122"/>
        <v>2025</v>
      </c>
      <c r="L1544" s="2">
        <f t="shared" si="123"/>
        <v>1</v>
      </c>
      <c r="M1544" s="6">
        <v>3</v>
      </c>
      <c r="N1544" s="6" t="s">
        <v>3381</v>
      </c>
      <c r="O1544" s="6" t="s">
        <v>97</v>
      </c>
      <c r="P1544" s="7">
        <v>374805</v>
      </c>
      <c r="Q1544" s="7">
        <v>346039</v>
      </c>
      <c r="R1544" s="6" t="s">
        <v>3482</v>
      </c>
      <c r="S1544" s="6" t="s">
        <v>5819</v>
      </c>
      <c r="T1544" s="6">
        <v>34.4</v>
      </c>
      <c r="U1544" s="6" t="s">
        <v>63</v>
      </c>
      <c r="V1544" s="6" t="s">
        <v>170</v>
      </c>
      <c r="W1544" s="67" t="str">
        <f t="shared" si="124"/>
        <v>Customer</v>
      </c>
    </row>
    <row r="1545" spans="1:23" x14ac:dyDescent="0.3">
      <c r="A1545" s="6" t="s">
        <v>3690</v>
      </c>
      <c r="B1545" s="6" t="s">
        <v>3046</v>
      </c>
      <c r="C1545" s="6">
        <v>9590236437</v>
      </c>
      <c r="D1545" s="6" t="s">
        <v>20</v>
      </c>
      <c r="E1545" s="6" t="s">
        <v>41</v>
      </c>
      <c r="F1545" s="6" t="s">
        <v>151</v>
      </c>
      <c r="G1545" s="6" t="s">
        <v>87</v>
      </c>
      <c r="H1545" s="6" t="s">
        <v>3462</v>
      </c>
      <c r="I1545" s="2" t="str">
        <f t="shared" si="120"/>
        <v>Mar</v>
      </c>
      <c r="J1545" s="2">
        <f t="shared" si="121"/>
        <v>3</v>
      </c>
      <c r="K1545" s="2">
        <f t="shared" si="122"/>
        <v>2025</v>
      </c>
      <c r="L1545" s="2">
        <f t="shared" si="123"/>
        <v>1</v>
      </c>
      <c r="M1545" s="6">
        <v>1</v>
      </c>
      <c r="N1545" s="6" t="s">
        <v>3420</v>
      </c>
      <c r="O1545" s="6" t="s">
        <v>97</v>
      </c>
      <c r="P1545" s="7">
        <v>324618</v>
      </c>
      <c r="Q1545" s="7">
        <v>300368</v>
      </c>
      <c r="R1545" s="6" t="s">
        <v>3584</v>
      </c>
      <c r="S1545" s="6" t="s">
        <v>5573</v>
      </c>
      <c r="T1545" s="6">
        <v>23.6</v>
      </c>
      <c r="U1545" s="6" t="s">
        <v>47</v>
      </c>
      <c r="V1545" s="6" t="s">
        <v>113</v>
      </c>
      <c r="W1545" s="67" t="str">
        <f t="shared" si="124"/>
        <v>Architect</v>
      </c>
    </row>
    <row r="1546" spans="1:23" x14ac:dyDescent="0.3">
      <c r="A1546" s="2" t="s">
        <v>3691</v>
      </c>
      <c r="B1546" s="2" t="s">
        <v>3692</v>
      </c>
      <c r="C1546" s="2">
        <v>9925269638</v>
      </c>
      <c r="D1546" s="2" t="s">
        <v>20</v>
      </c>
      <c r="E1546" s="2" t="s">
        <v>1632</v>
      </c>
      <c r="F1546" s="2" t="s">
        <v>1849</v>
      </c>
      <c r="G1546" s="2" t="s">
        <v>87</v>
      </c>
      <c r="H1546" s="2" t="s">
        <v>3462</v>
      </c>
      <c r="I1546" s="2" t="str">
        <f t="shared" si="120"/>
        <v>Mar</v>
      </c>
      <c r="J1546" s="2">
        <f t="shared" si="121"/>
        <v>3</v>
      </c>
      <c r="K1546" s="2">
        <f t="shared" si="122"/>
        <v>2025</v>
      </c>
      <c r="L1546" s="2">
        <f t="shared" si="123"/>
        <v>1</v>
      </c>
      <c r="M1546" s="2">
        <v>2</v>
      </c>
      <c r="N1546" s="2" t="s">
        <v>3374</v>
      </c>
      <c r="O1546" s="2" t="s">
        <v>27</v>
      </c>
      <c r="P1546" s="3">
        <v>159585</v>
      </c>
      <c r="Q1546" s="2"/>
      <c r="R1546" s="2"/>
      <c r="S1546" s="2" t="s">
        <v>5574</v>
      </c>
      <c r="T1546" s="2">
        <v>6.5</v>
      </c>
      <c r="U1546" s="2" t="s">
        <v>29</v>
      </c>
      <c r="V1546" s="2" t="s">
        <v>238</v>
      </c>
      <c r="W1546" s="67" t="str">
        <f t="shared" si="124"/>
        <v>-</v>
      </c>
    </row>
    <row r="1547" spans="1:23" x14ac:dyDescent="0.3">
      <c r="A1547" s="4" t="s">
        <v>3693</v>
      </c>
      <c r="B1547" s="4" t="s">
        <v>2367</v>
      </c>
      <c r="C1547" s="4">
        <v>9402625182</v>
      </c>
      <c r="D1547" s="4" t="s">
        <v>108</v>
      </c>
      <c r="E1547" s="4" t="s">
        <v>1632</v>
      </c>
      <c r="F1547" s="4" t="s">
        <v>1849</v>
      </c>
      <c r="G1547" s="4" t="s">
        <v>1609</v>
      </c>
      <c r="H1547" s="4" t="s">
        <v>3404</v>
      </c>
      <c r="I1547" s="2" t="str">
        <f t="shared" si="120"/>
        <v>Mar</v>
      </c>
      <c r="J1547" s="2">
        <f t="shared" si="121"/>
        <v>3</v>
      </c>
      <c r="K1547" s="2">
        <f t="shared" si="122"/>
        <v>2025</v>
      </c>
      <c r="L1547" s="2">
        <f t="shared" si="123"/>
        <v>1</v>
      </c>
      <c r="M1547" s="4">
        <v>4</v>
      </c>
      <c r="N1547" s="4" t="s">
        <v>3694</v>
      </c>
      <c r="O1547" s="4" t="s">
        <v>45</v>
      </c>
      <c r="P1547" s="5">
        <v>489763</v>
      </c>
      <c r="Q1547" s="4"/>
      <c r="R1547" s="4"/>
      <c r="S1547" s="4" t="s">
        <v>5573</v>
      </c>
      <c r="T1547" s="4">
        <v>26.7</v>
      </c>
      <c r="U1547" s="4" t="s">
        <v>63</v>
      </c>
      <c r="V1547" s="4" t="s">
        <v>260</v>
      </c>
      <c r="W1547" s="67" t="str">
        <f t="shared" si="124"/>
        <v>-</v>
      </c>
    </row>
    <row r="1548" spans="1:23" x14ac:dyDescent="0.3">
      <c r="A1548" s="8" t="s">
        <v>3695</v>
      </c>
      <c r="B1548" s="8" t="s">
        <v>1018</v>
      </c>
      <c r="C1548" s="8">
        <v>9619980604</v>
      </c>
      <c r="D1548" s="8" t="s">
        <v>59</v>
      </c>
      <c r="E1548" s="8" t="s">
        <v>641</v>
      </c>
      <c r="F1548" s="8" t="s">
        <v>681</v>
      </c>
      <c r="G1548" s="8" t="s">
        <v>69</v>
      </c>
      <c r="H1548" s="8" t="s">
        <v>3404</v>
      </c>
      <c r="I1548" s="2" t="str">
        <f t="shared" si="120"/>
        <v>Mar</v>
      </c>
      <c r="J1548" s="2">
        <f t="shared" si="121"/>
        <v>3</v>
      </c>
      <c r="K1548" s="2">
        <f t="shared" si="122"/>
        <v>2025</v>
      </c>
      <c r="L1548" s="2">
        <f t="shared" si="123"/>
        <v>1</v>
      </c>
      <c r="M1548" s="8">
        <v>8</v>
      </c>
      <c r="N1548" s="8" t="s">
        <v>3647</v>
      </c>
      <c r="O1548" s="8" t="s">
        <v>27</v>
      </c>
      <c r="P1548" s="9">
        <v>388935</v>
      </c>
      <c r="Q1548" s="8"/>
      <c r="R1548" s="8"/>
      <c r="S1548" s="8" t="s">
        <v>5819</v>
      </c>
      <c r="T1548" s="8">
        <v>30.7</v>
      </c>
      <c r="U1548" s="8" t="s">
        <v>47</v>
      </c>
      <c r="V1548" s="8" t="s">
        <v>30</v>
      </c>
      <c r="W1548" s="67" t="str">
        <f t="shared" si="124"/>
        <v>-</v>
      </c>
    </row>
    <row r="1549" spans="1:23" x14ac:dyDescent="0.3">
      <c r="A1549" s="4" t="s">
        <v>3696</v>
      </c>
      <c r="B1549" s="4" t="s">
        <v>747</v>
      </c>
      <c r="C1549" s="4">
        <v>9798828107</v>
      </c>
      <c r="D1549" s="4" t="s">
        <v>20</v>
      </c>
      <c r="E1549" s="4" t="s">
        <v>41</v>
      </c>
      <c r="F1549" s="4" t="s">
        <v>151</v>
      </c>
      <c r="G1549" s="4" t="s">
        <v>1621</v>
      </c>
      <c r="H1549" s="4" t="s">
        <v>3261</v>
      </c>
      <c r="I1549" s="2" t="str">
        <f t="shared" si="120"/>
        <v>Mar</v>
      </c>
      <c r="J1549" s="2">
        <f t="shared" si="121"/>
        <v>3</v>
      </c>
      <c r="K1549" s="2">
        <f t="shared" si="122"/>
        <v>2025</v>
      </c>
      <c r="L1549" s="2">
        <f t="shared" si="123"/>
        <v>1</v>
      </c>
      <c r="M1549" s="4">
        <v>0</v>
      </c>
      <c r="N1549" s="4" t="s">
        <v>3425</v>
      </c>
      <c r="O1549" s="4" t="s">
        <v>62</v>
      </c>
      <c r="P1549" s="5">
        <v>268008</v>
      </c>
      <c r="Q1549" s="4"/>
      <c r="R1549" s="4"/>
      <c r="S1549" s="4" t="s">
        <v>5574</v>
      </c>
      <c r="T1549" s="4">
        <v>4.7</v>
      </c>
      <c r="U1549" s="4" t="s">
        <v>47</v>
      </c>
      <c r="V1549" s="4" t="s">
        <v>256</v>
      </c>
      <c r="W1549" s="67" t="str">
        <f t="shared" si="124"/>
        <v>-</v>
      </c>
    </row>
    <row r="1550" spans="1:23" x14ac:dyDescent="0.3">
      <c r="A1550" s="6" t="s">
        <v>3697</v>
      </c>
      <c r="B1550" s="6" t="s">
        <v>3698</v>
      </c>
      <c r="C1550" s="6">
        <v>9439408512</v>
      </c>
      <c r="D1550" s="6" t="s">
        <v>121</v>
      </c>
      <c r="E1550" s="6" t="s">
        <v>41</v>
      </c>
      <c r="F1550" s="6" t="s">
        <v>92</v>
      </c>
      <c r="G1550" s="6" t="s">
        <v>52</v>
      </c>
      <c r="H1550" s="6" t="s">
        <v>3261</v>
      </c>
      <c r="I1550" s="2" t="str">
        <f t="shared" si="120"/>
        <v>Mar</v>
      </c>
      <c r="J1550" s="2">
        <f t="shared" si="121"/>
        <v>3</v>
      </c>
      <c r="K1550" s="2">
        <f t="shared" si="122"/>
        <v>2025</v>
      </c>
      <c r="L1550" s="2">
        <f t="shared" si="123"/>
        <v>1</v>
      </c>
      <c r="M1550" s="6">
        <v>10</v>
      </c>
      <c r="N1550" s="6" t="s">
        <v>3699</v>
      </c>
      <c r="O1550" s="6" t="s">
        <v>97</v>
      </c>
      <c r="P1550" s="7">
        <v>199687</v>
      </c>
      <c r="Q1550" s="7">
        <v>182497</v>
      </c>
      <c r="R1550" s="6" t="s">
        <v>3700</v>
      </c>
      <c r="S1550" s="6" t="s">
        <v>5574</v>
      </c>
      <c r="T1550" s="6">
        <v>3.2</v>
      </c>
      <c r="U1550" s="6" t="s">
        <v>63</v>
      </c>
      <c r="V1550" s="6"/>
      <c r="W1550" s="67" t="str">
        <f t="shared" si="124"/>
        <v>Customer</v>
      </c>
    </row>
    <row r="1551" spans="1:23" x14ac:dyDescent="0.3">
      <c r="A1551" s="8" t="s">
        <v>3701</v>
      </c>
      <c r="B1551" s="8" t="s">
        <v>3702</v>
      </c>
      <c r="C1551" s="8">
        <v>9855960167</v>
      </c>
      <c r="D1551" s="8" t="s">
        <v>59</v>
      </c>
      <c r="E1551" s="8" t="s">
        <v>41</v>
      </c>
      <c r="F1551" s="8" t="s">
        <v>86</v>
      </c>
      <c r="G1551" s="8" t="s">
        <v>87</v>
      </c>
      <c r="H1551" s="8" t="s">
        <v>3261</v>
      </c>
      <c r="I1551" s="2" t="str">
        <f t="shared" si="120"/>
        <v>Mar</v>
      </c>
      <c r="J1551" s="2">
        <f t="shared" si="121"/>
        <v>3</v>
      </c>
      <c r="K1551" s="2">
        <f t="shared" si="122"/>
        <v>2025</v>
      </c>
      <c r="L1551" s="2">
        <f t="shared" si="123"/>
        <v>1</v>
      </c>
      <c r="M1551" s="8">
        <v>11</v>
      </c>
      <c r="N1551" s="8" t="s">
        <v>3521</v>
      </c>
      <c r="O1551" s="8" t="s">
        <v>27</v>
      </c>
      <c r="P1551" s="9">
        <v>118005</v>
      </c>
      <c r="Q1551" s="8"/>
      <c r="R1551" s="8"/>
      <c r="S1551" s="8" t="s">
        <v>5819</v>
      </c>
      <c r="T1551" s="8">
        <v>34.4</v>
      </c>
      <c r="U1551" s="8" t="s">
        <v>29</v>
      </c>
      <c r="V1551" s="8" t="s">
        <v>157</v>
      </c>
      <c r="W1551" s="67" t="str">
        <f t="shared" si="124"/>
        <v>-</v>
      </c>
    </row>
    <row r="1552" spans="1:23" x14ac:dyDescent="0.3">
      <c r="A1552" s="2" t="s">
        <v>3703</v>
      </c>
      <c r="B1552" s="2" t="s">
        <v>3704</v>
      </c>
      <c r="C1552" s="2">
        <v>9319788155</v>
      </c>
      <c r="D1552" s="2" t="s">
        <v>108</v>
      </c>
      <c r="E1552" s="2" t="s">
        <v>648</v>
      </c>
      <c r="F1552" s="2" t="s">
        <v>822</v>
      </c>
      <c r="G1552" s="2" t="s">
        <v>1677</v>
      </c>
      <c r="H1552" s="2" t="s">
        <v>3261</v>
      </c>
      <c r="I1552" s="2" t="str">
        <f t="shared" si="120"/>
        <v>Mar</v>
      </c>
      <c r="J1552" s="2">
        <f t="shared" si="121"/>
        <v>3</v>
      </c>
      <c r="K1552" s="2">
        <f t="shared" si="122"/>
        <v>2025</v>
      </c>
      <c r="L1552" s="2">
        <f t="shared" si="123"/>
        <v>1</v>
      </c>
      <c r="M1552" s="2">
        <v>6</v>
      </c>
      <c r="N1552" s="2" t="s">
        <v>3374</v>
      </c>
      <c r="O1552" s="2" t="s">
        <v>62</v>
      </c>
      <c r="P1552" s="3">
        <v>1466094</v>
      </c>
      <c r="Q1552" s="2"/>
      <c r="R1552" s="2"/>
      <c r="S1552" s="2" t="s">
        <v>5819</v>
      </c>
      <c r="T1552" s="2">
        <v>34.799999999999997</v>
      </c>
      <c r="U1552" s="2" t="s">
        <v>47</v>
      </c>
      <c r="V1552" s="2" t="s">
        <v>487</v>
      </c>
      <c r="W1552" s="67" t="str">
        <f t="shared" si="124"/>
        <v>-</v>
      </c>
    </row>
    <row r="1553" spans="1:23" x14ac:dyDescent="0.3">
      <c r="A1553" s="4" t="s">
        <v>3705</v>
      </c>
      <c r="B1553" s="4" t="s">
        <v>2559</v>
      </c>
      <c r="C1553" s="4">
        <v>9619962837</v>
      </c>
      <c r="D1553" s="4" t="s">
        <v>20</v>
      </c>
      <c r="E1553" s="4" t="s">
        <v>41</v>
      </c>
      <c r="F1553" s="4" t="s">
        <v>42</v>
      </c>
      <c r="G1553" s="4" t="s">
        <v>52</v>
      </c>
      <c r="H1553" s="4" t="s">
        <v>3261</v>
      </c>
      <c r="I1553" s="2" t="str">
        <f t="shared" si="120"/>
        <v>Mar</v>
      </c>
      <c r="J1553" s="2">
        <f t="shared" si="121"/>
        <v>3</v>
      </c>
      <c r="K1553" s="2">
        <f t="shared" si="122"/>
        <v>2025</v>
      </c>
      <c r="L1553" s="2">
        <f t="shared" si="123"/>
        <v>1</v>
      </c>
      <c r="M1553" s="4">
        <v>4</v>
      </c>
      <c r="N1553" s="4" t="s">
        <v>3694</v>
      </c>
      <c r="O1553" s="4" t="s">
        <v>55</v>
      </c>
      <c r="P1553" s="5">
        <v>435208</v>
      </c>
      <c r="Q1553" s="4"/>
      <c r="R1553" s="4"/>
      <c r="S1553" s="4" t="s">
        <v>5574</v>
      </c>
      <c r="T1553" s="4">
        <v>14.7</v>
      </c>
      <c r="U1553" s="4" t="s">
        <v>29</v>
      </c>
      <c r="V1553" s="4" t="s">
        <v>442</v>
      </c>
      <c r="W1553" s="67" t="str">
        <f t="shared" si="124"/>
        <v>-</v>
      </c>
    </row>
    <row r="1554" spans="1:23" x14ac:dyDescent="0.3">
      <c r="A1554" s="2" t="s">
        <v>3706</v>
      </c>
      <c r="B1554" s="2" t="s">
        <v>3707</v>
      </c>
      <c r="C1554" s="2">
        <v>9644725216</v>
      </c>
      <c r="D1554" s="2" t="s">
        <v>20</v>
      </c>
      <c r="E1554" s="2" t="s">
        <v>67</v>
      </c>
      <c r="F1554" s="2" t="s">
        <v>68</v>
      </c>
      <c r="G1554" s="2" t="s">
        <v>35</v>
      </c>
      <c r="H1554" s="2" t="s">
        <v>3512</v>
      </c>
      <c r="I1554" s="2" t="str">
        <f t="shared" si="120"/>
        <v>Mar</v>
      </c>
      <c r="J1554" s="2">
        <f t="shared" si="121"/>
        <v>3</v>
      </c>
      <c r="K1554" s="2">
        <f t="shared" si="122"/>
        <v>2025</v>
      </c>
      <c r="L1554" s="2">
        <f t="shared" si="123"/>
        <v>1</v>
      </c>
      <c r="M1554" s="2">
        <v>0</v>
      </c>
      <c r="N1554" s="2" t="s">
        <v>3425</v>
      </c>
      <c r="O1554" s="2" t="s">
        <v>55</v>
      </c>
      <c r="P1554" s="3">
        <v>235480</v>
      </c>
      <c r="Q1554" s="2"/>
      <c r="R1554" s="2"/>
      <c r="S1554" s="2" t="s">
        <v>5573</v>
      </c>
      <c r="T1554" s="2">
        <v>14</v>
      </c>
      <c r="U1554" s="2" t="s">
        <v>29</v>
      </c>
      <c r="V1554" s="2" t="s">
        <v>589</v>
      </c>
      <c r="W1554" s="67" t="str">
        <f t="shared" si="124"/>
        <v>-</v>
      </c>
    </row>
    <row r="1555" spans="1:23" x14ac:dyDescent="0.3">
      <c r="A1555" s="4" t="s">
        <v>3708</v>
      </c>
      <c r="B1555" s="4" t="s">
        <v>3709</v>
      </c>
      <c r="C1555" s="4">
        <v>9448297368</v>
      </c>
      <c r="D1555" s="4" t="s">
        <v>20</v>
      </c>
      <c r="E1555" s="4" t="s">
        <v>41</v>
      </c>
      <c r="F1555" s="4" t="s">
        <v>86</v>
      </c>
      <c r="G1555" s="4" t="s">
        <v>52</v>
      </c>
      <c r="H1555" s="4" t="s">
        <v>3512</v>
      </c>
      <c r="I1555" s="2" t="str">
        <f t="shared" si="120"/>
        <v>Mar</v>
      </c>
      <c r="J1555" s="2">
        <f t="shared" si="121"/>
        <v>3</v>
      </c>
      <c r="K1555" s="2">
        <f t="shared" si="122"/>
        <v>2025</v>
      </c>
      <c r="L1555" s="2">
        <f t="shared" si="123"/>
        <v>1</v>
      </c>
      <c r="M1555" s="4">
        <v>10</v>
      </c>
      <c r="N1555" s="4" t="s">
        <v>3710</v>
      </c>
      <c r="O1555" s="4" t="s">
        <v>62</v>
      </c>
      <c r="P1555" s="5">
        <v>394322</v>
      </c>
      <c r="Q1555" s="4"/>
      <c r="R1555" s="4"/>
      <c r="S1555" s="4" t="s">
        <v>5573</v>
      </c>
      <c r="T1555" s="4">
        <v>25.2</v>
      </c>
      <c r="U1555" s="4" t="s">
        <v>47</v>
      </c>
      <c r="V1555" s="4" t="s">
        <v>137</v>
      </c>
      <c r="W1555" s="67" t="str">
        <f t="shared" si="124"/>
        <v>-</v>
      </c>
    </row>
    <row r="1556" spans="1:23" x14ac:dyDescent="0.3">
      <c r="A1556" s="6" t="s">
        <v>3711</v>
      </c>
      <c r="B1556" s="6" t="s">
        <v>317</v>
      </c>
      <c r="C1556" s="6">
        <v>9698565155</v>
      </c>
      <c r="D1556" s="6" t="s">
        <v>121</v>
      </c>
      <c r="E1556" s="6" t="s">
        <v>33</v>
      </c>
      <c r="F1556" s="6" t="s">
        <v>34</v>
      </c>
      <c r="G1556" s="6" t="s">
        <v>643</v>
      </c>
      <c r="H1556" s="6" t="s">
        <v>3512</v>
      </c>
      <c r="I1556" s="2" t="str">
        <f t="shared" si="120"/>
        <v>Mar</v>
      </c>
      <c r="J1556" s="2">
        <f t="shared" si="121"/>
        <v>3</v>
      </c>
      <c r="K1556" s="2">
        <f t="shared" si="122"/>
        <v>2025</v>
      </c>
      <c r="L1556" s="2">
        <f t="shared" si="123"/>
        <v>1</v>
      </c>
      <c r="M1556" s="6">
        <v>10</v>
      </c>
      <c r="N1556" s="6" t="s">
        <v>3505</v>
      </c>
      <c r="O1556" s="6" t="s">
        <v>97</v>
      </c>
      <c r="P1556" s="7">
        <v>1100401</v>
      </c>
      <c r="Q1556" s="7">
        <v>1001425</v>
      </c>
      <c r="R1556" s="6" t="s">
        <v>3712</v>
      </c>
      <c r="S1556" s="6" t="s">
        <v>5574</v>
      </c>
      <c r="T1556" s="6">
        <v>31.4</v>
      </c>
      <c r="U1556" s="6" t="s">
        <v>63</v>
      </c>
      <c r="V1556" s="6" t="s">
        <v>483</v>
      </c>
      <c r="W1556" s="67" t="str">
        <f t="shared" si="124"/>
        <v>Customer</v>
      </c>
    </row>
    <row r="1557" spans="1:23" x14ac:dyDescent="0.3">
      <c r="A1557" s="8" t="s">
        <v>3713</v>
      </c>
      <c r="B1557" s="8" t="s">
        <v>3714</v>
      </c>
      <c r="C1557" s="8">
        <v>9681515528</v>
      </c>
      <c r="D1557" s="8" t="s">
        <v>20</v>
      </c>
      <c r="E1557" s="8" t="s">
        <v>109</v>
      </c>
      <c r="F1557" s="8" t="s">
        <v>331</v>
      </c>
      <c r="G1557" s="8" t="s">
        <v>87</v>
      </c>
      <c r="H1557" s="8" t="s">
        <v>3512</v>
      </c>
      <c r="I1557" s="2" t="str">
        <f t="shared" si="120"/>
        <v>Mar</v>
      </c>
      <c r="J1557" s="2">
        <f t="shared" si="121"/>
        <v>3</v>
      </c>
      <c r="K1557" s="2">
        <f t="shared" si="122"/>
        <v>2025</v>
      </c>
      <c r="L1557" s="2">
        <f t="shared" si="123"/>
        <v>1</v>
      </c>
      <c r="M1557" s="8">
        <v>2</v>
      </c>
      <c r="N1557" s="8" t="s">
        <v>3482</v>
      </c>
      <c r="O1557" s="8" t="s">
        <v>97</v>
      </c>
      <c r="P1557" s="9">
        <v>352781</v>
      </c>
      <c r="Q1557" s="9">
        <v>331181</v>
      </c>
      <c r="R1557" s="8" t="s">
        <v>3667</v>
      </c>
      <c r="S1557" s="8" t="s">
        <v>5574</v>
      </c>
      <c r="T1557" s="8">
        <v>19.100000000000001</v>
      </c>
      <c r="U1557" s="8" t="s">
        <v>47</v>
      </c>
      <c r="V1557" s="8" t="s">
        <v>113</v>
      </c>
      <c r="W1557" s="67" t="str">
        <f t="shared" si="124"/>
        <v>Customer</v>
      </c>
    </row>
    <row r="1558" spans="1:23" x14ac:dyDescent="0.3">
      <c r="A1558" s="2" t="s">
        <v>3715</v>
      </c>
      <c r="B1558" s="2" t="s">
        <v>3716</v>
      </c>
      <c r="C1558" s="2">
        <v>9542311553</v>
      </c>
      <c r="D1558" s="2" t="s">
        <v>20</v>
      </c>
      <c r="E1558" s="2" t="s">
        <v>1632</v>
      </c>
      <c r="F1558" s="2" t="s">
        <v>1682</v>
      </c>
      <c r="G1558" s="2" t="s">
        <v>1735</v>
      </c>
      <c r="H1558" s="2" t="s">
        <v>3512</v>
      </c>
      <c r="I1558" s="2" t="str">
        <f t="shared" si="120"/>
        <v>Mar</v>
      </c>
      <c r="J1558" s="2">
        <f t="shared" si="121"/>
        <v>3</v>
      </c>
      <c r="K1558" s="2">
        <f t="shared" si="122"/>
        <v>2025</v>
      </c>
      <c r="L1558" s="2">
        <f t="shared" si="123"/>
        <v>1</v>
      </c>
      <c r="M1558" s="2">
        <v>0</v>
      </c>
      <c r="N1558" s="2" t="s">
        <v>3408</v>
      </c>
      <c r="O1558" s="2" t="s">
        <v>62</v>
      </c>
      <c r="P1558" s="3">
        <v>1589611</v>
      </c>
      <c r="Q1558" s="2"/>
      <c r="R1558" s="2"/>
      <c r="S1558" s="2" t="s">
        <v>5574</v>
      </c>
      <c r="T1558" s="2">
        <v>20.8</v>
      </c>
      <c r="U1558" s="2" t="s">
        <v>47</v>
      </c>
      <c r="V1558" s="2" t="s">
        <v>276</v>
      </c>
      <c r="W1558" s="67" t="str">
        <f t="shared" si="124"/>
        <v>-</v>
      </c>
    </row>
    <row r="1559" spans="1:23" x14ac:dyDescent="0.3">
      <c r="A1559" s="8" t="s">
        <v>3717</v>
      </c>
      <c r="B1559" s="8" t="s">
        <v>3692</v>
      </c>
      <c r="C1559" s="8">
        <v>9294397388</v>
      </c>
      <c r="D1559" s="8" t="s">
        <v>121</v>
      </c>
      <c r="E1559" s="8" t="s">
        <v>41</v>
      </c>
      <c r="F1559" s="8" t="s">
        <v>151</v>
      </c>
      <c r="G1559" s="8" t="s">
        <v>52</v>
      </c>
      <c r="H1559" s="8" t="s">
        <v>3258</v>
      </c>
      <c r="I1559" s="2" t="str">
        <f t="shared" si="120"/>
        <v>Mar</v>
      </c>
      <c r="J1559" s="2">
        <f t="shared" si="121"/>
        <v>3</v>
      </c>
      <c r="K1559" s="2">
        <f t="shared" si="122"/>
        <v>2025</v>
      </c>
      <c r="L1559" s="2">
        <f t="shared" si="123"/>
        <v>1</v>
      </c>
      <c r="M1559" s="8">
        <v>10</v>
      </c>
      <c r="N1559" s="8" t="s">
        <v>3640</v>
      </c>
      <c r="O1559" s="8" t="s">
        <v>45</v>
      </c>
      <c r="P1559" s="9">
        <v>379868</v>
      </c>
      <c r="Q1559" s="8"/>
      <c r="R1559" s="8"/>
      <c r="S1559" s="8" t="s">
        <v>5573</v>
      </c>
      <c r="T1559" s="8">
        <v>25.1</v>
      </c>
      <c r="U1559" s="8" t="s">
        <v>63</v>
      </c>
      <c r="V1559" s="8" t="s">
        <v>678</v>
      </c>
      <c r="W1559" s="67" t="str">
        <f t="shared" si="124"/>
        <v>-</v>
      </c>
    </row>
    <row r="1560" spans="1:23" x14ac:dyDescent="0.3">
      <c r="A1560" s="2" t="s">
        <v>3718</v>
      </c>
      <c r="B1560" s="2" t="s">
        <v>2774</v>
      </c>
      <c r="C1560" s="2">
        <v>9628219455</v>
      </c>
      <c r="D1560" s="2" t="s">
        <v>108</v>
      </c>
      <c r="E1560" s="2" t="s">
        <v>41</v>
      </c>
      <c r="F1560" s="2" t="s">
        <v>86</v>
      </c>
      <c r="G1560" s="2" t="s">
        <v>35</v>
      </c>
      <c r="H1560" s="2" t="s">
        <v>3258</v>
      </c>
      <c r="I1560" s="2" t="str">
        <f t="shared" si="120"/>
        <v>Mar</v>
      </c>
      <c r="J1560" s="2">
        <f t="shared" si="121"/>
        <v>3</v>
      </c>
      <c r="K1560" s="2">
        <f t="shared" si="122"/>
        <v>2025</v>
      </c>
      <c r="L1560" s="2">
        <f t="shared" si="123"/>
        <v>1</v>
      </c>
      <c r="M1560" s="2">
        <v>11</v>
      </c>
      <c r="N1560" s="2" t="s">
        <v>3568</v>
      </c>
      <c r="O1560" s="2" t="s">
        <v>45</v>
      </c>
      <c r="P1560" s="3">
        <v>360915</v>
      </c>
      <c r="Q1560" s="2"/>
      <c r="R1560" s="2"/>
      <c r="S1560" s="2" t="s">
        <v>5573</v>
      </c>
      <c r="T1560" s="2">
        <v>24.4</v>
      </c>
      <c r="U1560" s="2" t="s">
        <v>47</v>
      </c>
      <c r="V1560" s="2" t="s">
        <v>597</v>
      </c>
      <c r="W1560" s="67" t="str">
        <f t="shared" si="124"/>
        <v>-</v>
      </c>
    </row>
    <row r="1561" spans="1:23" x14ac:dyDescent="0.3">
      <c r="A1561" s="6" t="s">
        <v>3719</v>
      </c>
      <c r="B1561" s="6" t="s">
        <v>784</v>
      </c>
      <c r="C1561" s="6">
        <v>9926025260</v>
      </c>
      <c r="D1561" s="6" t="s">
        <v>121</v>
      </c>
      <c r="E1561" s="6" t="s">
        <v>1632</v>
      </c>
      <c r="F1561" s="6" t="s">
        <v>1694</v>
      </c>
      <c r="G1561" s="6" t="s">
        <v>1599</v>
      </c>
      <c r="H1561" s="6" t="s">
        <v>3262</v>
      </c>
      <c r="I1561" s="2" t="str">
        <f t="shared" si="120"/>
        <v>Mar</v>
      </c>
      <c r="J1561" s="2">
        <f t="shared" si="121"/>
        <v>3</v>
      </c>
      <c r="K1561" s="2">
        <f t="shared" si="122"/>
        <v>2025</v>
      </c>
      <c r="L1561" s="2">
        <f t="shared" si="123"/>
        <v>1</v>
      </c>
      <c r="M1561" s="6">
        <v>11</v>
      </c>
      <c r="N1561" s="6" t="s">
        <v>3602</v>
      </c>
      <c r="O1561" s="6" t="s">
        <v>97</v>
      </c>
      <c r="P1561" s="7">
        <v>636896</v>
      </c>
      <c r="Q1561" s="7">
        <v>570429</v>
      </c>
      <c r="R1561" s="6" t="s">
        <v>3720</v>
      </c>
      <c r="S1561" s="6" t="s">
        <v>5574</v>
      </c>
      <c r="T1561" s="6">
        <v>13.8</v>
      </c>
      <c r="U1561" s="6" t="s">
        <v>63</v>
      </c>
      <c r="V1561" s="6" t="s">
        <v>341</v>
      </c>
      <c r="W1561" s="67" t="str">
        <f t="shared" si="124"/>
        <v>Customer</v>
      </c>
    </row>
    <row r="1562" spans="1:23" x14ac:dyDescent="0.3">
      <c r="A1562" s="6" t="s">
        <v>3721</v>
      </c>
      <c r="B1562" s="6" t="s">
        <v>3722</v>
      </c>
      <c r="C1562" s="6">
        <v>9288387941</v>
      </c>
      <c r="D1562" s="6" t="s">
        <v>121</v>
      </c>
      <c r="E1562" s="6" t="s">
        <v>41</v>
      </c>
      <c r="F1562" s="6" t="s">
        <v>92</v>
      </c>
      <c r="G1562" s="6" t="s">
        <v>643</v>
      </c>
      <c r="H1562" s="6" t="s">
        <v>3477</v>
      </c>
      <c r="I1562" s="2" t="str">
        <f t="shared" si="120"/>
        <v>Mar</v>
      </c>
      <c r="J1562" s="2">
        <f t="shared" si="121"/>
        <v>3</v>
      </c>
      <c r="K1562" s="2">
        <f t="shared" si="122"/>
        <v>2025</v>
      </c>
      <c r="L1562" s="2">
        <f t="shared" si="123"/>
        <v>1</v>
      </c>
      <c r="M1562" s="6">
        <v>5</v>
      </c>
      <c r="N1562" s="6" t="s">
        <v>3723</v>
      </c>
      <c r="O1562" s="6" t="s">
        <v>97</v>
      </c>
      <c r="P1562" s="7">
        <v>1398478</v>
      </c>
      <c r="Q1562" s="7">
        <v>1311343</v>
      </c>
      <c r="R1562" s="6" t="s">
        <v>3568</v>
      </c>
      <c r="S1562" s="6" t="s">
        <v>5819</v>
      </c>
      <c r="T1562" s="6">
        <v>28.3</v>
      </c>
      <c r="U1562" s="6" t="s">
        <v>63</v>
      </c>
      <c r="V1562" s="6" t="s">
        <v>907</v>
      </c>
      <c r="W1562" s="67" t="str">
        <f t="shared" si="124"/>
        <v>Customer</v>
      </c>
    </row>
    <row r="1563" spans="1:23" x14ac:dyDescent="0.3">
      <c r="A1563" s="4" t="s">
        <v>3724</v>
      </c>
      <c r="B1563" s="4" t="s">
        <v>3725</v>
      </c>
      <c r="C1563" s="4">
        <v>9701842597</v>
      </c>
      <c r="D1563" s="4" t="s">
        <v>121</v>
      </c>
      <c r="E1563" s="4" t="s">
        <v>648</v>
      </c>
      <c r="F1563" s="4" t="s">
        <v>822</v>
      </c>
      <c r="G1563" s="4" t="s">
        <v>87</v>
      </c>
      <c r="H1563" s="4" t="s">
        <v>3477</v>
      </c>
      <c r="I1563" s="2" t="str">
        <f t="shared" si="120"/>
        <v>Mar</v>
      </c>
      <c r="J1563" s="2">
        <f t="shared" si="121"/>
        <v>3</v>
      </c>
      <c r="K1563" s="2">
        <f t="shared" si="122"/>
        <v>2025</v>
      </c>
      <c r="L1563" s="2">
        <f t="shared" si="123"/>
        <v>1</v>
      </c>
      <c r="M1563" s="4">
        <v>8</v>
      </c>
      <c r="N1563" s="4" t="s">
        <v>3699</v>
      </c>
      <c r="O1563" s="4" t="s">
        <v>55</v>
      </c>
      <c r="P1563" s="5">
        <v>243326</v>
      </c>
      <c r="Q1563" s="4"/>
      <c r="R1563" s="4"/>
      <c r="S1563" s="4" t="s">
        <v>5574</v>
      </c>
      <c r="T1563" s="4">
        <v>17.600000000000001</v>
      </c>
      <c r="U1563" s="4" t="s">
        <v>29</v>
      </c>
      <c r="V1563" s="4"/>
      <c r="W1563" s="67" t="str">
        <f t="shared" si="124"/>
        <v>-</v>
      </c>
    </row>
    <row r="1564" spans="1:23" x14ac:dyDescent="0.3">
      <c r="A1564" s="6" t="s">
        <v>3726</v>
      </c>
      <c r="B1564" s="6" t="s">
        <v>2851</v>
      </c>
      <c r="C1564" s="6">
        <v>9989841411</v>
      </c>
      <c r="D1564" s="6" t="s">
        <v>59</v>
      </c>
      <c r="E1564" s="6" t="s">
        <v>1632</v>
      </c>
      <c r="F1564" s="6" t="s">
        <v>1633</v>
      </c>
      <c r="G1564" s="6" t="s">
        <v>52</v>
      </c>
      <c r="H1564" s="6" t="s">
        <v>3477</v>
      </c>
      <c r="I1564" s="2" t="str">
        <f t="shared" si="120"/>
        <v>Mar</v>
      </c>
      <c r="J1564" s="2">
        <f t="shared" si="121"/>
        <v>3</v>
      </c>
      <c r="K1564" s="2">
        <f t="shared" si="122"/>
        <v>2025</v>
      </c>
      <c r="L1564" s="2">
        <f t="shared" si="123"/>
        <v>1</v>
      </c>
      <c r="M1564" s="6">
        <v>3</v>
      </c>
      <c r="N1564" s="6" t="s">
        <v>3375</v>
      </c>
      <c r="O1564" s="6" t="s">
        <v>97</v>
      </c>
      <c r="P1564" s="7">
        <v>382005</v>
      </c>
      <c r="Q1564" s="7">
        <v>370260</v>
      </c>
      <c r="R1564" s="6" t="s">
        <v>3727</v>
      </c>
      <c r="S1564" s="6" t="s">
        <v>5574</v>
      </c>
      <c r="T1564" s="6">
        <v>28.3</v>
      </c>
      <c r="U1564" s="6" t="s">
        <v>63</v>
      </c>
      <c r="V1564" s="6" t="s">
        <v>170</v>
      </c>
      <c r="W1564" s="67" t="str">
        <f t="shared" si="124"/>
        <v>Customer</v>
      </c>
    </row>
    <row r="1565" spans="1:23" x14ac:dyDescent="0.3">
      <c r="A1565" s="4" t="s">
        <v>3728</v>
      </c>
      <c r="B1565" s="4" t="s">
        <v>3171</v>
      </c>
      <c r="C1565" s="4"/>
      <c r="D1565" s="4" t="s">
        <v>108</v>
      </c>
      <c r="E1565" s="4" t="s">
        <v>641</v>
      </c>
      <c r="F1565" s="4" t="s">
        <v>642</v>
      </c>
      <c r="G1565" s="4" t="s">
        <v>1735</v>
      </c>
      <c r="H1565" s="4" t="s">
        <v>3542</v>
      </c>
      <c r="I1565" s="2" t="str">
        <f t="shared" si="120"/>
        <v>Mar</v>
      </c>
      <c r="J1565" s="2">
        <f t="shared" si="121"/>
        <v>3</v>
      </c>
      <c r="K1565" s="2">
        <f t="shared" si="122"/>
        <v>2025</v>
      </c>
      <c r="L1565" s="2">
        <f t="shared" si="123"/>
        <v>1</v>
      </c>
      <c r="M1565" s="4">
        <v>11</v>
      </c>
      <c r="N1565" s="4" t="s">
        <v>3729</v>
      </c>
      <c r="O1565" s="4" t="s">
        <v>55</v>
      </c>
      <c r="P1565" s="5">
        <v>1894356</v>
      </c>
      <c r="Q1565" s="4"/>
      <c r="R1565" s="4"/>
      <c r="S1565" s="4" t="s">
        <v>5573</v>
      </c>
      <c r="T1565" s="4">
        <v>33.4</v>
      </c>
      <c r="U1565" s="4" t="s">
        <v>29</v>
      </c>
      <c r="V1565" s="4" t="s">
        <v>1169</v>
      </c>
      <c r="W1565" s="67" t="str">
        <f t="shared" si="124"/>
        <v>-</v>
      </c>
    </row>
    <row r="1566" spans="1:23" x14ac:dyDescent="0.3">
      <c r="A1566" s="6" t="s">
        <v>3730</v>
      </c>
      <c r="B1566" s="6" t="s">
        <v>3731</v>
      </c>
      <c r="C1566" s="6">
        <v>9697394405</v>
      </c>
      <c r="D1566" s="6" t="s">
        <v>121</v>
      </c>
      <c r="E1566" s="6" t="s">
        <v>109</v>
      </c>
      <c r="F1566" s="6" t="s">
        <v>217</v>
      </c>
      <c r="G1566" s="6" t="s">
        <v>1735</v>
      </c>
      <c r="H1566" s="6" t="s">
        <v>3542</v>
      </c>
      <c r="I1566" s="2" t="str">
        <f t="shared" si="120"/>
        <v>Mar</v>
      </c>
      <c r="J1566" s="2">
        <f t="shared" si="121"/>
        <v>3</v>
      </c>
      <c r="K1566" s="2">
        <f t="shared" si="122"/>
        <v>2025</v>
      </c>
      <c r="L1566" s="2">
        <f t="shared" si="123"/>
        <v>1</v>
      </c>
      <c r="M1566" s="6">
        <v>6</v>
      </c>
      <c r="N1566" s="6" t="s">
        <v>3557</v>
      </c>
      <c r="O1566" s="6" t="s">
        <v>97</v>
      </c>
      <c r="P1566" s="7">
        <v>1576236</v>
      </c>
      <c r="Q1566" s="7">
        <v>1490299</v>
      </c>
      <c r="R1566" s="6" t="s">
        <v>3454</v>
      </c>
      <c r="S1566" s="6" t="s">
        <v>5574</v>
      </c>
      <c r="T1566" s="6">
        <v>24.8</v>
      </c>
      <c r="U1566" s="6" t="s">
        <v>63</v>
      </c>
      <c r="V1566" s="6" t="s">
        <v>341</v>
      </c>
      <c r="W1566" s="67" t="str">
        <f t="shared" si="124"/>
        <v>Customer</v>
      </c>
    </row>
    <row r="1567" spans="1:23" x14ac:dyDescent="0.3">
      <c r="A1567" s="4" t="s">
        <v>3732</v>
      </c>
      <c r="B1567" s="4" t="s">
        <v>3733</v>
      </c>
      <c r="C1567" s="4">
        <v>9861626451</v>
      </c>
      <c r="D1567" s="4" t="s">
        <v>108</v>
      </c>
      <c r="E1567" s="4" t="s">
        <v>21</v>
      </c>
      <c r="F1567" s="4" t="s">
        <v>22</v>
      </c>
      <c r="G1567" s="4" t="s">
        <v>1599</v>
      </c>
      <c r="H1567" s="4" t="s">
        <v>3542</v>
      </c>
      <c r="I1567" s="2" t="str">
        <f t="shared" si="120"/>
        <v>Mar</v>
      </c>
      <c r="J1567" s="2">
        <f t="shared" si="121"/>
        <v>3</v>
      </c>
      <c r="K1567" s="2">
        <f t="shared" si="122"/>
        <v>2025</v>
      </c>
      <c r="L1567" s="2">
        <f t="shared" si="123"/>
        <v>1</v>
      </c>
      <c r="M1567" s="4">
        <v>2</v>
      </c>
      <c r="N1567" s="4" t="s">
        <v>3583</v>
      </c>
      <c r="O1567" s="4" t="s">
        <v>27</v>
      </c>
      <c r="P1567" s="5">
        <v>458455</v>
      </c>
      <c r="Q1567" s="4"/>
      <c r="R1567" s="4"/>
      <c r="S1567" s="4" t="s">
        <v>5573</v>
      </c>
      <c r="T1567" s="4">
        <v>23.9</v>
      </c>
      <c r="U1567" s="4" t="s">
        <v>29</v>
      </c>
      <c r="V1567" s="4" t="s">
        <v>105</v>
      </c>
      <c r="W1567" s="67" t="str">
        <f t="shared" si="124"/>
        <v>-</v>
      </c>
    </row>
    <row r="1568" spans="1:23" x14ac:dyDescent="0.3">
      <c r="A1568" s="2" t="s">
        <v>3734</v>
      </c>
      <c r="B1568" s="2" t="s">
        <v>3735</v>
      </c>
      <c r="C1568" s="2">
        <v>9603309832</v>
      </c>
      <c r="D1568" s="2" t="s">
        <v>59</v>
      </c>
      <c r="E1568" s="2" t="s">
        <v>41</v>
      </c>
      <c r="F1568" s="2" t="s">
        <v>86</v>
      </c>
      <c r="G1568" s="2" t="s">
        <v>643</v>
      </c>
      <c r="H1568" s="2" t="s">
        <v>3542</v>
      </c>
      <c r="I1568" s="2" t="str">
        <f t="shared" si="120"/>
        <v>Mar</v>
      </c>
      <c r="J1568" s="2">
        <f t="shared" si="121"/>
        <v>3</v>
      </c>
      <c r="K1568" s="2">
        <f t="shared" si="122"/>
        <v>2025</v>
      </c>
      <c r="L1568" s="2">
        <f t="shared" si="123"/>
        <v>1</v>
      </c>
      <c r="M1568" s="2">
        <v>11</v>
      </c>
      <c r="N1568" s="2" t="s">
        <v>3736</v>
      </c>
      <c r="O1568" s="2" t="s">
        <v>45</v>
      </c>
      <c r="P1568" s="3">
        <v>809253</v>
      </c>
      <c r="Q1568" s="2"/>
      <c r="R1568" s="2"/>
      <c r="S1568" s="2" t="s">
        <v>5819</v>
      </c>
      <c r="T1568" s="2">
        <v>18.899999999999999</v>
      </c>
      <c r="U1568" s="2" t="s">
        <v>63</v>
      </c>
      <c r="V1568" s="2" t="s">
        <v>621</v>
      </c>
      <c r="W1568" s="67" t="str">
        <f t="shared" si="124"/>
        <v>-</v>
      </c>
    </row>
    <row r="1569" spans="1:23" x14ac:dyDescent="0.3">
      <c r="A1569" s="4" t="s">
        <v>3737</v>
      </c>
      <c r="B1569" s="4" t="s">
        <v>3738</v>
      </c>
      <c r="C1569" s="4">
        <v>9632964809</v>
      </c>
      <c r="D1569" s="4" t="s">
        <v>51</v>
      </c>
      <c r="E1569" s="4" t="s">
        <v>41</v>
      </c>
      <c r="F1569" s="4" t="s">
        <v>92</v>
      </c>
      <c r="G1569" s="4" t="s">
        <v>643</v>
      </c>
      <c r="H1569" s="4" t="s">
        <v>3291</v>
      </c>
      <c r="I1569" s="2" t="str">
        <f t="shared" si="120"/>
        <v>Mar</v>
      </c>
      <c r="J1569" s="2">
        <f t="shared" si="121"/>
        <v>3</v>
      </c>
      <c r="K1569" s="2">
        <f t="shared" si="122"/>
        <v>2025</v>
      </c>
      <c r="L1569" s="2">
        <f t="shared" si="123"/>
        <v>1</v>
      </c>
      <c r="M1569" s="4">
        <v>0</v>
      </c>
      <c r="N1569" s="4" t="s">
        <v>3408</v>
      </c>
      <c r="O1569" s="4" t="s">
        <v>45</v>
      </c>
      <c r="P1569" s="5">
        <v>1309133</v>
      </c>
      <c r="Q1569" s="4"/>
      <c r="R1569" s="4"/>
      <c r="S1569" s="4" t="s">
        <v>5574</v>
      </c>
      <c r="T1569" s="4">
        <v>20.8</v>
      </c>
      <c r="U1569" s="4" t="s">
        <v>29</v>
      </c>
      <c r="V1569" s="4" t="s">
        <v>389</v>
      </c>
      <c r="W1569" s="67" t="str">
        <f t="shared" si="124"/>
        <v>-</v>
      </c>
    </row>
    <row r="1570" spans="1:23" x14ac:dyDescent="0.3">
      <c r="A1570" s="2" t="s">
        <v>3739</v>
      </c>
      <c r="B1570" s="2" t="s">
        <v>2310</v>
      </c>
      <c r="C1570" s="2">
        <v>9979171439</v>
      </c>
      <c r="D1570" s="2" t="s">
        <v>20</v>
      </c>
      <c r="E1570" s="2" t="s">
        <v>641</v>
      </c>
      <c r="F1570" s="2" t="s">
        <v>681</v>
      </c>
      <c r="G1570" s="2" t="s">
        <v>643</v>
      </c>
      <c r="H1570" s="2" t="s">
        <v>3291</v>
      </c>
      <c r="I1570" s="2" t="str">
        <f t="shared" si="120"/>
        <v>Mar</v>
      </c>
      <c r="J1570" s="2">
        <f t="shared" si="121"/>
        <v>3</v>
      </c>
      <c r="K1570" s="2">
        <f t="shared" si="122"/>
        <v>2025</v>
      </c>
      <c r="L1570" s="2">
        <f t="shared" si="123"/>
        <v>1</v>
      </c>
      <c r="M1570" s="2">
        <v>1</v>
      </c>
      <c r="N1570" s="2" t="s">
        <v>3516</v>
      </c>
      <c r="O1570" s="2" t="s">
        <v>62</v>
      </c>
      <c r="P1570" s="3">
        <v>1073823</v>
      </c>
      <c r="Q1570" s="2"/>
      <c r="R1570" s="2"/>
      <c r="S1570" s="2" t="s">
        <v>5819</v>
      </c>
      <c r="T1570" s="2">
        <v>2.6</v>
      </c>
      <c r="U1570" s="2" t="s">
        <v>47</v>
      </c>
      <c r="V1570" s="2" t="s">
        <v>487</v>
      </c>
      <c r="W1570" s="67" t="str">
        <f t="shared" si="124"/>
        <v>-</v>
      </c>
    </row>
    <row r="1571" spans="1:23" x14ac:dyDescent="0.3">
      <c r="A1571" s="4" t="s">
        <v>3740</v>
      </c>
      <c r="B1571" s="4" t="s">
        <v>3448</v>
      </c>
      <c r="C1571" s="4">
        <v>9559289592</v>
      </c>
      <c r="D1571" s="4" t="s">
        <v>20</v>
      </c>
      <c r="E1571" s="4" t="s">
        <v>1632</v>
      </c>
      <c r="F1571" s="4" t="s">
        <v>1659</v>
      </c>
      <c r="G1571" s="4" t="s">
        <v>35</v>
      </c>
      <c r="H1571" s="4" t="s">
        <v>3291</v>
      </c>
      <c r="I1571" s="2" t="str">
        <f t="shared" si="120"/>
        <v>Mar</v>
      </c>
      <c r="J1571" s="2">
        <f t="shared" si="121"/>
        <v>3</v>
      </c>
      <c r="K1571" s="2">
        <f t="shared" si="122"/>
        <v>2025</v>
      </c>
      <c r="L1571" s="2">
        <f t="shared" si="123"/>
        <v>1</v>
      </c>
      <c r="M1571" s="4">
        <v>4</v>
      </c>
      <c r="N1571" s="4" t="s">
        <v>3647</v>
      </c>
      <c r="O1571" s="4" t="s">
        <v>45</v>
      </c>
      <c r="P1571" s="5">
        <v>177752</v>
      </c>
      <c r="Q1571" s="4"/>
      <c r="R1571" s="4"/>
      <c r="S1571" s="4" t="s">
        <v>5574</v>
      </c>
      <c r="T1571" s="4">
        <v>21.6</v>
      </c>
      <c r="U1571" s="4" t="s">
        <v>29</v>
      </c>
      <c r="V1571" s="4" t="s">
        <v>56</v>
      </c>
      <c r="W1571" s="67" t="str">
        <f t="shared" si="124"/>
        <v>-</v>
      </c>
    </row>
    <row r="1572" spans="1:23" x14ac:dyDescent="0.3">
      <c r="A1572" s="2" t="s">
        <v>3741</v>
      </c>
      <c r="B1572" s="2" t="s">
        <v>3742</v>
      </c>
      <c r="C1572" s="2">
        <v>9674085777</v>
      </c>
      <c r="D1572" s="2" t="s">
        <v>59</v>
      </c>
      <c r="E1572" s="2" t="s">
        <v>41</v>
      </c>
      <c r="F1572" s="2" t="s">
        <v>42</v>
      </c>
      <c r="G1572" s="2" t="s">
        <v>1735</v>
      </c>
      <c r="H1572" s="2" t="s">
        <v>3291</v>
      </c>
      <c r="I1572" s="2" t="str">
        <f t="shared" si="120"/>
        <v>Mar</v>
      </c>
      <c r="J1572" s="2">
        <f t="shared" si="121"/>
        <v>3</v>
      </c>
      <c r="K1572" s="2">
        <f t="shared" si="122"/>
        <v>2025</v>
      </c>
      <c r="L1572" s="2">
        <f t="shared" si="123"/>
        <v>1</v>
      </c>
      <c r="M1572" s="2">
        <v>4</v>
      </c>
      <c r="N1572" s="2" t="s">
        <v>3435</v>
      </c>
      <c r="O1572" s="2" t="s">
        <v>27</v>
      </c>
      <c r="P1572" s="3">
        <v>1824826</v>
      </c>
      <c r="Q1572" s="2"/>
      <c r="R1572" s="2"/>
      <c r="S1572" s="2" t="s">
        <v>5819</v>
      </c>
      <c r="T1572" s="2">
        <v>30.6</v>
      </c>
      <c r="U1572" s="2" t="s">
        <v>47</v>
      </c>
      <c r="V1572" s="2" t="s">
        <v>30</v>
      </c>
      <c r="W1572" s="67" t="str">
        <f t="shared" si="124"/>
        <v>-</v>
      </c>
    </row>
    <row r="1573" spans="1:23" x14ac:dyDescent="0.3">
      <c r="A1573" s="4" t="s">
        <v>3743</v>
      </c>
      <c r="B1573" s="4" t="s">
        <v>1487</v>
      </c>
      <c r="C1573" s="4">
        <v>9708384780</v>
      </c>
      <c r="D1573" s="4" t="s">
        <v>59</v>
      </c>
      <c r="E1573" s="4" t="s">
        <v>1632</v>
      </c>
      <c r="F1573" s="4" t="s">
        <v>1633</v>
      </c>
      <c r="G1573" s="4" t="s">
        <v>87</v>
      </c>
      <c r="H1573" s="4" t="s">
        <v>3291</v>
      </c>
      <c r="I1573" s="2" t="str">
        <f t="shared" si="120"/>
        <v>Mar</v>
      </c>
      <c r="J1573" s="2">
        <f t="shared" si="121"/>
        <v>3</v>
      </c>
      <c r="K1573" s="2">
        <f t="shared" si="122"/>
        <v>2025</v>
      </c>
      <c r="L1573" s="2">
        <f t="shared" si="123"/>
        <v>1</v>
      </c>
      <c r="M1573" s="4">
        <v>10</v>
      </c>
      <c r="N1573" s="4" t="s">
        <v>3710</v>
      </c>
      <c r="O1573" s="4" t="s">
        <v>27</v>
      </c>
      <c r="P1573" s="5">
        <v>294718</v>
      </c>
      <c r="Q1573" s="4"/>
      <c r="R1573" s="4"/>
      <c r="S1573" s="4" t="s">
        <v>5573</v>
      </c>
      <c r="T1573" s="4">
        <v>28.9</v>
      </c>
      <c r="U1573" s="4" t="s">
        <v>29</v>
      </c>
      <c r="V1573" s="4" t="s">
        <v>238</v>
      </c>
      <c r="W1573" s="67" t="str">
        <f t="shared" si="124"/>
        <v>-</v>
      </c>
    </row>
    <row r="1574" spans="1:23" x14ac:dyDescent="0.3">
      <c r="A1574" s="2" t="s">
        <v>3744</v>
      </c>
      <c r="B1574" s="2" t="s">
        <v>3714</v>
      </c>
      <c r="C1574" s="2">
        <v>9436684605</v>
      </c>
      <c r="D1574" s="2" t="s">
        <v>59</v>
      </c>
      <c r="E1574" s="2" t="s">
        <v>648</v>
      </c>
      <c r="F1574" s="2" t="s">
        <v>656</v>
      </c>
      <c r="G1574" s="2" t="s">
        <v>35</v>
      </c>
      <c r="H1574" s="2" t="s">
        <v>3291</v>
      </c>
      <c r="I1574" s="2" t="str">
        <f t="shared" si="120"/>
        <v>Mar</v>
      </c>
      <c r="J1574" s="2">
        <f t="shared" si="121"/>
        <v>3</v>
      </c>
      <c r="K1574" s="2">
        <f t="shared" si="122"/>
        <v>2025</v>
      </c>
      <c r="L1574" s="2">
        <f t="shared" si="123"/>
        <v>1</v>
      </c>
      <c r="M1574" s="2">
        <v>5</v>
      </c>
      <c r="N1574" s="2" t="s">
        <v>3647</v>
      </c>
      <c r="O1574" s="2" t="s">
        <v>45</v>
      </c>
      <c r="P1574" s="3">
        <v>200619</v>
      </c>
      <c r="Q1574" s="2"/>
      <c r="R1574" s="2"/>
      <c r="S1574" s="2" t="s">
        <v>5574</v>
      </c>
      <c r="T1574" s="2">
        <v>33.5</v>
      </c>
      <c r="U1574" s="2" t="s">
        <v>29</v>
      </c>
      <c r="V1574" s="2" t="s">
        <v>805</v>
      </c>
      <c r="W1574" s="67" t="str">
        <f t="shared" si="124"/>
        <v>-</v>
      </c>
    </row>
    <row r="1575" spans="1:23" x14ac:dyDescent="0.3">
      <c r="A1575" s="4" t="s">
        <v>3745</v>
      </c>
      <c r="B1575" s="4" t="s">
        <v>3746</v>
      </c>
      <c r="C1575" s="4">
        <v>9477172425</v>
      </c>
      <c r="D1575" s="4" t="s">
        <v>20</v>
      </c>
      <c r="E1575" s="4" t="s">
        <v>648</v>
      </c>
      <c r="F1575" s="4" t="s">
        <v>899</v>
      </c>
      <c r="G1575" s="4" t="s">
        <v>23</v>
      </c>
      <c r="H1575" s="4" t="s">
        <v>3425</v>
      </c>
      <c r="I1575" s="2" t="str">
        <f t="shared" si="120"/>
        <v>Apr</v>
      </c>
      <c r="J1575" s="2">
        <f t="shared" si="121"/>
        <v>4</v>
      </c>
      <c r="K1575" s="2">
        <f t="shared" si="122"/>
        <v>2025</v>
      </c>
      <c r="L1575" s="2">
        <f t="shared" si="123"/>
        <v>2</v>
      </c>
      <c r="M1575" s="4">
        <v>3</v>
      </c>
      <c r="N1575" s="4" t="s">
        <v>3482</v>
      </c>
      <c r="O1575" s="4" t="s">
        <v>27</v>
      </c>
      <c r="P1575" s="5">
        <v>628248</v>
      </c>
      <c r="Q1575" s="4"/>
      <c r="R1575" s="4"/>
      <c r="S1575" s="4" t="s">
        <v>5574</v>
      </c>
      <c r="T1575" s="4">
        <v>26.4</v>
      </c>
      <c r="U1575" s="4" t="s">
        <v>29</v>
      </c>
      <c r="V1575" s="4" t="s">
        <v>105</v>
      </c>
      <c r="W1575" s="67" t="str">
        <f t="shared" si="124"/>
        <v>-</v>
      </c>
    </row>
    <row r="1576" spans="1:23" x14ac:dyDescent="0.3">
      <c r="A1576" s="2" t="s">
        <v>3747</v>
      </c>
      <c r="B1576" s="2" t="s">
        <v>1643</v>
      </c>
      <c r="C1576" s="2">
        <v>9529518874</v>
      </c>
      <c r="D1576" s="2" t="s">
        <v>121</v>
      </c>
      <c r="E1576" s="2" t="s">
        <v>109</v>
      </c>
      <c r="F1576" s="2" t="s">
        <v>217</v>
      </c>
      <c r="G1576" s="2" t="s">
        <v>1735</v>
      </c>
      <c r="H1576" s="2" t="s">
        <v>3420</v>
      </c>
      <c r="I1576" s="2" t="str">
        <f t="shared" si="120"/>
        <v>Apr</v>
      </c>
      <c r="J1576" s="2">
        <f t="shared" si="121"/>
        <v>4</v>
      </c>
      <c r="K1576" s="2">
        <f t="shared" si="122"/>
        <v>2025</v>
      </c>
      <c r="L1576" s="2">
        <f t="shared" si="123"/>
        <v>2</v>
      </c>
      <c r="M1576" s="2">
        <v>9</v>
      </c>
      <c r="N1576" s="2" t="s">
        <v>3613</v>
      </c>
      <c r="O1576" s="2" t="s">
        <v>27</v>
      </c>
      <c r="P1576" s="3">
        <v>1711629</v>
      </c>
      <c r="Q1576" s="2"/>
      <c r="R1576" s="2"/>
      <c r="S1576" s="2" t="s">
        <v>5819</v>
      </c>
      <c r="T1576" s="2">
        <v>27.8</v>
      </c>
      <c r="U1576" s="2" t="s">
        <v>29</v>
      </c>
      <c r="V1576" s="2" t="s">
        <v>123</v>
      </c>
      <c r="W1576" s="67" t="str">
        <f t="shared" si="124"/>
        <v>-</v>
      </c>
    </row>
    <row r="1577" spans="1:23" x14ac:dyDescent="0.3">
      <c r="A1577" s="4" t="s">
        <v>3748</v>
      </c>
      <c r="B1577" s="4" t="s">
        <v>3749</v>
      </c>
      <c r="C1577" s="4">
        <v>9863546214</v>
      </c>
      <c r="D1577" s="4" t="s">
        <v>20</v>
      </c>
      <c r="E1577" s="4" t="s">
        <v>648</v>
      </c>
      <c r="F1577" s="4" t="s">
        <v>822</v>
      </c>
      <c r="G1577" s="4" t="s">
        <v>69</v>
      </c>
      <c r="H1577" s="4" t="s">
        <v>3627</v>
      </c>
      <c r="I1577" s="2" t="str">
        <f t="shared" si="120"/>
        <v>Apr</v>
      </c>
      <c r="J1577" s="2">
        <f t="shared" si="121"/>
        <v>4</v>
      </c>
      <c r="K1577" s="2">
        <f t="shared" si="122"/>
        <v>2025</v>
      </c>
      <c r="L1577" s="2">
        <f t="shared" si="123"/>
        <v>2</v>
      </c>
      <c r="M1577" s="4">
        <v>3</v>
      </c>
      <c r="N1577" s="4" t="s">
        <v>3454</v>
      </c>
      <c r="O1577" s="4" t="s">
        <v>62</v>
      </c>
      <c r="P1577" s="5">
        <v>135346</v>
      </c>
      <c r="Q1577" s="4"/>
      <c r="R1577" s="4"/>
      <c r="S1577" s="4" t="s">
        <v>5573</v>
      </c>
      <c r="T1577" s="4">
        <v>8.6999999999999993</v>
      </c>
      <c r="U1577" s="4" t="s">
        <v>29</v>
      </c>
      <c r="V1577" s="4" t="s">
        <v>805</v>
      </c>
      <c r="W1577" s="67" t="str">
        <f t="shared" si="124"/>
        <v>-</v>
      </c>
    </row>
    <row r="1578" spans="1:23" x14ac:dyDescent="0.3">
      <c r="A1578" s="6" t="s">
        <v>3750</v>
      </c>
      <c r="B1578" s="6" t="s">
        <v>1737</v>
      </c>
      <c r="C1578" s="6">
        <v>9788108468</v>
      </c>
      <c r="D1578" s="6" t="s">
        <v>59</v>
      </c>
      <c r="E1578" s="6" t="s">
        <v>648</v>
      </c>
      <c r="F1578" s="6" t="s">
        <v>899</v>
      </c>
      <c r="G1578" s="6" t="s">
        <v>1623</v>
      </c>
      <c r="H1578" s="6" t="s">
        <v>3627</v>
      </c>
      <c r="I1578" s="2" t="str">
        <f t="shared" si="120"/>
        <v>Apr</v>
      </c>
      <c r="J1578" s="2">
        <f t="shared" si="121"/>
        <v>4</v>
      </c>
      <c r="K1578" s="2">
        <f t="shared" si="122"/>
        <v>2025</v>
      </c>
      <c r="L1578" s="2">
        <f t="shared" si="123"/>
        <v>2</v>
      </c>
      <c r="M1578" s="6">
        <v>6</v>
      </c>
      <c r="N1578" s="6" t="s">
        <v>3672</v>
      </c>
      <c r="O1578" s="6" t="s">
        <v>97</v>
      </c>
      <c r="P1578" s="7">
        <v>159977</v>
      </c>
      <c r="Q1578" s="7">
        <v>164104</v>
      </c>
      <c r="R1578" s="6" t="s">
        <v>3751</v>
      </c>
      <c r="S1578" s="6" t="s">
        <v>5819</v>
      </c>
      <c r="T1578" s="6">
        <v>29.5</v>
      </c>
      <c r="U1578" s="6" t="s">
        <v>63</v>
      </c>
      <c r="V1578" s="6" t="s">
        <v>170</v>
      </c>
      <c r="W1578" s="67" t="str">
        <f t="shared" si="124"/>
        <v>Customer</v>
      </c>
    </row>
    <row r="1579" spans="1:23" x14ac:dyDescent="0.3">
      <c r="A1579" s="4" t="s">
        <v>3752</v>
      </c>
      <c r="B1579" s="4" t="s">
        <v>501</v>
      </c>
      <c r="C1579" s="4">
        <v>9145778616</v>
      </c>
      <c r="D1579" s="4" t="s">
        <v>51</v>
      </c>
      <c r="E1579" s="4" t="s">
        <v>73</v>
      </c>
      <c r="F1579" s="4" t="s">
        <v>126</v>
      </c>
      <c r="G1579" s="4" t="s">
        <v>52</v>
      </c>
      <c r="H1579" s="4" t="s">
        <v>3381</v>
      </c>
      <c r="I1579" s="2" t="str">
        <f t="shared" si="120"/>
        <v>Apr</v>
      </c>
      <c r="J1579" s="2">
        <f t="shared" si="121"/>
        <v>4</v>
      </c>
      <c r="K1579" s="2">
        <f t="shared" si="122"/>
        <v>2025</v>
      </c>
      <c r="L1579" s="2">
        <f t="shared" si="123"/>
        <v>2</v>
      </c>
      <c r="M1579" s="4">
        <v>1</v>
      </c>
      <c r="N1579" s="4" t="s">
        <v>3647</v>
      </c>
      <c r="O1579" s="4" t="s">
        <v>62</v>
      </c>
      <c r="P1579" s="5">
        <v>573341</v>
      </c>
      <c r="Q1579" s="4"/>
      <c r="R1579" s="4"/>
      <c r="S1579" s="4" t="s">
        <v>5819</v>
      </c>
      <c r="T1579" s="4">
        <v>33.9</v>
      </c>
      <c r="U1579" s="4" t="s">
        <v>47</v>
      </c>
      <c r="V1579" s="4" t="s">
        <v>48</v>
      </c>
      <c r="W1579" s="67" t="str">
        <f t="shared" si="124"/>
        <v>-</v>
      </c>
    </row>
    <row r="1580" spans="1:23" x14ac:dyDescent="0.3">
      <c r="A1580" s="2" t="s">
        <v>3753</v>
      </c>
      <c r="B1580" s="2" t="s">
        <v>410</v>
      </c>
      <c r="C1580" s="2"/>
      <c r="D1580" s="2" t="s">
        <v>20</v>
      </c>
      <c r="E1580" s="2" t="s">
        <v>648</v>
      </c>
      <c r="F1580" s="2" t="s">
        <v>656</v>
      </c>
      <c r="G1580" s="2" t="s">
        <v>69</v>
      </c>
      <c r="H1580" s="2" t="s">
        <v>3381</v>
      </c>
      <c r="I1580" s="2" t="str">
        <f t="shared" si="120"/>
        <v>Apr</v>
      </c>
      <c r="J1580" s="2">
        <f t="shared" si="121"/>
        <v>4</v>
      </c>
      <c r="K1580" s="2">
        <f t="shared" si="122"/>
        <v>2025</v>
      </c>
      <c r="L1580" s="2">
        <f t="shared" si="123"/>
        <v>2</v>
      </c>
      <c r="M1580" s="2">
        <v>5</v>
      </c>
      <c r="N1580" s="2" t="s">
        <v>3465</v>
      </c>
      <c r="O1580" s="2" t="s">
        <v>55</v>
      </c>
      <c r="P1580" s="3">
        <v>336102</v>
      </c>
      <c r="Q1580" s="2"/>
      <c r="R1580" s="2"/>
      <c r="S1580" s="2" t="s">
        <v>5573</v>
      </c>
      <c r="T1580" s="2">
        <v>8.6</v>
      </c>
      <c r="U1580" s="2" t="s">
        <v>47</v>
      </c>
      <c r="V1580" s="2" t="s">
        <v>2150</v>
      </c>
      <c r="W1580" s="67" t="str">
        <f t="shared" si="124"/>
        <v>-</v>
      </c>
    </row>
    <row r="1581" spans="1:23" x14ac:dyDescent="0.3">
      <c r="A1581" s="6" t="s">
        <v>3754</v>
      </c>
      <c r="B1581" s="6" t="s">
        <v>3755</v>
      </c>
      <c r="C1581" s="6">
        <v>9994319108</v>
      </c>
      <c r="D1581" s="6" t="s">
        <v>51</v>
      </c>
      <c r="E1581" s="6" t="s">
        <v>109</v>
      </c>
      <c r="F1581" s="6" t="s">
        <v>217</v>
      </c>
      <c r="G1581" s="6" t="s">
        <v>1599</v>
      </c>
      <c r="H1581" s="6" t="s">
        <v>3583</v>
      </c>
      <c r="I1581" s="2" t="str">
        <f t="shared" si="120"/>
        <v>Apr</v>
      </c>
      <c r="J1581" s="2">
        <f t="shared" si="121"/>
        <v>4</v>
      </c>
      <c r="K1581" s="2">
        <f t="shared" si="122"/>
        <v>2025</v>
      </c>
      <c r="L1581" s="2">
        <f t="shared" si="123"/>
        <v>2</v>
      </c>
      <c r="M1581" s="6">
        <v>12</v>
      </c>
      <c r="N1581" s="6" t="s">
        <v>3756</v>
      </c>
      <c r="O1581" s="6" t="s">
        <v>97</v>
      </c>
      <c r="P1581" s="7">
        <v>713303</v>
      </c>
      <c r="Q1581" s="7">
        <v>708651</v>
      </c>
      <c r="R1581" s="6" t="s">
        <v>3757</v>
      </c>
      <c r="S1581" s="6" t="s">
        <v>5819</v>
      </c>
      <c r="T1581" s="6">
        <v>25.2</v>
      </c>
      <c r="U1581" s="6" t="s">
        <v>47</v>
      </c>
      <c r="V1581" s="6" t="s">
        <v>113</v>
      </c>
      <c r="W1581" s="67" t="str">
        <f t="shared" si="124"/>
        <v>Customer</v>
      </c>
    </row>
    <row r="1582" spans="1:23" x14ac:dyDescent="0.3">
      <c r="A1582" s="2" t="s">
        <v>3758</v>
      </c>
      <c r="B1582" s="2" t="s">
        <v>3759</v>
      </c>
      <c r="C1582" s="2">
        <v>9558666619</v>
      </c>
      <c r="D1582" s="2" t="s">
        <v>59</v>
      </c>
      <c r="E1582" s="2" t="s">
        <v>73</v>
      </c>
      <c r="F1582" s="2" t="s">
        <v>126</v>
      </c>
      <c r="G1582" s="2" t="s">
        <v>1677</v>
      </c>
      <c r="H1582" s="2" t="s">
        <v>3583</v>
      </c>
      <c r="I1582" s="2" t="str">
        <f t="shared" si="120"/>
        <v>Apr</v>
      </c>
      <c r="J1582" s="2">
        <f t="shared" si="121"/>
        <v>4</v>
      </c>
      <c r="K1582" s="2">
        <f t="shared" si="122"/>
        <v>2025</v>
      </c>
      <c r="L1582" s="2">
        <f t="shared" si="123"/>
        <v>2</v>
      </c>
      <c r="M1582" s="2">
        <v>5</v>
      </c>
      <c r="N1582" s="2" t="s">
        <v>3576</v>
      </c>
      <c r="O1582" s="2" t="s">
        <v>27</v>
      </c>
      <c r="P1582" s="3">
        <v>1539002</v>
      </c>
      <c r="Q1582" s="2"/>
      <c r="R1582" s="2"/>
      <c r="S1582" s="2" t="s">
        <v>5819</v>
      </c>
      <c r="T1582" s="2">
        <v>19.899999999999999</v>
      </c>
      <c r="U1582" s="2" t="s">
        <v>47</v>
      </c>
      <c r="V1582" s="2" t="s">
        <v>153</v>
      </c>
      <c r="W1582" s="67" t="str">
        <f t="shared" si="124"/>
        <v>-</v>
      </c>
    </row>
    <row r="1583" spans="1:23" x14ac:dyDescent="0.3">
      <c r="A1583" s="8" t="s">
        <v>3760</v>
      </c>
      <c r="B1583" s="8" t="s">
        <v>3761</v>
      </c>
      <c r="C1583" s="8">
        <v>9847642896</v>
      </c>
      <c r="D1583" s="8" t="s">
        <v>121</v>
      </c>
      <c r="E1583" s="8" t="s">
        <v>33</v>
      </c>
      <c r="F1583" s="8" t="s">
        <v>34</v>
      </c>
      <c r="G1583" s="8" t="s">
        <v>69</v>
      </c>
      <c r="H1583" s="8" t="s">
        <v>3583</v>
      </c>
      <c r="I1583" s="2" t="str">
        <f t="shared" si="120"/>
        <v>Apr</v>
      </c>
      <c r="J1583" s="2">
        <f t="shared" si="121"/>
        <v>4</v>
      </c>
      <c r="K1583" s="2">
        <f t="shared" si="122"/>
        <v>2025</v>
      </c>
      <c r="L1583" s="2">
        <f t="shared" si="123"/>
        <v>2</v>
      </c>
      <c r="M1583" s="8">
        <v>8</v>
      </c>
      <c r="N1583" s="8" t="s">
        <v>3762</v>
      </c>
      <c r="O1583" s="8" t="s">
        <v>27</v>
      </c>
      <c r="P1583" s="9">
        <v>191572</v>
      </c>
      <c r="Q1583" s="8"/>
      <c r="R1583" s="8"/>
      <c r="S1583" s="8" t="s">
        <v>5574</v>
      </c>
      <c r="T1583" s="8">
        <v>19.399999999999999</v>
      </c>
      <c r="U1583" s="8" t="s">
        <v>29</v>
      </c>
      <c r="V1583" s="8" t="s">
        <v>153</v>
      </c>
      <c r="W1583" s="67" t="str">
        <f t="shared" si="124"/>
        <v>-</v>
      </c>
    </row>
    <row r="1584" spans="1:23" x14ac:dyDescent="0.3">
      <c r="A1584" s="2" t="s">
        <v>3763</v>
      </c>
      <c r="B1584" s="2" t="s">
        <v>1110</v>
      </c>
      <c r="C1584" s="2">
        <v>9280114633</v>
      </c>
      <c r="D1584" s="2" t="s">
        <v>20</v>
      </c>
      <c r="E1584" s="2" t="s">
        <v>33</v>
      </c>
      <c r="F1584" s="2" t="s">
        <v>201</v>
      </c>
      <c r="G1584" s="2" t="s">
        <v>23</v>
      </c>
      <c r="H1584" s="2" t="s">
        <v>3583</v>
      </c>
      <c r="I1584" s="2" t="str">
        <f t="shared" si="120"/>
        <v>Apr</v>
      </c>
      <c r="J1584" s="2">
        <f t="shared" si="121"/>
        <v>4</v>
      </c>
      <c r="K1584" s="2">
        <f t="shared" si="122"/>
        <v>2025</v>
      </c>
      <c r="L1584" s="2">
        <f t="shared" si="123"/>
        <v>2</v>
      </c>
      <c r="M1584" s="2">
        <v>6</v>
      </c>
      <c r="N1584" s="2" t="s">
        <v>3764</v>
      </c>
      <c r="O1584" s="2" t="s">
        <v>45</v>
      </c>
      <c r="P1584" s="3">
        <v>681178</v>
      </c>
      <c r="Q1584" s="2"/>
      <c r="R1584" s="2"/>
      <c r="S1584" s="2" t="s">
        <v>5819</v>
      </c>
      <c r="T1584" s="2">
        <v>34</v>
      </c>
      <c r="U1584" s="2" t="s">
        <v>47</v>
      </c>
      <c r="V1584" s="2" t="s">
        <v>310</v>
      </c>
      <c r="W1584" s="67" t="str">
        <f t="shared" si="124"/>
        <v>-</v>
      </c>
    </row>
    <row r="1585" spans="1:23" x14ac:dyDescent="0.3">
      <c r="A1585" s="4" t="s">
        <v>3765</v>
      </c>
      <c r="B1585" s="4" t="s">
        <v>1769</v>
      </c>
      <c r="C1585" s="4">
        <v>9111962073</v>
      </c>
      <c r="D1585" s="4" t="s">
        <v>121</v>
      </c>
      <c r="E1585" s="4" t="s">
        <v>41</v>
      </c>
      <c r="F1585" s="4" t="s">
        <v>42</v>
      </c>
      <c r="G1585" s="4" t="s">
        <v>1677</v>
      </c>
      <c r="H1585" s="4" t="s">
        <v>3408</v>
      </c>
      <c r="I1585" s="2" t="str">
        <f t="shared" si="120"/>
        <v>Apr</v>
      </c>
      <c r="J1585" s="2">
        <f t="shared" si="121"/>
        <v>4</v>
      </c>
      <c r="K1585" s="2">
        <f t="shared" si="122"/>
        <v>2025</v>
      </c>
      <c r="L1585" s="2">
        <f t="shared" si="123"/>
        <v>2</v>
      </c>
      <c r="M1585" s="4">
        <v>4</v>
      </c>
      <c r="N1585" s="4" t="s">
        <v>3584</v>
      </c>
      <c r="O1585" s="4" t="s">
        <v>62</v>
      </c>
      <c r="P1585" s="5">
        <v>943916</v>
      </c>
      <c r="Q1585" s="4"/>
      <c r="R1585" s="4"/>
      <c r="S1585" s="4" t="s">
        <v>5574</v>
      </c>
      <c r="T1585" s="4">
        <v>5.6</v>
      </c>
      <c r="U1585" s="4" t="s">
        <v>47</v>
      </c>
      <c r="V1585" s="4" t="s">
        <v>310</v>
      </c>
      <c r="W1585" s="67" t="str">
        <f t="shared" si="124"/>
        <v>-</v>
      </c>
    </row>
    <row r="1586" spans="1:23" x14ac:dyDescent="0.3">
      <c r="A1586" s="2" t="s">
        <v>3766</v>
      </c>
      <c r="B1586" s="2" t="s">
        <v>1027</v>
      </c>
      <c r="C1586" s="2">
        <v>9595226894</v>
      </c>
      <c r="D1586" s="2" t="s">
        <v>59</v>
      </c>
      <c r="E1586" s="2" t="s">
        <v>648</v>
      </c>
      <c r="F1586" s="2" t="s">
        <v>649</v>
      </c>
      <c r="G1586" s="2" t="s">
        <v>1621</v>
      </c>
      <c r="H1586" s="2" t="s">
        <v>3408</v>
      </c>
      <c r="I1586" s="2" t="str">
        <f t="shared" si="120"/>
        <v>Apr</v>
      </c>
      <c r="J1586" s="2">
        <f t="shared" si="121"/>
        <v>4</v>
      </c>
      <c r="K1586" s="2">
        <f t="shared" si="122"/>
        <v>2025</v>
      </c>
      <c r="L1586" s="2">
        <f t="shared" si="123"/>
        <v>2</v>
      </c>
      <c r="M1586" s="2">
        <v>9</v>
      </c>
      <c r="N1586" s="2" t="s">
        <v>3729</v>
      </c>
      <c r="O1586" s="2" t="s">
        <v>62</v>
      </c>
      <c r="P1586" s="3">
        <v>392965</v>
      </c>
      <c r="Q1586" s="2"/>
      <c r="R1586" s="2"/>
      <c r="S1586" s="2" t="s">
        <v>5573</v>
      </c>
      <c r="T1586" s="2">
        <v>25</v>
      </c>
      <c r="U1586" s="2" t="s">
        <v>63</v>
      </c>
      <c r="V1586" s="2" t="s">
        <v>668</v>
      </c>
      <c r="W1586" s="67" t="str">
        <f t="shared" si="124"/>
        <v>-</v>
      </c>
    </row>
    <row r="1587" spans="1:23" x14ac:dyDescent="0.3">
      <c r="A1587" s="6" t="s">
        <v>3768</v>
      </c>
      <c r="B1587" s="6" t="s">
        <v>2012</v>
      </c>
      <c r="C1587" s="6">
        <v>9632935024</v>
      </c>
      <c r="D1587" s="6" t="s">
        <v>108</v>
      </c>
      <c r="E1587" s="6" t="s">
        <v>41</v>
      </c>
      <c r="F1587" s="6" t="s">
        <v>42</v>
      </c>
      <c r="G1587" s="6" t="s">
        <v>69</v>
      </c>
      <c r="H1587" s="6" t="s">
        <v>3408</v>
      </c>
      <c r="I1587" s="2" t="str">
        <f t="shared" si="120"/>
        <v>Apr</v>
      </c>
      <c r="J1587" s="2">
        <f t="shared" si="121"/>
        <v>4</v>
      </c>
      <c r="K1587" s="2">
        <f t="shared" si="122"/>
        <v>2025</v>
      </c>
      <c r="L1587" s="2">
        <f t="shared" si="123"/>
        <v>2</v>
      </c>
      <c r="M1587" s="6">
        <v>12</v>
      </c>
      <c r="N1587" s="6" t="s">
        <v>3769</v>
      </c>
      <c r="O1587" s="6" t="s">
        <v>97</v>
      </c>
      <c r="P1587" s="7">
        <v>298976</v>
      </c>
      <c r="Q1587" s="7">
        <v>303840</v>
      </c>
      <c r="R1587" s="6" t="s">
        <v>3770</v>
      </c>
      <c r="S1587" s="6" t="s">
        <v>5819</v>
      </c>
      <c r="T1587" s="6">
        <v>27.1</v>
      </c>
      <c r="U1587" s="6" t="s">
        <v>63</v>
      </c>
      <c r="V1587" s="6" t="s">
        <v>483</v>
      </c>
      <c r="W1587" s="67" t="str">
        <f t="shared" si="124"/>
        <v>Customer</v>
      </c>
    </row>
    <row r="1588" spans="1:23" x14ac:dyDescent="0.3">
      <c r="A1588" s="6" t="s">
        <v>3771</v>
      </c>
      <c r="B1588" s="6" t="s">
        <v>2262</v>
      </c>
      <c r="C1588" s="6">
        <v>9567592829</v>
      </c>
      <c r="D1588" s="6" t="s">
        <v>20</v>
      </c>
      <c r="E1588" s="6" t="s">
        <v>41</v>
      </c>
      <c r="F1588" s="6" t="s">
        <v>42</v>
      </c>
      <c r="G1588" s="6" t="s">
        <v>1621</v>
      </c>
      <c r="H1588" s="6" t="s">
        <v>3767</v>
      </c>
      <c r="I1588" s="2" t="str">
        <f t="shared" si="120"/>
        <v>Apr</v>
      </c>
      <c r="J1588" s="2">
        <f t="shared" si="121"/>
        <v>4</v>
      </c>
      <c r="K1588" s="2">
        <f t="shared" si="122"/>
        <v>2025</v>
      </c>
      <c r="L1588" s="2">
        <f t="shared" si="123"/>
        <v>2</v>
      </c>
      <c r="M1588" s="6">
        <v>8</v>
      </c>
      <c r="N1588" s="6" t="s">
        <v>3640</v>
      </c>
      <c r="O1588" s="6" t="s">
        <v>97</v>
      </c>
      <c r="P1588" s="7">
        <v>292480</v>
      </c>
      <c r="Q1588" s="7">
        <v>301052</v>
      </c>
      <c r="R1588" s="6" t="s">
        <v>3772</v>
      </c>
      <c r="S1588" s="6" t="s">
        <v>5573</v>
      </c>
      <c r="T1588" s="6">
        <v>10.8</v>
      </c>
      <c r="U1588" s="6" t="s">
        <v>47</v>
      </c>
      <c r="V1588" s="6" t="s">
        <v>483</v>
      </c>
      <c r="W1588" s="67" t="str">
        <f t="shared" si="124"/>
        <v>Customer</v>
      </c>
    </row>
    <row r="1589" spans="1:23" x14ac:dyDescent="0.3">
      <c r="A1589" s="4" t="s">
        <v>3773</v>
      </c>
      <c r="B1589" s="4" t="s">
        <v>608</v>
      </c>
      <c r="C1589" s="4">
        <v>9137008242</v>
      </c>
      <c r="D1589" s="4" t="s">
        <v>121</v>
      </c>
      <c r="E1589" s="4" t="s">
        <v>41</v>
      </c>
      <c r="F1589" s="4" t="s">
        <v>151</v>
      </c>
      <c r="G1589" s="4" t="s">
        <v>23</v>
      </c>
      <c r="H1589" s="4" t="s">
        <v>3557</v>
      </c>
      <c r="I1589" s="2" t="str">
        <f t="shared" si="120"/>
        <v>Apr</v>
      </c>
      <c r="J1589" s="2">
        <f t="shared" si="121"/>
        <v>4</v>
      </c>
      <c r="K1589" s="2">
        <f t="shared" si="122"/>
        <v>2025</v>
      </c>
      <c r="L1589" s="2">
        <f t="shared" si="123"/>
        <v>2</v>
      </c>
      <c r="M1589" s="4">
        <v>6</v>
      </c>
      <c r="N1589" s="4" t="s">
        <v>3723</v>
      </c>
      <c r="O1589" s="4" t="s">
        <v>45</v>
      </c>
      <c r="P1589" s="5">
        <v>741262</v>
      </c>
      <c r="Q1589" s="4"/>
      <c r="R1589" s="4"/>
      <c r="S1589" s="4" t="s">
        <v>5574</v>
      </c>
      <c r="T1589" s="4">
        <v>13.7</v>
      </c>
      <c r="U1589" s="4" t="s">
        <v>63</v>
      </c>
      <c r="V1589" s="4" t="s">
        <v>621</v>
      </c>
      <c r="W1589" s="67" t="str">
        <f t="shared" si="124"/>
        <v>-</v>
      </c>
    </row>
    <row r="1590" spans="1:23" x14ac:dyDescent="0.3">
      <c r="A1590" s="6" t="s">
        <v>3774</v>
      </c>
      <c r="B1590" s="6" t="s">
        <v>3775</v>
      </c>
      <c r="C1590" s="6">
        <v>9541009421</v>
      </c>
      <c r="D1590" s="6" t="s">
        <v>59</v>
      </c>
      <c r="E1590" s="6" t="s">
        <v>1632</v>
      </c>
      <c r="F1590" s="6" t="s">
        <v>1633</v>
      </c>
      <c r="G1590" s="6" t="s">
        <v>1609</v>
      </c>
      <c r="H1590" s="6" t="s">
        <v>3557</v>
      </c>
      <c r="I1590" s="2" t="str">
        <f t="shared" si="120"/>
        <v>Apr</v>
      </c>
      <c r="J1590" s="2">
        <f t="shared" si="121"/>
        <v>4</v>
      </c>
      <c r="K1590" s="2">
        <f t="shared" si="122"/>
        <v>2025</v>
      </c>
      <c r="L1590" s="2">
        <f t="shared" si="123"/>
        <v>2</v>
      </c>
      <c r="M1590" s="6">
        <v>4</v>
      </c>
      <c r="N1590" s="6" t="s">
        <v>3776</v>
      </c>
      <c r="O1590" s="6" t="s">
        <v>97</v>
      </c>
      <c r="P1590" s="7">
        <v>194439</v>
      </c>
      <c r="Q1590" s="7">
        <v>198828</v>
      </c>
      <c r="R1590" s="6" t="s">
        <v>3678</v>
      </c>
      <c r="S1590" s="6" t="s">
        <v>5574</v>
      </c>
      <c r="T1590" s="6">
        <v>31.1</v>
      </c>
      <c r="U1590" s="6" t="s">
        <v>47</v>
      </c>
      <c r="V1590" s="6" t="s">
        <v>99</v>
      </c>
      <c r="W1590" s="67" t="str">
        <f t="shared" si="124"/>
        <v>Customer</v>
      </c>
    </row>
    <row r="1591" spans="1:23" x14ac:dyDescent="0.3">
      <c r="A1591" s="6" t="s">
        <v>3777</v>
      </c>
      <c r="B1591" s="6" t="s">
        <v>602</v>
      </c>
      <c r="C1591" s="6">
        <v>9201658540</v>
      </c>
      <c r="D1591" s="6" t="s">
        <v>59</v>
      </c>
      <c r="E1591" s="6" t="s">
        <v>1632</v>
      </c>
      <c r="F1591" s="6" t="s">
        <v>1717</v>
      </c>
      <c r="G1591" s="6" t="s">
        <v>23</v>
      </c>
      <c r="H1591" s="6" t="s">
        <v>3557</v>
      </c>
      <c r="I1591" s="2" t="str">
        <f t="shared" si="120"/>
        <v>Apr</v>
      </c>
      <c r="J1591" s="2">
        <f t="shared" si="121"/>
        <v>4</v>
      </c>
      <c r="K1591" s="2">
        <f t="shared" si="122"/>
        <v>2025</v>
      </c>
      <c r="L1591" s="2">
        <f t="shared" si="123"/>
        <v>2</v>
      </c>
      <c r="M1591" s="6">
        <v>0</v>
      </c>
      <c r="N1591" s="6" t="s">
        <v>3482</v>
      </c>
      <c r="O1591" s="6" t="s">
        <v>97</v>
      </c>
      <c r="P1591" s="7">
        <v>901843</v>
      </c>
      <c r="Q1591" s="7">
        <v>905050</v>
      </c>
      <c r="R1591" s="6" t="s">
        <v>3375</v>
      </c>
      <c r="S1591" s="6" t="s">
        <v>5574</v>
      </c>
      <c r="T1591" s="6">
        <v>18.899999999999999</v>
      </c>
      <c r="U1591" s="6" t="s">
        <v>63</v>
      </c>
      <c r="V1591" s="6" t="s">
        <v>907</v>
      </c>
      <c r="W1591" s="67" t="str">
        <f t="shared" si="124"/>
        <v>Customer</v>
      </c>
    </row>
    <row r="1592" spans="1:23" x14ac:dyDescent="0.3">
      <c r="A1592" s="2" t="s">
        <v>3778</v>
      </c>
      <c r="B1592" s="2" t="s">
        <v>3779</v>
      </c>
      <c r="C1592" s="2">
        <v>9879351567</v>
      </c>
      <c r="D1592" s="2" t="s">
        <v>20</v>
      </c>
      <c r="E1592" s="2" t="s">
        <v>41</v>
      </c>
      <c r="F1592" s="2" t="s">
        <v>151</v>
      </c>
      <c r="G1592" s="2" t="s">
        <v>1677</v>
      </c>
      <c r="H1592" s="2" t="s">
        <v>3557</v>
      </c>
      <c r="I1592" s="2" t="str">
        <f t="shared" si="120"/>
        <v>Apr</v>
      </c>
      <c r="J1592" s="2">
        <f t="shared" si="121"/>
        <v>4</v>
      </c>
      <c r="K1592" s="2">
        <f t="shared" si="122"/>
        <v>2025</v>
      </c>
      <c r="L1592" s="2">
        <f t="shared" si="123"/>
        <v>2</v>
      </c>
      <c r="M1592" s="2">
        <v>8</v>
      </c>
      <c r="N1592" s="2" t="s">
        <v>3780</v>
      </c>
      <c r="O1592" s="2" t="s">
        <v>45</v>
      </c>
      <c r="P1592" s="3">
        <v>1679391</v>
      </c>
      <c r="Q1592" s="2"/>
      <c r="R1592" s="2"/>
      <c r="S1592" s="2" t="s">
        <v>5819</v>
      </c>
      <c r="T1592" s="2">
        <v>21.9</v>
      </c>
      <c r="U1592" s="2" t="s">
        <v>29</v>
      </c>
      <c r="V1592" s="2" t="s">
        <v>56</v>
      </c>
      <c r="W1592" s="67" t="str">
        <f t="shared" si="124"/>
        <v>-</v>
      </c>
    </row>
    <row r="1593" spans="1:23" x14ac:dyDescent="0.3">
      <c r="A1593" s="4" t="s">
        <v>3781</v>
      </c>
      <c r="B1593" s="4" t="s">
        <v>1403</v>
      </c>
      <c r="C1593" s="4">
        <v>9339609781</v>
      </c>
      <c r="D1593" s="4" t="s">
        <v>51</v>
      </c>
      <c r="E1593" s="4" t="s">
        <v>1632</v>
      </c>
      <c r="F1593" s="4" t="s">
        <v>1659</v>
      </c>
      <c r="G1593" s="4" t="s">
        <v>52</v>
      </c>
      <c r="H1593" s="4" t="s">
        <v>3494</v>
      </c>
      <c r="I1593" s="2" t="str">
        <f t="shared" si="120"/>
        <v>Apr</v>
      </c>
      <c r="J1593" s="2">
        <f t="shared" si="121"/>
        <v>4</v>
      </c>
      <c r="K1593" s="2">
        <f t="shared" si="122"/>
        <v>2025</v>
      </c>
      <c r="L1593" s="2">
        <f t="shared" si="123"/>
        <v>2</v>
      </c>
      <c r="M1593" s="4">
        <v>6</v>
      </c>
      <c r="N1593" s="4" t="s">
        <v>3592</v>
      </c>
      <c r="O1593" s="4" t="s">
        <v>45</v>
      </c>
      <c r="P1593" s="5">
        <v>477974</v>
      </c>
      <c r="Q1593" s="4"/>
      <c r="R1593" s="4"/>
      <c r="S1593" s="4" t="s">
        <v>5574</v>
      </c>
      <c r="T1593" s="4">
        <v>15.9</v>
      </c>
      <c r="U1593" s="4" t="s">
        <v>47</v>
      </c>
      <c r="V1593" s="4" t="s">
        <v>276</v>
      </c>
      <c r="W1593" s="67" t="str">
        <f t="shared" si="124"/>
        <v>-</v>
      </c>
    </row>
    <row r="1594" spans="1:23" x14ac:dyDescent="0.3">
      <c r="A1594" s="8" t="s">
        <v>3782</v>
      </c>
      <c r="B1594" s="8" t="s">
        <v>1616</v>
      </c>
      <c r="C1594" s="8">
        <v>9795197878</v>
      </c>
      <c r="D1594" s="8" t="s">
        <v>51</v>
      </c>
      <c r="E1594" s="8" t="s">
        <v>21</v>
      </c>
      <c r="F1594" s="8" t="s">
        <v>22</v>
      </c>
      <c r="G1594" s="8" t="s">
        <v>1609</v>
      </c>
      <c r="H1594" s="8" t="s">
        <v>3494</v>
      </c>
      <c r="I1594" s="2" t="str">
        <f t="shared" si="120"/>
        <v>Apr</v>
      </c>
      <c r="J1594" s="2">
        <f t="shared" si="121"/>
        <v>4</v>
      </c>
      <c r="K1594" s="2">
        <f t="shared" si="122"/>
        <v>2025</v>
      </c>
      <c r="L1594" s="2">
        <f t="shared" si="123"/>
        <v>2</v>
      </c>
      <c r="M1594" s="8">
        <v>4</v>
      </c>
      <c r="N1594" s="8" t="s">
        <v>3521</v>
      </c>
      <c r="O1594" s="8" t="s">
        <v>97</v>
      </c>
      <c r="P1594" s="9">
        <v>228435</v>
      </c>
      <c r="Q1594" s="9">
        <v>207885</v>
      </c>
      <c r="R1594" s="8" t="s">
        <v>3712</v>
      </c>
      <c r="S1594" s="8" t="s">
        <v>5574</v>
      </c>
      <c r="T1594" s="8">
        <v>25.9</v>
      </c>
      <c r="U1594" s="8" t="s">
        <v>63</v>
      </c>
      <c r="V1594" s="8" t="s">
        <v>286</v>
      </c>
      <c r="W1594" s="67" t="str">
        <f t="shared" si="124"/>
        <v>Customer</v>
      </c>
    </row>
    <row r="1595" spans="1:23" x14ac:dyDescent="0.3">
      <c r="A1595" s="4" t="s">
        <v>3783</v>
      </c>
      <c r="B1595" s="4" t="s">
        <v>3276</v>
      </c>
      <c r="C1595" s="4">
        <v>9422667659</v>
      </c>
      <c r="D1595" s="4" t="s">
        <v>121</v>
      </c>
      <c r="E1595" s="4" t="s">
        <v>648</v>
      </c>
      <c r="F1595" s="4" t="s">
        <v>899</v>
      </c>
      <c r="G1595" s="4" t="s">
        <v>1599</v>
      </c>
      <c r="H1595" s="4" t="s">
        <v>3494</v>
      </c>
      <c r="I1595" s="2" t="str">
        <f t="shared" si="120"/>
        <v>Apr</v>
      </c>
      <c r="J1595" s="2">
        <f t="shared" si="121"/>
        <v>4</v>
      </c>
      <c r="K1595" s="2">
        <f t="shared" si="122"/>
        <v>2025</v>
      </c>
      <c r="L1595" s="2">
        <f t="shared" si="123"/>
        <v>2</v>
      </c>
      <c r="M1595" s="4">
        <v>2</v>
      </c>
      <c r="N1595" s="4" t="s">
        <v>3667</v>
      </c>
      <c r="O1595" s="4" t="s">
        <v>62</v>
      </c>
      <c r="P1595" s="5">
        <v>914263</v>
      </c>
      <c r="Q1595" s="4"/>
      <c r="R1595" s="4"/>
      <c r="S1595" s="4" t="s">
        <v>5819</v>
      </c>
      <c r="T1595" s="4">
        <v>10.5</v>
      </c>
      <c r="U1595" s="4" t="s">
        <v>47</v>
      </c>
      <c r="V1595" s="4" t="s">
        <v>310</v>
      </c>
      <c r="W1595" s="67" t="str">
        <f t="shared" si="124"/>
        <v>-</v>
      </c>
    </row>
    <row r="1596" spans="1:23" x14ac:dyDescent="0.3">
      <c r="A1596" s="2" t="s">
        <v>3784</v>
      </c>
      <c r="B1596" s="2" t="s">
        <v>265</v>
      </c>
      <c r="C1596" s="2">
        <v>9258395879</v>
      </c>
      <c r="D1596" s="2" t="s">
        <v>121</v>
      </c>
      <c r="E1596" s="2" t="s">
        <v>109</v>
      </c>
      <c r="F1596" s="2" t="s">
        <v>331</v>
      </c>
      <c r="G1596" s="2" t="s">
        <v>1599</v>
      </c>
      <c r="H1596" s="2" t="s">
        <v>3482</v>
      </c>
      <c r="I1596" s="2" t="str">
        <f t="shared" si="120"/>
        <v>Apr</v>
      </c>
      <c r="J1596" s="2">
        <f t="shared" si="121"/>
        <v>4</v>
      </c>
      <c r="K1596" s="2">
        <f t="shared" si="122"/>
        <v>2025</v>
      </c>
      <c r="L1596" s="2">
        <f t="shared" si="123"/>
        <v>2</v>
      </c>
      <c r="M1596" s="2">
        <v>2</v>
      </c>
      <c r="N1596" s="2" t="s">
        <v>3465</v>
      </c>
      <c r="O1596" s="2" t="s">
        <v>27</v>
      </c>
      <c r="P1596" s="3">
        <v>774160</v>
      </c>
      <c r="Q1596" s="2"/>
      <c r="R1596" s="2"/>
      <c r="S1596" s="2" t="s">
        <v>5819</v>
      </c>
      <c r="T1596" s="2">
        <v>29.7</v>
      </c>
      <c r="U1596" s="2" t="s">
        <v>29</v>
      </c>
      <c r="V1596" s="2" t="s">
        <v>38</v>
      </c>
      <c r="W1596" s="67" t="str">
        <f t="shared" si="124"/>
        <v>-</v>
      </c>
    </row>
    <row r="1597" spans="1:23" x14ac:dyDescent="0.3">
      <c r="A1597" s="6" t="s">
        <v>3785</v>
      </c>
      <c r="B1597" s="6" t="s">
        <v>1769</v>
      </c>
      <c r="C1597" s="6">
        <v>9759901484</v>
      </c>
      <c r="D1597" s="6" t="s">
        <v>121</v>
      </c>
      <c r="E1597" s="6" t="s">
        <v>41</v>
      </c>
      <c r="F1597" s="6" t="s">
        <v>92</v>
      </c>
      <c r="G1597" s="6" t="s">
        <v>1599</v>
      </c>
      <c r="H1597" s="6" t="s">
        <v>3482</v>
      </c>
      <c r="I1597" s="2" t="str">
        <f t="shared" si="120"/>
        <v>Apr</v>
      </c>
      <c r="J1597" s="2">
        <f t="shared" si="121"/>
        <v>4</v>
      </c>
      <c r="K1597" s="2">
        <f t="shared" si="122"/>
        <v>2025</v>
      </c>
      <c r="L1597" s="2">
        <f t="shared" si="123"/>
        <v>2</v>
      </c>
      <c r="M1597" s="6">
        <v>1</v>
      </c>
      <c r="N1597" s="6" t="s">
        <v>3435</v>
      </c>
      <c r="O1597" s="6" t="s">
        <v>97</v>
      </c>
      <c r="P1597" s="7">
        <v>844877</v>
      </c>
      <c r="Q1597" s="7">
        <v>809062</v>
      </c>
      <c r="R1597" s="6" t="s">
        <v>3723</v>
      </c>
      <c r="S1597" s="6" t="s">
        <v>5819</v>
      </c>
      <c r="T1597" s="6">
        <v>2.8</v>
      </c>
      <c r="U1597" s="6" t="s">
        <v>47</v>
      </c>
      <c r="V1597" s="6" t="s">
        <v>99</v>
      </c>
      <c r="W1597" s="67" t="str">
        <f t="shared" si="124"/>
        <v>Customer</v>
      </c>
    </row>
    <row r="1598" spans="1:23" x14ac:dyDescent="0.3">
      <c r="A1598" s="2" t="s">
        <v>3786</v>
      </c>
      <c r="B1598" s="2" t="s">
        <v>3787</v>
      </c>
      <c r="C1598" s="2">
        <v>9395103366</v>
      </c>
      <c r="D1598" s="2" t="s">
        <v>59</v>
      </c>
      <c r="E1598" s="2" t="s">
        <v>1632</v>
      </c>
      <c r="F1598" s="2" t="s">
        <v>1849</v>
      </c>
      <c r="G1598" s="2" t="s">
        <v>643</v>
      </c>
      <c r="H1598" s="2" t="s">
        <v>3482</v>
      </c>
      <c r="I1598" s="2" t="str">
        <f t="shared" si="120"/>
        <v>Apr</v>
      </c>
      <c r="J1598" s="2">
        <f t="shared" si="121"/>
        <v>4</v>
      </c>
      <c r="K1598" s="2">
        <f t="shared" si="122"/>
        <v>2025</v>
      </c>
      <c r="L1598" s="2">
        <f t="shared" si="123"/>
        <v>2</v>
      </c>
      <c r="M1598" s="2">
        <v>3</v>
      </c>
      <c r="N1598" s="2" t="s">
        <v>3602</v>
      </c>
      <c r="O1598" s="2" t="s">
        <v>55</v>
      </c>
      <c r="P1598" s="3">
        <v>837963</v>
      </c>
      <c r="Q1598" s="2"/>
      <c r="R1598" s="2"/>
      <c r="S1598" s="2" t="s">
        <v>5574</v>
      </c>
      <c r="T1598" s="2">
        <v>28.2</v>
      </c>
      <c r="U1598" s="2" t="s">
        <v>29</v>
      </c>
      <c r="V1598" s="2"/>
      <c r="W1598" s="67" t="str">
        <f t="shared" si="124"/>
        <v>-</v>
      </c>
    </row>
    <row r="1599" spans="1:23" x14ac:dyDescent="0.3">
      <c r="A1599" s="4" t="s">
        <v>3788</v>
      </c>
      <c r="B1599" s="4" t="s">
        <v>3789</v>
      </c>
      <c r="C1599" s="4">
        <v>9848106289</v>
      </c>
      <c r="D1599" s="4" t="s">
        <v>51</v>
      </c>
      <c r="E1599" s="4" t="s">
        <v>1632</v>
      </c>
      <c r="F1599" s="4" t="s">
        <v>1633</v>
      </c>
      <c r="G1599" s="4" t="s">
        <v>1623</v>
      </c>
      <c r="H1599" s="4" t="s">
        <v>3482</v>
      </c>
      <c r="I1599" s="2" t="str">
        <f t="shared" si="120"/>
        <v>Apr</v>
      </c>
      <c r="J1599" s="2">
        <f t="shared" si="121"/>
        <v>4</v>
      </c>
      <c r="K1599" s="2">
        <f t="shared" si="122"/>
        <v>2025</v>
      </c>
      <c r="L1599" s="2">
        <f t="shared" si="123"/>
        <v>2</v>
      </c>
      <c r="M1599" s="4">
        <v>4</v>
      </c>
      <c r="N1599" s="4" t="s">
        <v>3699</v>
      </c>
      <c r="O1599" s="4" t="s">
        <v>27</v>
      </c>
      <c r="P1599" s="5">
        <v>260701</v>
      </c>
      <c r="Q1599" s="4"/>
      <c r="R1599" s="4"/>
      <c r="S1599" s="4" t="s">
        <v>5574</v>
      </c>
      <c r="T1599" s="4">
        <v>25.6</v>
      </c>
      <c r="U1599" s="4" t="s">
        <v>29</v>
      </c>
      <c r="V1599" s="4"/>
      <c r="W1599" s="67" t="str">
        <f t="shared" si="124"/>
        <v>-</v>
      </c>
    </row>
    <row r="1600" spans="1:23" x14ac:dyDescent="0.3">
      <c r="A1600" s="2" t="s">
        <v>3790</v>
      </c>
      <c r="B1600" s="2" t="s">
        <v>2228</v>
      </c>
      <c r="C1600" s="2">
        <v>9534930325</v>
      </c>
      <c r="D1600" s="2" t="s">
        <v>51</v>
      </c>
      <c r="E1600" s="2" t="s">
        <v>641</v>
      </c>
      <c r="F1600" s="2" t="s">
        <v>717</v>
      </c>
      <c r="G1600" s="2" t="s">
        <v>1735</v>
      </c>
      <c r="H1600" s="2" t="s">
        <v>3454</v>
      </c>
      <c r="I1600" s="2" t="str">
        <f t="shared" si="120"/>
        <v>Apr</v>
      </c>
      <c r="J1600" s="2">
        <f t="shared" si="121"/>
        <v>4</v>
      </c>
      <c r="K1600" s="2">
        <f t="shared" si="122"/>
        <v>2025</v>
      </c>
      <c r="L1600" s="2">
        <f t="shared" si="123"/>
        <v>2</v>
      </c>
      <c r="M1600" s="2">
        <v>0</v>
      </c>
      <c r="N1600" s="2" t="s">
        <v>3375</v>
      </c>
      <c r="O1600" s="2" t="s">
        <v>45</v>
      </c>
      <c r="P1600" s="3">
        <v>1896792</v>
      </c>
      <c r="Q1600" s="2"/>
      <c r="R1600" s="2"/>
      <c r="S1600" s="2" t="s">
        <v>5819</v>
      </c>
      <c r="T1600" s="2">
        <v>4.5999999999999996</v>
      </c>
      <c r="U1600" s="2" t="s">
        <v>63</v>
      </c>
      <c r="V1600" s="2" t="s">
        <v>260</v>
      </c>
      <c r="W1600" s="67" t="str">
        <f t="shared" si="124"/>
        <v>-</v>
      </c>
    </row>
    <row r="1601" spans="1:23" x14ac:dyDescent="0.3">
      <c r="A1601" s="4" t="s">
        <v>3791</v>
      </c>
      <c r="B1601" s="4" t="s">
        <v>3792</v>
      </c>
      <c r="C1601" s="4">
        <v>9997194472</v>
      </c>
      <c r="D1601" s="4" t="s">
        <v>108</v>
      </c>
      <c r="E1601" s="4" t="s">
        <v>73</v>
      </c>
      <c r="F1601" s="4" t="s">
        <v>126</v>
      </c>
      <c r="G1601" s="4" t="s">
        <v>1599</v>
      </c>
      <c r="H1601" s="4" t="s">
        <v>3454</v>
      </c>
      <c r="I1601" s="2" t="str">
        <f t="shared" si="120"/>
        <v>Apr</v>
      </c>
      <c r="J1601" s="2">
        <f t="shared" si="121"/>
        <v>4</v>
      </c>
      <c r="K1601" s="2">
        <f t="shared" si="122"/>
        <v>2025</v>
      </c>
      <c r="L1601" s="2">
        <f t="shared" si="123"/>
        <v>2</v>
      </c>
      <c r="M1601" s="4">
        <v>2</v>
      </c>
      <c r="N1601" s="4" t="s">
        <v>3793</v>
      </c>
      <c r="O1601" s="4" t="s">
        <v>62</v>
      </c>
      <c r="P1601" s="5">
        <v>939212</v>
      </c>
      <c r="Q1601" s="4"/>
      <c r="R1601" s="4"/>
      <c r="S1601" s="4" t="s">
        <v>5819</v>
      </c>
      <c r="T1601" s="4">
        <v>23.3</v>
      </c>
      <c r="U1601" s="4" t="s">
        <v>47</v>
      </c>
      <c r="V1601" s="4" t="s">
        <v>256</v>
      </c>
      <c r="W1601" s="67" t="str">
        <f t="shared" si="124"/>
        <v>-</v>
      </c>
    </row>
    <row r="1602" spans="1:23" x14ac:dyDescent="0.3">
      <c r="A1602" s="2" t="s">
        <v>3794</v>
      </c>
      <c r="B1602" s="2" t="s">
        <v>878</v>
      </c>
      <c r="C1602" s="2">
        <v>9624944510</v>
      </c>
      <c r="D1602" s="2" t="s">
        <v>20</v>
      </c>
      <c r="E1602" s="2" t="s">
        <v>109</v>
      </c>
      <c r="F1602" s="2" t="s">
        <v>217</v>
      </c>
      <c r="G1602" s="2" t="s">
        <v>69</v>
      </c>
      <c r="H1602" s="2" t="s">
        <v>3454</v>
      </c>
      <c r="I1602" s="2" t="str">
        <f t="shared" ref="I1602:I1665" si="125">TEXT(H1602,"mmm")</f>
        <v>Apr</v>
      </c>
      <c r="J1602" s="2">
        <f t="shared" ref="J1602:J1665" si="126">MONTH(H1602)</f>
        <v>4</v>
      </c>
      <c r="K1602" s="2">
        <f t="shared" ref="K1602:K1665" si="127">YEAR(H1602)</f>
        <v>2025</v>
      </c>
      <c r="L1602" s="2">
        <f t="shared" ref="L1602:L1665" si="128">ROUNDUP(MONTH(H1602)/3,0)</f>
        <v>2</v>
      </c>
      <c r="M1602" s="2">
        <v>9</v>
      </c>
      <c r="N1602" s="2" t="s">
        <v>3776</v>
      </c>
      <c r="O1602" s="2" t="s">
        <v>45</v>
      </c>
      <c r="P1602" s="3">
        <v>157869</v>
      </c>
      <c r="Q1602" s="2"/>
      <c r="R1602" s="2"/>
      <c r="S1602" s="2" t="s">
        <v>5573</v>
      </c>
      <c r="T1602" s="2">
        <v>13.4</v>
      </c>
      <c r="U1602" s="2" t="s">
        <v>47</v>
      </c>
      <c r="V1602" s="2" t="s">
        <v>183</v>
      </c>
      <c r="W1602" s="67" t="str">
        <f t="shared" ref="W1602:W1665" si="129">IF($O1602&lt;&gt;"Converted","-",IF(ISNUMBER(SEARCH("Architect",$F1602)),"Architect","Customer"))</f>
        <v>-</v>
      </c>
    </row>
    <row r="1603" spans="1:23" x14ac:dyDescent="0.3">
      <c r="A1603" s="4" t="s">
        <v>3795</v>
      </c>
      <c r="B1603" s="4" t="s">
        <v>3796</v>
      </c>
      <c r="C1603" s="4">
        <v>9489840536</v>
      </c>
      <c r="D1603" s="4" t="s">
        <v>108</v>
      </c>
      <c r="E1603" s="4" t="s">
        <v>41</v>
      </c>
      <c r="F1603" s="4" t="s">
        <v>151</v>
      </c>
      <c r="G1603" s="4" t="s">
        <v>1735</v>
      </c>
      <c r="H1603" s="4" t="s">
        <v>3454</v>
      </c>
      <c r="I1603" s="2" t="str">
        <f t="shared" si="125"/>
        <v>Apr</v>
      </c>
      <c r="J1603" s="2">
        <f t="shared" si="126"/>
        <v>4</v>
      </c>
      <c r="K1603" s="2">
        <f t="shared" si="127"/>
        <v>2025</v>
      </c>
      <c r="L1603" s="2">
        <f t="shared" si="128"/>
        <v>2</v>
      </c>
      <c r="M1603" s="4">
        <v>10</v>
      </c>
      <c r="N1603" s="4" t="s">
        <v>3700</v>
      </c>
      <c r="O1603" s="4" t="s">
        <v>27</v>
      </c>
      <c r="P1603" s="5">
        <v>1619195</v>
      </c>
      <c r="Q1603" s="4"/>
      <c r="R1603" s="4"/>
      <c r="S1603" s="4" t="s">
        <v>5573</v>
      </c>
      <c r="T1603" s="4">
        <v>32</v>
      </c>
      <c r="U1603" s="4" t="s">
        <v>29</v>
      </c>
      <c r="V1603" s="4" t="s">
        <v>163</v>
      </c>
      <c r="W1603" s="67" t="str">
        <f t="shared" si="129"/>
        <v>-</v>
      </c>
    </row>
    <row r="1604" spans="1:23" x14ac:dyDescent="0.3">
      <c r="A1604" s="2" t="s">
        <v>3797</v>
      </c>
      <c r="B1604" s="2" t="s">
        <v>2600</v>
      </c>
      <c r="C1604" s="2">
        <v>9647403478</v>
      </c>
      <c r="D1604" s="2" t="s">
        <v>20</v>
      </c>
      <c r="E1604" s="2" t="s">
        <v>1632</v>
      </c>
      <c r="F1604" s="2" t="s">
        <v>1633</v>
      </c>
      <c r="G1604" s="2" t="s">
        <v>1609</v>
      </c>
      <c r="H1604" s="2" t="s">
        <v>3454</v>
      </c>
      <c r="I1604" s="2" t="str">
        <f t="shared" si="125"/>
        <v>Apr</v>
      </c>
      <c r="J1604" s="2">
        <f t="shared" si="126"/>
        <v>4</v>
      </c>
      <c r="K1604" s="2">
        <f t="shared" si="127"/>
        <v>2025</v>
      </c>
      <c r="L1604" s="2">
        <f t="shared" si="128"/>
        <v>2</v>
      </c>
      <c r="M1604" s="2">
        <v>0</v>
      </c>
      <c r="N1604" s="2" t="s">
        <v>3375</v>
      </c>
      <c r="O1604" s="2" t="s">
        <v>62</v>
      </c>
      <c r="P1604" s="3">
        <v>477115</v>
      </c>
      <c r="Q1604" s="2"/>
      <c r="R1604" s="2"/>
      <c r="S1604" s="2" t="s">
        <v>5819</v>
      </c>
      <c r="T1604" s="2">
        <v>8</v>
      </c>
      <c r="U1604" s="2" t="s">
        <v>63</v>
      </c>
      <c r="V1604" s="2"/>
      <c r="W1604" s="67" t="str">
        <f t="shared" si="129"/>
        <v>-</v>
      </c>
    </row>
    <row r="1605" spans="1:23" x14ac:dyDescent="0.3">
      <c r="A1605" s="8" t="s">
        <v>3798</v>
      </c>
      <c r="B1605" s="8" t="s">
        <v>297</v>
      </c>
      <c r="C1605" s="8">
        <v>9131131342</v>
      </c>
      <c r="D1605" s="8" t="s">
        <v>20</v>
      </c>
      <c r="E1605" s="8" t="s">
        <v>648</v>
      </c>
      <c r="F1605" s="8" t="s">
        <v>649</v>
      </c>
      <c r="G1605" s="8" t="s">
        <v>1621</v>
      </c>
      <c r="H1605" s="8" t="s">
        <v>3516</v>
      </c>
      <c r="I1605" s="2" t="str">
        <f t="shared" si="125"/>
        <v>Apr</v>
      </c>
      <c r="J1605" s="2">
        <f t="shared" si="126"/>
        <v>4</v>
      </c>
      <c r="K1605" s="2">
        <f t="shared" si="127"/>
        <v>2025</v>
      </c>
      <c r="L1605" s="2">
        <f t="shared" si="128"/>
        <v>2</v>
      </c>
      <c r="M1605" s="8">
        <v>6</v>
      </c>
      <c r="N1605" s="8" t="s">
        <v>3667</v>
      </c>
      <c r="O1605" s="8" t="s">
        <v>62</v>
      </c>
      <c r="P1605" s="9">
        <v>436437</v>
      </c>
      <c r="Q1605" s="8"/>
      <c r="R1605" s="8"/>
      <c r="S1605" s="8" t="s">
        <v>5819</v>
      </c>
      <c r="T1605" s="8">
        <v>27.8</v>
      </c>
      <c r="U1605" s="8" t="s">
        <v>47</v>
      </c>
      <c r="V1605" s="8" t="s">
        <v>183</v>
      </c>
      <c r="W1605" s="67" t="str">
        <f t="shared" si="129"/>
        <v>-</v>
      </c>
    </row>
    <row r="1606" spans="1:23" x14ac:dyDescent="0.3">
      <c r="A1606" s="2" t="s">
        <v>3799</v>
      </c>
      <c r="B1606" s="2" t="s">
        <v>3800</v>
      </c>
      <c r="C1606" s="2">
        <v>9873969007</v>
      </c>
      <c r="D1606" s="2" t="s">
        <v>20</v>
      </c>
      <c r="E1606" s="2" t="s">
        <v>648</v>
      </c>
      <c r="F1606" s="2" t="s">
        <v>822</v>
      </c>
      <c r="G1606" s="2" t="s">
        <v>643</v>
      </c>
      <c r="H1606" s="2" t="s">
        <v>3516</v>
      </c>
      <c r="I1606" s="2" t="str">
        <f t="shared" si="125"/>
        <v>Apr</v>
      </c>
      <c r="J1606" s="2">
        <f t="shared" si="126"/>
        <v>4</v>
      </c>
      <c r="K1606" s="2">
        <f t="shared" si="127"/>
        <v>2025</v>
      </c>
      <c r="L1606" s="2">
        <f t="shared" si="128"/>
        <v>2</v>
      </c>
      <c r="M1606" s="2">
        <v>11</v>
      </c>
      <c r="N1606" s="2" t="s">
        <v>3776</v>
      </c>
      <c r="O1606" s="2" t="s">
        <v>27</v>
      </c>
      <c r="P1606" s="3">
        <v>774051</v>
      </c>
      <c r="Q1606" s="2"/>
      <c r="R1606" s="2"/>
      <c r="S1606" s="2" t="s">
        <v>5573</v>
      </c>
      <c r="T1606" s="2">
        <v>14.7</v>
      </c>
      <c r="U1606" s="2" t="s">
        <v>47</v>
      </c>
      <c r="V1606" s="2" t="s">
        <v>202</v>
      </c>
      <c r="W1606" s="67" t="str">
        <f t="shared" si="129"/>
        <v>-</v>
      </c>
    </row>
    <row r="1607" spans="1:23" x14ac:dyDescent="0.3">
      <c r="A1607" s="6" t="s">
        <v>3801</v>
      </c>
      <c r="B1607" s="6" t="s">
        <v>647</v>
      </c>
      <c r="C1607" s="6">
        <v>9773344310</v>
      </c>
      <c r="D1607" s="6" t="s">
        <v>121</v>
      </c>
      <c r="E1607" s="6" t="s">
        <v>41</v>
      </c>
      <c r="F1607" s="6" t="s">
        <v>86</v>
      </c>
      <c r="G1607" s="6" t="s">
        <v>52</v>
      </c>
      <c r="H1607" s="6" t="s">
        <v>3516</v>
      </c>
      <c r="I1607" s="2" t="str">
        <f t="shared" si="125"/>
        <v>Apr</v>
      </c>
      <c r="J1607" s="2">
        <f t="shared" si="126"/>
        <v>4</v>
      </c>
      <c r="K1607" s="2">
        <f t="shared" si="127"/>
        <v>2025</v>
      </c>
      <c r="L1607" s="2">
        <f t="shared" si="128"/>
        <v>2</v>
      </c>
      <c r="M1607" s="6">
        <v>10</v>
      </c>
      <c r="N1607" s="6" t="s">
        <v>3802</v>
      </c>
      <c r="O1607" s="6" t="s">
        <v>97</v>
      </c>
      <c r="P1607" s="7">
        <v>486149</v>
      </c>
      <c r="Q1607" s="7">
        <v>438940</v>
      </c>
      <c r="R1607" s="6" t="s">
        <v>3803</v>
      </c>
      <c r="S1607" s="6" t="s">
        <v>5819</v>
      </c>
      <c r="T1607" s="6">
        <v>22.5</v>
      </c>
      <c r="U1607" s="6" t="s">
        <v>63</v>
      </c>
      <c r="V1607" s="6" t="s">
        <v>99</v>
      </c>
      <c r="W1607" s="67" t="str">
        <f t="shared" si="129"/>
        <v>Customer</v>
      </c>
    </row>
    <row r="1608" spans="1:23" x14ac:dyDescent="0.3">
      <c r="A1608" s="2" t="s">
        <v>3804</v>
      </c>
      <c r="B1608" s="2" t="s">
        <v>3056</v>
      </c>
      <c r="C1608" s="2">
        <v>9892542863</v>
      </c>
      <c r="D1608" s="2" t="s">
        <v>20</v>
      </c>
      <c r="E1608" s="2" t="s">
        <v>1632</v>
      </c>
      <c r="F1608" s="2" t="s">
        <v>1717</v>
      </c>
      <c r="G1608" s="2" t="s">
        <v>1677</v>
      </c>
      <c r="H1608" s="2" t="s">
        <v>3516</v>
      </c>
      <c r="I1608" s="2" t="str">
        <f t="shared" si="125"/>
        <v>Apr</v>
      </c>
      <c r="J1608" s="2">
        <f t="shared" si="126"/>
        <v>4</v>
      </c>
      <c r="K1608" s="2">
        <f t="shared" si="127"/>
        <v>2025</v>
      </c>
      <c r="L1608" s="2">
        <f t="shared" si="128"/>
        <v>2</v>
      </c>
      <c r="M1608" s="2">
        <v>11</v>
      </c>
      <c r="N1608" s="2" t="s">
        <v>3751</v>
      </c>
      <c r="O1608" s="2" t="s">
        <v>27</v>
      </c>
      <c r="P1608" s="3">
        <v>1545584</v>
      </c>
      <c r="Q1608" s="2"/>
      <c r="R1608" s="2"/>
      <c r="S1608" s="2" t="s">
        <v>5574</v>
      </c>
      <c r="T1608" s="2">
        <v>19.3</v>
      </c>
      <c r="U1608" s="2" t="s">
        <v>29</v>
      </c>
      <c r="V1608" s="2" t="s">
        <v>238</v>
      </c>
      <c r="W1608" s="67" t="str">
        <f t="shared" si="129"/>
        <v>-</v>
      </c>
    </row>
    <row r="1609" spans="1:23" x14ac:dyDescent="0.3">
      <c r="A1609" s="4" t="s">
        <v>3805</v>
      </c>
      <c r="B1609" s="4" t="s">
        <v>3806</v>
      </c>
      <c r="C1609" s="4">
        <v>9490751319</v>
      </c>
      <c r="D1609" s="4" t="s">
        <v>20</v>
      </c>
      <c r="E1609" s="4" t="s">
        <v>73</v>
      </c>
      <c r="F1609" s="4" t="s">
        <v>74</v>
      </c>
      <c r="G1609" s="4" t="s">
        <v>1609</v>
      </c>
      <c r="H1609" s="4" t="s">
        <v>3516</v>
      </c>
      <c r="I1609" s="2" t="str">
        <f t="shared" si="125"/>
        <v>Apr</v>
      </c>
      <c r="J1609" s="2">
        <f t="shared" si="126"/>
        <v>4</v>
      </c>
      <c r="K1609" s="2">
        <f t="shared" si="127"/>
        <v>2025</v>
      </c>
      <c r="L1609" s="2">
        <f t="shared" si="128"/>
        <v>2</v>
      </c>
      <c r="M1609" s="4">
        <v>9</v>
      </c>
      <c r="N1609" s="4" t="s">
        <v>3568</v>
      </c>
      <c r="O1609" s="4" t="s">
        <v>55</v>
      </c>
      <c r="P1609" s="5">
        <v>382615</v>
      </c>
      <c r="Q1609" s="4"/>
      <c r="R1609" s="4"/>
      <c r="S1609" s="4" t="s">
        <v>5574</v>
      </c>
      <c r="T1609" s="4">
        <v>33.200000000000003</v>
      </c>
      <c r="U1609" s="4" t="s">
        <v>29</v>
      </c>
      <c r="V1609" s="4" t="s">
        <v>805</v>
      </c>
      <c r="W1609" s="67" t="str">
        <f t="shared" si="129"/>
        <v>-</v>
      </c>
    </row>
    <row r="1610" spans="1:23" x14ac:dyDescent="0.3">
      <c r="A1610" s="2" t="s">
        <v>3807</v>
      </c>
      <c r="B1610" s="2" t="s">
        <v>3692</v>
      </c>
      <c r="C1610" s="2">
        <v>9281351053</v>
      </c>
      <c r="D1610" s="2" t="s">
        <v>59</v>
      </c>
      <c r="E1610" s="2" t="s">
        <v>641</v>
      </c>
      <c r="F1610" s="2" t="s">
        <v>681</v>
      </c>
      <c r="G1610" s="2" t="s">
        <v>87</v>
      </c>
      <c r="H1610" s="2" t="s">
        <v>3584</v>
      </c>
      <c r="I1610" s="2" t="str">
        <f t="shared" si="125"/>
        <v>Apr</v>
      </c>
      <c r="J1610" s="2">
        <f t="shared" si="126"/>
        <v>4</v>
      </c>
      <c r="K1610" s="2">
        <f t="shared" si="127"/>
        <v>2025</v>
      </c>
      <c r="L1610" s="2">
        <f t="shared" si="128"/>
        <v>2</v>
      </c>
      <c r="M1610" s="2">
        <v>5</v>
      </c>
      <c r="N1610" s="2" t="s">
        <v>3602</v>
      </c>
      <c r="O1610" s="2" t="s">
        <v>27</v>
      </c>
      <c r="P1610" s="3">
        <v>85015</v>
      </c>
      <c r="Q1610" s="2"/>
      <c r="R1610" s="2"/>
      <c r="S1610" s="2" t="s">
        <v>5574</v>
      </c>
      <c r="T1610" s="2">
        <v>0.5</v>
      </c>
      <c r="U1610" s="2" t="s">
        <v>29</v>
      </c>
      <c r="V1610" s="2" t="s">
        <v>153</v>
      </c>
      <c r="W1610" s="67" t="str">
        <f t="shared" si="129"/>
        <v>-</v>
      </c>
    </row>
    <row r="1611" spans="1:23" x14ac:dyDescent="0.3">
      <c r="A1611" s="8" t="s">
        <v>3808</v>
      </c>
      <c r="B1611" s="8" t="s">
        <v>3809</v>
      </c>
      <c r="C1611" s="8">
        <v>9750934690</v>
      </c>
      <c r="D1611" s="8" t="s">
        <v>20</v>
      </c>
      <c r="E1611" s="8" t="s">
        <v>41</v>
      </c>
      <c r="F1611" s="8" t="s">
        <v>42</v>
      </c>
      <c r="G1611" s="8" t="s">
        <v>1735</v>
      </c>
      <c r="H1611" s="8" t="s">
        <v>3584</v>
      </c>
      <c r="I1611" s="2" t="str">
        <f t="shared" si="125"/>
        <v>Apr</v>
      </c>
      <c r="J1611" s="2">
        <f t="shared" si="126"/>
        <v>4</v>
      </c>
      <c r="K1611" s="2">
        <f t="shared" si="127"/>
        <v>2025</v>
      </c>
      <c r="L1611" s="2">
        <f t="shared" si="128"/>
        <v>2</v>
      </c>
      <c r="M1611" s="8">
        <v>4</v>
      </c>
      <c r="N1611" s="8" t="s">
        <v>3466</v>
      </c>
      <c r="O1611" s="8" t="s">
        <v>27</v>
      </c>
      <c r="P1611" s="9">
        <v>1914181</v>
      </c>
      <c r="Q1611" s="8"/>
      <c r="R1611" s="8"/>
      <c r="S1611" s="8" t="s">
        <v>5819</v>
      </c>
      <c r="T1611" s="8">
        <v>8.9</v>
      </c>
      <c r="U1611" s="8" t="s">
        <v>29</v>
      </c>
      <c r="V1611" s="8" t="s">
        <v>153</v>
      </c>
      <c r="W1611" s="67" t="str">
        <f t="shared" si="129"/>
        <v>-</v>
      </c>
    </row>
    <row r="1612" spans="1:23" x14ac:dyDescent="0.3">
      <c r="A1612" s="6" t="s">
        <v>3810</v>
      </c>
      <c r="B1612" s="6" t="s">
        <v>3811</v>
      </c>
      <c r="C1612" s="6">
        <v>9196166978</v>
      </c>
      <c r="D1612" s="6" t="s">
        <v>20</v>
      </c>
      <c r="E1612" s="6" t="s">
        <v>1632</v>
      </c>
      <c r="F1612" s="6" t="s">
        <v>1717</v>
      </c>
      <c r="G1612" s="6" t="s">
        <v>23</v>
      </c>
      <c r="H1612" s="6" t="s">
        <v>3647</v>
      </c>
      <c r="I1612" s="2" t="str">
        <f t="shared" si="125"/>
        <v>Apr</v>
      </c>
      <c r="J1612" s="2">
        <f t="shared" si="126"/>
        <v>4</v>
      </c>
      <c r="K1612" s="2">
        <f t="shared" si="127"/>
        <v>2025</v>
      </c>
      <c r="L1612" s="2">
        <f t="shared" si="128"/>
        <v>2</v>
      </c>
      <c r="M1612" s="6">
        <v>7</v>
      </c>
      <c r="N1612" s="6" t="s">
        <v>3769</v>
      </c>
      <c r="O1612" s="6" t="s">
        <v>97</v>
      </c>
      <c r="P1612" s="7">
        <v>821675</v>
      </c>
      <c r="Q1612" s="7">
        <v>838483</v>
      </c>
      <c r="R1612" s="6" t="s">
        <v>3812</v>
      </c>
      <c r="S1612" s="6" t="s">
        <v>5819</v>
      </c>
      <c r="T1612" s="6">
        <v>28.1</v>
      </c>
      <c r="U1612" s="6" t="s">
        <v>47</v>
      </c>
      <c r="V1612" s="6" t="s">
        <v>295</v>
      </c>
      <c r="W1612" s="67" t="str">
        <f t="shared" si="129"/>
        <v>Customer</v>
      </c>
    </row>
    <row r="1613" spans="1:23" x14ac:dyDescent="0.3">
      <c r="A1613" s="4" t="s">
        <v>3813</v>
      </c>
      <c r="B1613" s="4" t="s">
        <v>3814</v>
      </c>
      <c r="C1613" s="4">
        <v>9564230567</v>
      </c>
      <c r="D1613" s="4" t="s">
        <v>20</v>
      </c>
      <c r="E1613" s="4" t="s">
        <v>1632</v>
      </c>
      <c r="F1613" s="4" t="s">
        <v>1633</v>
      </c>
      <c r="G1613" s="4" t="s">
        <v>643</v>
      </c>
      <c r="H1613" s="4" t="s">
        <v>3375</v>
      </c>
      <c r="I1613" s="2" t="str">
        <f t="shared" si="125"/>
        <v>Apr</v>
      </c>
      <c r="J1613" s="2">
        <f t="shared" si="126"/>
        <v>4</v>
      </c>
      <c r="K1613" s="2">
        <f t="shared" si="127"/>
        <v>2025</v>
      </c>
      <c r="L1613" s="2">
        <f t="shared" si="128"/>
        <v>2</v>
      </c>
      <c r="M1613" s="4">
        <v>0</v>
      </c>
      <c r="N1613" s="4" t="s">
        <v>3616</v>
      </c>
      <c r="O1613" s="4" t="s">
        <v>45</v>
      </c>
      <c r="P1613" s="5">
        <v>746086</v>
      </c>
      <c r="Q1613" s="4"/>
      <c r="R1613" s="4"/>
      <c r="S1613" s="4" t="s">
        <v>5573</v>
      </c>
      <c r="T1613" s="4">
        <v>24.5</v>
      </c>
      <c r="U1613" s="4" t="s">
        <v>63</v>
      </c>
      <c r="V1613" s="4" t="s">
        <v>335</v>
      </c>
      <c r="W1613" s="67" t="str">
        <f t="shared" si="129"/>
        <v>-</v>
      </c>
    </row>
    <row r="1614" spans="1:23" x14ac:dyDescent="0.3">
      <c r="A1614" s="2" t="s">
        <v>3815</v>
      </c>
      <c r="B1614" s="2" t="s">
        <v>3816</v>
      </c>
      <c r="C1614" s="2">
        <v>9635948640</v>
      </c>
      <c r="D1614" s="2" t="s">
        <v>121</v>
      </c>
      <c r="E1614" s="2" t="s">
        <v>67</v>
      </c>
      <c r="F1614" s="2" t="s">
        <v>80</v>
      </c>
      <c r="G1614" s="2" t="s">
        <v>1735</v>
      </c>
      <c r="H1614" s="2" t="s">
        <v>3375</v>
      </c>
      <c r="I1614" s="2" t="str">
        <f t="shared" si="125"/>
        <v>Apr</v>
      </c>
      <c r="J1614" s="2">
        <f t="shared" si="126"/>
        <v>4</v>
      </c>
      <c r="K1614" s="2">
        <f t="shared" si="127"/>
        <v>2025</v>
      </c>
      <c r="L1614" s="2">
        <f t="shared" si="128"/>
        <v>2</v>
      </c>
      <c r="M1614" s="2">
        <v>1</v>
      </c>
      <c r="N1614" s="2" t="s">
        <v>3793</v>
      </c>
      <c r="O1614" s="2" t="s">
        <v>62</v>
      </c>
      <c r="P1614" s="3">
        <v>1957717</v>
      </c>
      <c r="Q1614" s="2"/>
      <c r="R1614" s="2"/>
      <c r="S1614" s="2" t="s">
        <v>5819</v>
      </c>
      <c r="T1614" s="2">
        <v>35.9</v>
      </c>
      <c r="U1614" s="2" t="s">
        <v>29</v>
      </c>
      <c r="V1614" s="2" t="s">
        <v>56</v>
      </c>
      <c r="W1614" s="67" t="str">
        <f t="shared" si="129"/>
        <v>-</v>
      </c>
    </row>
    <row r="1615" spans="1:23" x14ac:dyDescent="0.3">
      <c r="A1615" s="8" t="s">
        <v>3817</v>
      </c>
      <c r="B1615" s="8" t="s">
        <v>670</v>
      </c>
      <c r="C1615" s="8">
        <v>9265377971</v>
      </c>
      <c r="D1615" s="8" t="s">
        <v>59</v>
      </c>
      <c r="E1615" s="8" t="s">
        <v>41</v>
      </c>
      <c r="F1615" s="8" t="s">
        <v>86</v>
      </c>
      <c r="G1615" s="8" t="s">
        <v>87</v>
      </c>
      <c r="H1615" s="8" t="s">
        <v>3375</v>
      </c>
      <c r="I1615" s="2" t="str">
        <f t="shared" si="125"/>
        <v>Apr</v>
      </c>
      <c r="J1615" s="2">
        <f t="shared" si="126"/>
        <v>4</v>
      </c>
      <c r="K1615" s="2">
        <f t="shared" si="127"/>
        <v>2025</v>
      </c>
      <c r="L1615" s="2">
        <f t="shared" si="128"/>
        <v>2</v>
      </c>
      <c r="M1615" s="8">
        <v>10</v>
      </c>
      <c r="N1615" s="8" t="s">
        <v>3751</v>
      </c>
      <c r="O1615" s="8" t="s">
        <v>27</v>
      </c>
      <c r="P1615" s="9">
        <v>262597</v>
      </c>
      <c r="Q1615" s="8"/>
      <c r="R1615" s="8"/>
      <c r="S1615" s="8" t="s">
        <v>5819</v>
      </c>
      <c r="T1615" s="8">
        <v>4.5</v>
      </c>
      <c r="U1615" s="8" t="s">
        <v>29</v>
      </c>
      <c r="V1615" s="8" t="s">
        <v>202</v>
      </c>
      <c r="W1615" s="67" t="str">
        <f t="shared" si="129"/>
        <v>-</v>
      </c>
    </row>
    <row r="1616" spans="1:23" x14ac:dyDescent="0.3">
      <c r="A1616" s="2" t="s">
        <v>3818</v>
      </c>
      <c r="B1616" s="2" t="s">
        <v>3819</v>
      </c>
      <c r="C1616" s="2">
        <v>9526374925</v>
      </c>
      <c r="D1616" s="2" t="s">
        <v>121</v>
      </c>
      <c r="E1616" s="2" t="s">
        <v>41</v>
      </c>
      <c r="F1616" s="2" t="s">
        <v>92</v>
      </c>
      <c r="G1616" s="2" t="s">
        <v>60</v>
      </c>
      <c r="H1616" s="2" t="s">
        <v>3375</v>
      </c>
      <c r="I1616" s="2" t="str">
        <f t="shared" si="125"/>
        <v>Apr</v>
      </c>
      <c r="J1616" s="2">
        <f t="shared" si="126"/>
        <v>4</v>
      </c>
      <c r="K1616" s="2">
        <f t="shared" si="127"/>
        <v>2025</v>
      </c>
      <c r="L1616" s="2">
        <f t="shared" si="128"/>
        <v>2</v>
      </c>
      <c r="M1616" s="2">
        <v>2</v>
      </c>
      <c r="N1616" s="2" t="s">
        <v>3592</v>
      </c>
      <c r="O1616" s="2" t="s">
        <v>62</v>
      </c>
      <c r="P1616" s="3">
        <v>198508</v>
      </c>
      <c r="Q1616" s="2"/>
      <c r="R1616" s="2"/>
      <c r="S1616" s="2" t="s">
        <v>5573</v>
      </c>
      <c r="T1616" s="2">
        <v>30.3</v>
      </c>
      <c r="U1616" s="2" t="s">
        <v>47</v>
      </c>
      <c r="V1616" s="2" t="s">
        <v>276</v>
      </c>
      <c r="W1616" s="67" t="str">
        <f t="shared" si="129"/>
        <v>-</v>
      </c>
    </row>
    <row r="1617" spans="1:23" x14ac:dyDescent="0.3">
      <c r="A1617" s="6" t="s">
        <v>3820</v>
      </c>
      <c r="B1617" s="6" t="s">
        <v>1367</v>
      </c>
      <c r="C1617" s="6">
        <v>9739047308</v>
      </c>
      <c r="D1617" s="6" t="s">
        <v>20</v>
      </c>
      <c r="E1617" s="6" t="s">
        <v>109</v>
      </c>
      <c r="F1617" s="6" t="s">
        <v>217</v>
      </c>
      <c r="G1617" s="6" t="s">
        <v>23</v>
      </c>
      <c r="H1617" s="6" t="s">
        <v>3375</v>
      </c>
      <c r="I1617" s="2" t="str">
        <f t="shared" si="125"/>
        <v>Apr</v>
      </c>
      <c r="J1617" s="2">
        <f t="shared" si="126"/>
        <v>4</v>
      </c>
      <c r="K1617" s="2">
        <f t="shared" si="127"/>
        <v>2025</v>
      </c>
      <c r="L1617" s="2">
        <f t="shared" si="128"/>
        <v>2</v>
      </c>
      <c r="M1617" s="6">
        <v>5</v>
      </c>
      <c r="N1617" s="6" t="s">
        <v>3613</v>
      </c>
      <c r="O1617" s="6" t="s">
        <v>97</v>
      </c>
      <c r="P1617" s="7">
        <v>514529</v>
      </c>
      <c r="Q1617" s="7">
        <v>478708</v>
      </c>
      <c r="R1617" s="6" t="s">
        <v>3821</v>
      </c>
      <c r="S1617" s="6" t="s">
        <v>5819</v>
      </c>
      <c r="T1617" s="6">
        <v>21.7</v>
      </c>
      <c r="U1617" s="6" t="s">
        <v>63</v>
      </c>
      <c r="V1617" s="6" t="s">
        <v>99</v>
      </c>
      <c r="W1617" s="67" t="str">
        <f t="shared" si="129"/>
        <v>Customer</v>
      </c>
    </row>
    <row r="1618" spans="1:23" x14ac:dyDescent="0.3">
      <c r="A1618" s="6" t="s">
        <v>3822</v>
      </c>
      <c r="B1618" s="6" t="s">
        <v>477</v>
      </c>
      <c r="C1618" s="6">
        <v>9115380459</v>
      </c>
      <c r="D1618" s="6" t="s">
        <v>59</v>
      </c>
      <c r="E1618" s="6" t="s">
        <v>21</v>
      </c>
      <c r="F1618" s="6" t="s">
        <v>230</v>
      </c>
      <c r="G1618" s="6" t="s">
        <v>60</v>
      </c>
      <c r="H1618" s="6" t="s">
        <v>3375</v>
      </c>
      <c r="I1618" s="2" t="str">
        <f t="shared" si="125"/>
        <v>Apr</v>
      </c>
      <c r="J1618" s="2">
        <f t="shared" si="126"/>
        <v>4</v>
      </c>
      <c r="K1618" s="2">
        <f t="shared" si="127"/>
        <v>2025</v>
      </c>
      <c r="L1618" s="2">
        <f t="shared" si="128"/>
        <v>2</v>
      </c>
      <c r="M1618" s="6">
        <v>4</v>
      </c>
      <c r="N1618" s="6" t="s">
        <v>3823</v>
      </c>
      <c r="O1618" s="6" t="s">
        <v>97</v>
      </c>
      <c r="P1618" s="7">
        <v>232982</v>
      </c>
      <c r="Q1618" s="7">
        <v>236926</v>
      </c>
      <c r="R1618" s="6" t="s">
        <v>3802</v>
      </c>
      <c r="S1618" s="6" t="s">
        <v>5573</v>
      </c>
      <c r="T1618" s="6">
        <v>14.7</v>
      </c>
      <c r="U1618" s="6" t="s">
        <v>47</v>
      </c>
      <c r="V1618" s="6" t="s">
        <v>907</v>
      </c>
      <c r="W1618" s="67" t="str">
        <f t="shared" si="129"/>
        <v>Customer</v>
      </c>
    </row>
    <row r="1619" spans="1:23" x14ac:dyDescent="0.3">
      <c r="A1619" s="4" t="s">
        <v>3824</v>
      </c>
      <c r="B1619" s="4" t="s">
        <v>1579</v>
      </c>
      <c r="C1619" s="4">
        <v>9928573268</v>
      </c>
      <c r="D1619" s="4" t="s">
        <v>20</v>
      </c>
      <c r="E1619" s="4" t="s">
        <v>641</v>
      </c>
      <c r="F1619" s="4" t="s">
        <v>681</v>
      </c>
      <c r="G1619" s="4" t="s">
        <v>52</v>
      </c>
      <c r="H1619" s="4" t="s">
        <v>3375</v>
      </c>
      <c r="I1619" s="2" t="str">
        <f t="shared" si="125"/>
        <v>Apr</v>
      </c>
      <c r="J1619" s="2">
        <f t="shared" si="126"/>
        <v>4</v>
      </c>
      <c r="K1619" s="2">
        <f t="shared" si="127"/>
        <v>2025</v>
      </c>
      <c r="L1619" s="2">
        <f t="shared" si="128"/>
        <v>2</v>
      </c>
      <c r="M1619" s="4">
        <v>5</v>
      </c>
      <c r="N1619" s="4" t="s">
        <v>3825</v>
      </c>
      <c r="O1619" s="4" t="s">
        <v>55</v>
      </c>
      <c r="P1619" s="5">
        <v>506314</v>
      </c>
      <c r="Q1619" s="4"/>
      <c r="R1619" s="4"/>
      <c r="S1619" s="4" t="s">
        <v>5819</v>
      </c>
      <c r="T1619" s="4">
        <v>7.4</v>
      </c>
      <c r="U1619" s="4" t="s">
        <v>47</v>
      </c>
      <c r="V1619" s="4"/>
      <c r="W1619" s="67" t="str">
        <f t="shared" si="129"/>
        <v>-</v>
      </c>
    </row>
    <row r="1620" spans="1:23" x14ac:dyDescent="0.3">
      <c r="A1620" s="2" t="s">
        <v>3826</v>
      </c>
      <c r="B1620" s="2" t="s">
        <v>1852</v>
      </c>
      <c r="C1620" s="2">
        <v>9106319796</v>
      </c>
      <c r="D1620" s="2" t="s">
        <v>108</v>
      </c>
      <c r="E1620" s="2" t="s">
        <v>73</v>
      </c>
      <c r="F1620" s="2" t="s">
        <v>126</v>
      </c>
      <c r="G1620" s="2" t="s">
        <v>1621</v>
      </c>
      <c r="H1620" s="2" t="s">
        <v>3375</v>
      </c>
      <c r="I1620" s="2" t="str">
        <f t="shared" si="125"/>
        <v>Apr</v>
      </c>
      <c r="J1620" s="2">
        <f t="shared" si="126"/>
        <v>4</v>
      </c>
      <c r="K1620" s="2">
        <f t="shared" si="127"/>
        <v>2025</v>
      </c>
      <c r="L1620" s="2">
        <f t="shared" si="128"/>
        <v>2</v>
      </c>
      <c r="M1620" s="2">
        <v>12</v>
      </c>
      <c r="N1620" s="2" t="s">
        <v>3776</v>
      </c>
      <c r="O1620" s="2" t="s">
        <v>62</v>
      </c>
      <c r="P1620" s="3">
        <v>276827</v>
      </c>
      <c r="Q1620" s="2"/>
      <c r="R1620" s="2"/>
      <c r="S1620" s="2" t="s">
        <v>5819</v>
      </c>
      <c r="T1620" s="2">
        <v>3.7</v>
      </c>
      <c r="U1620" s="2" t="s">
        <v>63</v>
      </c>
      <c r="V1620" s="2" t="s">
        <v>335</v>
      </c>
      <c r="W1620" s="67" t="str">
        <f t="shared" si="129"/>
        <v>-</v>
      </c>
    </row>
    <row r="1621" spans="1:23" x14ac:dyDescent="0.3">
      <c r="A1621" s="6" t="s">
        <v>3827</v>
      </c>
      <c r="B1621" s="6" t="s">
        <v>3828</v>
      </c>
      <c r="C1621" s="6">
        <v>9673032343</v>
      </c>
      <c r="D1621" s="6" t="s">
        <v>59</v>
      </c>
      <c r="E1621" s="6" t="s">
        <v>41</v>
      </c>
      <c r="F1621" s="6" t="s">
        <v>92</v>
      </c>
      <c r="G1621" s="6" t="s">
        <v>35</v>
      </c>
      <c r="H1621" s="6" t="s">
        <v>3375</v>
      </c>
      <c r="I1621" s="2" t="str">
        <f t="shared" si="125"/>
        <v>Apr</v>
      </c>
      <c r="J1621" s="2">
        <f t="shared" si="126"/>
        <v>4</v>
      </c>
      <c r="K1621" s="2">
        <f t="shared" si="127"/>
        <v>2025</v>
      </c>
      <c r="L1621" s="2">
        <f t="shared" si="128"/>
        <v>2</v>
      </c>
      <c r="M1621" s="6">
        <v>8</v>
      </c>
      <c r="N1621" s="6" t="s">
        <v>3825</v>
      </c>
      <c r="O1621" s="6" t="s">
        <v>97</v>
      </c>
      <c r="P1621" s="7">
        <v>264418</v>
      </c>
      <c r="Q1621" s="7">
        <v>256530</v>
      </c>
      <c r="R1621" s="6" t="s">
        <v>3823</v>
      </c>
      <c r="S1621" s="6" t="s">
        <v>5819</v>
      </c>
      <c r="T1621" s="6">
        <v>27.9</v>
      </c>
      <c r="U1621" s="6" t="s">
        <v>47</v>
      </c>
      <c r="V1621" s="6" t="s">
        <v>99</v>
      </c>
      <c r="W1621" s="67" t="str">
        <f t="shared" si="129"/>
        <v>Customer</v>
      </c>
    </row>
    <row r="1622" spans="1:23" x14ac:dyDescent="0.3">
      <c r="A1622" s="2" t="s">
        <v>3829</v>
      </c>
      <c r="B1622" s="2" t="s">
        <v>3830</v>
      </c>
      <c r="C1622" s="2">
        <v>9943826924</v>
      </c>
      <c r="D1622" s="2" t="s">
        <v>121</v>
      </c>
      <c r="E1622" s="2" t="s">
        <v>33</v>
      </c>
      <c r="F1622" s="2" t="s">
        <v>34</v>
      </c>
      <c r="G1622" s="2" t="s">
        <v>69</v>
      </c>
      <c r="H1622" s="2" t="s">
        <v>3521</v>
      </c>
      <c r="I1622" s="2" t="str">
        <f t="shared" si="125"/>
        <v>Apr</v>
      </c>
      <c r="J1622" s="2">
        <f t="shared" si="126"/>
        <v>4</v>
      </c>
      <c r="K1622" s="2">
        <f t="shared" si="127"/>
        <v>2025</v>
      </c>
      <c r="L1622" s="2">
        <f t="shared" si="128"/>
        <v>2</v>
      </c>
      <c r="M1622" s="2">
        <v>8</v>
      </c>
      <c r="N1622" s="2" t="s">
        <v>3769</v>
      </c>
      <c r="O1622" s="2" t="s">
        <v>45</v>
      </c>
      <c r="P1622" s="3">
        <v>198564</v>
      </c>
      <c r="Q1622" s="2"/>
      <c r="R1622" s="2"/>
      <c r="S1622" s="2" t="s">
        <v>5819</v>
      </c>
      <c r="T1622" s="2">
        <v>7.2</v>
      </c>
      <c r="U1622" s="2" t="s">
        <v>47</v>
      </c>
      <c r="V1622" s="2" t="s">
        <v>310</v>
      </c>
      <c r="W1622" s="67" t="str">
        <f t="shared" si="129"/>
        <v>-</v>
      </c>
    </row>
    <row r="1623" spans="1:23" x14ac:dyDescent="0.3">
      <c r="A1623" s="4" t="s">
        <v>3831</v>
      </c>
      <c r="B1623" s="4" t="s">
        <v>1175</v>
      </c>
      <c r="C1623" s="4">
        <v>9909424732</v>
      </c>
      <c r="D1623" s="4" t="s">
        <v>20</v>
      </c>
      <c r="E1623" s="4" t="s">
        <v>1632</v>
      </c>
      <c r="F1623" s="4" t="s">
        <v>1694</v>
      </c>
      <c r="G1623" s="4" t="s">
        <v>87</v>
      </c>
      <c r="H1623" s="4" t="s">
        <v>3694</v>
      </c>
      <c r="I1623" s="2" t="str">
        <f t="shared" si="125"/>
        <v>Apr</v>
      </c>
      <c r="J1623" s="2">
        <f t="shared" si="126"/>
        <v>4</v>
      </c>
      <c r="K1623" s="2">
        <f t="shared" si="127"/>
        <v>2025</v>
      </c>
      <c r="L1623" s="2">
        <f t="shared" si="128"/>
        <v>2</v>
      </c>
      <c r="M1623" s="4">
        <v>7</v>
      </c>
      <c r="N1623" s="4" t="s">
        <v>3832</v>
      </c>
      <c r="O1623" s="4" t="s">
        <v>27</v>
      </c>
      <c r="P1623" s="5">
        <v>240839</v>
      </c>
      <c r="Q1623" s="4"/>
      <c r="R1623" s="4"/>
      <c r="S1623" s="4" t="s">
        <v>5574</v>
      </c>
      <c r="T1623" s="4">
        <v>18.399999999999999</v>
      </c>
      <c r="U1623" s="4" t="s">
        <v>29</v>
      </c>
      <c r="V1623" s="4" t="s">
        <v>38</v>
      </c>
      <c r="W1623" s="67" t="str">
        <f t="shared" si="129"/>
        <v>-</v>
      </c>
    </row>
    <row r="1624" spans="1:23" x14ac:dyDescent="0.3">
      <c r="A1624" s="2" t="s">
        <v>3833</v>
      </c>
      <c r="B1624" s="2" t="s">
        <v>362</v>
      </c>
      <c r="C1624" s="2">
        <v>9676797964</v>
      </c>
      <c r="D1624" s="2" t="s">
        <v>51</v>
      </c>
      <c r="E1624" s="2" t="s">
        <v>109</v>
      </c>
      <c r="F1624" s="2" t="s">
        <v>331</v>
      </c>
      <c r="G1624" s="2" t="s">
        <v>60</v>
      </c>
      <c r="H1624" s="2" t="s">
        <v>3694</v>
      </c>
      <c r="I1624" s="2" t="str">
        <f t="shared" si="125"/>
        <v>Apr</v>
      </c>
      <c r="J1624" s="2">
        <f t="shared" si="126"/>
        <v>4</v>
      </c>
      <c r="K1624" s="2">
        <f t="shared" si="127"/>
        <v>2025</v>
      </c>
      <c r="L1624" s="2">
        <f t="shared" si="128"/>
        <v>2</v>
      </c>
      <c r="M1624" s="2">
        <v>3</v>
      </c>
      <c r="N1624" s="2" t="s">
        <v>3720</v>
      </c>
      <c r="O1624" s="2" t="s">
        <v>62</v>
      </c>
      <c r="P1624" s="3">
        <v>265291</v>
      </c>
      <c r="Q1624" s="2"/>
      <c r="R1624" s="2"/>
      <c r="S1624" s="2" t="s">
        <v>5574</v>
      </c>
      <c r="T1624" s="2">
        <v>5</v>
      </c>
      <c r="U1624" s="2" t="s">
        <v>47</v>
      </c>
      <c r="V1624" s="2" t="s">
        <v>276</v>
      </c>
      <c r="W1624" s="67" t="str">
        <f t="shared" si="129"/>
        <v>-</v>
      </c>
    </row>
    <row r="1625" spans="1:23" x14ac:dyDescent="0.3">
      <c r="A1625" s="8" t="s">
        <v>3834</v>
      </c>
      <c r="B1625" s="8" t="s">
        <v>1837</v>
      </c>
      <c r="C1625" s="8">
        <v>9617235868</v>
      </c>
      <c r="D1625" s="8" t="s">
        <v>121</v>
      </c>
      <c r="E1625" s="8" t="s">
        <v>73</v>
      </c>
      <c r="F1625" s="8" t="s">
        <v>74</v>
      </c>
      <c r="G1625" s="8" t="s">
        <v>69</v>
      </c>
      <c r="H1625" s="8" t="s">
        <v>3616</v>
      </c>
      <c r="I1625" s="2" t="str">
        <f t="shared" si="125"/>
        <v>Apr</v>
      </c>
      <c r="J1625" s="2">
        <f t="shared" si="126"/>
        <v>4</v>
      </c>
      <c r="K1625" s="2">
        <f t="shared" si="127"/>
        <v>2025</v>
      </c>
      <c r="L1625" s="2">
        <f t="shared" si="128"/>
        <v>2</v>
      </c>
      <c r="M1625" s="8">
        <v>4</v>
      </c>
      <c r="N1625" s="8" t="s">
        <v>3613</v>
      </c>
      <c r="O1625" s="8" t="s">
        <v>97</v>
      </c>
      <c r="P1625" s="9">
        <v>349837</v>
      </c>
      <c r="Q1625" s="9">
        <v>327380</v>
      </c>
      <c r="R1625" s="8" t="s">
        <v>3751</v>
      </c>
      <c r="S1625" s="8" t="s">
        <v>5819</v>
      </c>
      <c r="T1625" s="8">
        <v>17.7</v>
      </c>
      <c r="U1625" s="8" t="s">
        <v>47</v>
      </c>
      <c r="V1625" s="8" t="s">
        <v>286</v>
      </c>
      <c r="W1625" s="67" t="str">
        <f t="shared" si="129"/>
        <v>Customer</v>
      </c>
    </row>
    <row r="1626" spans="1:23" x14ac:dyDescent="0.3">
      <c r="A1626" s="6" t="s">
        <v>3835</v>
      </c>
      <c r="B1626" s="6" t="s">
        <v>3836</v>
      </c>
      <c r="C1626" s="6">
        <v>9349316808</v>
      </c>
      <c r="D1626" s="6" t="s">
        <v>59</v>
      </c>
      <c r="E1626" s="6" t="s">
        <v>41</v>
      </c>
      <c r="F1626" s="6" t="s">
        <v>151</v>
      </c>
      <c r="G1626" s="6" t="s">
        <v>23</v>
      </c>
      <c r="H1626" s="6" t="s">
        <v>3616</v>
      </c>
      <c r="I1626" s="2" t="str">
        <f t="shared" si="125"/>
        <v>Apr</v>
      </c>
      <c r="J1626" s="2">
        <f t="shared" si="126"/>
        <v>4</v>
      </c>
      <c r="K1626" s="2">
        <f t="shared" si="127"/>
        <v>2025</v>
      </c>
      <c r="L1626" s="2">
        <f t="shared" si="128"/>
        <v>2</v>
      </c>
      <c r="M1626" s="6">
        <v>12</v>
      </c>
      <c r="N1626" s="6" t="s">
        <v>3837</v>
      </c>
      <c r="O1626" s="6" t="s">
        <v>97</v>
      </c>
      <c r="P1626" s="7">
        <v>491218</v>
      </c>
      <c r="Q1626" s="7">
        <v>463201</v>
      </c>
      <c r="R1626" s="6" t="s">
        <v>3838</v>
      </c>
      <c r="S1626" s="6" t="s">
        <v>5574</v>
      </c>
      <c r="T1626" s="6">
        <v>14.3</v>
      </c>
      <c r="U1626" s="6" t="s">
        <v>47</v>
      </c>
      <c r="V1626" s="6" t="s">
        <v>99</v>
      </c>
      <c r="W1626" s="67" t="str">
        <f t="shared" si="129"/>
        <v>Architect</v>
      </c>
    </row>
    <row r="1627" spans="1:23" x14ac:dyDescent="0.3">
      <c r="A1627" s="4" t="s">
        <v>3839</v>
      </c>
      <c r="B1627" s="4" t="s">
        <v>3840</v>
      </c>
      <c r="C1627" s="4">
        <v>9642127147</v>
      </c>
      <c r="D1627" s="4" t="s">
        <v>51</v>
      </c>
      <c r="E1627" s="4" t="s">
        <v>648</v>
      </c>
      <c r="F1627" s="4" t="s">
        <v>899</v>
      </c>
      <c r="G1627" s="4" t="s">
        <v>3302</v>
      </c>
      <c r="H1627" s="4" t="s">
        <v>3616</v>
      </c>
      <c r="I1627" s="2" t="str">
        <f t="shared" si="125"/>
        <v>Apr</v>
      </c>
      <c r="J1627" s="2">
        <f t="shared" si="126"/>
        <v>4</v>
      </c>
      <c r="K1627" s="2">
        <f t="shared" si="127"/>
        <v>2025</v>
      </c>
      <c r="L1627" s="2">
        <f t="shared" si="128"/>
        <v>2</v>
      </c>
      <c r="M1627" s="4">
        <v>10</v>
      </c>
      <c r="N1627" s="4" t="s">
        <v>3802</v>
      </c>
      <c r="O1627" s="4" t="s">
        <v>27</v>
      </c>
      <c r="P1627" s="5">
        <v>2049803</v>
      </c>
      <c r="Q1627" s="4"/>
      <c r="R1627" s="4"/>
      <c r="S1627" s="4" t="s">
        <v>5573</v>
      </c>
      <c r="T1627" s="4">
        <v>4.5999999999999996</v>
      </c>
      <c r="U1627" s="4" t="s">
        <v>47</v>
      </c>
      <c r="V1627" s="4" t="s">
        <v>30</v>
      </c>
      <c r="W1627" s="67" t="str">
        <f t="shared" si="129"/>
        <v>-</v>
      </c>
    </row>
    <row r="1628" spans="1:23" x14ac:dyDescent="0.3">
      <c r="A1628" s="6" t="s">
        <v>3841</v>
      </c>
      <c r="B1628" s="6" t="s">
        <v>2064</v>
      </c>
      <c r="C1628" s="6">
        <v>9383023047</v>
      </c>
      <c r="D1628" s="6" t="s">
        <v>59</v>
      </c>
      <c r="E1628" s="6" t="s">
        <v>648</v>
      </c>
      <c r="F1628" s="6" t="s">
        <v>822</v>
      </c>
      <c r="G1628" s="6" t="s">
        <v>52</v>
      </c>
      <c r="H1628" s="6" t="s">
        <v>3435</v>
      </c>
      <c r="I1628" s="2" t="str">
        <f t="shared" si="125"/>
        <v>Apr</v>
      </c>
      <c r="J1628" s="2">
        <f t="shared" si="126"/>
        <v>4</v>
      </c>
      <c r="K1628" s="2">
        <f t="shared" si="127"/>
        <v>2025</v>
      </c>
      <c r="L1628" s="2">
        <f t="shared" si="128"/>
        <v>2</v>
      </c>
      <c r="M1628" s="6">
        <v>3</v>
      </c>
      <c r="N1628" s="6" t="s">
        <v>3842</v>
      </c>
      <c r="O1628" s="6" t="s">
        <v>97</v>
      </c>
      <c r="P1628" s="7">
        <v>176402</v>
      </c>
      <c r="Q1628" s="7">
        <v>169379</v>
      </c>
      <c r="R1628" s="6" t="s">
        <v>3729</v>
      </c>
      <c r="S1628" s="6" t="s">
        <v>5574</v>
      </c>
      <c r="T1628" s="6">
        <v>17.399999999999999</v>
      </c>
      <c r="U1628" s="6" t="s">
        <v>47</v>
      </c>
      <c r="V1628" s="6" t="s">
        <v>465</v>
      </c>
      <c r="W1628" s="67" t="str">
        <f t="shared" si="129"/>
        <v>Customer</v>
      </c>
    </row>
    <row r="1629" spans="1:23" x14ac:dyDescent="0.3">
      <c r="A1629" s="4" t="s">
        <v>3843</v>
      </c>
      <c r="B1629" s="4" t="s">
        <v>3844</v>
      </c>
      <c r="C1629" s="4">
        <v>9201886166</v>
      </c>
      <c r="D1629" s="4" t="s">
        <v>59</v>
      </c>
      <c r="E1629" s="4" t="s">
        <v>73</v>
      </c>
      <c r="F1629" s="4" t="s">
        <v>126</v>
      </c>
      <c r="G1629" s="4" t="s">
        <v>1621</v>
      </c>
      <c r="H1629" s="4" t="s">
        <v>3435</v>
      </c>
      <c r="I1629" s="2" t="str">
        <f t="shared" si="125"/>
        <v>Apr</v>
      </c>
      <c r="J1629" s="2">
        <f t="shared" si="126"/>
        <v>4</v>
      </c>
      <c r="K1629" s="2">
        <f t="shared" si="127"/>
        <v>2025</v>
      </c>
      <c r="L1629" s="2">
        <f t="shared" si="128"/>
        <v>2</v>
      </c>
      <c r="M1629" s="4">
        <v>0</v>
      </c>
      <c r="N1629" s="4" t="s">
        <v>3712</v>
      </c>
      <c r="O1629" s="4" t="s">
        <v>45</v>
      </c>
      <c r="P1629" s="5">
        <v>560610</v>
      </c>
      <c r="Q1629" s="4"/>
      <c r="R1629" s="4"/>
      <c r="S1629" s="4" t="s">
        <v>5573</v>
      </c>
      <c r="T1629" s="4">
        <v>22.7</v>
      </c>
      <c r="U1629" s="4" t="s">
        <v>29</v>
      </c>
      <c r="V1629" s="4" t="s">
        <v>187</v>
      </c>
      <c r="W1629" s="67" t="str">
        <f t="shared" si="129"/>
        <v>-</v>
      </c>
    </row>
    <row r="1630" spans="1:23" x14ac:dyDescent="0.3">
      <c r="A1630" s="2" t="s">
        <v>3845</v>
      </c>
      <c r="B1630" s="2" t="s">
        <v>1175</v>
      </c>
      <c r="C1630" s="2">
        <v>9960010071</v>
      </c>
      <c r="D1630" s="2" t="s">
        <v>59</v>
      </c>
      <c r="E1630" s="2" t="s">
        <v>648</v>
      </c>
      <c r="F1630" s="2" t="s">
        <v>822</v>
      </c>
      <c r="G1630" s="2" t="s">
        <v>87</v>
      </c>
      <c r="H1630" s="2" t="s">
        <v>3435</v>
      </c>
      <c r="I1630" s="2" t="str">
        <f t="shared" si="125"/>
        <v>Apr</v>
      </c>
      <c r="J1630" s="2">
        <f t="shared" si="126"/>
        <v>4</v>
      </c>
      <c r="K1630" s="2">
        <f t="shared" si="127"/>
        <v>2025</v>
      </c>
      <c r="L1630" s="2">
        <f t="shared" si="128"/>
        <v>2</v>
      </c>
      <c r="M1630" s="2">
        <v>4</v>
      </c>
      <c r="N1630" s="2" t="s">
        <v>3776</v>
      </c>
      <c r="O1630" s="2" t="s">
        <v>27</v>
      </c>
      <c r="P1630" s="3">
        <v>67620</v>
      </c>
      <c r="Q1630" s="2"/>
      <c r="R1630" s="2"/>
      <c r="S1630" s="2" t="s">
        <v>5573</v>
      </c>
      <c r="T1630" s="2">
        <v>19.899999999999999</v>
      </c>
      <c r="U1630" s="2" t="s">
        <v>29</v>
      </c>
      <c r="V1630" s="2" t="s">
        <v>105</v>
      </c>
      <c r="W1630" s="67" t="str">
        <f t="shared" si="129"/>
        <v>-</v>
      </c>
    </row>
    <row r="1631" spans="1:23" x14ac:dyDescent="0.3">
      <c r="A1631" s="4" t="s">
        <v>3846</v>
      </c>
      <c r="B1631" s="4" t="s">
        <v>1929</v>
      </c>
      <c r="C1631" s="4">
        <v>9313470239</v>
      </c>
      <c r="D1631" s="4" t="s">
        <v>59</v>
      </c>
      <c r="E1631" s="4" t="s">
        <v>648</v>
      </c>
      <c r="F1631" s="4" t="s">
        <v>656</v>
      </c>
      <c r="G1631" s="4" t="s">
        <v>643</v>
      </c>
      <c r="H1631" s="4" t="s">
        <v>3435</v>
      </c>
      <c r="I1631" s="2" t="str">
        <f t="shared" si="125"/>
        <v>Apr</v>
      </c>
      <c r="J1631" s="2">
        <f t="shared" si="126"/>
        <v>4</v>
      </c>
      <c r="K1631" s="2">
        <f t="shared" si="127"/>
        <v>2025</v>
      </c>
      <c r="L1631" s="2">
        <f t="shared" si="128"/>
        <v>2</v>
      </c>
      <c r="M1631" s="4">
        <v>4</v>
      </c>
      <c r="N1631" s="4" t="s">
        <v>3672</v>
      </c>
      <c r="O1631" s="4" t="s">
        <v>27</v>
      </c>
      <c r="P1631" s="5">
        <v>1434401</v>
      </c>
      <c r="Q1631" s="4"/>
      <c r="R1631" s="4"/>
      <c r="S1631" s="4" t="s">
        <v>5573</v>
      </c>
      <c r="T1631" s="4">
        <v>22.1</v>
      </c>
      <c r="U1631" s="4" t="s">
        <v>47</v>
      </c>
      <c r="V1631" s="4" t="s">
        <v>118</v>
      </c>
      <c r="W1631" s="67" t="str">
        <f t="shared" si="129"/>
        <v>-</v>
      </c>
    </row>
    <row r="1632" spans="1:23" x14ac:dyDescent="0.3">
      <c r="A1632" s="6" t="s">
        <v>3847</v>
      </c>
      <c r="B1632" s="6" t="s">
        <v>2099</v>
      </c>
      <c r="C1632" s="6">
        <v>9958400060</v>
      </c>
      <c r="D1632" s="6" t="s">
        <v>20</v>
      </c>
      <c r="E1632" s="6" t="s">
        <v>648</v>
      </c>
      <c r="F1632" s="6" t="s">
        <v>656</v>
      </c>
      <c r="G1632" s="6" t="s">
        <v>643</v>
      </c>
      <c r="H1632" s="6" t="s">
        <v>3435</v>
      </c>
      <c r="I1632" s="2" t="str">
        <f t="shared" si="125"/>
        <v>Apr</v>
      </c>
      <c r="J1632" s="2">
        <f t="shared" si="126"/>
        <v>4</v>
      </c>
      <c r="K1632" s="2">
        <f t="shared" si="127"/>
        <v>2025</v>
      </c>
      <c r="L1632" s="2">
        <f t="shared" si="128"/>
        <v>2</v>
      </c>
      <c r="M1632" s="6">
        <v>5</v>
      </c>
      <c r="N1632" s="6" t="s">
        <v>3699</v>
      </c>
      <c r="O1632" s="6" t="s">
        <v>97</v>
      </c>
      <c r="P1632" s="7">
        <v>769639</v>
      </c>
      <c r="Q1632" s="7">
        <v>771230</v>
      </c>
      <c r="R1632" s="6" t="s">
        <v>3700</v>
      </c>
      <c r="S1632" s="6" t="s">
        <v>5574</v>
      </c>
      <c r="T1632" s="6"/>
      <c r="U1632" s="6" t="s">
        <v>63</v>
      </c>
      <c r="V1632" s="6" t="s">
        <v>170</v>
      </c>
      <c r="W1632" s="67" t="str">
        <f t="shared" si="129"/>
        <v>Customer</v>
      </c>
    </row>
    <row r="1633" spans="1:23" x14ac:dyDescent="0.3">
      <c r="A1633" s="6" t="s">
        <v>3848</v>
      </c>
      <c r="B1633" s="6" t="s">
        <v>467</v>
      </c>
      <c r="C1633" s="6">
        <v>9795482770</v>
      </c>
      <c r="D1633" s="6" t="s">
        <v>108</v>
      </c>
      <c r="E1633" s="6" t="s">
        <v>33</v>
      </c>
      <c r="F1633" s="6" t="s">
        <v>201</v>
      </c>
      <c r="G1633" s="6" t="s">
        <v>35</v>
      </c>
      <c r="H1633" s="6" t="s">
        <v>3465</v>
      </c>
      <c r="I1633" s="2" t="str">
        <f t="shared" si="125"/>
        <v>Apr</v>
      </c>
      <c r="J1633" s="2">
        <f t="shared" si="126"/>
        <v>4</v>
      </c>
      <c r="K1633" s="2">
        <f t="shared" si="127"/>
        <v>2025</v>
      </c>
      <c r="L1633" s="2">
        <f t="shared" si="128"/>
        <v>2</v>
      </c>
      <c r="M1633" s="6">
        <v>6</v>
      </c>
      <c r="N1633" s="6" t="s">
        <v>3678</v>
      </c>
      <c r="O1633" s="6" t="s">
        <v>97</v>
      </c>
      <c r="P1633" s="7">
        <v>175515</v>
      </c>
      <c r="Q1633" s="7">
        <v>174807</v>
      </c>
      <c r="R1633" s="6" t="s">
        <v>3710</v>
      </c>
      <c r="S1633" s="6" t="s">
        <v>5819</v>
      </c>
      <c r="T1633" s="6">
        <v>19.399999999999999</v>
      </c>
      <c r="U1633" s="6" t="s">
        <v>63</v>
      </c>
      <c r="V1633" s="6" t="s">
        <v>243</v>
      </c>
      <c r="W1633" s="67" t="str">
        <f t="shared" si="129"/>
        <v>Customer</v>
      </c>
    </row>
    <row r="1634" spans="1:23" x14ac:dyDescent="0.3">
      <c r="A1634" s="2" t="s">
        <v>3849</v>
      </c>
      <c r="B1634" s="2" t="s">
        <v>1454</v>
      </c>
      <c r="C1634" s="2">
        <v>9456219248</v>
      </c>
      <c r="D1634" s="2" t="s">
        <v>108</v>
      </c>
      <c r="E1634" s="2" t="s">
        <v>41</v>
      </c>
      <c r="F1634" s="2" t="s">
        <v>42</v>
      </c>
      <c r="G1634" s="2" t="s">
        <v>87</v>
      </c>
      <c r="H1634" s="2" t="s">
        <v>3465</v>
      </c>
      <c r="I1634" s="2" t="str">
        <f t="shared" si="125"/>
        <v>Apr</v>
      </c>
      <c r="J1634" s="2">
        <f t="shared" si="126"/>
        <v>4</v>
      </c>
      <c r="K1634" s="2">
        <f t="shared" si="127"/>
        <v>2025</v>
      </c>
      <c r="L1634" s="2">
        <f t="shared" si="128"/>
        <v>2</v>
      </c>
      <c r="M1634" s="2">
        <v>2</v>
      </c>
      <c r="N1634" s="2" t="s">
        <v>3720</v>
      </c>
      <c r="O1634" s="2" t="s">
        <v>62</v>
      </c>
      <c r="P1634" s="3">
        <v>270284</v>
      </c>
      <c r="Q1634" s="2"/>
      <c r="R1634" s="2"/>
      <c r="S1634" s="2" t="s">
        <v>5819</v>
      </c>
      <c r="T1634" s="2">
        <v>2.5</v>
      </c>
      <c r="U1634" s="2" t="s">
        <v>47</v>
      </c>
      <c r="V1634" s="2"/>
      <c r="W1634" s="67" t="str">
        <f t="shared" si="129"/>
        <v>-</v>
      </c>
    </row>
    <row r="1635" spans="1:23" x14ac:dyDescent="0.3">
      <c r="A1635" s="4" t="s">
        <v>3850</v>
      </c>
      <c r="B1635" s="4" t="s">
        <v>3851</v>
      </c>
      <c r="C1635" s="4">
        <v>9975868905</v>
      </c>
      <c r="D1635" s="4" t="s">
        <v>20</v>
      </c>
      <c r="E1635" s="4" t="s">
        <v>109</v>
      </c>
      <c r="F1635" s="4" t="s">
        <v>110</v>
      </c>
      <c r="G1635" s="4" t="s">
        <v>1599</v>
      </c>
      <c r="H1635" s="4" t="s">
        <v>3465</v>
      </c>
      <c r="I1635" s="2" t="str">
        <f t="shared" si="125"/>
        <v>Apr</v>
      </c>
      <c r="J1635" s="2">
        <f t="shared" si="126"/>
        <v>4</v>
      </c>
      <c r="K1635" s="2">
        <f t="shared" si="127"/>
        <v>2025</v>
      </c>
      <c r="L1635" s="2">
        <f t="shared" si="128"/>
        <v>2</v>
      </c>
      <c r="M1635" s="4">
        <v>11</v>
      </c>
      <c r="N1635" s="4" t="s">
        <v>3838</v>
      </c>
      <c r="O1635" s="4" t="s">
        <v>62</v>
      </c>
      <c r="P1635" s="5">
        <v>796561</v>
      </c>
      <c r="Q1635" s="4"/>
      <c r="R1635" s="4"/>
      <c r="S1635" s="4" t="s">
        <v>5574</v>
      </c>
      <c r="T1635" s="4">
        <v>21.6</v>
      </c>
      <c r="U1635" s="4" t="s">
        <v>63</v>
      </c>
      <c r="V1635" s="4" t="s">
        <v>260</v>
      </c>
      <c r="W1635" s="67" t="str">
        <f t="shared" si="129"/>
        <v>-</v>
      </c>
    </row>
    <row r="1636" spans="1:23" x14ac:dyDescent="0.3">
      <c r="A1636" s="8" t="s">
        <v>3852</v>
      </c>
      <c r="B1636" s="8" t="s">
        <v>2180</v>
      </c>
      <c r="C1636" s="8">
        <v>9475884257</v>
      </c>
      <c r="D1636" s="8" t="s">
        <v>59</v>
      </c>
      <c r="E1636" s="8" t="s">
        <v>1632</v>
      </c>
      <c r="F1636" s="8" t="s">
        <v>1717</v>
      </c>
      <c r="G1636" s="8" t="s">
        <v>1623</v>
      </c>
      <c r="H1636" s="8" t="s">
        <v>3465</v>
      </c>
      <c r="I1636" s="2" t="str">
        <f t="shared" si="125"/>
        <v>Apr</v>
      </c>
      <c r="J1636" s="2">
        <f t="shared" si="126"/>
        <v>4</v>
      </c>
      <c r="K1636" s="2">
        <f t="shared" si="127"/>
        <v>2025</v>
      </c>
      <c r="L1636" s="2">
        <f t="shared" si="128"/>
        <v>2</v>
      </c>
      <c r="M1636" s="8">
        <v>10</v>
      </c>
      <c r="N1636" s="8" t="s">
        <v>3853</v>
      </c>
      <c r="O1636" s="8" t="s">
        <v>45</v>
      </c>
      <c r="P1636" s="9">
        <v>444707</v>
      </c>
      <c r="Q1636" s="8"/>
      <c r="R1636" s="8"/>
      <c r="S1636" s="8" t="s">
        <v>5573</v>
      </c>
      <c r="T1636" s="8">
        <v>33.799999999999997</v>
      </c>
      <c r="U1636" s="8" t="s">
        <v>63</v>
      </c>
      <c r="V1636" s="8"/>
      <c r="W1636" s="67" t="str">
        <f t="shared" si="129"/>
        <v>-</v>
      </c>
    </row>
    <row r="1637" spans="1:23" x14ac:dyDescent="0.3">
      <c r="A1637" s="6" t="s">
        <v>3854</v>
      </c>
      <c r="B1637" s="6" t="s">
        <v>3855</v>
      </c>
      <c r="C1637" s="6">
        <v>9747689820</v>
      </c>
      <c r="D1637" s="6" t="s">
        <v>20</v>
      </c>
      <c r="E1637" s="6" t="s">
        <v>109</v>
      </c>
      <c r="F1637" s="6" t="s">
        <v>331</v>
      </c>
      <c r="G1637" s="6" t="s">
        <v>60</v>
      </c>
      <c r="H1637" s="6" t="s">
        <v>3465</v>
      </c>
      <c r="I1637" s="2" t="str">
        <f t="shared" si="125"/>
        <v>Apr</v>
      </c>
      <c r="J1637" s="2">
        <f t="shared" si="126"/>
        <v>4</v>
      </c>
      <c r="K1637" s="2">
        <f t="shared" si="127"/>
        <v>2025</v>
      </c>
      <c r="L1637" s="2">
        <f t="shared" si="128"/>
        <v>2</v>
      </c>
      <c r="M1637" s="6">
        <v>10</v>
      </c>
      <c r="N1637" s="6" t="s">
        <v>3856</v>
      </c>
      <c r="O1637" s="6" t="s">
        <v>97</v>
      </c>
      <c r="P1637" s="7">
        <v>88839</v>
      </c>
      <c r="Q1637" s="7">
        <v>83967</v>
      </c>
      <c r="R1637" s="6" t="s">
        <v>3857</v>
      </c>
      <c r="S1637" s="6" t="s">
        <v>5574</v>
      </c>
      <c r="T1637" s="6">
        <v>35.299999999999997</v>
      </c>
      <c r="U1637" s="6" t="s">
        <v>63</v>
      </c>
      <c r="V1637" s="6" t="s">
        <v>295</v>
      </c>
      <c r="W1637" s="67" t="str">
        <f t="shared" si="129"/>
        <v>Customer</v>
      </c>
    </row>
    <row r="1638" spans="1:23" x14ac:dyDescent="0.3">
      <c r="A1638" s="2" t="s">
        <v>3858</v>
      </c>
      <c r="B1638" s="2" t="s">
        <v>3859</v>
      </c>
      <c r="C1638" s="2">
        <v>9513402278</v>
      </c>
      <c r="D1638" s="2" t="s">
        <v>121</v>
      </c>
      <c r="E1638" s="2" t="s">
        <v>648</v>
      </c>
      <c r="F1638" s="2" t="s">
        <v>899</v>
      </c>
      <c r="G1638" s="2" t="s">
        <v>1623</v>
      </c>
      <c r="H1638" s="2" t="s">
        <v>3465</v>
      </c>
      <c r="I1638" s="2" t="str">
        <f t="shared" si="125"/>
        <v>Apr</v>
      </c>
      <c r="J1638" s="2">
        <f t="shared" si="126"/>
        <v>4</v>
      </c>
      <c r="K1638" s="2">
        <f t="shared" si="127"/>
        <v>2025</v>
      </c>
      <c r="L1638" s="2">
        <f t="shared" si="128"/>
        <v>2</v>
      </c>
      <c r="M1638" s="2">
        <v>8</v>
      </c>
      <c r="N1638" s="2" t="s">
        <v>3832</v>
      </c>
      <c r="O1638" s="2" t="s">
        <v>62</v>
      </c>
      <c r="P1638" s="3">
        <v>258123</v>
      </c>
      <c r="Q1638" s="2"/>
      <c r="R1638" s="2"/>
      <c r="S1638" s="2" t="s">
        <v>5819</v>
      </c>
      <c r="T1638" s="2">
        <v>9.9</v>
      </c>
      <c r="U1638" s="2" t="s">
        <v>29</v>
      </c>
      <c r="V1638" s="2" t="s">
        <v>83</v>
      </c>
      <c r="W1638" s="67" t="str">
        <f t="shared" si="129"/>
        <v>-</v>
      </c>
    </row>
    <row r="1639" spans="1:23" x14ac:dyDescent="0.3">
      <c r="A1639" s="4" t="s">
        <v>3860</v>
      </c>
      <c r="B1639" s="4" t="s">
        <v>3861</v>
      </c>
      <c r="C1639" s="4">
        <v>9336694122</v>
      </c>
      <c r="D1639" s="4" t="s">
        <v>108</v>
      </c>
      <c r="E1639" s="4" t="s">
        <v>641</v>
      </c>
      <c r="F1639" s="4" t="s">
        <v>642</v>
      </c>
      <c r="G1639" s="4" t="s">
        <v>23</v>
      </c>
      <c r="H1639" s="4" t="s">
        <v>3465</v>
      </c>
      <c r="I1639" s="2" t="str">
        <f t="shared" si="125"/>
        <v>Apr</v>
      </c>
      <c r="J1639" s="2">
        <f t="shared" si="126"/>
        <v>4</v>
      </c>
      <c r="K1639" s="2">
        <f t="shared" si="127"/>
        <v>2025</v>
      </c>
      <c r="L1639" s="2">
        <f t="shared" si="128"/>
        <v>2</v>
      </c>
      <c r="M1639" s="4">
        <v>5</v>
      </c>
      <c r="N1639" s="4" t="s">
        <v>3672</v>
      </c>
      <c r="O1639" s="4" t="s">
        <v>62</v>
      </c>
      <c r="P1639" s="5">
        <v>618082</v>
      </c>
      <c r="Q1639" s="4"/>
      <c r="R1639" s="4"/>
      <c r="S1639" s="4" t="s">
        <v>5574</v>
      </c>
      <c r="T1639" s="4">
        <v>34</v>
      </c>
      <c r="U1639" s="4" t="s">
        <v>63</v>
      </c>
      <c r="V1639" s="4" t="s">
        <v>64</v>
      </c>
      <c r="W1639" s="67" t="str">
        <f t="shared" si="129"/>
        <v>-</v>
      </c>
    </row>
    <row r="1640" spans="1:23" x14ac:dyDescent="0.3">
      <c r="A1640" s="2" t="s">
        <v>3862</v>
      </c>
      <c r="B1640" s="2" t="s">
        <v>3863</v>
      </c>
      <c r="C1640" s="2">
        <v>9261274696</v>
      </c>
      <c r="D1640" s="2" t="s">
        <v>51</v>
      </c>
      <c r="E1640" s="2" t="s">
        <v>33</v>
      </c>
      <c r="F1640" s="2" t="s">
        <v>102</v>
      </c>
      <c r="G1640" s="2" t="s">
        <v>23</v>
      </c>
      <c r="H1640" s="2" t="s">
        <v>3465</v>
      </c>
      <c r="I1640" s="2" t="str">
        <f t="shared" si="125"/>
        <v>Apr</v>
      </c>
      <c r="J1640" s="2">
        <f t="shared" si="126"/>
        <v>4</v>
      </c>
      <c r="K1640" s="2">
        <f t="shared" si="127"/>
        <v>2025</v>
      </c>
      <c r="L1640" s="2">
        <f t="shared" si="128"/>
        <v>2</v>
      </c>
      <c r="M1640" s="2">
        <v>1</v>
      </c>
      <c r="N1640" s="2" t="s">
        <v>3466</v>
      </c>
      <c r="O1640" s="2" t="s">
        <v>27</v>
      </c>
      <c r="P1640" s="3">
        <v>788489</v>
      </c>
      <c r="Q1640" s="2"/>
      <c r="R1640" s="2"/>
      <c r="S1640" s="2" t="s">
        <v>5574</v>
      </c>
      <c r="T1640" s="2">
        <v>2.7</v>
      </c>
      <c r="U1640" s="2" t="s">
        <v>29</v>
      </c>
      <c r="V1640" s="2" t="s">
        <v>118</v>
      </c>
      <c r="W1640" s="67" t="str">
        <f t="shared" si="129"/>
        <v>-</v>
      </c>
    </row>
    <row r="1641" spans="1:23" x14ac:dyDescent="0.3">
      <c r="A1641" s="4" t="s">
        <v>3864</v>
      </c>
      <c r="B1641" s="4" t="s">
        <v>689</v>
      </c>
      <c r="C1641" s="4">
        <v>9367928645</v>
      </c>
      <c r="D1641" s="4" t="s">
        <v>20</v>
      </c>
      <c r="E1641" s="4" t="s">
        <v>1632</v>
      </c>
      <c r="F1641" s="4" t="s">
        <v>1849</v>
      </c>
      <c r="G1641" s="4" t="s">
        <v>52</v>
      </c>
      <c r="H1641" s="4" t="s">
        <v>3465</v>
      </c>
      <c r="I1641" s="2" t="str">
        <f t="shared" si="125"/>
        <v>Apr</v>
      </c>
      <c r="J1641" s="2">
        <f t="shared" si="126"/>
        <v>4</v>
      </c>
      <c r="K1641" s="2">
        <f t="shared" si="127"/>
        <v>2025</v>
      </c>
      <c r="L1641" s="2">
        <f t="shared" si="128"/>
        <v>2</v>
      </c>
      <c r="M1641" s="4">
        <v>8</v>
      </c>
      <c r="N1641" s="4" t="s">
        <v>3803</v>
      </c>
      <c r="O1641" s="4" t="s">
        <v>27</v>
      </c>
      <c r="P1641" s="5">
        <v>309332</v>
      </c>
      <c r="Q1641" s="4"/>
      <c r="R1641" s="4"/>
      <c r="S1641" s="4" t="s">
        <v>5819</v>
      </c>
      <c r="T1641" s="4">
        <v>4.5999999999999996</v>
      </c>
      <c r="U1641" s="4" t="s">
        <v>29</v>
      </c>
      <c r="V1641" s="4" t="s">
        <v>123</v>
      </c>
      <c r="W1641" s="67" t="str">
        <f t="shared" si="129"/>
        <v>-</v>
      </c>
    </row>
    <row r="1642" spans="1:23" x14ac:dyDescent="0.3">
      <c r="A1642" s="8" t="s">
        <v>3865</v>
      </c>
      <c r="B1642" s="8" t="s">
        <v>3866</v>
      </c>
      <c r="C1642" s="8">
        <v>9393319570</v>
      </c>
      <c r="D1642" s="8" t="s">
        <v>20</v>
      </c>
      <c r="E1642" s="8" t="s">
        <v>648</v>
      </c>
      <c r="F1642" s="8" t="s">
        <v>656</v>
      </c>
      <c r="G1642" s="8" t="s">
        <v>3302</v>
      </c>
      <c r="H1642" s="8" t="s">
        <v>3793</v>
      </c>
      <c r="I1642" s="2" t="str">
        <f t="shared" si="125"/>
        <v>Apr</v>
      </c>
      <c r="J1642" s="2">
        <f t="shared" si="126"/>
        <v>4</v>
      </c>
      <c r="K1642" s="2">
        <f t="shared" si="127"/>
        <v>2025</v>
      </c>
      <c r="L1642" s="2">
        <f t="shared" si="128"/>
        <v>2</v>
      </c>
      <c r="M1642" s="8">
        <v>1</v>
      </c>
      <c r="N1642" s="8" t="s">
        <v>3727</v>
      </c>
      <c r="O1642" s="8" t="s">
        <v>97</v>
      </c>
      <c r="P1642" s="9">
        <v>2295266</v>
      </c>
      <c r="Q1642" s="9">
        <v>2209768</v>
      </c>
      <c r="R1642" s="8" t="s">
        <v>3867</v>
      </c>
      <c r="S1642" s="8" t="s">
        <v>5819</v>
      </c>
      <c r="T1642" s="8">
        <v>25.1</v>
      </c>
      <c r="U1642" s="8" t="s">
        <v>63</v>
      </c>
      <c r="V1642" s="8" t="s">
        <v>170</v>
      </c>
      <c r="W1642" s="67" t="str">
        <f t="shared" si="129"/>
        <v>Customer</v>
      </c>
    </row>
    <row r="1643" spans="1:23" x14ac:dyDescent="0.3">
      <c r="A1643" s="4" t="s">
        <v>3868</v>
      </c>
      <c r="B1643" s="4" t="s">
        <v>262</v>
      </c>
      <c r="C1643" s="4">
        <v>9918535069</v>
      </c>
      <c r="D1643" s="4" t="s">
        <v>121</v>
      </c>
      <c r="E1643" s="4" t="s">
        <v>648</v>
      </c>
      <c r="F1643" s="4" t="s">
        <v>899</v>
      </c>
      <c r="G1643" s="4" t="s">
        <v>87</v>
      </c>
      <c r="H1643" s="4" t="s">
        <v>3793</v>
      </c>
      <c r="I1643" s="2" t="str">
        <f t="shared" si="125"/>
        <v>Apr</v>
      </c>
      <c r="J1643" s="2">
        <f t="shared" si="126"/>
        <v>4</v>
      </c>
      <c r="K1643" s="2">
        <f t="shared" si="127"/>
        <v>2025</v>
      </c>
      <c r="L1643" s="2">
        <f t="shared" si="128"/>
        <v>2</v>
      </c>
      <c r="M1643" s="4"/>
      <c r="N1643" s="4" t="s">
        <v>3466</v>
      </c>
      <c r="O1643" s="4" t="s">
        <v>27</v>
      </c>
      <c r="P1643" s="5">
        <v>236558</v>
      </c>
      <c r="Q1643" s="4"/>
      <c r="R1643" s="4"/>
      <c r="S1643" s="4" t="s">
        <v>5573</v>
      </c>
      <c r="T1643" s="4">
        <v>9.6</v>
      </c>
      <c r="U1643" s="4" t="s">
        <v>29</v>
      </c>
      <c r="V1643" s="4" t="s">
        <v>202</v>
      </c>
      <c r="W1643" s="67" t="str">
        <f t="shared" si="129"/>
        <v>-</v>
      </c>
    </row>
    <row r="1644" spans="1:23" x14ac:dyDescent="0.3">
      <c r="A1644" s="2" t="s">
        <v>3869</v>
      </c>
      <c r="B1644" s="2" t="s">
        <v>3870</v>
      </c>
      <c r="C1644" s="2">
        <v>9546659274</v>
      </c>
      <c r="D1644" s="2" t="s">
        <v>59</v>
      </c>
      <c r="E1644" s="2" t="s">
        <v>1632</v>
      </c>
      <c r="F1644" s="2" t="s">
        <v>1659</v>
      </c>
      <c r="G1644" s="2" t="s">
        <v>23</v>
      </c>
      <c r="H1644" s="2" t="s">
        <v>3592</v>
      </c>
      <c r="I1644" s="2" t="str">
        <f t="shared" si="125"/>
        <v>Apr</v>
      </c>
      <c r="J1644" s="2">
        <f t="shared" si="126"/>
        <v>4</v>
      </c>
      <c r="K1644" s="2">
        <f t="shared" si="127"/>
        <v>2025</v>
      </c>
      <c r="L1644" s="2">
        <f t="shared" si="128"/>
        <v>2</v>
      </c>
      <c r="M1644" s="2"/>
      <c r="N1644" s="2" t="s">
        <v>3699</v>
      </c>
      <c r="O1644" s="2" t="s">
        <v>27</v>
      </c>
      <c r="P1644" s="3">
        <v>775104</v>
      </c>
      <c r="Q1644" s="2"/>
      <c r="R1644" s="2"/>
      <c r="S1644" s="2" t="s">
        <v>5573</v>
      </c>
      <c r="T1644" s="2">
        <v>11.6</v>
      </c>
      <c r="U1644" s="2" t="s">
        <v>29</v>
      </c>
      <c r="V1644" s="2" t="s">
        <v>105</v>
      </c>
      <c r="W1644" s="67" t="str">
        <f t="shared" si="129"/>
        <v>-</v>
      </c>
    </row>
    <row r="1645" spans="1:23" x14ac:dyDescent="0.3">
      <c r="A1645" s="4" t="s">
        <v>3871</v>
      </c>
      <c r="B1645" s="4" t="s">
        <v>419</v>
      </c>
      <c r="C1645" s="4">
        <v>9661083824</v>
      </c>
      <c r="D1645" s="4" t="s">
        <v>121</v>
      </c>
      <c r="E1645" s="4" t="s">
        <v>21</v>
      </c>
      <c r="F1645" s="4" t="s">
        <v>22</v>
      </c>
      <c r="G1645" s="4" t="s">
        <v>1735</v>
      </c>
      <c r="H1645" s="4" t="s">
        <v>3667</v>
      </c>
      <c r="I1645" s="2" t="str">
        <f t="shared" si="125"/>
        <v>May</v>
      </c>
      <c r="J1645" s="2">
        <f t="shared" si="126"/>
        <v>5</v>
      </c>
      <c r="K1645" s="2">
        <f t="shared" si="127"/>
        <v>2025</v>
      </c>
      <c r="L1645" s="2">
        <f t="shared" si="128"/>
        <v>2</v>
      </c>
      <c r="M1645" s="4">
        <v>12</v>
      </c>
      <c r="N1645" s="4" t="s">
        <v>3729</v>
      </c>
      <c r="O1645" s="4" t="s">
        <v>62</v>
      </c>
      <c r="P1645" s="5">
        <v>1684079</v>
      </c>
      <c r="Q1645" s="4"/>
      <c r="R1645" s="4"/>
      <c r="S1645" s="4" t="s">
        <v>5819</v>
      </c>
      <c r="T1645" s="4">
        <v>11.8</v>
      </c>
      <c r="U1645" s="4" t="s">
        <v>47</v>
      </c>
      <c r="V1645" s="4"/>
      <c r="W1645" s="67" t="str">
        <f t="shared" si="129"/>
        <v>-</v>
      </c>
    </row>
    <row r="1646" spans="1:23" x14ac:dyDescent="0.3">
      <c r="A1646" s="2" t="s">
        <v>3872</v>
      </c>
      <c r="B1646" s="2" t="s">
        <v>3873</v>
      </c>
      <c r="C1646" s="2">
        <v>9127655311</v>
      </c>
      <c r="D1646" s="2" t="s">
        <v>51</v>
      </c>
      <c r="E1646" s="2" t="s">
        <v>41</v>
      </c>
      <c r="F1646" s="2" t="s">
        <v>42</v>
      </c>
      <c r="G1646" s="2" t="s">
        <v>23</v>
      </c>
      <c r="H1646" s="2" t="s">
        <v>3667</v>
      </c>
      <c r="I1646" s="2" t="str">
        <f t="shared" si="125"/>
        <v>May</v>
      </c>
      <c r="J1646" s="2">
        <f t="shared" si="126"/>
        <v>5</v>
      </c>
      <c r="K1646" s="2">
        <f t="shared" si="127"/>
        <v>2025</v>
      </c>
      <c r="L1646" s="2">
        <f t="shared" si="128"/>
        <v>2</v>
      </c>
      <c r="M1646" s="2">
        <v>10</v>
      </c>
      <c r="N1646" s="2" t="s">
        <v>3756</v>
      </c>
      <c r="O1646" s="2" t="s">
        <v>45</v>
      </c>
      <c r="P1646" s="3">
        <v>737883</v>
      </c>
      <c r="Q1646" s="2"/>
      <c r="R1646" s="2"/>
      <c r="S1646" s="2" t="s">
        <v>5573</v>
      </c>
      <c r="T1646" s="2">
        <v>30.4</v>
      </c>
      <c r="U1646" s="2" t="s">
        <v>29</v>
      </c>
      <c r="V1646" s="2" t="s">
        <v>613</v>
      </c>
      <c r="W1646" s="67" t="str">
        <f t="shared" si="129"/>
        <v>-</v>
      </c>
    </row>
    <row r="1647" spans="1:23" x14ac:dyDescent="0.3">
      <c r="A1647" s="8" t="s">
        <v>3874</v>
      </c>
      <c r="B1647" s="8" t="s">
        <v>2519</v>
      </c>
      <c r="C1647" s="8">
        <v>9733144678</v>
      </c>
      <c r="D1647" s="8" t="s">
        <v>108</v>
      </c>
      <c r="E1647" s="8" t="s">
        <v>21</v>
      </c>
      <c r="F1647" s="8" t="s">
        <v>230</v>
      </c>
      <c r="G1647" s="8" t="s">
        <v>1609</v>
      </c>
      <c r="H1647" s="8" t="s">
        <v>3723</v>
      </c>
      <c r="I1647" s="2" t="str">
        <f t="shared" si="125"/>
        <v>May</v>
      </c>
      <c r="J1647" s="2">
        <f t="shared" si="126"/>
        <v>5</v>
      </c>
      <c r="K1647" s="2">
        <f t="shared" si="127"/>
        <v>2025</v>
      </c>
      <c r="L1647" s="2">
        <f t="shared" si="128"/>
        <v>2</v>
      </c>
      <c r="M1647" s="8">
        <v>0</v>
      </c>
      <c r="N1647" s="8" t="s">
        <v>3727</v>
      </c>
      <c r="O1647" s="8" t="s">
        <v>27</v>
      </c>
      <c r="P1647" s="9">
        <v>528944</v>
      </c>
      <c r="Q1647" s="8"/>
      <c r="R1647" s="8"/>
      <c r="S1647" s="8" t="s">
        <v>5819</v>
      </c>
      <c r="T1647" s="8">
        <v>9</v>
      </c>
      <c r="U1647" s="8" t="s">
        <v>29</v>
      </c>
      <c r="V1647" s="8" t="s">
        <v>238</v>
      </c>
      <c r="W1647" s="67" t="str">
        <f t="shared" si="129"/>
        <v>-</v>
      </c>
    </row>
    <row r="1648" spans="1:23" x14ac:dyDescent="0.3">
      <c r="A1648" s="2" t="s">
        <v>3875</v>
      </c>
      <c r="B1648" s="2" t="s">
        <v>3876</v>
      </c>
      <c r="C1648" s="2">
        <v>9111514805</v>
      </c>
      <c r="D1648" s="2" t="s">
        <v>20</v>
      </c>
      <c r="E1648" s="2" t="s">
        <v>33</v>
      </c>
      <c r="F1648" s="2" t="s">
        <v>102</v>
      </c>
      <c r="G1648" s="2" t="s">
        <v>1621</v>
      </c>
      <c r="H1648" s="2" t="s">
        <v>3723</v>
      </c>
      <c r="I1648" s="2" t="str">
        <f t="shared" si="125"/>
        <v>May</v>
      </c>
      <c r="J1648" s="2">
        <f t="shared" si="126"/>
        <v>5</v>
      </c>
      <c r="K1648" s="2">
        <f t="shared" si="127"/>
        <v>2025</v>
      </c>
      <c r="L1648" s="2">
        <f t="shared" si="128"/>
        <v>2</v>
      </c>
      <c r="M1648" s="2">
        <v>0</v>
      </c>
      <c r="N1648" s="2" t="s">
        <v>3727</v>
      </c>
      <c r="O1648" s="2" t="s">
        <v>62</v>
      </c>
      <c r="P1648" s="3">
        <v>232344</v>
      </c>
      <c r="Q1648" s="2"/>
      <c r="R1648" s="2"/>
      <c r="S1648" s="2" t="s">
        <v>5574</v>
      </c>
      <c r="T1648" s="2">
        <v>16.5</v>
      </c>
      <c r="U1648" s="2" t="s">
        <v>63</v>
      </c>
      <c r="V1648" s="2" t="s">
        <v>621</v>
      </c>
      <c r="W1648" s="67" t="str">
        <f t="shared" si="129"/>
        <v>-</v>
      </c>
    </row>
    <row r="1649" spans="1:23" x14ac:dyDescent="0.3">
      <c r="A1649" s="4" t="s">
        <v>3877</v>
      </c>
      <c r="B1649" s="4" t="s">
        <v>3878</v>
      </c>
      <c r="C1649" s="4">
        <v>9535061395</v>
      </c>
      <c r="D1649" s="4" t="s">
        <v>59</v>
      </c>
      <c r="E1649" s="4" t="s">
        <v>641</v>
      </c>
      <c r="F1649" s="4" t="s">
        <v>642</v>
      </c>
      <c r="G1649" s="4" t="s">
        <v>643</v>
      </c>
      <c r="H1649" s="4" t="s">
        <v>3505</v>
      </c>
      <c r="I1649" s="2" t="str">
        <f t="shared" si="125"/>
        <v>May</v>
      </c>
      <c r="J1649" s="2">
        <f t="shared" si="126"/>
        <v>5</v>
      </c>
      <c r="K1649" s="2">
        <f t="shared" si="127"/>
        <v>2025</v>
      </c>
      <c r="L1649" s="2">
        <f t="shared" si="128"/>
        <v>2</v>
      </c>
      <c r="M1649" s="4">
        <v>6</v>
      </c>
      <c r="N1649" s="4" t="s">
        <v>3856</v>
      </c>
      <c r="O1649" s="4" t="s">
        <v>27</v>
      </c>
      <c r="P1649" s="5">
        <v>940390</v>
      </c>
      <c r="Q1649" s="4"/>
      <c r="R1649" s="4"/>
      <c r="S1649" s="4" t="s">
        <v>5573</v>
      </c>
      <c r="T1649" s="4">
        <v>12.3</v>
      </c>
      <c r="U1649" s="4" t="s">
        <v>29</v>
      </c>
      <c r="V1649" s="4" t="s">
        <v>123</v>
      </c>
      <c r="W1649" s="67" t="str">
        <f t="shared" si="129"/>
        <v>-</v>
      </c>
    </row>
    <row r="1650" spans="1:23" x14ac:dyDescent="0.3">
      <c r="A1650" s="2" t="s">
        <v>3879</v>
      </c>
      <c r="B1650" s="2" t="s">
        <v>3880</v>
      </c>
      <c r="C1650" s="2">
        <v>9975580042</v>
      </c>
      <c r="D1650" s="2" t="s">
        <v>51</v>
      </c>
      <c r="E1650" s="2" t="s">
        <v>1632</v>
      </c>
      <c r="F1650" s="2" t="s">
        <v>1682</v>
      </c>
      <c r="G1650" s="2" t="s">
        <v>1677</v>
      </c>
      <c r="H1650" s="2" t="s">
        <v>3505</v>
      </c>
      <c r="I1650" s="2" t="str">
        <f t="shared" si="125"/>
        <v>May</v>
      </c>
      <c r="J1650" s="2">
        <f t="shared" si="126"/>
        <v>5</v>
      </c>
      <c r="K1650" s="2">
        <f t="shared" si="127"/>
        <v>2025</v>
      </c>
      <c r="L1650" s="2">
        <f t="shared" si="128"/>
        <v>2</v>
      </c>
      <c r="M1650" s="2">
        <v>10</v>
      </c>
      <c r="N1650" s="2" t="s">
        <v>3881</v>
      </c>
      <c r="O1650" s="2" t="s">
        <v>27</v>
      </c>
      <c r="P1650" s="3">
        <v>1581304</v>
      </c>
      <c r="Q1650" s="2"/>
      <c r="R1650" s="2"/>
      <c r="S1650" s="2" t="s">
        <v>5819</v>
      </c>
      <c r="T1650" s="2">
        <v>14.3</v>
      </c>
      <c r="U1650" s="2" t="s">
        <v>47</v>
      </c>
      <c r="V1650" s="2" t="s">
        <v>153</v>
      </c>
      <c r="W1650" s="67" t="str">
        <f t="shared" si="129"/>
        <v>-</v>
      </c>
    </row>
    <row r="1651" spans="1:23" x14ac:dyDescent="0.3">
      <c r="A1651" s="4" t="s">
        <v>3882</v>
      </c>
      <c r="B1651" s="4" t="s">
        <v>3207</v>
      </c>
      <c r="C1651" s="4">
        <v>9559676086</v>
      </c>
      <c r="D1651" s="4" t="s">
        <v>59</v>
      </c>
      <c r="E1651" s="4" t="s">
        <v>41</v>
      </c>
      <c r="F1651" s="4" t="s">
        <v>86</v>
      </c>
      <c r="G1651" s="4" t="s">
        <v>87</v>
      </c>
      <c r="H1651" s="4" t="s">
        <v>3712</v>
      </c>
      <c r="I1651" s="2" t="str">
        <f t="shared" si="125"/>
        <v>May</v>
      </c>
      <c r="J1651" s="2">
        <f t="shared" si="126"/>
        <v>5</v>
      </c>
      <c r="K1651" s="2">
        <f t="shared" si="127"/>
        <v>2025</v>
      </c>
      <c r="L1651" s="2">
        <f t="shared" si="128"/>
        <v>2</v>
      </c>
      <c r="M1651" s="4">
        <v>7</v>
      </c>
      <c r="N1651" s="4" t="s">
        <v>3812</v>
      </c>
      <c r="O1651" s="4" t="s">
        <v>62</v>
      </c>
      <c r="P1651" s="5">
        <v>149891</v>
      </c>
      <c r="Q1651" s="4"/>
      <c r="R1651" s="4"/>
      <c r="S1651" s="4" t="s">
        <v>5574</v>
      </c>
      <c r="T1651" s="4">
        <v>0.7</v>
      </c>
      <c r="U1651" s="4" t="s">
        <v>29</v>
      </c>
      <c r="V1651" s="4" t="s">
        <v>697</v>
      </c>
      <c r="W1651" s="67" t="str">
        <f t="shared" si="129"/>
        <v>-</v>
      </c>
    </row>
    <row r="1652" spans="1:23" x14ac:dyDescent="0.3">
      <c r="A1652" s="2" t="s">
        <v>3883</v>
      </c>
      <c r="B1652" s="2" t="s">
        <v>3884</v>
      </c>
      <c r="C1652" s="2">
        <v>9715830727</v>
      </c>
      <c r="D1652" s="2" t="s">
        <v>59</v>
      </c>
      <c r="E1652" s="2" t="s">
        <v>109</v>
      </c>
      <c r="F1652" s="2" t="s">
        <v>331</v>
      </c>
      <c r="G1652" s="2" t="s">
        <v>52</v>
      </c>
      <c r="H1652" s="2" t="s">
        <v>3602</v>
      </c>
      <c r="I1652" s="2" t="str">
        <f t="shared" si="125"/>
        <v>May</v>
      </c>
      <c r="J1652" s="2">
        <f t="shared" si="126"/>
        <v>5</v>
      </c>
      <c r="K1652" s="2">
        <f t="shared" si="127"/>
        <v>2025</v>
      </c>
      <c r="L1652" s="2">
        <f t="shared" si="128"/>
        <v>2</v>
      </c>
      <c r="M1652" s="2">
        <v>12</v>
      </c>
      <c r="N1652" s="2" t="s">
        <v>3885</v>
      </c>
      <c r="O1652" s="2" t="s">
        <v>27</v>
      </c>
      <c r="P1652" s="3">
        <v>545872</v>
      </c>
      <c r="Q1652" s="2"/>
      <c r="R1652" s="2"/>
      <c r="S1652" s="2" t="s">
        <v>5574</v>
      </c>
      <c r="T1652" s="2">
        <v>9.9</v>
      </c>
      <c r="U1652" s="2" t="s">
        <v>29</v>
      </c>
      <c r="V1652" s="2" t="s">
        <v>238</v>
      </c>
      <c r="W1652" s="67" t="str">
        <f t="shared" si="129"/>
        <v>-</v>
      </c>
    </row>
    <row r="1653" spans="1:23" x14ac:dyDescent="0.3">
      <c r="A1653" s="4" t="s">
        <v>3886</v>
      </c>
      <c r="B1653" s="4" t="s">
        <v>3887</v>
      </c>
      <c r="C1653" s="4">
        <v>9207107884</v>
      </c>
      <c r="D1653" s="4" t="s">
        <v>59</v>
      </c>
      <c r="E1653" s="4" t="s">
        <v>641</v>
      </c>
      <c r="F1653" s="4" t="s">
        <v>681</v>
      </c>
      <c r="G1653" s="4" t="s">
        <v>643</v>
      </c>
      <c r="H1653" s="4" t="s">
        <v>3575</v>
      </c>
      <c r="I1653" s="2" t="str">
        <f t="shared" si="125"/>
        <v>May</v>
      </c>
      <c r="J1653" s="2">
        <f t="shared" si="126"/>
        <v>5</v>
      </c>
      <c r="K1653" s="2">
        <f t="shared" si="127"/>
        <v>2025</v>
      </c>
      <c r="L1653" s="2">
        <f t="shared" si="128"/>
        <v>2</v>
      </c>
      <c r="M1653" s="4">
        <v>6</v>
      </c>
      <c r="N1653" s="4" t="s">
        <v>3770</v>
      </c>
      <c r="O1653" s="4" t="s">
        <v>62</v>
      </c>
      <c r="P1653" s="5">
        <v>846639</v>
      </c>
      <c r="Q1653" s="4"/>
      <c r="R1653" s="4"/>
      <c r="S1653" s="4" t="s">
        <v>5819</v>
      </c>
      <c r="T1653" s="4">
        <v>5.9</v>
      </c>
      <c r="U1653" s="4" t="s">
        <v>63</v>
      </c>
      <c r="V1653" s="4" t="s">
        <v>535</v>
      </c>
      <c r="W1653" s="67" t="str">
        <f t="shared" si="129"/>
        <v>-</v>
      </c>
    </row>
    <row r="1654" spans="1:23" x14ac:dyDescent="0.3">
      <c r="A1654" s="2" t="s">
        <v>3889</v>
      </c>
      <c r="B1654" s="2" t="s">
        <v>1613</v>
      </c>
      <c r="C1654" s="2">
        <v>9354828019</v>
      </c>
      <c r="D1654" s="2" t="s">
        <v>59</v>
      </c>
      <c r="E1654" s="2" t="s">
        <v>1632</v>
      </c>
      <c r="F1654" s="2" t="s">
        <v>1717</v>
      </c>
      <c r="G1654" s="2" t="s">
        <v>1735</v>
      </c>
      <c r="H1654" s="2" t="s">
        <v>3825</v>
      </c>
      <c r="I1654" s="2" t="str">
        <f t="shared" si="125"/>
        <v>May</v>
      </c>
      <c r="J1654" s="2">
        <f t="shared" si="126"/>
        <v>5</v>
      </c>
      <c r="K1654" s="2">
        <f t="shared" si="127"/>
        <v>2025</v>
      </c>
      <c r="L1654" s="2">
        <f t="shared" si="128"/>
        <v>2</v>
      </c>
      <c r="M1654" s="2">
        <v>4</v>
      </c>
      <c r="N1654" s="2" t="s">
        <v>3640</v>
      </c>
      <c r="O1654" s="2" t="s">
        <v>62</v>
      </c>
      <c r="P1654" s="3">
        <v>1762957</v>
      </c>
      <c r="Q1654" s="2"/>
      <c r="R1654" s="2"/>
      <c r="S1654" s="2" t="s">
        <v>5819</v>
      </c>
      <c r="T1654" s="2">
        <v>5.3</v>
      </c>
      <c r="U1654" s="2" t="s">
        <v>47</v>
      </c>
      <c r="V1654" s="2" t="s">
        <v>256</v>
      </c>
      <c r="W1654" s="67" t="str">
        <f t="shared" si="129"/>
        <v>-</v>
      </c>
    </row>
    <row r="1655" spans="1:23" x14ac:dyDescent="0.3">
      <c r="A1655" s="4" t="s">
        <v>3890</v>
      </c>
      <c r="B1655" s="4" t="s">
        <v>3891</v>
      </c>
      <c r="C1655" s="4">
        <v>9743462316</v>
      </c>
      <c r="D1655" s="4" t="s">
        <v>121</v>
      </c>
      <c r="E1655" s="4" t="s">
        <v>648</v>
      </c>
      <c r="F1655" s="4" t="s">
        <v>649</v>
      </c>
      <c r="G1655" s="4" t="s">
        <v>69</v>
      </c>
      <c r="H1655" s="4" t="s">
        <v>3825</v>
      </c>
      <c r="I1655" s="2" t="str">
        <f t="shared" si="125"/>
        <v>May</v>
      </c>
      <c r="J1655" s="2">
        <f t="shared" si="126"/>
        <v>5</v>
      </c>
      <c r="K1655" s="2">
        <f t="shared" si="127"/>
        <v>2025</v>
      </c>
      <c r="L1655" s="2">
        <f t="shared" si="128"/>
        <v>2</v>
      </c>
      <c r="M1655" s="4">
        <v>3</v>
      </c>
      <c r="N1655" s="4" t="s">
        <v>3892</v>
      </c>
      <c r="O1655" s="4" t="s">
        <v>45</v>
      </c>
      <c r="P1655" s="5">
        <v>182737</v>
      </c>
      <c r="Q1655" s="4"/>
      <c r="R1655" s="4"/>
      <c r="S1655" s="4" t="s">
        <v>5574</v>
      </c>
      <c r="T1655" s="4">
        <v>16.899999999999999</v>
      </c>
      <c r="U1655" s="4" t="s">
        <v>63</v>
      </c>
      <c r="V1655" s="4" t="s">
        <v>668</v>
      </c>
      <c r="W1655" s="67" t="str">
        <f t="shared" si="129"/>
        <v>-</v>
      </c>
    </row>
    <row r="1656" spans="1:23" x14ac:dyDescent="0.3">
      <c r="A1656" s="2" t="s">
        <v>3893</v>
      </c>
      <c r="B1656" s="2" t="s">
        <v>3894</v>
      </c>
      <c r="C1656" s="2">
        <v>9624607651</v>
      </c>
      <c r="D1656" s="2" t="s">
        <v>59</v>
      </c>
      <c r="E1656" s="2" t="s">
        <v>648</v>
      </c>
      <c r="F1656" s="2" t="s">
        <v>899</v>
      </c>
      <c r="G1656" s="2" t="s">
        <v>35</v>
      </c>
      <c r="H1656" s="2" t="s">
        <v>3825</v>
      </c>
      <c r="I1656" s="2" t="str">
        <f t="shared" si="125"/>
        <v>May</v>
      </c>
      <c r="J1656" s="2">
        <f t="shared" si="126"/>
        <v>5</v>
      </c>
      <c r="K1656" s="2">
        <f t="shared" si="127"/>
        <v>2025</v>
      </c>
      <c r="L1656" s="2">
        <f t="shared" si="128"/>
        <v>2</v>
      </c>
      <c r="M1656" s="2">
        <v>10</v>
      </c>
      <c r="N1656" s="2" t="s">
        <v>3838</v>
      </c>
      <c r="O1656" s="2" t="s">
        <v>27</v>
      </c>
      <c r="P1656" s="3">
        <v>333857</v>
      </c>
      <c r="Q1656" s="2"/>
      <c r="R1656" s="2"/>
      <c r="S1656" s="2" t="s">
        <v>5574</v>
      </c>
      <c r="T1656" s="2">
        <v>15.6</v>
      </c>
      <c r="U1656" s="2" t="s">
        <v>47</v>
      </c>
      <c r="V1656" s="2" t="s">
        <v>238</v>
      </c>
      <c r="W1656" s="67" t="str">
        <f t="shared" si="129"/>
        <v>-</v>
      </c>
    </row>
    <row r="1657" spans="1:23" x14ac:dyDescent="0.3">
      <c r="A1657" s="8" t="s">
        <v>3895</v>
      </c>
      <c r="B1657" s="8" t="s">
        <v>3636</v>
      </c>
      <c r="C1657" s="8">
        <v>9299920368</v>
      </c>
      <c r="D1657" s="8" t="s">
        <v>20</v>
      </c>
      <c r="E1657" s="8" t="s">
        <v>1632</v>
      </c>
      <c r="F1657" s="8" t="s">
        <v>1682</v>
      </c>
      <c r="G1657" s="8" t="s">
        <v>1609</v>
      </c>
      <c r="H1657" s="8" t="s">
        <v>3568</v>
      </c>
      <c r="I1657" s="2" t="str">
        <f t="shared" si="125"/>
        <v>May</v>
      </c>
      <c r="J1657" s="2">
        <f t="shared" si="126"/>
        <v>5</v>
      </c>
      <c r="K1657" s="2">
        <f t="shared" si="127"/>
        <v>2025</v>
      </c>
      <c r="L1657" s="2">
        <f t="shared" si="128"/>
        <v>2</v>
      </c>
      <c r="M1657" s="8">
        <v>11</v>
      </c>
      <c r="N1657" s="8" t="s">
        <v>3896</v>
      </c>
      <c r="O1657" s="8" t="s">
        <v>62</v>
      </c>
      <c r="P1657" s="9">
        <v>460429</v>
      </c>
      <c r="Q1657" s="8"/>
      <c r="R1657" s="8"/>
      <c r="S1657" s="8" t="s">
        <v>5819</v>
      </c>
      <c r="T1657" s="8"/>
      <c r="U1657" s="8" t="s">
        <v>47</v>
      </c>
      <c r="V1657" s="8"/>
      <c r="W1657" s="67" t="str">
        <f t="shared" si="129"/>
        <v>-</v>
      </c>
    </row>
    <row r="1658" spans="1:23" x14ac:dyDescent="0.3">
      <c r="A1658" s="8" t="s">
        <v>3897</v>
      </c>
      <c r="B1658" s="8" t="s">
        <v>537</v>
      </c>
      <c r="C1658" s="8">
        <v>9134931693</v>
      </c>
      <c r="D1658" s="8" t="s">
        <v>20</v>
      </c>
      <c r="E1658" s="8" t="s">
        <v>33</v>
      </c>
      <c r="F1658" s="8" t="s">
        <v>34</v>
      </c>
      <c r="G1658" s="8" t="s">
        <v>23</v>
      </c>
      <c r="H1658" s="8" t="s">
        <v>3568</v>
      </c>
      <c r="I1658" s="2" t="str">
        <f t="shared" si="125"/>
        <v>May</v>
      </c>
      <c r="J1658" s="2">
        <f t="shared" si="126"/>
        <v>5</v>
      </c>
      <c r="K1658" s="2">
        <f t="shared" si="127"/>
        <v>2025</v>
      </c>
      <c r="L1658" s="2">
        <f t="shared" si="128"/>
        <v>2</v>
      </c>
      <c r="M1658" s="8">
        <v>8</v>
      </c>
      <c r="N1658" s="8" t="s">
        <v>3898</v>
      </c>
      <c r="O1658" s="8" t="s">
        <v>97</v>
      </c>
      <c r="P1658" s="9">
        <v>598510</v>
      </c>
      <c r="Q1658" s="9">
        <v>596040</v>
      </c>
      <c r="R1658" s="8" t="s">
        <v>3769</v>
      </c>
      <c r="S1658" s="8" t="s">
        <v>5819</v>
      </c>
      <c r="T1658" s="8">
        <v>1.9</v>
      </c>
      <c r="U1658" s="8" t="s">
        <v>63</v>
      </c>
      <c r="V1658" s="8" t="s">
        <v>341</v>
      </c>
      <c r="W1658" s="67" t="str">
        <f t="shared" si="129"/>
        <v>Customer</v>
      </c>
    </row>
    <row r="1659" spans="1:23" x14ac:dyDescent="0.3">
      <c r="A1659" s="4" t="s">
        <v>3899</v>
      </c>
      <c r="B1659" s="4" t="s">
        <v>3900</v>
      </c>
      <c r="C1659" s="4">
        <v>9360457376</v>
      </c>
      <c r="D1659" s="4" t="s">
        <v>121</v>
      </c>
      <c r="E1659" s="4" t="s">
        <v>1632</v>
      </c>
      <c r="F1659" s="4" t="s">
        <v>1682</v>
      </c>
      <c r="G1659" s="4" t="s">
        <v>616</v>
      </c>
      <c r="H1659" s="4" t="s">
        <v>3568</v>
      </c>
      <c r="I1659" s="2" t="str">
        <f t="shared" si="125"/>
        <v>May</v>
      </c>
      <c r="J1659" s="2">
        <f t="shared" si="126"/>
        <v>5</v>
      </c>
      <c r="K1659" s="2">
        <f t="shared" si="127"/>
        <v>2025</v>
      </c>
      <c r="L1659" s="2">
        <f t="shared" si="128"/>
        <v>2</v>
      </c>
      <c r="M1659" s="4">
        <v>6</v>
      </c>
      <c r="N1659" s="4" t="s">
        <v>3857</v>
      </c>
      <c r="O1659" s="4" t="s">
        <v>27</v>
      </c>
      <c r="P1659" s="5">
        <v>273953</v>
      </c>
      <c r="Q1659" s="4"/>
      <c r="R1659" s="4"/>
      <c r="S1659" s="4" t="s">
        <v>5574</v>
      </c>
      <c r="T1659" s="4">
        <v>21.2</v>
      </c>
      <c r="U1659" s="4" t="s">
        <v>29</v>
      </c>
      <c r="V1659" s="4" t="s">
        <v>118</v>
      </c>
      <c r="W1659" s="67" t="str">
        <f t="shared" si="129"/>
        <v>-</v>
      </c>
    </row>
    <row r="1660" spans="1:23" x14ac:dyDescent="0.3">
      <c r="A1660" s="6" t="s">
        <v>3901</v>
      </c>
      <c r="B1660" s="6" t="s">
        <v>3072</v>
      </c>
      <c r="C1660" s="6">
        <v>9964581060</v>
      </c>
      <c r="D1660" s="6" t="s">
        <v>121</v>
      </c>
      <c r="E1660" s="6" t="s">
        <v>41</v>
      </c>
      <c r="F1660" s="6" t="s">
        <v>42</v>
      </c>
      <c r="G1660" s="6" t="s">
        <v>643</v>
      </c>
      <c r="H1660" s="6" t="s">
        <v>3568</v>
      </c>
      <c r="I1660" s="2" t="str">
        <f t="shared" si="125"/>
        <v>May</v>
      </c>
      <c r="J1660" s="2">
        <f t="shared" si="126"/>
        <v>5</v>
      </c>
      <c r="K1660" s="2">
        <f t="shared" si="127"/>
        <v>2025</v>
      </c>
      <c r="L1660" s="2">
        <f t="shared" si="128"/>
        <v>2</v>
      </c>
      <c r="M1660" s="6">
        <v>12</v>
      </c>
      <c r="N1660" s="6" t="s">
        <v>3902</v>
      </c>
      <c r="O1660" s="6" t="s">
        <v>97</v>
      </c>
      <c r="P1660" s="7">
        <v>1319068</v>
      </c>
      <c r="Q1660" s="7">
        <v>1230519</v>
      </c>
      <c r="R1660" s="6" t="s">
        <v>3903</v>
      </c>
      <c r="S1660" s="6" t="s">
        <v>5574</v>
      </c>
      <c r="T1660" s="6">
        <v>5.9</v>
      </c>
      <c r="U1660" s="6" t="s">
        <v>63</v>
      </c>
      <c r="V1660" s="6" t="s">
        <v>170</v>
      </c>
      <c r="W1660" s="67" t="str">
        <f t="shared" si="129"/>
        <v>Customer</v>
      </c>
    </row>
    <row r="1661" spans="1:23" x14ac:dyDescent="0.3">
      <c r="A1661" s="4" t="s">
        <v>3904</v>
      </c>
      <c r="B1661" s="4" t="s">
        <v>3792</v>
      </c>
      <c r="C1661" s="4">
        <v>9355675142</v>
      </c>
      <c r="D1661" s="4" t="s">
        <v>59</v>
      </c>
      <c r="E1661" s="4" t="s">
        <v>1632</v>
      </c>
      <c r="F1661" s="4" t="s">
        <v>1682</v>
      </c>
      <c r="G1661" s="4" t="s">
        <v>35</v>
      </c>
      <c r="H1661" s="4" t="s">
        <v>3568</v>
      </c>
      <c r="I1661" s="2" t="str">
        <f t="shared" si="125"/>
        <v>May</v>
      </c>
      <c r="J1661" s="2">
        <f t="shared" si="126"/>
        <v>5</v>
      </c>
      <c r="K1661" s="2">
        <f t="shared" si="127"/>
        <v>2025</v>
      </c>
      <c r="L1661" s="2">
        <f t="shared" si="128"/>
        <v>2</v>
      </c>
      <c r="M1661" s="4">
        <v>11</v>
      </c>
      <c r="N1661" s="4" t="s">
        <v>3756</v>
      </c>
      <c r="O1661" s="4" t="s">
        <v>27</v>
      </c>
      <c r="P1661" s="5">
        <v>247957</v>
      </c>
      <c r="Q1661" s="4"/>
      <c r="R1661" s="4"/>
      <c r="S1661" s="4" t="s">
        <v>5819</v>
      </c>
      <c r="T1661" s="4">
        <v>10.6</v>
      </c>
      <c r="U1661" s="4" t="s">
        <v>29</v>
      </c>
      <c r="V1661" s="4" t="s">
        <v>105</v>
      </c>
      <c r="W1661" s="67" t="str">
        <f t="shared" si="129"/>
        <v>-</v>
      </c>
    </row>
    <row r="1662" spans="1:23" x14ac:dyDescent="0.3">
      <c r="A1662" s="2" t="s">
        <v>3905</v>
      </c>
      <c r="B1662" s="2" t="s">
        <v>1460</v>
      </c>
      <c r="C1662" s="2">
        <v>9933185188</v>
      </c>
      <c r="D1662" s="2" t="s">
        <v>59</v>
      </c>
      <c r="E1662" s="2" t="s">
        <v>21</v>
      </c>
      <c r="F1662" s="2" t="s">
        <v>22</v>
      </c>
      <c r="G1662" s="2" t="s">
        <v>1621</v>
      </c>
      <c r="H1662" s="2" t="s">
        <v>3568</v>
      </c>
      <c r="I1662" s="2" t="str">
        <f t="shared" si="125"/>
        <v>May</v>
      </c>
      <c r="J1662" s="2">
        <f t="shared" si="126"/>
        <v>5</v>
      </c>
      <c r="K1662" s="2">
        <f t="shared" si="127"/>
        <v>2025</v>
      </c>
      <c r="L1662" s="2">
        <f t="shared" si="128"/>
        <v>2</v>
      </c>
      <c r="M1662" s="2">
        <v>8</v>
      </c>
      <c r="N1662" s="2" t="s">
        <v>3700</v>
      </c>
      <c r="O1662" s="2" t="s">
        <v>62</v>
      </c>
      <c r="P1662" s="3">
        <v>290635</v>
      </c>
      <c r="Q1662" s="2"/>
      <c r="R1662" s="2"/>
      <c r="S1662" s="2" t="s">
        <v>5819</v>
      </c>
      <c r="T1662" s="2">
        <v>18.600000000000001</v>
      </c>
      <c r="U1662" s="2" t="s">
        <v>63</v>
      </c>
      <c r="V1662" s="2" t="s">
        <v>668</v>
      </c>
      <c r="W1662" s="67" t="str">
        <f t="shared" si="129"/>
        <v>-</v>
      </c>
    </row>
    <row r="1663" spans="1:23" x14ac:dyDescent="0.3">
      <c r="A1663" s="8" t="s">
        <v>3906</v>
      </c>
      <c r="B1663" s="8" t="s">
        <v>3907</v>
      </c>
      <c r="C1663" s="8">
        <v>9452034845</v>
      </c>
      <c r="D1663" s="8" t="s">
        <v>20</v>
      </c>
      <c r="E1663" s="8" t="s">
        <v>1632</v>
      </c>
      <c r="F1663" s="8" t="s">
        <v>1717</v>
      </c>
      <c r="G1663" s="8" t="s">
        <v>1677</v>
      </c>
      <c r="H1663" s="8" t="s">
        <v>3888</v>
      </c>
      <c r="I1663" s="2" t="str">
        <f t="shared" si="125"/>
        <v>May</v>
      </c>
      <c r="J1663" s="2">
        <f t="shared" si="126"/>
        <v>5</v>
      </c>
      <c r="K1663" s="2">
        <f t="shared" si="127"/>
        <v>2025</v>
      </c>
      <c r="L1663" s="2">
        <f t="shared" si="128"/>
        <v>2</v>
      </c>
      <c r="M1663" s="8">
        <v>7</v>
      </c>
      <c r="N1663" s="8" t="s">
        <v>3837</v>
      </c>
      <c r="O1663" s="8" t="s">
        <v>97</v>
      </c>
      <c r="P1663" s="9">
        <v>1038175</v>
      </c>
      <c r="Q1663" s="9">
        <v>1059918</v>
      </c>
      <c r="R1663" s="8" t="s">
        <v>3908</v>
      </c>
      <c r="S1663" s="8" t="s">
        <v>5574</v>
      </c>
      <c r="T1663" s="8">
        <v>35.6</v>
      </c>
      <c r="U1663" s="8" t="s">
        <v>63</v>
      </c>
      <c r="V1663" s="8" t="s">
        <v>483</v>
      </c>
      <c r="W1663" s="67" t="str">
        <f t="shared" si="129"/>
        <v>Customer</v>
      </c>
    </row>
    <row r="1664" spans="1:23" x14ac:dyDescent="0.3">
      <c r="A1664" s="2" t="s">
        <v>3909</v>
      </c>
      <c r="B1664" s="2" t="s">
        <v>595</v>
      </c>
      <c r="C1664" s="2">
        <v>9183129352</v>
      </c>
      <c r="D1664" s="2" t="s">
        <v>20</v>
      </c>
      <c r="E1664" s="2" t="s">
        <v>1632</v>
      </c>
      <c r="F1664" s="2" t="s">
        <v>1694</v>
      </c>
      <c r="G1664" s="2" t="s">
        <v>87</v>
      </c>
      <c r="H1664" s="2" t="s">
        <v>3764</v>
      </c>
      <c r="I1664" s="2" t="str">
        <f t="shared" si="125"/>
        <v>May</v>
      </c>
      <c r="J1664" s="2">
        <f t="shared" si="126"/>
        <v>5</v>
      </c>
      <c r="K1664" s="2">
        <f t="shared" si="127"/>
        <v>2025</v>
      </c>
      <c r="L1664" s="2">
        <f t="shared" si="128"/>
        <v>2</v>
      </c>
      <c r="M1664" s="2">
        <v>6</v>
      </c>
      <c r="N1664" s="2" t="s">
        <v>3762</v>
      </c>
      <c r="O1664" s="2" t="s">
        <v>62</v>
      </c>
      <c r="P1664" s="3">
        <v>207397</v>
      </c>
      <c r="Q1664" s="2"/>
      <c r="R1664" s="2"/>
      <c r="S1664" s="2" t="s">
        <v>5819</v>
      </c>
      <c r="T1664" s="2">
        <v>20</v>
      </c>
      <c r="U1664" s="2" t="s">
        <v>63</v>
      </c>
      <c r="V1664" s="2" t="s">
        <v>221</v>
      </c>
      <c r="W1664" s="67" t="str">
        <f t="shared" si="129"/>
        <v>-</v>
      </c>
    </row>
    <row r="1665" spans="1:23" x14ac:dyDescent="0.3">
      <c r="A1665" s="6" t="s">
        <v>3910</v>
      </c>
      <c r="B1665" s="6" t="s">
        <v>3911</v>
      </c>
      <c r="C1665" s="6">
        <v>9118282463</v>
      </c>
      <c r="D1665" s="6" t="s">
        <v>51</v>
      </c>
      <c r="E1665" s="6" t="s">
        <v>41</v>
      </c>
      <c r="F1665" s="6" t="s">
        <v>151</v>
      </c>
      <c r="G1665" s="6" t="s">
        <v>643</v>
      </c>
      <c r="H1665" s="6" t="s">
        <v>3677</v>
      </c>
      <c r="I1665" s="2" t="str">
        <f t="shared" si="125"/>
        <v>May</v>
      </c>
      <c r="J1665" s="2">
        <f t="shared" si="126"/>
        <v>5</v>
      </c>
      <c r="K1665" s="2">
        <f t="shared" si="127"/>
        <v>2025</v>
      </c>
      <c r="L1665" s="2">
        <f t="shared" si="128"/>
        <v>2</v>
      </c>
      <c r="M1665" s="6">
        <v>11</v>
      </c>
      <c r="N1665" s="6" t="s">
        <v>3912</v>
      </c>
      <c r="O1665" s="6" t="s">
        <v>97</v>
      </c>
      <c r="P1665" s="7">
        <v>791847</v>
      </c>
      <c r="Q1665" s="7">
        <v>710655</v>
      </c>
      <c r="R1665" s="6" t="s">
        <v>3913</v>
      </c>
      <c r="S1665" s="6" t="s">
        <v>5819</v>
      </c>
      <c r="T1665" s="6">
        <v>16.399999999999999</v>
      </c>
      <c r="U1665" s="6" t="s">
        <v>63</v>
      </c>
      <c r="V1665" s="6" t="s">
        <v>286</v>
      </c>
      <c r="W1665" s="67" t="str">
        <f t="shared" si="129"/>
        <v>Architect</v>
      </c>
    </row>
    <row r="1666" spans="1:23" x14ac:dyDescent="0.3">
      <c r="A1666" s="2" t="s">
        <v>3914</v>
      </c>
      <c r="B1666" s="2" t="s">
        <v>3911</v>
      </c>
      <c r="C1666" s="2">
        <v>9915112141</v>
      </c>
      <c r="D1666" s="2" t="s">
        <v>20</v>
      </c>
      <c r="E1666" s="2" t="s">
        <v>1632</v>
      </c>
      <c r="F1666" s="2" t="s">
        <v>1633</v>
      </c>
      <c r="G1666" s="2" t="s">
        <v>1735</v>
      </c>
      <c r="H1666" s="2" t="s">
        <v>3677</v>
      </c>
      <c r="I1666" s="2" t="str">
        <f t="shared" ref="I1666:I1729" si="130">TEXT(H1666,"mmm")</f>
        <v>May</v>
      </c>
      <c r="J1666" s="2">
        <f t="shared" ref="J1666:J1729" si="131">MONTH(H1666)</f>
        <v>5</v>
      </c>
      <c r="K1666" s="2">
        <f t="shared" ref="K1666:K1729" si="132">YEAR(H1666)</f>
        <v>2025</v>
      </c>
      <c r="L1666" s="2">
        <f t="shared" ref="L1666:L1729" si="133">ROUNDUP(MONTH(H1666)/3,0)</f>
        <v>2</v>
      </c>
      <c r="M1666" s="2">
        <v>12</v>
      </c>
      <c r="N1666" s="2" t="s">
        <v>3915</v>
      </c>
      <c r="O1666" s="2" t="s">
        <v>27</v>
      </c>
      <c r="P1666" s="3">
        <v>1908847</v>
      </c>
      <c r="Q1666" s="2"/>
      <c r="R1666" s="2"/>
      <c r="S1666" s="2" t="s">
        <v>5819</v>
      </c>
      <c r="T1666" s="2">
        <v>27.4</v>
      </c>
      <c r="U1666" s="2" t="s">
        <v>29</v>
      </c>
      <c r="V1666" s="2"/>
      <c r="W1666" s="67" t="str">
        <f t="shared" ref="W1666:W1729" si="134">IF($O1666&lt;&gt;"Converted","-",IF(ISNUMBER(SEARCH("Architect",$F1666)),"Architect","Customer"))</f>
        <v>-</v>
      </c>
    </row>
    <row r="1667" spans="1:23" x14ac:dyDescent="0.3">
      <c r="A1667" s="4" t="s">
        <v>3916</v>
      </c>
      <c r="B1667" s="4" t="s">
        <v>120</v>
      </c>
      <c r="C1667" s="4">
        <v>9242491462</v>
      </c>
      <c r="D1667" s="4" t="s">
        <v>20</v>
      </c>
      <c r="E1667" s="4" t="s">
        <v>41</v>
      </c>
      <c r="F1667" s="4" t="s">
        <v>42</v>
      </c>
      <c r="G1667" s="4" t="s">
        <v>643</v>
      </c>
      <c r="H1667" s="4" t="s">
        <v>3699</v>
      </c>
      <c r="I1667" s="2" t="str">
        <f t="shared" si="130"/>
        <v>May</v>
      </c>
      <c r="J1667" s="2">
        <f t="shared" si="131"/>
        <v>5</v>
      </c>
      <c r="K1667" s="2">
        <f t="shared" si="132"/>
        <v>2025</v>
      </c>
      <c r="L1667" s="2">
        <f t="shared" si="133"/>
        <v>2</v>
      </c>
      <c r="M1667" s="4">
        <v>5</v>
      </c>
      <c r="N1667" s="4" t="s">
        <v>3857</v>
      </c>
      <c r="O1667" s="4" t="s">
        <v>62</v>
      </c>
      <c r="P1667" s="5">
        <v>1055428</v>
      </c>
      <c r="Q1667" s="4"/>
      <c r="R1667" s="4"/>
      <c r="S1667" s="4" t="s">
        <v>5819</v>
      </c>
      <c r="T1667" s="4">
        <v>30</v>
      </c>
      <c r="U1667" s="4" t="s">
        <v>63</v>
      </c>
      <c r="V1667" s="4"/>
      <c r="W1667" s="67" t="str">
        <f t="shared" si="134"/>
        <v>-</v>
      </c>
    </row>
    <row r="1668" spans="1:23" x14ac:dyDescent="0.3">
      <c r="A1668" s="2" t="s">
        <v>3917</v>
      </c>
      <c r="B1668" s="2" t="s">
        <v>3918</v>
      </c>
      <c r="C1668" s="2">
        <v>9650296570</v>
      </c>
      <c r="D1668" s="2" t="s">
        <v>20</v>
      </c>
      <c r="E1668" s="2" t="s">
        <v>73</v>
      </c>
      <c r="F1668" s="2" t="s">
        <v>126</v>
      </c>
      <c r="G1668" s="2" t="s">
        <v>1735</v>
      </c>
      <c r="H1668" s="2" t="s">
        <v>3699</v>
      </c>
      <c r="I1668" s="2" t="str">
        <f t="shared" si="130"/>
        <v>May</v>
      </c>
      <c r="J1668" s="2">
        <f t="shared" si="131"/>
        <v>5</v>
      </c>
      <c r="K1668" s="2">
        <f t="shared" si="132"/>
        <v>2025</v>
      </c>
      <c r="L1668" s="2">
        <f t="shared" si="133"/>
        <v>2</v>
      </c>
      <c r="M1668" s="2">
        <v>11</v>
      </c>
      <c r="N1668" s="2" t="s">
        <v>3892</v>
      </c>
      <c r="O1668" s="2" t="s">
        <v>45</v>
      </c>
      <c r="P1668" s="3">
        <v>1492807</v>
      </c>
      <c r="Q1668" s="2"/>
      <c r="R1668" s="2"/>
      <c r="S1668" s="2" t="s">
        <v>5573</v>
      </c>
      <c r="T1668" s="2">
        <v>31.8</v>
      </c>
      <c r="U1668" s="2" t="s">
        <v>29</v>
      </c>
      <c r="V1668" s="2" t="s">
        <v>454</v>
      </c>
      <c r="W1668" s="67" t="str">
        <f t="shared" si="134"/>
        <v>-</v>
      </c>
    </row>
    <row r="1669" spans="1:23" x14ac:dyDescent="0.3">
      <c r="A1669" s="4" t="s">
        <v>3919</v>
      </c>
      <c r="B1669" s="4" t="s">
        <v>1409</v>
      </c>
      <c r="C1669" s="4">
        <v>9299435532</v>
      </c>
      <c r="D1669" s="4" t="s">
        <v>59</v>
      </c>
      <c r="E1669" s="4" t="s">
        <v>67</v>
      </c>
      <c r="F1669" s="4" t="s">
        <v>80</v>
      </c>
      <c r="G1669" s="4" t="s">
        <v>52</v>
      </c>
      <c r="H1669" s="4" t="s">
        <v>3699</v>
      </c>
      <c r="I1669" s="2" t="str">
        <f t="shared" si="130"/>
        <v>May</v>
      </c>
      <c r="J1669" s="2">
        <f t="shared" si="131"/>
        <v>5</v>
      </c>
      <c r="K1669" s="2">
        <f t="shared" si="132"/>
        <v>2025</v>
      </c>
      <c r="L1669" s="2">
        <f t="shared" si="133"/>
        <v>2</v>
      </c>
      <c r="M1669" s="4">
        <v>4</v>
      </c>
      <c r="N1669" s="4" t="s">
        <v>3898</v>
      </c>
      <c r="O1669" s="4" t="s">
        <v>62</v>
      </c>
      <c r="P1669" s="5">
        <v>559027</v>
      </c>
      <c r="Q1669" s="4"/>
      <c r="R1669" s="4"/>
      <c r="S1669" s="4" t="s">
        <v>5573</v>
      </c>
      <c r="T1669" s="4">
        <v>27.9</v>
      </c>
      <c r="U1669" s="4" t="s">
        <v>63</v>
      </c>
      <c r="V1669" s="4" t="s">
        <v>221</v>
      </c>
      <c r="W1669" s="67" t="str">
        <f t="shared" si="134"/>
        <v>-</v>
      </c>
    </row>
    <row r="1670" spans="1:23" x14ac:dyDescent="0.3">
      <c r="A1670" s="2" t="s">
        <v>3920</v>
      </c>
      <c r="B1670" s="2" t="s">
        <v>3921</v>
      </c>
      <c r="C1670" s="2">
        <v>9273692135</v>
      </c>
      <c r="D1670" s="2" t="s">
        <v>108</v>
      </c>
      <c r="E1670" s="2" t="s">
        <v>648</v>
      </c>
      <c r="F1670" s="2" t="s">
        <v>656</v>
      </c>
      <c r="G1670" s="2" t="s">
        <v>643</v>
      </c>
      <c r="H1670" s="2" t="s">
        <v>3699</v>
      </c>
      <c r="I1670" s="2" t="str">
        <f t="shared" si="130"/>
        <v>May</v>
      </c>
      <c r="J1670" s="2">
        <f t="shared" si="131"/>
        <v>5</v>
      </c>
      <c r="K1670" s="2">
        <f t="shared" si="132"/>
        <v>2025</v>
      </c>
      <c r="L1670" s="2">
        <f t="shared" si="133"/>
        <v>2</v>
      </c>
      <c r="M1670" s="2">
        <v>1</v>
      </c>
      <c r="N1670" s="2" t="s">
        <v>3720</v>
      </c>
      <c r="O1670" s="2" t="s">
        <v>55</v>
      </c>
      <c r="P1670" s="3">
        <v>929297</v>
      </c>
      <c r="Q1670" s="2"/>
      <c r="R1670" s="2"/>
      <c r="S1670" s="2" t="s">
        <v>5574</v>
      </c>
      <c r="T1670" s="2">
        <v>7.5</v>
      </c>
      <c r="U1670" s="2" t="s">
        <v>29</v>
      </c>
      <c r="V1670" s="2" t="s">
        <v>187</v>
      </c>
      <c r="W1670" s="67" t="str">
        <f t="shared" si="134"/>
        <v>-</v>
      </c>
    </row>
    <row r="1671" spans="1:23" x14ac:dyDescent="0.3">
      <c r="A1671" s="4" t="s">
        <v>3922</v>
      </c>
      <c r="B1671" s="4" t="s">
        <v>3923</v>
      </c>
      <c r="C1671" s="4">
        <v>9516268889</v>
      </c>
      <c r="D1671" s="4" t="s">
        <v>108</v>
      </c>
      <c r="E1671" s="4" t="s">
        <v>67</v>
      </c>
      <c r="F1671" s="4" t="s">
        <v>80</v>
      </c>
      <c r="G1671" s="4" t="s">
        <v>87</v>
      </c>
      <c r="H1671" s="4" t="s">
        <v>3776</v>
      </c>
      <c r="I1671" s="2" t="str">
        <f t="shared" si="130"/>
        <v>May</v>
      </c>
      <c r="J1671" s="2">
        <f t="shared" si="131"/>
        <v>5</v>
      </c>
      <c r="K1671" s="2">
        <f t="shared" si="132"/>
        <v>2025</v>
      </c>
      <c r="L1671" s="2">
        <f t="shared" si="133"/>
        <v>2</v>
      </c>
      <c r="M1671" s="4">
        <v>4</v>
      </c>
      <c r="N1671" s="4" t="s">
        <v>3802</v>
      </c>
      <c r="O1671" s="4" t="s">
        <v>62</v>
      </c>
      <c r="P1671" s="5">
        <v>348427</v>
      </c>
      <c r="Q1671" s="4"/>
      <c r="R1671" s="4"/>
      <c r="S1671" s="4" t="s">
        <v>5573</v>
      </c>
      <c r="T1671" s="4">
        <v>30</v>
      </c>
      <c r="U1671" s="4" t="s">
        <v>47</v>
      </c>
      <c r="V1671" s="4" t="s">
        <v>256</v>
      </c>
      <c r="W1671" s="67" t="str">
        <f t="shared" si="134"/>
        <v>-</v>
      </c>
    </row>
    <row r="1672" spans="1:23" x14ac:dyDescent="0.3">
      <c r="A1672" s="2" t="s">
        <v>3924</v>
      </c>
      <c r="B1672" s="2" t="s">
        <v>3925</v>
      </c>
      <c r="C1672" s="2">
        <v>9775899482</v>
      </c>
      <c r="D1672" s="2" t="s">
        <v>59</v>
      </c>
      <c r="E1672" s="2" t="s">
        <v>41</v>
      </c>
      <c r="F1672" s="2" t="s">
        <v>86</v>
      </c>
      <c r="G1672" s="2" t="s">
        <v>643</v>
      </c>
      <c r="H1672" s="2" t="s">
        <v>3776</v>
      </c>
      <c r="I1672" s="2" t="str">
        <f t="shared" si="130"/>
        <v>May</v>
      </c>
      <c r="J1672" s="2">
        <f t="shared" si="131"/>
        <v>5</v>
      </c>
      <c r="K1672" s="2">
        <f t="shared" si="132"/>
        <v>2025</v>
      </c>
      <c r="L1672" s="2">
        <f t="shared" si="133"/>
        <v>2</v>
      </c>
      <c r="M1672" s="2">
        <v>6</v>
      </c>
      <c r="N1672" s="2" t="s">
        <v>3770</v>
      </c>
      <c r="O1672" s="2" t="s">
        <v>45</v>
      </c>
      <c r="P1672" s="3">
        <v>1057629</v>
      </c>
      <c r="Q1672" s="2"/>
      <c r="R1672" s="2"/>
      <c r="S1672" s="2" t="s">
        <v>5819</v>
      </c>
      <c r="T1672" s="2">
        <v>26.2</v>
      </c>
      <c r="U1672" s="2" t="s">
        <v>29</v>
      </c>
      <c r="V1672" s="2" t="s">
        <v>442</v>
      </c>
      <c r="W1672" s="67" t="str">
        <f t="shared" si="134"/>
        <v>-</v>
      </c>
    </row>
    <row r="1673" spans="1:23" x14ac:dyDescent="0.3">
      <c r="A1673" s="4" t="s">
        <v>3926</v>
      </c>
      <c r="B1673" s="4" t="s">
        <v>3927</v>
      </c>
      <c r="C1673" s="4">
        <v>9382513593</v>
      </c>
      <c r="D1673" s="4" t="s">
        <v>108</v>
      </c>
      <c r="E1673" s="4" t="s">
        <v>648</v>
      </c>
      <c r="F1673" s="4" t="s">
        <v>656</v>
      </c>
      <c r="G1673" s="4" t="s">
        <v>643</v>
      </c>
      <c r="H1673" s="4" t="s">
        <v>3776</v>
      </c>
      <c r="I1673" s="2" t="str">
        <f t="shared" si="130"/>
        <v>May</v>
      </c>
      <c r="J1673" s="2">
        <f t="shared" si="131"/>
        <v>5</v>
      </c>
      <c r="K1673" s="2">
        <f t="shared" si="132"/>
        <v>2025</v>
      </c>
      <c r="L1673" s="2">
        <f t="shared" si="133"/>
        <v>2</v>
      </c>
      <c r="M1673" s="4">
        <v>5</v>
      </c>
      <c r="N1673" s="4" t="s">
        <v>3751</v>
      </c>
      <c r="O1673" s="4" t="s">
        <v>62</v>
      </c>
      <c r="P1673" s="5">
        <v>1241925</v>
      </c>
      <c r="Q1673" s="4"/>
      <c r="R1673" s="4"/>
      <c r="S1673" s="4" t="s">
        <v>5573</v>
      </c>
      <c r="T1673" s="4">
        <v>11.7</v>
      </c>
      <c r="U1673" s="4" t="s">
        <v>63</v>
      </c>
      <c r="V1673" s="4"/>
      <c r="W1673" s="67" t="str">
        <f t="shared" si="134"/>
        <v>-</v>
      </c>
    </row>
    <row r="1674" spans="1:23" x14ac:dyDescent="0.3">
      <c r="A1674" s="2" t="s">
        <v>3928</v>
      </c>
      <c r="B1674" s="2" t="s">
        <v>1161</v>
      </c>
      <c r="C1674" s="2">
        <v>9665074570</v>
      </c>
      <c r="D1674" s="2" t="s">
        <v>121</v>
      </c>
      <c r="E1674" s="2" t="s">
        <v>641</v>
      </c>
      <c r="F1674" s="2" t="s">
        <v>642</v>
      </c>
      <c r="G1674" s="2" t="s">
        <v>87</v>
      </c>
      <c r="H1674" s="2" t="s">
        <v>3823</v>
      </c>
      <c r="I1674" s="2" t="str">
        <f t="shared" si="130"/>
        <v>May</v>
      </c>
      <c r="J1674" s="2">
        <f t="shared" si="131"/>
        <v>5</v>
      </c>
      <c r="K1674" s="2">
        <f t="shared" si="132"/>
        <v>2025</v>
      </c>
      <c r="L1674" s="2">
        <f t="shared" si="133"/>
        <v>2</v>
      </c>
      <c r="M1674" s="2">
        <v>4</v>
      </c>
      <c r="N1674" s="2" t="s">
        <v>3929</v>
      </c>
      <c r="O1674" s="2" t="s">
        <v>27</v>
      </c>
      <c r="P1674" s="3">
        <v>278118</v>
      </c>
      <c r="Q1674" s="2"/>
      <c r="R1674" s="2"/>
      <c r="S1674" s="2" t="s">
        <v>5574</v>
      </c>
      <c r="T1674" s="2">
        <v>29.3</v>
      </c>
      <c r="U1674" s="2" t="s">
        <v>29</v>
      </c>
      <c r="V1674" s="2" t="s">
        <v>238</v>
      </c>
      <c r="W1674" s="67" t="str">
        <f t="shared" si="134"/>
        <v>-</v>
      </c>
    </row>
    <row r="1675" spans="1:23" x14ac:dyDescent="0.3">
      <c r="A1675" s="8" t="s">
        <v>3930</v>
      </c>
      <c r="B1675" s="8" t="s">
        <v>3931</v>
      </c>
      <c r="C1675" s="8">
        <v>9678829360</v>
      </c>
      <c r="D1675" s="8" t="s">
        <v>108</v>
      </c>
      <c r="E1675" s="8" t="s">
        <v>1632</v>
      </c>
      <c r="F1675" s="8" t="s">
        <v>1682</v>
      </c>
      <c r="G1675" s="8" t="s">
        <v>60</v>
      </c>
      <c r="H1675" s="8" t="s">
        <v>3823</v>
      </c>
      <c r="I1675" s="2" t="str">
        <f t="shared" si="130"/>
        <v>May</v>
      </c>
      <c r="J1675" s="2">
        <f t="shared" si="131"/>
        <v>5</v>
      </c>
      <c r="K1675" s="2">
        <f t="shared" si="132"/>
        <v>2025</v>
      </c>
      <c r="L1675" s="2">
        <f t="shared" si="133"/>
        <v>2</v>
      </c>
      <c r="M1675" s="8">
        <v>1</v>
      </c>
      <c r="N1675" s="8" t="s">
        <v>3710</v>
      </c>
      <c r="O1675" s="8" t="s">
        <v>62</v>
      </c>
      <c r="P1675" s="9">
        <v>212542</v>
      </c>
      <c r="Q1675" s="8"/>
      <c r="R1675" s="8"/>
      <c r="S1675" s="8" t="s">
        <v>5574</v>
      </c>
      <c r="T1675" s="8">
        <v>20.6</v>
      </c>
      <c r="U1675" s="8" t="s">
        <v>47</v>
      </c>
      <c r="V1675" s="8" t="s">
        <v>487</v>
      </c>
      <c r="W1675" s="67" t="str">
        <f t="shared" si="134"/>
        <v>-</v>
      </c>
    </row>
    <row r="1676" spans="1:23" x14ac:dyDescent="0.3">
      <c r="A1676" s="2" t="s">
        <v>3932</v>
      </c>
      <c r="B1676" s="2" t="s">
        <v>459</v>
      </c>
      <c r="C1676" s="2">
        <v>9122903758</v>
      </c>
      <c r="D1676" s="2" t="s">
        <v>20</v>
      </c>
      <c r="E1676" s="2" t="s">
        <v>41</v>
      </c>
      <c r="F1676" s="2" t="s">
        <v>42</v>
      </c>
      <c r="G1676" s="2" t="s">
        <v>52</v>
      </c>
      <c r="H1676" s="2" t="s">
        <v>3823</v>
      </c>
      <c r="I1676" s="2" t="str">
        <f t="shared" si="130"/>
        <v>May</v>
      </c>
      <c r="J1676" s="2">
        <f t="shared" si="131"/>
        <v>5</v>
      </c>
      <c r="K1676" s="2">
        <f t="shared" si="132"/>
        <v>2025</v>
      </c>
      <c r="L1676" s="2">
        <f t="shared" si="133"/>
        <v>2</v>
      </c>
      <c r="M1676" s="2">
        <v>2</v>
      </c>
      <c r="N1676" s="2" t="s">
        <v>3898</v>
      </c>
      <c r="O1676" s="2" t="s">
        <v>45</v>
      </c>
      <c r="P1676" s="3">
        <v>209486</v>
      </c>
      <c r="Q1676" s="2"/>
      <c r="R1676" s="2"/>
      <c r="S1676" s="2" t="s">
        <v>5574</v>
      </c>
      <c r="T1676" s="2">
        <v>30.1</v>
      </c>
      <c r="U1676" s="2" t="s">
        <v>63</v>
      </c>
      <c r="V1676" s="2" t="s">
        <v>64</v>
      </c>
      <c r="W1676" s="67" t="str">
        <f t="shared" si="134"/>
        <v>-</v>
      </c>
    </row>
    <row r="1677" spans="1:23" x14ac:dyDescent="0.3">
      <c r="A1677" s="4" t="s">
        <v>3933</v>
      </c>
      <c r="B1677" s="4" t="s">
        <v>3934</v>
      </c>
      <c r="C1677" s="4">
        <v>9803175580</v>
      </c>
      <c r="D1677" s="4" t="s">
        <v>51</v>
      </c>
      <c r="E1677" s="4" t="s">
        <v>41</v>
      </c>
      <c r="F1677" s="4" t="s">
        <v>151</v>
      </c>
      <c r="G1677" s="4" t="s">
        <v>1677</v>
      </c>
      <c r="H1677" s="4" t="s">
        <v>3780</v>
      </c>
      <c r="I1677" s="2" t="str">
        <f t="shared" si="130"/>
        <v>May</v>
      </c>
      <c r="J1677" s="2">
        <f t="shared" si="131"/>
        <v>5</v>
      </c>
      <c r="K1677" s="2">
        <f t="shared" si="132"/>
        <v>2025</v>
      </c>
      <c r="L1677" s="2">
        <f t="shared" si="133"/>
        <v>2</v>
      </c>
      <c r="M1677" s="4">
        <v>8</v>
      </c>
      <c r="N1677" s="4" t="s">
        <v>3935</v>
      </c>
      <c r="O1677" s="4" t="s">
        <v>62</v>
      </c>
      <c r="P1677" s="5">
        <v>1373060</v>
      </c>
      <c r="Q1677" s="4"/>
      <c r="R1677" s="4"/>
      <c r="S1677" s="4" t="s">
        <v>5573</v>
      </c>
      <c r="T1677" s="4">
        <v>32.799999999999997</v>
      </c>
      <c r="U1677" s="4" t="s">
        <v>63</v>
      </c>
      <c r="V1677" s="4" t="s">
        <v>559</v>
      </c>
      <c r="W1677" s="67" t="str">
        <f t="shared" si="134"/>
        <v>-</v>
      </c>
    </row>
    <row r="1678" spans="1:23" x14ac:dyDescent="0.3">
      <c r="A1678" s="8" t="s">
        <v>3936</v>
      </c>
      <c r="B1678" s="8" t="s">
        <v>3937</v>
      </c>
      <c r="C1678" s="8">
        <v>9556324251</v>
      </c>
      <c r="D1678" s="8" t="s">
        <v>59</v>
      </c>
      <c r="E1678" s="8" t="s">
        <v>41</v>
      </c>
      <c r="F1678" s="8" t="s">
        <v>92</v>
      </c>
      <c r="G1678" s="8" t="s">
        <v>616</v>
      </c>
      <c r="H1678" s="8" t="s">
        <v>3613</v>
      </c>
      <c r="I1678" s="2" t="str">
        <f t="shared" si="130"/>
        <v>May</v>
      </c>
      <c r="J1678" s="2">
        <f t="shared" si="131"/>
        <v>5</v>
      </c>
      <c r="K1678" s="2">
        <f t="shared" si="132"/>
        <v>2025</v>
      </c>
      <c r="L1678" s="2">
        <f t="shared" si="133"/>
        <v>2</v>
      </c>
      <c r="M1678" s="8">
        <v>9</v>
      </c>
      <c r="N1678" s="8" t="s">
        <v>3803</v>
      </c>
      <c r="O1678" s="8" t="s">
        <v>97</v>
      </c>
      <c r="P1678" s="9">
        <v>382016</v>
      </c>
      <c r="Q1678" s="9">
        <v>368063</v>
      </c>
      <c r="R1678" s="8" t="s">
        <v>3838</v>
      </c>
      <c r="S1678" s="8" t="s">
        <v>5573</v>
      </c>
      <c r="T1678" s="8">
        <v>10.6</v>
      </c>
      <c r="U1678" s="8" t="s">
        <v>63</v>
      </c>
      <c r="V1678" s="8" t="s">
        <v>341</v>
      </c>
      <c r="W1678" s="67" t="str">
        <f t="shared" si="134"/>
        <v>Customer</v>
      </c>
    </row>
    <row r="1679" spans="1:23" x14ac:dyDescent="0.3">
      <c r="A1679" s="4" t="s">
        <v>3938</v>
      </c>
      <c r="B1679" s="4" t="s">
        <v>3200</v>
      </c>
      <c r="C1679" s="4">
        <v>9187940157</v>
      </c>
      <c r="D1679" s="4" t="s">
        <v>20</v>
      </c>
      <c r="E1679" s="4" t="s">
        <v>41</v>
      </c>
      <c r="F1679" s="4" t="s">
        <v>151</v>
      </c>
      <c r="G1679" s="4" t="s">
        <v>1621</v>
      </c>
      <c r="H1679" s="4" t="s">
        <v>3613</v>
      </c>
      <c r="I1679" s="2" t="str">
        <f t="shared" si="130"/>
        <v>May</v>
      </c>
      <c r="J1679" s="2">
        <f t="shared" si="131"/>
        <v>5</v>
      </c>
      <c r="K1679" s="2">
        <f t="shared" si="132"/>
        <v>2025</v>
      </c>
      <c r="L1679" s="2">
        <f t="shared" si="133"/>
        <v>2</v>
      </c>
      <c r="M1679" s="4">
        <v>11</v>
      </c>
      <c r="N1679" s="4" t="s">
        <v>3913</v>
      </c>
      <c r="O1679" s="4" t="s">
        <v>45</v>
      </c>
      <c r="P1679" s="5">
        <v>563715</v>
      </c>
      <c r="Q1679" s="4"/>
      <c r="R1679" s="4"/>
      <c r="S1679" s="4" t="s">
        <v>5573</v>
      </c>
      <c r="T1679" s="4">
        <v>10.199999999999999</v>
      </c>
      <c r="U1679" s="4" t="s">
        <v>29</v>
      </c>
      <c r="V1679" s="4" t="s">
        <v>442</v>
      </c>
      <c r="W1679" s="67" t="str">
        <f t="shared" si="134"/>
        <v>-</v>
      </c>
    </row>
    <row r="1680" spans="1:23" x14ac:dyDescent="0.3">
      <c r="A1680" s="2" t="s">
        <v>3939</v>
      </c>
      <c r="B1680" s="2" t="s">
        <v>3940</v>
      </c>
      <c r="C1680" s="2">
        <v>9549685986</v>
      </c>
      <c r="D1680" s="2" t="s">
        <v>108</v>
      </c>
      <c r="E1680" s="2" t="s">
        <v>648</v>
      </c>
      <c r="F1680" s="2" t="s">
        <v>899</v>
      </c>
      <c r="G1680" s="2" t="s">
        <v>52</v>
      </c>
      <c r="H1680" s="2" t="s">
        <v>3613</v>
      </c>
      <c r="I1680" s="2" t="str">
        <f t="shared" si="130"/>
        <v>May</v>
      </c>
      <c r="J1680" s="2">
        <f t="shared" si="131"/>
        <v>5</v>
      </c>
      <c r="K1680" s="2">
        <f t="shared" si="132"/>
        <v>2025</v>
      </c>
      <c r="L1680" s="2">
        <f t="shared" si="133"/>
        <v>2</v>
      </c>
      <c r="M1680" s="2">
        <v>5</v>
      </c>
      <c r="N1680" s="2" t="s">
        <v>3941</v>
      </c>
      <c r="O1680" s="2" t="s">
        <v>62</v>
      </c>
      <c r="P1680" s="3">
        <v>277307</v>
      </c>
      <c r="Q1680" s="2"/>
      <c r="R1680" s="2"/>
      <c r="S1680" s="2" t="s">
        <v>5574</v>
      </c>
      <c r="T1680" s="2">
        <v>18.399999999999999</v>
      </c>
      <c r="U1680" s="2" t="s">
        <v>29</v>
      </c>
      <c r="V1680" s="2" t="s">
        <v>83</v>
      </c>
      <c r="W1680" s="67" t="str">
        <f t="shared" si="134"/>
        <v>-</v>
      </c>
    </row>
    <row r="1681" spans="1:23" x14ac:dyDescent="0.3">
      <c r="A1681" s="4" t="s">
        <v>3942</v>
      </c>
      <c r="B1681" s="4" t="s">
        <v>3943</v>
      </c>
      <c r="C1681" s="4">
        <v>9167381273</v>
      </c>
      <c r="D1681" s="4" t="s">
        <v>59</v>
      </c>
      <c r="E1681" s="4" t="s">
        <v>641</v>
      </c>
      <c r="F1681" s="4" t="s">
        <v>727</v>
      </c>
      <c r="G1681" s="4" t="s">
        <v>643</v>
      </c>
      <c r="H1681" s="4" t="s">
        <v>3613</v>
      </c>
      <c r="I1681" s="2" t="str">
        <f t="shared" si="130"/>
        <v>May</v>
      </c>
      <c r="J1681" s="2">
        <f t="shared" si="131"/>
        <v>5</v>
      </c>
      <c r="K1681" s="2">
        <f t="shared" si="132"/>
        <v>2025</v>
      </c>
      <c r="L1681" s="2">
        <f t="shared" si="133"/>
        <v>2</v>
      </c>
      <c r="M1681" s="4">
        <v>7</v>
      </c>
      <c r="N1681" s="4" t="s">
        <v>3944</v>
      </c>
      <c r="O1681" s="4" t="s">
        <v>27</v>
      </c>
      <c r="P1681" s="5">
        <v>1167494</v>
      </c>
      <c r="Q1681" s="4"/>
      <c r="R1681" s="4"/>
      <c r="S1681" s="4" t="s">
        <v>5819</v>
      </c>
      <c r="T1681" s="4">
        <v>28.3</v>
      </c>
      <c r="U1681" s="4" t="s">
        <v>29</v>
      </c>
      <c r="V1681" s="4" t="s">
        <v>157</v>
      </c>
      <c r="W1681" s="67" t="str">
        <f t="shared" si="134"/>
        <v>-</v>
      </c>
    </row>
    <row r="1682" spans="1:23" x14ac:dyDescent="0.3">
      <c r="A1682" s="2" t="s">
        <v>3945</v>
      </c>
      <c r="B1682" s="2" t="s">
        <v>3946</v>
      </c>
      <c r="C1682" s="2">
        <v>9746021462</v>
      </c>
      <c r="D1682" s="2" t="s">
        <v>108</v>
      </c>
      <c r="E1682" s="2" t="s">
        <v>1632</v>
      </c>
      <c r="F1682" s="2" t="s">
        <v>1633</v>
      </c>
      <c r="G1682" s="2" t="s">
        <v>643</v>
      </c>
      <c r="H1682" s="2" t="s">
        <v>3678</v>
      </c>
      <c r="I1682" s="2" t="str">
        <f t="shared" si="130"/>
        <v>May</v>
      </c>
      <c r="J1682" s="2">
        <f t="shared" si="131"/>
        <v>5</v>
      </c>
      <c r="K1682" s="2">
        <f t="shared" si="132"/>
        <v>2025</v>
      </c>
      <c r="L1682" s="2">
        <f t="shared" si="133"/>
        <v>2</v>
      </c>
      <c r="M1682" s="2">
        <v>6</v>
      </c>
      <c r="N1682" s="2" t="s">
        <v>3908</v>
      </c>
      <c r="O1682" s="2" t="s">
        <v>27</v>
      </c>
      <c r="P1682" s="3">
        <v>1417288</v>
      </c>
      <c r="Q1682" s="2"/>
      <c r="R1682" s="2"/>
      <c r="S1682" s="2" t="s">
        <v>5819</v>
      </c>
      <c r="T1682" s="2">
        <v>12.5</v>
      </c>
      <c r="U1682" s="2" t="s">
        <v>29</v>
      </c>
      <c r="V1682" s="2" t="s">
        <v>202</v>
      </c>
      <c r="W1682" s="67" t="str">
        <f t="shared" si="134"/>
        <v>-</v>
      </c>
    </row>
    <row r="1683" spans="1:23" x14ac:dyDescent="0.3">
      <c r="A1683" s="6" t="s">
        <v>3947</v>
      </c>
      <c r="B1683" s="6" t="s">
        <v>3948</v>
      </c>
      <c r="C1683" s="6">
        <v>9555226448</v>
      </c>
      <c r="D1683" s="6" t="s">
        <v>121</v>
      </c>
      <c r="E1683" s="6" t="s">
        <v>67</v>
      </c>
      <c r="F1683" s="6" t="s">
        <v>68</v>
      </c>
      <c r="G1683" s="6" t="s">
        <v>23</v>
      </c>
      <c r="H1683" s="6" t="s">
        <v>3678</v>
      </c>
      <c r="I1683" s="2" t="str">
        <f t="shared" si="130"/>
        <v>May</v>
      </c>
      <c r="J1683" s="2">
        <f t="shared" si="131"/>
        <v>5</v>
      </c>
      <c r="K1683" s="2">
        <f t="shared" si="132"/>
        <v>2025</v>
      </c>
      <c r="L1683" s="2">
        <f t="shared" si="133"/>
        <v>2</v>
      </c>
      <c r="M1683" s="6">
        <v>5</v>
      </c>
      <c r="N1683" s="6" t="s">
        <v>3757</v>
      </c>
      <c r="O1683" s="6" t="s">
        <v>97</v>
      </c>
      <c r="P1683" s="7">
        <v>822976</v>
      </c>
      <c r="Q1683" s="7">
        <v>840258</v>
      </c>
      <c r="R1683" s="6" t="s">
        <v>3949</v>
      </c>
      <c r="S1683" s="6" t="s">
        <v>5574</v>
      </c>
      <c r="T1683" s="6">
        <v>13</v>
      </c>
      <c r="U1683" s="6" t="s">
        <v>63</v>
      </c>
      <c r="V1683" s="6" t="s">
        <v>113</v>
      </c>
      <c r="W1683" s="67" t="str">
        <f t="shared" si="134"/>
        <v>Customer</v>
      </c>
    </row>
    <row r="1684" spans="1:23" x14ac:dyDescent="0.3">
      <c r="A1684" s="2" t="s">
        <v>3950</v>
      </c>
      <c r="B1684" s="2" t="s">
        <v>3951</v>
      </c>
      <c r="C1684" s="2">
        <v>9800673406</v>
      </c>
      <c r="D1684" s="2" t="s">
        <v>20</v>
      </c>
      <c r="E1684" s="2" t="s">
        <v>21</v>
      </c>
      <c r="F1684" s="2" t="s">
        <v>230</v>
      </c>
      <c r="G1684" s="2" t="s">
        <v>616</v>
      </c>
      <c r="H1684" s="2" t="s">
        <v>3678</v>
      </c>
      <c r="I1684" s="2" t="str">
        <f t="shared" si="130"/>
        <v>May</v>
      </c>
      <c r="J1684" s="2">
        <f t="shared" si="131"/>
        <v>5</v>
      </c>
      <c r="K1684" s="2">
        <f t="shared" si="132"/>
        <v>2025</v>
      </c>
      <c r="L1684" s="2">
        <f t="shared" si="133"/>
        <v>2</v>
      </c>
      <c r="M1684" s="2">
        <v>7</v>
      </c>
      <c r="N1684" s="2" t="s">
        <v>3952</v>
      </c>
      <c r="O1684" s="2" t="s">
        <v>45</v>
      </c>
      <c r="P1684" s="3">
        <v>385216</v>
      </c>
      <c r="Q1684" s="2"/>
      <c r="R1684" s="2"/>
      <c r="S1684" s="2" t="s">
        <v>5574</v>
      </c>
      <c r="T1684" s="2">
        <v>6.9</v>
      </c>
      <c r="U1684" s="2" t="s">
        <v>63</v>
      </c>
      <c r="V1684" s="2" t="s">
        <v>678</v>
      </c>
      <c r="W1684" s="67" t="str">
        <f t="shared" si="134"/>
        <v>-</v>
      </c>
    </row>
    <row r="1685" spans="1:23" x14ac:dyDescent="0.3">
      <c r="A1685" s="6" t="s">
        <v>3953</v>
      </c>
      <c r="B1685" s="6" t="s">
        <v>1519</v>
      </c>
      <c r="C1685" s="6">
        <v>9942774345</v>
      </c>
      <c r="D1685" s="6" t="s">
        <v>20</v>
      </c>
      <c r="E1685" s="6" t="s">
        <v>648</v>
      </c>
      <c r="F1685" s="6" t="s">
        <v>899</v>
      </c>
      <c r="G1685" s="6" t="s">
        <v>23</v>
      </c>
      <c r="H1685" s="6" t="s">
        <v>3640</v>
      </c>
      <c r="I1685" s="2" t="str">
        <f t="shared" si="130"/>
        <v>Jun</v>
      </c>
      <c r="J1685" s="2">
        <f t="shared" si="131"/>
        <v>6</v>
      </c>
      <c r="K1685" s="2">
        <f t="shared" si="132"/>
        <v>2025</v>
      </c>
      <c r="L1685" s="2">
        <f t="shared" si="133"/>
        <v>2</v>
      </c>
      <c r="M1685" s="6">
        <v>5</v>
      </c>
      <c r="N1685" s="6" t="s">
        <v>3954</v>
      </c>
      <c r="O1685" s="6" t="s">
        <v>97</v>
      </c>
      <c r="P1685" s="7">
        <v>719940</v>
      </c>
      <c r="Q1685" s="7">
        <v>684833</v>
      </c>
      <c r="R1685" s="6" t="s">
        <v>3915</v>
      </c>
      <c r="S1685" s="6" t="s">
        <v>5574</v>
      </c>
      <c r="T1685" s="6">
        <v>6.5</v>
      </c>
      <c r="U1685" s="6" t="s">
        <v>63</v>
      </c>
      <c r="V1685" s="6" t="s">
        <v>286</v>
      </c>
      <c r="W1685" s="67" t="str">
        <f t="shared" si="134"/>
        <v>Customer</v>
      </c>
    </row>
    <row r="1686" spans="1:23" x14ac:dyDescent="0.3">
      <c r="A1686" s="2" t="s">
        <v>3955</v>
      </c>
      <c r="B1686" s="2" t="s">
        <v>2905</v>
      </c>
      <c r="C1686" s="2">
        <v>9873002691</v>
      </c>
      <c r="D1686" s="2" t="s">
        <v>20</v>
      </c>
      <c r="E1686" s="2" t="s">
        <v>648</v>
      </c>
      <c r="F1686" s="2" t="s">
        <v>822</v>
      </c>
      <c r="G1686" s="2" t="s">
        <v>1609</v>
      </c>
      <c r="H1686" s="2" t="s">
        <v>3751</v>
      </c>
      <c r="I1686" s="2" t="str">
        <f t="shared" si="130"/>
        <v>Jun</v>
      </c>
      <c r="J1686" s="2">
        <f t="shared" si="131"/>
        <v>6</v>
      </c>
      <c r="K1686" s="2">
        <f t="shared" si="132"/>
        <v>2025</v>
      </c>
      <c r="L1686" s="2">
        <f t="shared" si="133"/>
        <v>2</v>
      </c>
      <c r="M1686" s="2">
        <v>10</v>
      </c>
      <c r="N1686" s="2" t="s">
        <v>3956</v>
      </c>
      <c r="O1686" s="2" t="s">
        <v>27</v>
      </c>
      <c r="P1686" s="3">
        <v>521266</v>
      </c>
      <c r="Q1686" s="2"/>
      <c r="R1686" s="2"/>
      <c r="S1686" s="2" t="s">
        <v>5574</v>
      </c>
      <c r="T1686" s="2">
        <v>21.6</v>
      </c>
      <c r="U1686" s="2" t="s">
        <v>29</v>
      </c>
      <c r="V1686" s="2" t="s">
        <v>238</v>
      </c>
      <c r="W1686" s="67" t="str">
        <f t="shared" si="134"/>
        <v>-</v>
      </c>
    </row>
    <row r="1687" spans="1:23" x14ac:dyDescent="0.3">
      <c r="A1687" s="6" t="s">
        <v>3957</v>
      </c>
      <c r="B1687" s="6" t="s">
        <v>3958</v>
      </c>
      <c r="C1687" s="6">
        <v>9609046922</v>
      </c>
      <c r="D1687" s="6" t="s">
        <v>20</v>
      </c>
      <c r="E1687" s="6" t="s">
        <v>1632</v>
      </c>
      <c r="F1687" s="6" t="s">
        <v>1694</v>
      </c>
      <c r="G1687" s="6" t="s">
        <v>87</v>
      </c>
      <c r="H1687" s="6" t="s">
        <v>3751</v>
      </c>
      <c r="I1687" s="2" t="str">
        <f t="shared" si="130"/>
        <v>Jun</v>
      </c>
      <c r="J1687" s="2">
        <f t="shared" si="131"/>
        <v>6</v>
      </c>
      <c r="K1687" s="2">
        <f t="shared" si="132"/>
        <v>2025</v>
      </c>
      <c r="L1687" s="2">
        <f t="shared" si="133"/>
        <v>2</v>
      </c>
      <c r="M1687" s="6">
        <v>2</v>
      </c>
      <c r="N1687" s="6" t="s">
        <v>3856</v>
      </c>
      <c r="O1687" s="6" t="s">
        <v>97</v>
      </c>
      <c r="P1687" s="7">
        <v>299965</v>
      </c>
      <c r="Q1687" s="7">
        <v>277628</v>
      </c>
      <c r="R1687" s="6" t="s">
        <v>3956</v>
      </c>
      <c r="S1687" s="6" t="s">
        <v>5819</v>
      </c>
      <c r="T1687" s="6">
        <v>27.4</v>
      </c>
      <c r="U1687" s="6" t="s">
        <v>47</v>
      </c>
      <c r="V1687" s="6" t="s">
        <v>465</v>
      </c>
      <c r="W1687" s="67" t="str">
        <f t="shared" si="134"/>
        <v>Customer</v>
      </c>
    </row>
    <row r="1688" spans="1:23" x14ac:dyDescent="0.3">
      <c r="A1688" s="2" t="s">
        <v>3959</v>
      </c>
      <c r="B1688" s="2" t="s">
        <v>3960</v>
      </c>
      <c r="C1688" s="2">
        <v>9335719022</v>
      </c>
      <c r="D1688" s="2" t="s">
        <v>59</v>
      </c>
      <c r="E1688" s="2" t="s">
        <v>641</v>
      </c>
      <c r="F1688" s="2" t="s">
        <v>681</v>
      </c>
      <c r="G1688" s="2" t="s">
        <v>1735</v>
      </c>
      <c r="H1688" s="2" t="s">
        <v>3751</v>
      </c>
      <c r="I1688" s="2" t="str">
        <f t="shared" si="130"/>
        <v>Jun</v>
      </c>
      <c r="J1688" s="2">
        <f t="shared" si="131"/>
        <v>6</v>
      </c>
      <c r="K1688" s="2">
        <f t="shared" si="132"/>
        <v>2025</v>
      </c>
      <c r="L1688" s="2">
        <f t="shared" si="133"/>
        <v>2</v>
      </c>
      <c r="M1688" s="2">
        <v>9</v>
      </c>
      <c r="N1688" s="2" t="s">
        <v>3902</v>
      </c>
      <c r="O1688" s="2" t="s">
        <v>45</v>
      </c>
      <c r="P1688" s="3">
        <v>1521027</v>
      </c>
      <c r="Q1688" s="2"/>
      <c r="R1688" s="2"/>
      <c r="S1688" s="2" t="s">
        <v>5573</v>
      </c>
      <c r="T1688" s="2">
        <v>25.7</v>
      </c>
      <c r="U1688" s="2" t="s">
        <v>29</v>
      </c>
      <c r="V1688" s="2" t="s">
        <v>187</v>
      </c>
      <c r="W1688" s="67" t="str">
        <f t="shared" si="134"/>
        <v>-</v>
      </c>
    </row>
    <row r="1689" spans="1:23" x14ac:dyDescent="0.3">
      <c r="A1689" s="4" t="s">
        <v>3961</v>
      </c>
      <c r="B1689" s="4" t="s">
        <v>3594</v>
      </c>
      <c r="C1689" s="4">
        <v>9735144219</v>
      </c>
      <c r="D1689" s="4" t="s">
        <v>51</v>
      </c>
      <c r="E1689" s="4" t="s">
        <v>67</v>
      </c>
      <c r="F1689" s="4" t="s">
        <v>68</v>
      </c>
      <c r="G1689" s="4" t="s">
        <v>1677</v>
      </c>
      <c r="H1689" s="4" t="s">
        <v>3751</v>
      </c>
      <c r="I1689" s="2" t="str">
        <f t="shared" si="130"/>
        <v>Jun</v>
      </c>
      <c r="J1689" s="2">
        <f t="shared" si="131"/>
        <v>6</v>
      </c>
      <c r="K1689" s="2">
        <f t="shared" si="132"/>
        <v>2025</v>
      </c>
      <c r="L1689" s="2">
        <f t="shared" si="133"/>
        <v>2</v>
      </c>
      <c r="M1689" s="4">
        <v>4</v>
      </c>
      <c r="N1689" s="4" t="s">
        <v>3962</v>
      </c>
      <c r="O1689" s="4" t="s">
        <v>27</v>
      </c>
      <c r="P1689" s="5">
        <v>1283704</v>
      </c>
      <c r="Q1689" s="4"/>
      <c r="R1689" s="4"/>
      <c r="S1689" s="4" t="s">
        <v>5573</v>
      </c>
      <c r="T1689" s="4">
        <v>6.1</v>
      </c>
      <c r="U1689" s="4" t="s">
        <v>29</v>
      </c>
      <c r="V1689" s="4" t="s">
        <v>118</v>
      </c>
      <c r="W1689" s="67" t="str">
        <f t="shared" si="134"/>
        <v>-</v>
      </c>
    </row>
    <row r="1690" spans="1:23" x14ac:dyDescent="0.3">
      <c r="A1690" s="2" t="s">
        <v>3963</v>
      </c>
      <c r="B1690" s="2" t="s">
        <v>3964</v>
      </c>
      <c r="C1690" s="2">
        <v>9707544198</v>
      </c>
      <c r="D1690" s="2" t="s">
        <v>20</v>
      </c>
      <c r="E1690" s="2" t="s">
        <v>648</v>
      </c>
      <c r="F1690" s="2" t="s">
        <v>656</v>
      </c>
      <c r="G1690" s="2" t="s">
        <v>35</v>
      </c>
      <c r="H1690" s="2" t="s">
        <v>3700</v>
      </c>
      <c r="I1690" s="2" t="str">
        <f t="shared" si="130"/>
        <v>Jun</v>
      </c>
      <c r="J1690" s="2">
        <f t="shared" si="131"/>
        <v>6</v>
      </c>
      <c r="K1690" s="2">
        <f t="shared" si="132"/>
        <v>2025</v>
      </c>
      <c r="L1690" s="2">
        <f t="shared" si="133"/>
        <v>2</v>
      </c>
      <c r="M1690" s="2">
        <v>1</v>
      </c>
      <c r="N1690" s="2" t="s">
        <v>3803</v>
      </c>
      <c r="O1690" s="2" t="s">
        <v>27</v>
      </c>
      <c r="P1690" s="3">
        <v>111304</v>
      </c>
      <c r="Q1690" s="2"/>
      <c r="R1690" s="2"/>
      <c r="S1690" s="2" t="s">
        <v>5819</v>
      </c>
      <c r="T1690" s="2">
        <v>4.5999999999999996</v>
      </c>
      <c r="U1690" s="2" t="s">
        <v>29</v>
      </c>
      <c r="V1690" s="2" t="s">
        <v>238</v>
      </c>
      <c r="W1690" s="67" t="str">
        <f t="shared" si="134"/>
        <v>-</v>
      </c>
    </row>
    <row r="1691" spans="1:23" x14ac:dyDescent="0.3">
      <c r="A1691" s="4" t="s">
        <v>3965</v>
      </c>
      <c r="B1691" s="4" t="s">
        <v>3966</v>
      </c>
      <c r="C1691" s="4">
        <v>9819642239</v>
      </c>
      <c r="D1691" s="4" t="s">
        <v>20</v>
      </c>
      <c r="E1691" s="4" t="s">
        <v>33</v>
      </c>
      <c r="F1691" s="4" t="s">
        <v>201</v>
      </c>
      <c r="G1691" s="4" t="s">
        <v>643</v>
      </c>
      <c r="H1691" s="4" t="s">
        <v>3700</v>
      </c>
      <c r="I1691" s="2" t="str">
        <f t="shared" si="130"/>
        <v>Jun</v>
      </c>
      <c r="J1691" s="2">
        <f t="shared" si="131"/>
        <v>6</v>
      </c>
      <c r="K1691" s="2">
        <f t="shared" si="132"/>
        <v>2025</v>
      </c>
      <c r="L1691" s="2">
        <f t="shared" si="133"/>
        <v>2</v>
      </c>
      <c r="M1691" s="4">
        <v>12</v>
      </c>
      <c r="N1691" s="4" t="s">
        <v>3949</v>
      </c>
      <c r="O1691" s="4" t="s">
        <v>55</v>
      </c>
      <c r="P1691" s="5">
        <v>1318228</v>
      </c>
      <c r="Q1691" s="4"/>
      <c r="R1691" s="4"/>
      <c r="S1691" s="4" t="s">
        <v>5573</v>
      </c>
      <c r="T1691" s="4">
        <v>30.1</v>
      </c>
      <c r="U1691" s="4" t="s">
        <v>29</v>
      </c>
      <c r="V1691" s="4" t="s">
        <v>442</v>
      </c>
      <c r="W1691" s="67" t="str">
        <f t="shared" si="134"/>
        <v>-</v>
      </c>
    </row>
    <row r="1692" spans="1:23" x14ac:dyDescent="0.3">
      <c r="A1692" s="2" t="s">
        <v>3967</v>
      </c>
      <c r="B1692" s="2" t="s">
        <v>3923</v>
      </c>
      <c r="C1692" s="2">
        <v>9648341923</v>
      </c>
      <c r="D1692" s="2" t="s">
        <v>20</v>
      </c>
      <c r="E1692" s="2" t="s">
        <v>641</v>
      </c>
      <c r="F1692" s="2" t="s">
        <v>681</v>
      </c>
      <c r="G1692" s="2" t="s">
        <v>1621</v>
      </c>
      <c r="H1692" s="2" t="s">
        <v>3802</v>
      </c>
      <c r="I1692" s="2" t="str">
        <f t="shared" si="130"/>
        <v>Jun</v>
      </c>
      <c r="J1692" s="2">
        <f t="shared" si="131"/>
        <v>6</v>
      </c>
      <c r="K1692" s="2">
        <f t="shared" si="132"/>
        <v>2025</v>
      </c>
      <c r="L1692" s="2">
        <f t="shared" si="133"/>
        <v>2</v>
      </c>
      <c r="M1692" s="2">
        <v>2</v>
      </c>
      <c r="N1692" s="2" t="s">
        <v>3837</v>
      </c>
      <c r="O1692" s="2" t="s">
        <v>27</v>
      </c>
      <c r="P1692" s="3">
        <v>263880</v>
      </c>
      <c r="Q1692" s="2"/>
      <c r="R1692" s="2"/>
      <c r="S1692" s="2" t="s">
        <v>5819</v>
      </c>
      <c r="T1692" s="2">
        <v>6.4</v>
      </c>
      <c r="U1692" s="2" t="s">
        <v>29</v>
      </c>
      <c r="V1692" s="2"/>
      <c r="W1692" s="67" t="str">
        <f t="shared" si="134"/>
        <v>-</v>
      </c>
    </row>
    <row r="1693" spans="1:23" x14ac:dyDescent="0.3">
      <c r="A1693" s="4" t="s">
        <v>3968</v>
      </c>
      <c r="B1693" s="4" t="s">
        <v>1967</v>
      </c>
      <c r="C1693" s="4">
        <v>9398935205</v>
      </c>
      <c r="D1693" s="4" t="s">
        <v>121</v>
      </c>
      <c r="E1693" s="4" t="s">
        <v>41</v>
      </c>
      <c r="F1693" s="4" t="s">
        <v>92</v>
      </c>
      <c r="G1693" s="4" t="s">
        <v>52</v>
      </c>
      <c r="H1693" s="4" t="s">
        <v>3898</v>
      </c>
      <c r="I1693" s="2" t="str">
        <f t="shared" si="130"/>
        <v>Jun</v>
      </c>
      <c r="J1693" s="2">
        <f t="shared" si="131"/>
        <v>6</v>
      </c>
      <c r="K1693" s="2">
        <f t="shared" si="132"/>
        <v>2025</v>
      </c>
      <c r="L1693" s="2">
        <f t="shared" si="133"/>
        <v>2</v>
      </c>
      <c r="M1693" s="4">
        <v>7</v>
      </c>
      <c r="N1693" s="4" t="s">
        <v>3952</v>
      </c>
      <c r="O1693" s="4" t="s">
        <v>45</v>
      </c>
      <c r="P1693" s="4"/>
      <c r="Q1693" s="4"/>
      <c r="R1693" s="4"/>
      <c r="S1693" s="4" t="s">
        <v>5573</v>
      </c>
      <c r="T1693" s="4">
        <v>28.2</v>
      </c>
      <c r="U1693" s="4" t="s">
        <v>29</v>
      </c>
      <c r="V1693" s="4" t="s">
        <v>56</v>
      </c>
      <c r="W1693" s="67" t="str">
        <f t="shared" si="134"/>
        <v>-</v>
      </c>
    </row>
    <row r="1694" spans="1:23" x14ac:dyDescent="0.3">
      <c r="A1694" s="2" t="s">
        <v>3969</v>
      </c>
      <c r="B1694" s="2" t="s">
        <v>3970</v>
      </c>
      <c r="C1694" s="2">
        <v>9389709060</v>
      </c>
      <c r="D1694" s="2" t="s">
        <v>20</v>
      </c>
      <c r="E1694" s="2" t="s">
        <v>1632</v>
      </c>
      <c r="F1694" s="2" t="s">
        <v>1633</v>
      </c>
      <c r="G1694" s="2" t="s">
        <v>52</v>
      </c>
      <c r="H1694" s="2" t="s">
        <v>3892</v>
      </c>
      <c r="I1694" s="2" t="str">
        <f t="shared" si="130"/>
        <v>Jun</v>
      </c>
      <c r="J1694" s="2">
        <f t="shared" si="131"/>
        <v>6</v>
      </c>
      <c r="K1694" s="2">
        <f t="shared" si="132"/>
        <v>2025</v>
      </c>
      <c r="L1694" s="2">
        <f t="shared" si="133"/>
        <v>2</v>
      </c>
      <c r="M1694" s="2">
        <v>10</v>
      </c>
      <c r="N1694" s="2" t="s">
        <v>3838</v>
      </c>
      <c r="O1694" s="2" t="s">
        <v>27</v>
      </c>
      <c r="P1694" s="3">
        <v>174691</v>
      </c>
      <c r="Q1694" s="2"/>
      <c r="R1694" s="2"/>
      <c r="S1694" s="2" t="s">
        <v>5819</v>
      </c>
      <c r="T1694" s="2">
        <v>12.5</v>
      </c>
      <c r="U1694" s="2" t="s">
        <v>29</v>
      </c>
      <c r="V1694" s="2" t="s">
        <v>163</v>
      </c>
      <c r="W1694" s="67" t="str">
        <f t="shared" si="134"/>
        <v>-</v>
      </c>
    </row>
    <row r="1695" spans="1:23" x14ac:dyDescent="0.3">
      <c r="A1695" s="6" t="s">
        <v>3971</v>
      </c>
      <c r="B1695" s="6" t="s">
        <v>2408</v>
      </c>
      <c r="C1695" s="6">
        <v>9853595916</v>
      </c>
      <c r="D1695" s="6" t="s">
        <v>59</v>
      </c>
      <c r="E1695" s="6" t="s">
        <v>109</v>
      </c>
      <c r="F1695" s="6" t="s">
        <v>217</v>
      </c>
      <c r="G1695" s="6" t="s">
        <v>643</v>
      </c>
      <c r="H1695" s="6" t="s">
        <v>3892</v>
      </c>
      <c r="I1695" s="2" t="str">
        <f t="shared" si="130"/>
        <v>Jun</v>
      </c>
      <c r="J1695" s="2">
        <f t="shared" si="131"/>
        <v>6</v>
      </c>
      <c r="K1695" s="2">
        <f t="shared" si="132"/>
        <v>2025</v>
      </c>
      <c r="L1695" s="2">
        <f t="shared" si="133"/>
        <v>2</v>
      </c>
      <c r="M1695" s="6">
        <v>4</v>
      </c>
      <c r="N1695" s="6" t="s">
        <v>3770</v>
      </c>
      <c r="O1695" s="6" t="s">
        <v>97</v>
      </c>
      <c r="P1695" s="7">
        <v>832581</v>
      </c>
      <c r="Q1695" s="7">
        <v>755191</v>
      </c>
      <c r="R1695" s="6" t="s">
        <v>3972</v>
      </c>
      <c r="S1695" s="6" t="s">
        <v>5573</v>
      </c>
      <c r="T1695" s="6">
        <v>1.6</v>
      </c>
      <c r="U1695" s="6" t="s">
        <v>47</v>
      </c>
      <c r="V1695" s="6" t="s">
        <v>170</v>
      </c>
      <c r="W1695" s="67" t="str">
        <f t="shared" si="134"/>
        <v>Customer</v>
      </c>
    </row>
    <row r="1696" spans="1:23" x14ac:dyDescent="0.3">
      <c r="A1696" s="2" t="s">
        <v>3973</v>
      </c>
      <c r="B1696" s="2" t="s">
        <v>2766</v>
      </c>
      <c r="C1696" s="2">
        <v>9786404877</v>
      </c>
      <c r="D1696" s="2" t="s">
        <v>20</v>
      </c>
      <c r="E1696" s="2" t="s">
        <v>648</v>
      </c>
      <c r="F1696" s="2" t="s">
        <v>649</v>
      </c>
      <c r="G1696" s="2" t="s">
        <v>23</v>
      </c>
      <c r="H1696" s="2" t="s">
        <v>3892</v>
      </c>
      <c r="I1696" s="2" t="str">
        <f t="shared" si="130"/>
        <v>Jun</v>
      </c>
      <c r="J1696" s="2">
        <f t="shared" si="131"/>
        <v>6</v>
      </c>
      <c r="K1696" s="2">
        <f t="shared" si="132"/>
        <v>2025</v>
      </c>
      <c r="L1696" s="2">
        <f t="shared" si="133"/>
        <v>2</v>
      </c>
      <c r="M1696" s="2">
        <v>1</v>
      </c>
      <c r="N1696" s="2" t="s">
        <v>3837</v>
      </c>
      <c r="O1696" s="2" t="s">
        <v>27</v>
      </c>
      <c r="P1696" s="3">
        <v>632605</v>
      </c>
      <c r="Q1696" s="2"/>
      <c r="R1696" s="2"/>
      <c r="S1696" s="2" t="s">
        <v>5574</v>
      </c>
      <c r="T1696" s="2">
        <v>24.2</v>
      </c>
      <c r="U1696" s="2" t="s">
        <v>29</v>
      </c>
      <c r="V1696" s="2" t="s">
        <v>202</v>
      </c>
      <c r="W1696" s="67" t="str">
        <f t="shared" si="134"/>
        <v>-</v>
      </c>
    </row>
    <row r="1697" spans="1:23" x14ac:dyDescent="0.3">
      <c r="A1697" s="6" t="s">
        <v>3974</v>
      </c>
      <c r="B1697" s="6" t="s">
        <v>3975</v>
      </c>
      <c r="C1697" s="6">
        <v>9825352106</v>
      </c>
      <c r="D1697" s="6" t="s">
        <v>59</v>
      </c>
      <c r="E1697" s="6" t="s">
        <v>1632</v>
      </c>
      <c r="F1697" s="6" t="s">
        <v>1682</v>
      </c>
      <c r="G1697" s="6" t="s">
        <v>643</v>
      </c>
      <c r="H1697" s="6" t="s">
        <v>3821</v>
      </c>
      <c r="I1697" s="2" t="str">
        <f t="shared" si="130"/>
        <v>Jun</v>
      </c>
      <c r="J1697" s="2">
        <f t="shared" si="131"/>
        <v>6</v>
      </c>
      <c r="K1697" s="2">
        <f t="shared" si="132"/>
        <v>2025</v>
      </c>
      <c r="L1697" s="2">
        <f t="shared" si="133"/>
        <v>2</v>
      </c>
      <c r="M1697" s="6">
        <v>5</v>
      </c>
      <c r="N1697" s="6" t="s">
        <v>3976</v>
      </c>
      <c r="O1697" s="6" t="s">
        <v>97</v>
      </c>
      <c r="P1697" s="7">
        <v>821085</v>
      </c>
      <c r="Q1697" s="7">
        <v>782202</v>
      </c>
      <c r="R1697" s="6" t="s">
        <v>3977</v>
      </c>
      <c r="S1697" s="6" t="s">
        <v>5574</v>
      </c>
      <c r="T1697" s="6">
        <v>8.6999999999999993</v>
      </c>
      <c r="U1697" s="6" t="s">
        <v>63</v>
      </c>
      <c r="V1697" s="6" t="s">
        <v>465</v>
      </c>
      <c r="W1697" s="67" t="str">
        <f t="shared" si="134"/>
        <v>Customer</v>
      </c>
    </row>
    <row r="1698" spans="1:23" x14ac:dyDescent="0.3">
      <c r="A1698" s="2" t="s">
        <v>3978</v>
      </c>
      <c r="B1698" s="2" t="s">
        <v>3979</v>
      </c>
      <c r="C1698" s="2">
        <v>9345966210</v>
      </c>
      <c r="D1698" s="2" t="s">
        <v>51</v>
      </c>
      <c r="E1698" s="2" t="s">
        <v>1632</v>
      </c>
      <c r="F1698" s="2" t="s">
        <v>1633</v>
      </c>
      <c r="G1698" s="2" t="s">
        <v>87</v>
      </c>
      <c r="H1698" s="2" t="s">
        <v>3821</v>
      </c>
      <c r="I1698" s="2" t="str">
        <f t="shared" si="130"/>
        <v>Jun</v>
      </c>
      <c r="J1698" s="2">
        <f t="shared" si="131"/>
        <v>6</v>
      </c>
      <c r="K1698" s="2">
        <f t="shared" si="132"/>
        <v>2025</v>
      </c>
      <c r="L1698" s="2">
        <f t="shared" si="133"/>
        <v>2</v>
      </c>
      <c r="M1698" s="2">
        <v>12</v>
      </c>
      <c r="N1698" s="2" t="s">
        <v>3980</v>
      </c>
      <c r="O1698" s="2" t="s">
        <v>45</v>
      </c>
      <c r="P1698" s="3">
        <v>85867</v>
      </c>
      <c r="Q1698" s="2"/>
      <c r="R1698" s="2"/>
      <c r="S1698" s="2" t="s">
        <v>5573</v>
      </c>
      <c r="T1698" s="2">
        <v>0.6</v>
      </c>
      <c r="U1698" s="2" t="s">
        <v>47</v>
      </c>
      <c r="V1698" s="2" t="s">
        <v>310</v>
      </c>
      <c r="W1698" s="67" t="str">
        <f t="shared" si="134"/>
        <v>-</v>
      </c>
    </row>
    <row r="1699" spans="1:23" x14ac:dyDescent="0.3">
      <c r="A1699" s="6" t="s">
        <v>3981</v>
      </c>
      <c r="B1699" s="6" t="s">
        <v>3982</v>
      </c>
      <c r="C1699" s="6">
        <v>9110540297</v>
      </c>
      <c r="D1699" s="6" t="s">
        <v>121</v>
      </c>
      <c r="E1699" s="6" t="s">
        <v>41</v>
      </c>
      <c r="F1699" s="6" t="s">
        <v>86</v>
      </c>
      <c r="G1699" s="6" t="s">
        <v>1623</v>
      </c>
      <c r="H1699" s="6" t="s">
        <v>3812</v>
      </c>
      <c r="I1699" s="2" t="str">
        <f t="shared" si="130"/>
        <v>Jun</v>
      </c>
      <c r="J1699" s="2">
        <f t="shared" si="131"/>
        <v>6</v>
      </c>
      <c r="K1699" s="2">
        <f t="shared" si="132"/>
        <v>2025</v>
      </c>
      <c r="L1699" s="2">
        <f t="shared" si="133"/>
        <v>2</v>
      </c>
      <c r="M1699" s="6">
        <v>10</v>
      </c>
      <c r="N1699" s="6" t="s">
        <v>3983</v>
      </c>
      <c r="O1699" s="6" t="s">
        <v>97</v>
      </c>
      <c r="P1699" s="7">
        <v>214362</v>
      </c>
      <c r="Q1699" s="7">
        <v>210324</v>
      </c>
      <c r="R1699" s="6" t="s">
        <v>3980</v>
      </c>
      <c r="S1699" s="6" t="s">
        <v>5819</v>
      </c>
      <c r="T1699" s="6">
        <v>11.5</v>
      </c>
      <c r="U1699" s="6" t="s">
        <v>63</v>
      </c>
      <c r="V1699" s="6" t="s">
        <v>907</v>
      </c>
      <c r="W1699" s="67" t="str">
        <f t="shared" si="134"/>
        <v>Customer</v>
      </c>
    </row>
    <row r="1700" spans="1:23" x14ac:dyDescent="0.3">
      <c r="A1700" s="2" t="s">
        <v>3984</v>
      </c>
      <c r="B1700" s="2" t="s">
        <v>3985</v>
      </c>
      <c r="C1700" s="2">
        <v>9402959443</v>
      </c>
      <c r="D1700" s="2" t="s">
        <v>20</v>
      </c>
      <c r="E1700" s="2" t="s">
        <v>1632</v>
      </c>
      <c r="F1700" s="2" t="s">
        <v>1659</v>
      </c>
      <c r="G1700" s="2" t="s">
        <v>69</v>
      </c>
      <c r="H1700" s="2" t="s">
        <v>3856</v>
      </c>
      <c r="I1700" s="2" t="str">
        <f t="shared" si="130"/>
        <v>Jun</v>
      </c>
      <c r="J1700" s="2">
        <f t="shared" si="131"/>
        <v>6</v>
      </c>
      <c r="K1700" s="2">
        <f t="shared" si="132"/>
        <v>2025</v>
      </c>
      <c r="L1700" s="2">
        <f t="shared" si="133"/>
        <v>2</v>
      </c>
      <c r="M1700" s="2">
        <v>7</v>
      </c>
      <c r="N1700" s="2" t="s">
        <v>3986</v>
      </c>
      <c r="O1700" s="2" t="s">
        <v>27</v>
      </c>
      <c r="P1700" s="3">
        <v>149403</v>
      </c>
      <c r="Q1700" s="2"/>
      <c r="R1700" s="2"/>
      <c r="S1700" s="2" t="s">
        <v>5573</v>
      </c>
      <c r="T1700" s="2">
        <v>20.100000000000001</v>
      </c>
      <c r="U1700" s="2" t="s">
        <v>29</v>
      </c>
      <c r="V1700" s="2" t="s">
        <v>153</v>
      </c>
      <c r="W1700" s="67" t="str">
        <f t="shared" si="134"/>
        <v>-</v>
      </c>
    </row>
    <row r="1701" spans="1:23" x14ac:dyDescent="0.3">
      <c r="A1701" s="4" t="s">
        <v>3987</v>
      </c>
      <c r="B1701" s="4" t="s">
        <v>1178</v>
      </c>
      <c r="C1701" s="4"/>
      <c r="D1701" s="4" t="s">
        <v>20</v>
      </c>
      <c r="E1701" s="4" t="s">
        <v>1632</v>
      </c>
      <c r="F1701" s="4" t="s">
        <v>1682</v>
      </c>
      <c r="G1701" s="4" t="s">
        <v>69</v>
      </c>
      <c r="H1701" s="4" t="s">
        <v>3857</v>
      </c>
      <c r="I1701" s="2" t="str">
        <f t="shared" si="130"/>
        <v>Jun</v>
      </c>
      <c r="J1701" s="2">
        <f t="shared" si="131"/>
        <v>6</v>
      </c>
      <c r="K1701" s="2">
        <f t="shared" si="132"/>
        <v>2025</v>
      </c>
      <c r="L1701" s="2">
        <f t="shared" si="133"/>
        <v>2</v>
      </c>
      <c r="M1701" s="4">
        <v>7</v>
      </c>
      <c r="N1701" s="4" t="s">
        <v>3902</v>
      </c>
      <c r="O1701" s="4" t="s">
        <v>27</v>
      </c>
      <c r="P1701" s="4"/>
      <c r="Q1701" s="4"/>
      <c r="R1701" s="4"/>
      <c r="S1701" s="4" t="s">
        <v>5573</v>
      </c>
      <c r="T1701" s="4">
        <v>7.5</v>
      </c>
      <c r="U1701" s="4" t="s">
        <v>29</v>
      </c>
      <c r="V1701" s="4" t="s">
        <v>1776</v>
      </c>
      <c r="W1701" s="67" t="str">
        <f t="shared" si="134"/>
        <v>-</v>
      </c>
    </row>
    <row r="1702" spans="1:23" x14ac:dyDescent="0.3">
      <c r="A1702" s="2" t="s">
        <v>3988</v>
      </c>
      <c r="B1702" s="2" t="s">
        <v>3989</v>
      </c>
      <c r="C1702" s="2">
        <v>9310608533</v>
      </c>
      <c r="D1702" s="2" t="s">
        <v>59</v>
      </c>
      <c r="E1702" s="2" t="s">
        <v>21</v>
      </c>
      <c r="F1702" s="2" t="s">
        <v>22</v>
      </c>
      <c r="G1702" s="2" t="s">
        <v>23</v>
      </c>
      <c r="H1702" s="2" t="s">
        <v>3944</v>
      </c>
      <c r="I1702" s="2" t="str">
        <f t="shared" si="130"/>
        <v>Jun</v>
      </c>
      <c r="J1702" s="2">
        <f t="shared" si="131"/>
        <v>6</v>
      </c>
      <c r="K1702" s="2">
        <f t="shared" si="132"/>
        <v>2025</v>
      </c>
      <c r="L1702" s="2">
        <f t="shared" si="133"/>
        <v>2</v>
      </c>
      <c r="M1702" s="2">
        <v>5</v>
      </c>
      <c r="N1702" s="2" t="s">
        <v>3983</v>
      </c>
      <c r="O1702" s="2" t="s">
        <v>45</v>
      </c>
      <c r="P1702" s="3">
        <v>624172</v>
      </c>
      <c r="Q1702" s="2"/>
      <c r="R1702" s="2"/>
      <c r="S1702" s="2" t="s">
        <v>5574</v>
      </c>
      <c r="T1702" s="2">
        <v>27.1</v>
      </c>
      <c r="U1702" s="2" t="s">
        <v>47</v>
      </c>
      <c r="V1702" s="2" t="s">
        <v>212</v>
      </c>
      <c r="W1702" s="67" t="str">
        <f t="shared" si="134"/>
        <v>-</v>
      </c>
    </row>
    <row r="1703" spans="1:23" x14ac:dyDescent="0.3">
      <c r="A1703" s="4" t="s">
        <v>3990</v>
      </c>
      <c r="B1703" s="4" t="s">
        <v>366</v>
      </c>
      <c r="C1703" s="4">
        <v>9394417023</v>
      </c>
      <c r="D1703" s="4" t="s">
        <v>108</v>
      </c>
      <c r="E1703" s="4" t="s">
        <v>41</v>
      </c>
      <c r="F1703" s="4" t="s">
        <v>151</v>
      </c>
      <c r="G1703" s="4" t="s">
        <v>643</v>
      </c>
      <c r="H1703" s="4" t="s">
        <v>3944</v>
      </c>
      <c r="I1703" s="2" t="str">
        <f t="shared" si="130"/>
        <v>Jun</v>
      </c>
      <c r="J1703" s="2">
        <f t="shared" si="131"/>
        <v>6</v>
      </c>
      <c r="K1703" s="2">
        <f t="shared" si="132"/>
        <v>2025</v>
      </c>
      <c r="L1703" s="2">
        <f t="shared" si="133"/>
        <v>2</v>
      </c>
      <c r="M1703" s="4">
        <v>0</v>
      </c>
      <c r="N1703" s="4" t="s">
        <v>3962</v>
      </c>
      <c r="O1703" s="4" t="s">
        <v>55</v>
      </c>
      <c r="P1703" s="5">
        <v>1482480</v>
      </c>
      <c r="Q1703" s="4"/>
      <c r="R1703" s="4"/>
      <c r="S1703" s="4" t="s">
        <v>5819</v>
      </c>
      <c r="T1703" s="4">
        <v>23.6</v>
      </c>
      <c r="U1703" s="4" t="s">
        <v>29</v>
      </c>
      <c r="V1703" s="4" t="s">
        <v>442</v>
      </c>
      <c r="W1703" s="67" t="str">
        <f t="shared" si="134"/>
        <v>-</v>
      </c>
    </row>
    <row r="1704" spans="1:23" x14ac:dyDescent="0.3">
      <c r="A1704" s="2" t="s">
        <v>3991</v>
      </c>
      <c r="B1704" s="2" t="s">
        <v>2792</v>
      </c>
      <c r="C1704" s="2">
        <v>9117794810</v>
      </c>
      <c r="D1704" s="2" t="s">
        <v>108</v>
      </c>
      <c r="E1704" s="2" t="s">
        <v>41</v>
      </c>
      <c r="F1704" s="2" t="s">
        <v>151</v>
      </c>
      <c r="G1704" s="2" t="s">
        <v>60</v>
      </c>
      <c r="H1704" s="2" t="s">
        <v>3756</v>
      </c>
      <c r="I1704" s="2" t="str">
        <f t="shared" si="130"/>
        <v>Jun</v>
      </c>
      <c r="J1704" s="2">
        <f t="shared" si="131"/>
        <v>6</v>
      </c>
      <c r="K1704" s="2">
        <f t="shared" si="132"/>
        <v>2025</v>
      </c>
      <c r="L1704" s="2">
        <f t="shared" si="133"/>
        <v>2</v>
      </c>
      <c r="M1704" s="2">
        <v>12</v>
      </c>
      <c r="N1704" s="2" t="s">
        <v>3992</v>
      </c>
      <c r="O1704" s="2" t="s">
        <v>27</v>
      </c>
      <c r="P1704" s="3">
        <v>159639</v>
      </c>
      <c r="Q1704" s="2"/>
      <c r="R1704" s="2"/>
      <c r="S1704" s="2" t="s">
        <v>5574</v>
      </c>
      <c r="T1704" s="2">
        <v>16.899999999999999</v>
      </c>
      <c r="U1704" s="2" t="s">
        <v>29</v>
      </c>
      <c r="V1704" s="2" t="s">
        <v>163</v>
      </c>
      <c r="W1704" s="67" t="str">
        <f t="shared" si="134"/>
        <v>-</v>
      </c>
    </row>
    <row r="1705" spans="1:23" x14ac:dyDescent="0.3">
      <c r="A1705" s="4" t="s">
        <v>3993</v>
      </c>
      <c r="B1705" s="4" t="s">
        <v>3994</v>
      </c>
      <c r="C1705" s="4">
        <v>9930025272</v>
      </c>
      <c r="D1705" s="4" t="s">
        <v>20</v>
      </c>
      <c r="E1705" s="4" t="s">
        <v>1632</v>
      </c>
      <c r="F1705" s="4" t="s">
        <v>1849</v>
      </c>
      <c r="G1705" s="4" t="s">
        <v>1623</v>
      </c>
      <c r="H1705" s="4" t="s">
        <v>3756</v>
      </c>
      <c r="I1705" s="2" t="str">
        <f t="shared" si="130"/>
        <v>Jun</v>
      </c>
      <c r="J1705" s="2">
        <f t="shared" si="131"/>
        <v>6</v>
      </c>
      <c r="K1705" s="2">
        <f t="shared" si="132"/>
        <v>2025</v>
      </c>
      <c r="L1705" s="2">
        <f t="shared" si="133"/>
        <v>2</v>
      </c>
      <c r="M1705" s="4">
        <v>7</v>
      </c>
      <c r="N1705" s="4" t="s">
        <v>3995</v>
      </c>
      <c r="O1705" s="4" t="s">
        <v>45</v>
      </c>
      <c r="P1705" s="5">
        <v>373285</v>
      </c>
      <c r="Q1705" s="4"/>
      <c r="R1705" s="4"/>
      <c r="S1705" s="4" t="s">
        <v>5573</v>
      </c>
      <c r="T1705" s="4">
        <v>22</v>
      </c>
      <c r="U1705" s="4" t="s">
        <v>47</v>
      </c>
      <c r="V1705" s="4" t="s">
        <v>183</v>
      </c>
      <c r="W1705" s="67" t="str">
        <f t="shared" si="134"/>
        <v>-</v>
      </c>
    </row>
    <row r="1706" spans="1:23" x14ac:dyDescent="0.3">
      <c r="A1706" s="2" t="s">
        <v>3996</v>
      </c>
      <c r="B1706" s="2" t="s">
        <v>2099</v>
      </c>
      <c r="C1706" s="2">
        <v>9852478284</v>
      </c>
      <c r="D1706" s="2" t="s">
        <v>20</v>
      </c>
      <c r="E1706" s="2" t="s">
        <v>1632</v>
      </c>
      <c r="F1706" s="2" t="s">
        <v>1659</v>
      </c>
      <c r="G1706" s="2" t="s">
        <v>1623</v>
      </c>
      <c r="H1706" s="2" t="s">
        <v>3803</v>
      </c>
      <c r="I1706" s="2" t="str">
        <f t="shared" si="130"/>
        <v>Jun</v>
      </c>
      <c r="J1706" s="2">
        <f t="shared" si="131"/>
        <v>6</v>
      </c>
      <c r="K1706" s="2">
        <f t="shared" si="132"/>
        <v>2025</v>
      </c>
      <c r="L1706" s="2">
        <f t="shared" si="133"/>
        <v>2</v>
      </c>
      <c r="M1706" s="2">
        <v>7</v>
      </c>
      <c r="N1706" s="2" t="s">
        <v>3902</v>
      </c>
      <c r="O1706" s="2" t="s">
        <v>45</v>
      </c>
      <c r="P1706" s="3">
        <v>379726</v>
      </c>
      <c r="Q1706" s="2"/>
      <c r="R1706" s="2"/>
      <c r="S1706" s="2" t="s">
        <v>5574</v>
      </c>
      <c r="T1706" s="2">
        <v>15.6</v>
      </c>
      <c r="U1706" s="2" t="s">
        <v>29</v>
      </c>
      <c r="V1706" s="2" t="s">
        <v>389</v>
      </c>
      <c r="W1706" s="67" t="str">
        <f t="shared" si="134"/>
        <v>-</v>
      </c>
    </row>
    <row r="1707" spans="1:23" x14ac:dyDescent="0.3">
      <c r="A1707" s="8" t="s">
        <v>3997</v>
      </c>
      <c r="B1707" s="8" t="s">
        <v>2506</v>
      </c>
      <c r="C1707" s="8">
        <v>9868010430</v>
      </c>
      <c r="D1707" s="8" t="s">
        <v>59</v>
      </c>
      <c r="E1707" s="8" t="s">
        <v>33</v>
      </c>
      <c r="F1707" s="8" t="s">
        <v>201</v>
      </c>
      <c r="G1707" s="8" t="s">
        <v>52</v>
      </c>
      <c r="H1707" s="8" t="s">
        <v>3803</v>
      </c>
      <c r="I1707" s="2" t="str">
        <f t="shared" si="130"/>
        <v>Jun</v>
      </c>
      <c r="J1707" s="2">
        <f t="shared" si="131"/>
        <v>6</v>
      </c>
      <c r="K1707" s="2">
        <f t="shared" si="132"/>
        <v>2025</v>
      </c>
      <c r="L1707" s="2">
        <f t="shared" si="133"/>
        <v>2</v>
      </c>
      <c r="M1707" s="8">
        <v>12</v>
      </c>
      <c r="N1707" s="8" t="s">
        <v>3915</v>
      </c>
      <c r="O1707" s="8" t="s">
        <v>97</v>
      </c>
      <c r="P1707" s="9">
        <v>550336</v>
      </c>
      <c r="Q1707" s="9">
        <v>490454</v>
      </c>
      <c r="R1707" s="8" t="s">
        <v>3999</v>
      </c>
      <c r="S1707" s="8" t="s">
        <v>5819</v>
      </c>
      <c r="T1707" s="8">
        <v>13.3</v>
      </c>
      <c r="U1707" s="8" t="s">
        <v>63</v>
      </c>
      <c r="V1707" s="8" t="s">
        <v>170</v>
      </c>
      <c r="W1707" s="67" t="str">
        <f t="shared" si="134"/>
        <v>Customer</v>
      </c>
    </row>
    <row r="1708" spans="1:23" x14ac:dyDescent="0.3">
      <c r="A1708" s="2" t="s">
        <v>4000</v>
      </c>
      <c r="B1708" s="2" t="s">
        <v>1178</v>
      </c>
      <c r="C1708" s="2">
        <v>9997319236</v>
      </c>
      <c r="D1708" s="2" t="s">
        <v>20</v>
      </c>
      <c r="E1708" s="2" t="s">
        <v>1632</v>
      </c>
      <c r="F1708" s="2" t="s">
        <v>1694</v>
      </c>
      <c r="G1708" s="2" t="s">
        <v>52</v>
      </c>
      <c r="H1708" s="2" t="s">
        <v>3803</v>
      </c>
      <c r="I1708" s="2" t="str">
        <f t="shared" si="130"/>
        <v>Jun</v>
      </c>
      <c r="J1708" s="2">
        <f t="shared" si="131"/>
        <v>6</v>
      </c>
      <c r="K1708" s="2">
        <f t="shared" si="132"/>
        <v>2025</v>
      </c>
      <c r="L1708" s="2">
        <f t="shared" si="133"/>
        <v>2</v>
      </c>
      <c r="M1708" s="2">
        <v>3</v>
      </c>
      <c r="N1708" s="2" t="s">
        <v>3838</v>
      </c>
      <c r="O1708" s="2" t="s">
        <v>27</v>
      </c>
      <c r="P1708" s="3">
        <v>581305</v>
      </c>
      <c r="Q1708" s="2"/>
      <c r="R1708" s="2"/>
      <c r="S1708" s="2" t="s">
        <v>5573</v>
      </c>
      <c r="T1708" s="2">
        <v>34.700000000000003</v>
      </c>
      <c r="U1708" s="2" t="s">
        <v>29</v>
      </c>
      <c r="V1708" s="2" t="s">
        <v>238</v>
      </c>
      <c r="W1708" s="67" t="str">
        <f t="shared" si="134"/>
        <v>-</v>
      </c>
    </row>
    <row r="1709" spans="1:23" x14ac:dyDescent="0.3">
      <c r="A1709" s="4" t="s">
        <v>4001</v>
      </c>
      <c r="B1709" s="4" t="s">
        <v>2854</v>
      </c>
      <c r="C1709" s="4">
        <v>9180056716</v>
      </c>
      <c r="D1709" s="4" t="s">
        <v>108</v>
      </c>
      <c r="E1709" s="4" t="s">
        <v>67</v>
      </c>
      <c r="F1709" s="4" t="s">
        <v>80</v>
      </c>
      <c r="G1709" s="4" t="s">
        <v>1677</v>
      </c>
      <c r="H1709" s="4" t="s">
        <v>3770</v>
      </c>
      <c r="I1709" s="2" t="str">
        <f t="shared" si="130"/>
        <v>Jun</v>
      </c>
      <c r="J1709" s="2">
        <f t="shared" si="131"/>
        <v>6</v>
      </c>
      <c r="K1709" s="2">
        <f t="shared" si="132"/>
        <v>2025</v>
      </c>
      <c r="L1709" s="2">
        <f t="shared" si="133"/>
        <v>2</v>
      </c>
      <c r="M1709" s="4">
        <v>12</v>
      </c>
      <c r="N1709" s="4" t="s">
        <v>4002</v>
      </c>
      <c r="O1709" s="4" t="s">
        <v>27</v>
      </c>
      <c r="P1709" s="4"/>
      <c r="Q1709" s="4"/>
      <c r="R1709" s="4"/>
      <c r="S1709" s="4" t="s">
        <v>5573</v>
      </c>
      <c r="T1709" s="4">
        <v>2.2999999999999998</v>
      </c>
      <c r="U1709" s="4" t="s">
        <v>29</v>
      </c>
      <c r="V1709" s="4" t="s">
        <v>38</v>
      </c>
      <c r="W1709" s="67" t="str">
        <f t="shared" si="134"/>
        <v>-</v>
      </c>
    </row>
    <row r="1710" spans="1:23" x14ac:dyDescent="0.3">
      <c r="A1710" s="2" t="s">
        <v>4003</v>
      </c>
      <c r="B1710" s="2" t="s">
        <v>997</v>
      </c>
      <c r="C1710" s="2"/>
      <c r="D1710" s="2" t="s">
        <v>20</v>
      </c>
      <c r="E1710" s="2" t="s">
        <v>641</v>
      </c>
      <c r="F1710" s="2" t="s">
        <v>717</v>
      </c>
      <c r="G1710" s="2" t="s">
        <v>643</v>
      </c>
      <c r="H1710" s="2" t="s">
        <v>3853</v>
      </c>
      <c r="I1710" s="2" t="str">
        <f t="shared" si="130"/>
        <v>Jun</v>
      </c>
      <c r="J1710" s="2">
        <f t="shared" si="131"/>
        <v>6</v>
      </c>
      <c r="K1710" s="2">
        <f t="shared" si="132"/>
        <v>2025</v>
      </c>
      <c r="L1710" s="2">
        <f t="shared" si="133"/>
        <v>2</v>
      </c>
      <c r="M1710" s="2">
        <v>1</v>
      </c>
      <c r="N1710" s="2" t="s">
        <v>3838</v>
      </c>
      <c r="O1710" s="2" t="s">
        <v>27</v>
      </c>
      <c r="P1710" s="3">
        <v>1098931</v>
      </c>
      <c r="Q1710" s="2"/>
      <c r="R1710" s="2"/>
      <c r="S1710" s="2" t="s">
        <v>5574</v>
      </c>
      <c r="T1710" s="2">
        <v>28.2</v>
      </c>
      <c r="U1710" s="2" t="s">
        <v>29</v>
      </c>
      <c r="V1710" s="2" t="s">
        <v>2595</v>
      </c>
      <c r="W1710" s="67" t="str">
        <f t="shared" si="134"/>
        <v>-</v>
      </c>
    </row>
    <row r="1711" spans="1:23" x14ac:dyDescent="0.3">
      <c r="A1711" s="4" t="s">
        <v>4004</v>
      </c>
      <c r="B1711" s="4" t="s">
        <v>1788</v>
      </c>
      <c r="C1711" s="4">
        <v>9946052129</v>
      </c>
      <c r="D1711" s="4" t="s">
        <v>59</v>
      </c>
      <c r="E1711" s="4" t="s">
        <v>109</v>
      </c>
      <c r="F1711" s="4" t="s">
        <v>331</v>
      </c>
      <c r="G1711" s="4" t="s">
        <v>1609</v>
      </c>
      <c r="H1711" s="4" t="s">
        <v>3998</v>
      </c>
      <c r="I1711" s="2" t="str">
        <f t="shared" si="130"/>
        <v>Jun</v>
      </c>
      <c r="J1711" s="2">
        <f t="shared" si="131"/>
        <v>6</v>
      </c>
      <c r="K1711" s="2">
        <f t="shared" si="132"/>
        <v>2025</v>
      </c>
      <c r="L1711" s="2">
        <f t="shared" si="133"/>
        <v>2</v>
      </c>
      <c r="M1711" s="4">
        <v>11</v>
      </c>
      <c r="N1711" s="4" t="s">
        <v>4005</v>
      </c>
      <c r="O1711" s="4" t="s">
        <v>27</v>
      </c>
      <c r="P1711" s="5">
        <v>262722</v>
      </c>
      <c r="Q1711" s="4"/>
      <c r="R1711" s="4"/>
      <c r="S1711" s="4" t="s">
        <v>5819</v>
      </c>
      <c r="T1711" s="4">
        <v>31.1</v>
      </c>
      <c r="U1711" s="4" t="s">
        <v>29</v>
      </c>
      <c r="V1711" s="4" t="s">
        <v>118</v>
      </c>
      <c r="W1711" s="67" t="str">
        <f t="shared" si="134"/>
        <v>-</v>
      </c>
    </row>
    <row r="1712" spans="1:23" x14ac:dyDescent="0.3">
      <c r="A1712" s="2" t="s">
        <v>4006</v>
      </c>
      <c r="B1712" s="2" t="s">
        <v>3268</v>
      </c>
      <c r="C1712" s="2">
        <v>9444627657</v>
      </c>
      <c r="D1712" s="2" t="s">
        <v>108</v>
      </c>
      <c r="E1712" s="2" t="s">
        <v>67</v>
      </c>
      <c r="F1712" s="2" t="s">
        <v>68</v>
      </c>
      <c r="G1712" s="2" t="s">
        <v>1599</v>
      </c>
      <c r="H1712" s="2" t="s">
        <v>3885</v>
      </c>
      <c r="I1712" s="2" t="str">
        <f t="shared" si="130"/>
        <v>Jun</v>
      </c>
      <c r="J1712" s="2">
        <f t="shared" si="131"/>
        <v>6</v>
      </c>
      <c r="K1712" s="2">
        <f t="shared" si="132"/>
        <v>2025</v>
      </c>
      <c r="L1712" s="2">
        <f t="shared" si="133"/>
        <v>2</v>
      </c>
      <c r="M1712" s="2">
        <v>3</v>
      </c>
      <c r="N1712" s="2" t="s">
        <v>3912</v>
      </c>
      <c r="O1712" s="2" t="s">
        <v>45</v>
      </c>
      <c r="P1712" s="3">
        <v>602053</v>
      </c>
      <c r="Q1712" s="2"/>
      <c r="R1712" s="2"/>
      <c r="S1712" s="2" t="s">
        <v>5819</v>
      </c>
      <c r="T1712" s="2">
        <v>27.6</v>
      </c>
      <c r="U1712" s="2" t="s">
        <v>29</v>
      </c>
      <c r="V1712" s="2" t="s">
        <v>206</v>
      </c>
      <c r="W1712" s="67" t="str">
        <f t="shared" si="134"/>
        <v>-</v>
      </c>
    </row>
    <row r="1713" spans="1:23" x14ac:dyDescent="0.3">
      <c r="A1713" s="4" t="s">
        <v>4007</v>
      </c>
      <c r="B1713" s="4" t="s">
        <v>3268</v>
      </c>
      <c r="C1713" s="4">
        <v>9444627657</v>
      </c>
      <c r="D1713" s="4" t="s">
        <v>59</v>
      </c>
      <c r="E1713" s="4" t="s">
        <v>67</v>
      </c>
      <c r="F1713" s="4" t="s">
        <v>68</v>
      </c>
      <c r="G1713" s="4" t="s">
        <v>1599</v>
      </c>
      <c r="H1713" s="4" t="s">
        <v>3885</v>
      </c>
      <c r="I1713" s="2" t="str">
        <f t="shared" si="130"/>
        <v>Jun</v>
      </c>
      <c r="J1713" s="2">
        <f t="shared" si="131"/>
        <v>6</v>
      </c>
      <c r="K1713" s="2">
        <f t="shared" si="132"/>
        <v>2025</v>
      </c>
      <c r="L1713" s="2">
        <f t="shared" si="133"/>
        <v>2</v>
      </c>
      <c r="M1713" s="4">
        <v>3</v>
      </c>
      <c r="N1713" s="4" t="s">
        <v>3912</v>
      </c>
      <c r="O1713" s="4" t="s">
        <v>45</v>
      </c>
      <c r="P1713" s="5">
        <v>519084</v>
      </c>
      <c r="Q1713" s="4"/>
      <c r="R1713" s="4"/>
      <c r="S1713" s="4" t="s">
        <v>5819</v>
      </c>
      <c r="T1713" s="4">
        <v>27.6</v>
      </c>
      <c r="U1713" s="4" t="s">
        <v>29</v>
      </c>
      <c r="V1713" s="4" t="s">
        <v>206</v>
      </c>
      <c r="W1713" s="67" t="str">
        <f t="shared" si="134"/>
        <v>-</v>
      </c>
    </row>
    <row r="1714" spans="1:23" x14ac:dyDescent="0.3">
      <c r="A1714" s="6" t="s">
        <v>4008</v>
      </c>
      <c r="B1714" s="6" t="s">
        <v>146</v>
      </c>
      <c r="C1714" s="6">
        <v>9255306960</v>
      </c>
      <c r="D1714" s="6" t="s">
        <v>20</v>
      </c>
      <c r="E1714" s="6" t="s">
        <v>41</v>
      </c>
      <c r="F1714" s="6" t="s">
        <v>92</v>
      </c>
      <c r="G1714" s="6" t="s">
        <v>1677</v>
      </c>
      <c r="H1714" s="6" t="s">
        <v>3885</v>
      </c>
      <c r="I1714" s="2" t="str">
        <f t="shared" si="130"/>
        <v>Jun</v>
      </c>
      <c r="J1714" s="2">
        <f t="shared" si="131"/>
        <v>6</v>
      </c>
      <c r="K1714" s="2">
        <f t="shared" si="132"/>
        <v>2025</v>
      </c>
      <c r="L1714" s="2">
        <f t="shared" si="133"/>
        <v>2</v>
      </c>
      <c r="M1714" s="6">
        <v>11</v>
      </c>
      <c r="N1714" s="6" t="s">
        <v>4009</v>
      </c>
      <c r="O1714" s="6" t="s">
        <v>97</v>
      </c>
      <c r="P1714" s="7">
        <v>1080440</v>
      </c>
      <c r="Q1714" s="7">
        <v>961428</v>
      </c>
      <c r="R1714" s="6" t="s">
        <v>4010</v>
      </c>
      <c r="S1714" s="6" t="s">
        <v>5819</v>
      </c>
      <c r="T1714" s="6">
        <v>30.8</v>
      </c>
      <c r="U1714" s="6" t="s">
        <v>63</v>
      </c>
      <c r="V1714" s="6" t="s">
        <v>286</v>
      </c>
      <c r="W1714" s="67" t="str">
        <f t="shared" si="134"/>
        <v>Customer</v>
      </c>
    </row>
    <row r="1715" spans="1:23" x14ac:dyDescent="0.3">
      <c r="A1715" s="6" t="s">
        <v>4011</v>
      </c>
      <c r="B1715" s="6" t="s">
        <v>2279</v>
      </c>
      <c r="C1715" s="6">
        <v>9404762660</v>
      </c>
      <c r="D1715" s="6" t="s">
        <v>20</v>
      </c>
      <c r="E1715" s="6" t="s">
        <v>41</v>
      </c>
      <c r="F1715" s="6" t="s">
        <v>42</v>
      </c>
      <c r="G1715" s="6" t="s">
        <v>69</v>
      </c>
      <c r="H1715" s="6" t="s">
        <v>3976</v>
      </c>
      <c r="I1715" s="2" t="str">
        <f t="shared" si="130"/>
        <v>Jun</v>
      </c>
      <c r="J1715" s="2">
        <f t="shared" si="131"/>
        <v>6</v>
      </c>
      <c r="K1715" s="2">
        <f t="shared" si="132"/>
        <v>2025</v>
      </c>
      <c r="L1715" s="2">
        <f t="shared" si="133"/>
        <v>2</v>
      </c>
      <c r="M1715" s="6">
        <v>6</v>
      </c>
      <c r="N1715" s="6" t="s">
        <v>4012</v>
      </c>
      <c r="O1715" s="6" t="s">
        <v>97</v>
      </c>
      <c r="P1715" s="7">
        <v>102854</v>
      </c>
      <c r="Q1715" s="7">
        <v>102412</v>
      </c>
      <c r="R1715" s="6" t="s">
        <v>4013</v>
      </c>
      <c r="S1715" s="6" t="s">
        <v>5819</v>
      </c>
      <c r="T1715" s="6">
        <v>15.1</v>
      </c>
      <c r="U1715" s="6" t="s">
        <v>47</v>
      </c>
      <c r="V1715" s="6" t="s">
        <v>907</v>
      </c>
      <c r="W1715" s="67" t="str">
        <f t="shared" si="134"/>
        <v>Customer</v>
      </c>
    </row>
    <row r="1716" spans="1:23" x14ac:dyDescent="0.3">
      <c r="A1716" s="6" t="s">
        <v>4014</v>
      </c>
      <c r="B1716" s="6" t="s">
        <v>4015</v>
      </c>
      <c r="C1716" s="6">
        <v>9651075873</v>
      </c>
      <c r="D1716" s="6" t="s">
        <v>59</v>
      </c>
      <c r="E1716" s="6" t="s">
        <v>109</v>
      </c>
      <c r="F1716" s="6" t="s">
        <v>331</v>
      </c>
      <c r="G1716" s="6" t="s">
        <v>1609</v>
      </c>
      <c r="H1716" s="6" t="s">
        <v>3976</v>
      </c>
      <c r="I1716" s="2" t="str">
        <f t="shared" si="130"/>
        <v>Jun</v>
      </c>
      <c r="J1716" s="2">
        <f t="shared" si="131"/>
        <v>6</v>
      </c>
      <c r="K1716" s="2">
        <f t="shared" si="132"/>
        <v>2025</v>
      </c>
      <c r="L1716" s="2">
        <f t="shared" si="133"/>
        <v>2</v>
      </c>
      <c r="M1716" s="6">
        <v>4</v>
      </c>
      <c r="N1716" s="6" t="s">
        <v>3908</v>
      </c>
      <c r="O1716" s="6" t="s">
        <v>97</v>
      </c>
      <c r="P1716" s="7">
        <v>465424</v>
      </c>
      <c r="Q1716" s="7">
        <v>436089</v>
      </c>
      <c r="R1716" s="6" t="s">
        <v>4016</v>
      </c>
      <c r="S1716" s="6" t="s">
        <v>5573</v>
      </c>
      <c r="T1716" s="6">
        <v>10.1</v>
      </c>
      <c r="U1716" s="6" t="s">
        <v>47</v>
      </c>
      <c r="V1716" s="6" t="s">
        <v>341</v>
      </c>
      <c r="W1716" s="67" t="str">
        <f t="shared" si="134"/>
        <v>Customer</v>
      </c>
    </row>
    <row r="1717" spans="1:23" x14ac:dyDescent="0.3">
      <c r="A1717" s="4" t="s">
        <v>4017</v>
      </c>
      <c r="B1717" s="4" t="s">
        <v>4018</v>
      </c>
      <c r="C1717" s="4">
        <v>9488712773</v>
      </c>
      <c r="D1717" s="4" t="s">
        <v>121</v>
      </c>
      <c r="E1717" s="4" t="s">
        <v>73</v>
      </c>
      <c r="F1717" s="4" t="s">
        <v>126</v>
      </c>
      <c r="G1717" s="4" t="s">
        <v>52</v>
      </c>
      <c r="H1717" s="4" t="s">
        <v>3837</v>
      </c>
      <c r="I1717" s="2" t="str">
        <f t="shared" si="130"/>
        <v>Jun</v>
      </c>
      <c r="J1717" s="2">
        <f t="shared" si="131"/>
        <v>6</v>
      </c>
      <c r="K1717" s="2">
        <f t="shared" si="132"/>
        <v>2025</v>
      </c>
      <c r="L1717" s="2">
        <f t="shared" si="133"/>
        <v>2</v>
      </c>
      <c r="M1717" s="4">
        <v>7</v>
      </c>
      <c r="N1717" s="4" t="s">
        <v>4019</v>
      </c>
      <c r="O1717" s="4" t="s">
        <v>27</v>
      </c>
      <c r="P1717" s="5">
        <v>216219</v>
      </c>
      <c r="Q1717" s="4"/>
      <c r="R1717" s="4"/>
      <c r="S1717" s="4" t="s">
        <v>5573</v>
      </c>
      <c r="T1717" s="4">
        <v>11.4</v>
      </c>
      <c r="U1717" s="4" t="s">
        <v>29</v>
      </c>
      <c r="V1717" s="4" t="s">
        <v>105</v>
      </c>
      <c r="W1717" s="67" t="str">
        <f t="shared" si="134"/>
        <v>-</v>
      </c>
    </row>
    <row r="1718" spans="1:23" x14ac:dyDescent="0.3">
      <c r="A1718" s="6" t="s">
        <v>4020</v>
      </c>
      <c r="B1718" s="6" t="s">
        <v>2554</v>
      </c>
      <c r="C1718" s="6">
        <v>9654001915</v>
      </c>
      <c r="D1718" s="6" t="s">
        <v>108</v>
      </c>
      <c r="E1718" s="6" t="s">
        <v>109</v>
      </c>
      <c r="F1718" s="6" t="s">
        <v>110</v>
      </c>
      <c r="G1718" s="6" t="s">
        <v>52</v>
      </c>
      <c r="H1718" s="6" t="s">
        <v>3837</v>
      </c>
      <c r="I1718" s="2" t="str">
        <f t="shared" si="130"/>
        <v>Jun</v>
      </c>
      <c r="J1718" s="2">
        <f t="shared" si="131"/>
        <v>6</v>
      </c>
      <c r="K1718" s="2">
        <f t="shared" si="132"/>
        <v>2025</v>
      </c>
      <c r="L1718" s="2">
        <f t="shared" si="133"/>
        <v>2</v>
      </c>
      <c r="M1718" s="6">
        <v>11</v>
      </c>
      <c r="N1718" s="6" t="s">
        <v>4021</v>
      </c>
      <c r="O1718" s="6" t="s">
        <v>97</v>
      </c>
      <c r="P1718" s="7">
        <v>227882</v>
      </c>
      <c r="Q1718" s="7">
        <v>221420</v>
      </c>
      <c r="R1718" s="6" t="s">
        <v>4019</v>
      </c>
      <c r="S1718" s="6" t="s">
        <v>5819</v>
      </c>
      <c r="T1718" s="6">
        <v>29.2</v>
      </c>
      <c r="U1718" s="6" t="s">
        <v>63</v>
      </c>
      <c r="V1718" s="6" t="s">
        <v>170</v>
      </c>
      <c r="W1718" s="67" t="str">
        <f t="shared" si="134"/>
        <v>Customer</v>
      </c>
    </row>
    <row r="1719" spans="1:23" x14ac:dyDescent="0.3">
      <c r="A1719" s="4" t="s">
        <v>4022</v>
      </c>
      <c r="B1719" s="4" t="s">
        <v>571</v>
      </c>
      <c r="C1719" s="4">
        <v>9517205836</v>
      </c>
      <c r="D1719" s="4" t="s">
        <v>108</v>
      </c>
      <c r="E1719" s="4" t="s">
        <v>67</v>
      </c>
      <c r="F1719" s="4" t="s">
        <v>80</v>
      </c>
      <c r="G1719" s="4" t="s">
        <v>52</v>
      </c>
      <c r="H1719" s="4" t="s">
        <v>4023</v>
      </c>
      <c r="I1719" s="2" t="str">
        <f t="shared" si="130"/>
        <v>Jul</v>
      </c>
      <c r="J1719" s="2">
        <f t="shared" si="131"/>
        <v>7</v>
      </c>
      <c r="K1719" s="2">
        <f t="shared" si="132"/>
        <v>2025</v>
      </c>
      <c r="L1719" s="2">
        <f t="shared" si="133"/>
        <v>3</v>
      </c>
      <c r="M1719" s="4">
        <v>2</v>
      </c>
      <c r="N1719" s="4" t="s">
        <v>4024</v>
      </c>
      <c r="O1719" s="4" t="s">
        <v>27</v>
      </c>
      <c r="P1719" s="5">
        <v>574128</v>
      </c>
      <c r="Q1719" s="4"/>
      <c r="R1719" s="4"/>
      <c r="S1719" s="4" t="s">
        <v>5819</v>
      </c>
      <c r="T1719" s="4">
        <v>3.6</v>
      </c>
      <c r="U1719" s="4" t="s">
        <v>47</v>
      </c>
      <c r="V1719" s="4" t="s">
        <v>153</v>
      </c>
      <c r="W1719" s="67" t="str">
        <f t="shared" si="134"/>
        <v>-</v>
      </c>
    </row>
    <row r="1720" spans="1:23" x14ac:dyDescent="0.3">
      <c r="A1720" s="6" t="s">
        <v>4025</v>
      </c>
      <c r="B1720" s="6" t="s">
        <v>4026</v>
      </c>
      <c r="C1720" s="6">
        <v>9759810373</v>
      </c>
      <c r="D1720" s="6" t="s">
        <v>51</v>
      </c>
      <c r="E1720" s="6" t="s">
        <v>109</v>
      </c>
      <c r="F1720" s="6" t="s">
        <v>217</v>
      </c>
      <c r="G1720" s="6" t="s">
        <v>23</v>
      </c>
      <c r="H1720" s="6" t="s">
        <v>3956</v>
      </c>
      <c r="I1720" s="2" t="str">
        <f t="shared" si="130"/>
        <v>Jul</v>
      </c>
      <c r="J1720" s="2">
        <f t="shared" si="131"/>
        <v>7</v>
      </c>
      <c r="K1720" s="2">
        <f t="shared" si="132"/>
        <v>2025</v>
      </c>
      <c r="L1720" s="2">
        <f t="shared" si="133"/>
        <v>3</v>
      </c>
      <c r="M1720" s="6">
        <v>6</v>
      </c>
      <c r="N1720" s="6" t="s">
        <v>4012</v>
      </c>
      <c r="O1720" s="6" t="s">
        <v>97</v>
      </c>
      <c r="P1720" s="7">
        <v>530000</v>
      </c>
      <c r="Q1720" s="7">
        <v>497389</v>
      </c>
      <c r="R1720" s="6" t="s">
        <v>4027</v>
      </c>
      <c r="S1720" s="6" t="s">
        <v>5573</v>
      </c>
      <c r="T1720" s="6">
        <v>26.5</v>
      </c>
      <c r="U1720" s="6" t="s">
        <v>47</v>
      </c>
      <c r="V1720" s="6" t="s">
        <v>465</v>
      </c>
      <c r="W1720" s="67" t="str">
        <f t="shared" si="134"/>
        <v>Customer</v>
      </c>
    </row>
    <row r="1721" spans="1:23" x14ac:dyDescent="0.3">
      <c r="A1721" s="4" t="s">
        <v>4028</v>
      </c>
      <c r="B1721" s="4" t="s">
        <v>4029</v>
      </c>
      <c r="C1721" s="4"/>
      <c r="D1721" s="4" t="s">
        <v>108</v>
      </c>
      <c r="E1721" s="4" t="s">
        <v>1632</v>
      </c>
      <c r="F1721" s="4" t="s">
        <v>1682</v>
      </c>
      <c r="G1721" s="4" t="s">
        <v>52</v>
      </c>
      <c r="H1721" s="4" t="s">
        <v>3838</v>
      </c>
      <c r="I1721" s="2" t="str">
        <f t="shared" si="130"/>
        <v>Jul</v>
      </c>
      <c r="J1721" s="2">
        <f t="shared" si="131"/>
        <v>7</v>
      </c>
      <c r="K1721" s="2">
        <f t="shared" si="132"/>
        <v>2025</v>
      </c>
      <c r="L1721" s="2">
        <f t="shared" si="133"/>
        <v>3</v>
      </c>
      <c r="M1721" s="4">
        <v>9</v>
      </c>
      <c r="N1721" s="4" t="s">
        <v>4030</v>
      </c>
      <c r="O1721" s="4" t="s">
        <v>27</v>
      </c>
      <c r="P1721" s="5">
        <v>288667</v>
      </c>
      <c r="Q1721" s="4"/>
      <c r="R1721" s="4"/>
      <c r="S1721" s="4" t="s">
        <v>5573</v>
      </c>
      <c r="T1721" s="4">
        <v>23.3</v>
      </c>
      <c r="U1721" s="4" t="s">
        <v>29</v>
      </c>
      <c r="V1721" s="4" t="s">
        <v>2847</v>
      </c>
      <c r="W1721" s="67" t="str">
        <f t="shared" si="134"/>
        <v>-</v>
      </c>
    </row>
    <row r="1722" spans="1:23" x14ac:dyDescent="0.3">
      <c r="A1722" s="2" t="s">
        <v>4031</v>
      </c>
      <c r="B1722" s="2" t="s">
        <v>4032</v>
      </c>
      <c r="C1722" s="2">
        <v>9260246011</v>
      </c>
      <c r="D1722" s="2" t="s">
        <v>20</v>
      </c>
      <c r="E1722" s="2" t="s">
        <v>73</v>
      </c>
      <c r="F1722" s="2" t="s">
        <v>126</v>
      </c>
      <c r="G1722" s="2" t="s">
        <v>643</v>
      </c>
      <c r="H1722" s="2" t="s">
        <v>3838</v>
      </c>
      <c r="I1722" s="2" t="str">
        <f t="shared" si="130"/>
        <v>Jul</v>
      </c>
      <c r="J1722" s="2">
        <f t="shared" si="131"/>
        <v>7</v>
      </c>
      <c r="K1722" s="2">
        <f t="shared" si="132"/>
        <v>2025</v>
      </c>
      <c r="L1722" s="2">
        <f t="shared" si="133"/>
        <v>3</v>
      </c>
      <c r="M1722" s="2">
        <v>8</v>
      </c>
      <c r="N1722" s="2" t="s">
        <v>4033</v>
      </c>
      <c r="O1722" s="2" t="s">
        <v>45</v>
      </c>
      <c r="P1722" s="3">
        <v>844633</v>
      </c>
      <c r="Q1722" s="2"/>
      <c r="R1722" s="2"/>
      <c r="S1722" s="2" t="s">
        <v>5819</v>
      </c>
      <c r="T1722" s="2">
        <v>9.6</v>
      </c>
      <c r="U1722" s="2" t="s">
        <v>47</v>
      </c>
      <c r="V1722" s="2" t="s">
        <v>276</v>
      </c>
      <c r="W1722" s="67" t="str">
        <f t="shared" si="134"/>
        <v>-</v>
      </c>
    </row>
    <row r="1723" spans="1:23" x14ac:dyDescent="0.3">
      <c r="A1723" s="4" t="s">
        <v>4034</v>
      </c>
      <c r="B1723" s="4" t="s">
        <v>2780</v>
      </c>
      <c r="C1723" s="4">
        <v>9429409906</v>
      </c>
      <c r="D1723" s="4" t="s">
        <v>20</v>
      </c>
      <c r="E1723" s="4" t="s">
        <v>1632</v>
      </c>
      <c r="F1723" s="4" t="s">
        <v>1849</v>
      </c>
      <c r="G1723" s="4" t="s">
        <v>23</v>
      </c>
      <c r="H1723" s="4" t="s">
        <v>3838</v>
      </c>
      <c r="I1723" s="2" t="str">
        <f t="shared" si="130"/>
        <v>Jul</v>
      </c>
      <c r="J1723" s="2">
        <f t="shared" si="131"/>
        <v>7</v>
      </c>
      <c r="K1723" s="2">
        <f t="shared" si="132"/>
        <v>2025</v>
      </c>
      <c r="L1723" s="2">
        <f t="shared" si="133"/>
        <v>3</v>
      </c>
      <c r="M1723" s="4">
        <v>10</v>
      </c>
      <c r="N1723" s="4" t="s">
        <v>3992</v>
      </c>
      <c r="O1723" s="4" t="s">
        <v>27</v>
      </c>
      <c r="P1723" s="5">
        <v>459315</v>
      </c>
      <c r="Q1723" s="4"/>
      <c r="R1723" s="4"/>
      <c r="S1723" s="4" t="s">
        <v>5819</v>
      </c>
      <c r="T1723" s="4">
        <v>1.2</v>
      </c>
      <c r="U1723" s="4" t="s">
        <v>47</v>
      </c>
      <c r="V1723" s="4" t="s">
        <v>157</v>
      </c>
      <c r="W1723" s="67" t="str">
        <f t="shared" si="134"/>
        <v>-</v>
      </c>
    </row>
    <row r="1724" spans="1:23" x14ac:dyDescent="0.3">
      <c r="A1724" s="2" t="s">
        <v>4035</v>
      </c>
      <c r="B1724" s="2" t="s">
        <v>3970</v>
      </c>
      <c r="C1724" s="2">
        <v>9666287551</v>
      </c>
      <c r="D1724" s="2" t="s">
        <v>59</v>
      </c>
      <c r="E1724" s="2" t="s">
        <v>648</v>
      </c>
      <c r="F1724" s="2" t="s">
        <v>899</v>
      </c>
      <c r="G1724" s="2" t="s">
        <v>52</v>
      </c>
      <c r="H1724" s="2" t="s">
        <v>3757</v>
      </c>
      <c r="I1724" s="2" t="str">
        <f t="shared" si="130"/>
        <v>Jul</v>
      </c>
      <c r="J1724" s="2">
        <f t="shared" si="131"/>
        <v>7</v>
      </c>
      <c r="K1724" s="2">
        <f t="shared" si="132"/>
        <v>2025</v>
      </c>
      <c r="L1724" s="2">
        <f t="shared" si="133"/>
        <v>3</v>
      </c>
      <c r="M1724" s="2">
        <v>9</v>
      </c>
      <c r="N1724" s="2" t="s">
        <v>4036</v>
      </c>
      <c r="O1724" s="2" t="s">
        <v>27</v>
      </c>
      <c r="P1724" s="3">
        <v>553964</v>
      </c>
      <c r="Q1724" s="2"/>
      <c r="R1724" s="2"/>
      <c r="S1724" s="2" t="s">
        <v>5573</v>
      </c>
      <c r="T1724" s="2">
        <v>5.6</v>
      </c>
      <c r="U1724" s="2" t="s">
        <v>29</v>
      </c>
      <c r="V1724" s="2" t="s">
        <v>153</v>
      </c>
      <c r="W1724" s="67" t="str">
        <f t="shared" si="134"/>
        <v>-</v>
      </c>
    </row>
    <row r="1725" spans="1:23" x14ac:dyDescent="0.3">
      <c r="A1725" s="6" t="s">
        <v>4037</v>
      </c>
      <c r="B1725" s="6" t="s">
        <v>4038</v>
      </c>
      <c r="C1725" s="6">
        <v>9960245981</v>
      </c>
      <c r="D1725" s="6" t="s">
        <v>20</v>
      </c>
      <c r="E1725" s="6" t="s">
        <v>73</v>
      </c>
      <c r="F1725" s="6" t="s">
        <v>126</v>
      </c>
      <c r="G1725" s="6" t="s">
        <v>23</v>
      </c>
      <c r="H1725" s="6" t="s">
        <v>3757</v>
      </c>
      <c r="I1725" s="2" t="str">
        <f t="shared" si="130"/>
        <v>Jul</v>
      </c>
      <c r="J1725" s="2">
        <f t="shared" si="131"/>
        <v>7</v>
      </c>
      <c r="K1725" s="2">
        <f t="shared" si="132"/>
        <v>2025</v>
      </c>
      <c r="L1725" s="2">
        <f t="shared" si="133"/>
        <v>3</v>
      </c>
      <c r="M1725" s="6">
        <v>4</v>
      </c>
      <c r="N1725" s="6" t="s">
        <v>4019</v>
      </c>
      <c r="O1725" s="6" t="s">
        <v>97</v>
      </c>
      <c r="P1725" s="7">
        <v>488432</v>
      </c>
      <c r="Q1725" s="7">
        <v>461877</v>
      </c>
      <c r="R1725" s="6" t="s">
        <v>4039</v>
      </c>
      <c r="S1725" s="6" t="s">
        <v>5574</v>
      </c>
      <c r="T1725" s="6">
        <v>12.4</v>
      </c>
      <c r="U1725" s="6" t="s">
        <v>63</v>
      </c>
      <c r="V1725" s="6"/>
      <c r="W1725" s="67" t="str">
        <f t="shared" si="134"/>
        <v>Customer</v>
      </c>
    </row>
    <row r="1726" spans="1:23" x14ac:dyDescent="0.3">
      <c r="A1726" s="8" t="s">
        <v>4040</v>
      </c>
      <c r="B1726" s="8" t="s">
        <v>4041</v>
      </c>
      <c r="C1726" s="8">
        <v>9922964651</v>
      </c>
      <c r="D1726" s="8" t="s">
        <v>20</v>
      </c>
      <c r="E1726" s="8" t="s">
        <v>33</v>
      </c>
      <c r="F1726" s="8" t="s">
        <v>201</v>
      </c>
      <c r="G1726" s="8" t="s">
        <v>60</v>
      </c>
      <c r="H1726" s="8" t="s">
        <v>3908</v>
      </c>
      <c r="I1726" s="2" t="str">
        <f t="shared" si="130"/>
        <v>Jul</v>
      </c>
      <c r="J1726" s="2">
        <f t="shared" si="131"/>
        <v>7</v>
      </c>
      <c r="K1726" s="2">
        <f t="shared" si="132"/>
        <v>2025</v>
      </c>
      <c r="L1726" s="2">
        <f t="shared" si="133"/>
        <v>3</v>
      </c>
      <c r="M1726" s="8">
        <v>7</v>
      </c>
      <c r="N1726" s="8" t="s">
        <v>4042</v>
      </c>
      <c r="O1726" s="8" t="s">
        <v>45</v>
      </c>
      <c r="P1726" s="9">
        <v>189678</v>
      </c>
      <c r="Q1726" s="8"/>
      <c r="R1726" s="8"/>
      <c r="S1726" s="8" t="s">
        <v>5574</v>
      </c>
      <c r="T1726" s="8">
        <v>17.399999999999999</v>
      </c>
      <c r="U1726" s="8" t="s">
        <v>29</v>
      </c>
      <c r="V1726" s="8" t="s">
        <v>247</v>
      </c>
      <c r="W1726" s="67" t="str">
        <f t="shared" si="134"/>
        <v>-</v>
      </c>
    </row>
    <row r="1727" spans="1:23" x14ac:dyDescent="0.3">
      <c r="A1727" s="6" t="s">
        <v>4043</v>
      </c>
      <c r="B1727" s="6" t="s">
        <v>663</v>
      </c>
      <c r="C1727" s="6">
        <v>9257562174</v>
      </c>
      <c r="D1727" s="6" t="s">
        <v>51</v>
      </c>
      <c r="E1727" s="6" t="s">
        <v>641</v>
      </c>
      <c r="F1727" s="6" t="s">
        <v>717</v>
      </c>
      <c r="G1727" s="6" t="s">
        <v>23</v>
      </c>
      <c r="H1727" s="6" t="s">
        <v>4044</v>
      </c>
      <c r="I1727" s="2" t="str">
        <f t="shared" si="130"/>
        <v>Jul</v>
      </c>
      <c r="J1727" s="2">
        <f t="shared" si="131"/>
        <v>7</v>
      </c>
      <c r="K1727" s="2">
        <f t="shared" si="132"/>
        <v>2025</v>
      </c>
      <c r="L1727" s="2">
        <f t="shared" si="133"/>
        <v>3</v>
      </c>
      <c r="M1727" s="6">
        <v>9</v>
      </c>
      <c r="N1727" s="6" t="s">
        <v>4045</v>
      </c>
      <c r="O1727" s="6" t="s">
        <v>97</v>
      </c>
      <c r="P1727" s="7">
        <v>340787</v>
      </c>
      <c r="Q1727" s="7">
        <v>339635</v>
      </c>
      <c r="R1727" s="6" t="s">
        <v>4046</v>
      </c>
      <c r="S1727" s="6" t="s">
        <v>5574</v>
      </c>
      <c r="T1727" s="6">
        <v>13.5</v>
      </c>
      <c r="U1727" s="6" t="s">
        <v>63</v>
      </c>
      <c r="V1727" s="6" t="s">
        <v>286</v>
      </c>
      <c r="W1727" s="67" t="str">
        <f t="shared" si="134"/>
        <v>Customer</v>
      </c>
    </row>
    <row r="1728" spans="1:23" x14ac:dyDescent="0.3">
      <c r="A1728" s="6" t="s">
        <v>4047</v>
      </c>
      <c r="B1728" s="6" t="s">
        <v>4048</v>
      </c>
      <c r="C1728" s="6">
        <v>9363851115</v>
      </c>
      <c r="D1728" s="6" t="s">
        <v>5356</v>
      </c>
      <c r="E1728" s="6" t="s">
        <v>41</v>
      </c>
      <c r="F1728" s="6" t="s">
        <v>151</v>
      </c>
      <c r="G1728" s="6" t="s">
        <v>52</v>
      </c>
      <c r="H1728" s="6" t="s">
        <v>4044</v>
      </c>
      <c r="I1728" s="2" t="str">
        <f t="shared" si="130"/>
        <v>Jul</v>
      </c>
      <c r="J1728" s="2">
        <f t="shared" si="131"/>
        <v>7</v>
      </c>
      <c r="K1728" s="2">
        <f t="shared" si="132"/>
        <v>2025</v>
      </c>
      <c r="L1728" s="2">
        <f t="shared" si="133"/>
        <v>3</v>
      </c>
      <c r="M1728" s="6">
        <v>2</v>
      </c>
      <c r="N1728" s="6" t="s">
        <v>3902</v>
      </c>
      <c r="O1728" s="6" t="s">
        <v>97</v>
      </c>
      <c r="P1728" s="7">
        <v>251892</v>
      </c>
      <c r="Q1728" s="7">
        <v>235690</v>
      </c>
      <c r="R1728" s="6" t="s">
        <v>4049</v>
      </c>
      <c r="S1728" s="6" t="s">
        <v>5573</v>
      </c>
      <c r="T1728" s="6">
        <v>3.9</v>
      </c>
      <c r="U1728" s="6" t="s">
        <v>47</v>
      </c>
      <c r="V1728" s="6"/>
      <c r="W1728" s="67" t="str">
        <f t="shared" si="134"/>
        <v>Architect</v>
      </c>
    </row>
    <row r="1729" spans="1:23" x14ac:dyDescent="0.3">
      <c r="A1729" s="4" t="s">
        <v>4050</v>
      </c>
      <c r="B1729" s="4" t="s">
        <v>1579</v>
      </c>
      <c r="C1729" s="4">
        <v>9970670161</v>
      </c>
      <c r="D1729" s="4" t="s">
        <v>59</v>
      </c>
      <c r="E1729" s="4" t="s">
        <v>41</v>
      </c>
      <c r="F1729" s="4" t="s">
        <v>92</v>
      </c>
      <c r="G1729" s="4" t="s">
        <v>1735</v>
      </c>
      <c r="H1729" s="4" t="s">
        <v>4044</v>
      </c>
      <c r="I1729" s="2" t="str">
        <f t="shared" si="130"/>
        <v>Jul</v>
      </c>
      <c r="J1729" s="2">
        <f t="shared" si="131"/>
        <v>7</v>
      </c>
      <c r="K1729" s="2">
        <f t="shared" si="132"/>
        <v>2025</v>
      </c>
      <c r="L1729" s="2">
        <f t="shared" si="133"/>
        <v>3</v>
      </c>
      <c r="M1729" s="4">
        <v>9</v>
      </c>
      <c r="N1729" s="4" t="s">
        <v>4051</v>
      </c>
      <c r="O1729" s="4" t="s">
        <v>27</v>
      </c>
      <c r="P1729" s="5">
        <v>1830811</v>
      </c>
      <c r="Q1729" s="4"/>
      <c r="R1729" s="4"/>
      <c r="S1729" s="4" t="s">
        <v>5573</v>
      </c>
      <c r="T1729" s="4">
        <v>27.9</v>
      </c>
      <c r="U1729" s="4" t="s">
        <v>29</v>
      </c>
      <c r="V1729" s="4" t="s">
        <v>153</v>
      </c>
      <c r="W1729" s="67" t="str">
        <f t="shared" si="134"/>
        <v>-</v>
      </c>
    </row>
    <row r="1730" spans="1:23" x14ac:dyDescent="0.3">
      <c r="A1730" s="8" t="s">
        <v>4052</v>
      </c>
      <c r="B1730" s="8" t="s">
        <v>4053</v>
      </c>
      <c r="C1730" s="8">
        <v>9913273570</v>
      </c>
      <c r="D1730" s="8" t="s">
        <v>59</v>
      </c>
      <c r="E1730" s="8" t="s">
        <v>1632</v>
      </c>
      <c r="F1730" s="8" t="s">
        <v>1659</v>
      </c>
      <c r="G1730" s="8" t="s">
        <v>616</v>
      </c>
      <c r="H1730" s="8" t="s">
        <v>4044</v>
      </c>
      <c r="I1730" s="2" t="str">
        <f t="shared" ref="I1730:I1793" si="135">TEXT(H1730,"mmm")</f>
        <v>Jul</v>
      </c>
      <c r="J1730" s="2">
        <f t="shared" ref="J1730:J1793" si="136">MONTH(H1730)</f>
        <v>7</v>
      </c>
      <c r="K1730" s="2">
        <f t="shared" ref="K1730:K1793" si="137">YEAR(H1730)</f>
        <v>2025</v>
      </c>
      <c r="L1730" s="2">
        <f t="shared" ref="L1730:L1793" si="138">ROUNDUP(MONTH(H1730)/3,0)</f>
        <v>3</v>
      </c>
      <c r="M1730" s="8">
        <v>11</v>
      </c>
      <c r="N1730" s="8" t="s">
        <v>4054</v>
      </c>
      <c r="O1730" s="8" t="s">
        <v>45</v>
      </c>
      <c r="P1730" s="9">
        <v>307403</v>
      </c>
      <c r="Q1730" s="8"/>
      <c r="R1730" s="8"/>
      <c r="S1730" s="8" t="s">
        <v>5573</v>
      </c>
      <c r="T1730" s="8">
        <v>32.6</v>
      </c>
      <c r="U1730" s="8" t="s">
        <v>63</v>
      </c>
      <c r="V1730" s="8" t="s">
        <v>260</v>
      </c>
      <c r="W1730" s="67" t="str">
        <f t="shared" ref="W1730:W1793" si="139">IF($O1730&lt;&gt;"Converted","-",IF(ISNUMBER(SEARCH("Architect",$F1730)),"Architect","Customer"))</f>
        <v>-</v>
      </c>
    </row>
    <row r="1731" spans="1:23" x14ac:dyDescent="0.3">
      <c r="A1731" s="8" t="s">
        <v>4055</v>
      </c>
      <c r="B1731" s="8" t="s">
        <v>4056</v>
      </c>
      <c r="C1731" s="8">
        <v>9550874397</v>
      </c>
      <c r="D1731" s="8" t="s">
        <v>20</v>
      </c>
      <c r="E1731" s="8" t="s">
        <v>1632</v>
      </c>
      <c r="F1731" s="8" t="s">
        <v>1717</v>
      </c>
      <c r="G1731" s="8" t="s">
        <v>23</v>
      </c>
      <c r="H1731" s="8" t="s">
        <v>3954</v>
      </c>
      <c r="I1731" s="2" t="str">
        <f t="shared" si="135"/>
        <v>Jul</v>
      </c>
      <c r="J1731" s="2">
        <f t="shared" si="136"/>
        <v>7</v>
      </c>
      <c r="K1731" s="2">
        <f t="shared" si="137"/>
        <v>2025</v>
      </c>
      <c r="L1731" s="2">
        <f t="shared" si="138"/>
        <v>3</v>
      </c>
      <c r="M1731" s="8">
        <v>11</v>
      </c>
      <c r="N1731" s="8" t="s">
        <v>4030</v>
      </c>
      <c r="O1731" s="8" t="s">
        <v>27</v>
      </c>
      <c r="P1731" s="9">
        <v>583466</v>
      </c>
      <c r="Q1731" s="8"/>
      <c r="R1731" s="8"/>
      <c r="S1731" s="8" t="s">
        <v>5574</v>
      </c>
      <c r="T1731" s="8">
        <v>25.2</v>
      </c>
      <c r="U1731" s="8" t="s">
        <v>47</v>
      </c>
      <c r="V1731" s="8" t="s">
        <v>163</v>
      </c>
      <c r="W1731" s="67" t="str">
        <f t="shared" si="139"/>
        <v>-</v>
      </c>
    </row>
    <row r="1732" spans="1:23" x14ac:dyDescent="0.3">
      <c r="A1732" s="8" t="s">
        <v>4057</v>
      </c>
      <c r="B1732" s="8" t="s">
        <v>2997</v>
      </c>
      <c r="C1732" s="8">
        <v>9853526776</v>
      </c>
      <c r="D1732" s="8" t="s">
        <v>121</v>
      </c>
      <c r="E1732" s="8" t="s">
        <v>1632</v>
      </c>
      <c r="F1732" s="8" t="s">
        <v>1717</v>
      </c>
      <c r="G1732" s="8" t="s">
        <v>643</v>
      </c>
      <c r="H1732" s="8" t="s">
        <v>3954</v>
      </c>
      <c r="I1732" s="2" t="str">
        <f t="shared" si="135"/>
        <v>Jul</v>
      </c>
      <c r="J1732" s="2">
        <f t="shared" si="136"/>
        <v>7</v>
      </c>
      <c r="K1732" s="2">
        <f t="shared" si="137"/>
        <v>2025</v>
      </c>
      <c r="L1732" s="2">
        <f t="shared" si="138"/>
        <v>3</v>
      </c>
      <c r="M1732" s="8">
        <v>11</v>
      </c>
      <c r="N1732" s="8" t="s">
        <v>4058</v>
      </c>
      <c r="O1732" s="8" t="s">
        <v>97</v>
      </c>
      <c r="P1732" s="9">
        <v>1433567</v>
      </c>
      <c r="Q1732" s="9">
        <v>1338133</v>
      </c>
      <c r="R1732" s="8" t="s">
        <v>4059</v>
      </c>
      <c r="S1732" s="8" t="s">
        <v>5819</v>
      </c>
      <c r="T1732" s="8">
        <v>27.6</v>
      </c>
      <c r="U1732" s="8" t="s">
        <v>63</v>
      </c>
      <c r="V1732" s="8" t="s">
        <v>113</v>
      </c>
      <c r="W1732" s="67" t="str">
        <f t="shared" si="139"/>
        <v>Customer</v>
      </c>
    </row>
    <row r="1733" spans="1:23" x14ac:dyDescent="0.3">
      <c r="A1733" s="4" t="s">
        <v>4060</v>
      </c>
      <c r="B1733" s="4" t="s">
        <v>4061</v>
      </c>
      <c r="C1733" s="4">
        <v>9305625712</v>
      </c>
      <c r="D1733" s="4" t="s">
        <v>121</v>
      </c>
      <c r="E1733" s="4" t="s">
        <v>648</v>
      </c>
      <c r="F1733" s="4" t="s">
        <v>899</v>
      </c>
      <c r="G1733" s="4" t="s">
        <v>52</v>
      </c>
      <c r="H1733" s="4" t="s">
        <v>3954</v>
      </c>
      <c r="I1733" s="2" t="str">
        <f t="shared" si="135"/>
        <v>Jul</v>
      </c>
      <c r="J1733" s="2">
        <f t="shared" si="136"/>
        <v>7</v>
      </c>
      <c r="K1733" s="2">
        <f t="shared" si="137"/>
        <v>2025</v>
      </c>
      <c r="L1733" s="2">
        <f t="shared" si="138"/>
        <v>3</v>
      </c>
      <c r="M1733" s="4">
        <v>9</v>
      </c>
      <c r="N1733" s="4" t="s">
        <v>4062</v>
      </c>
      <c r="O1733" s="4" t="s">
        <v>27</v>
      </c>
      <c r="P1733" s="5">
        <v>185829</v>
      </c>
      <c r="Q1733" s="4"/>
      <c r="R1733" s="4"/>
      <c r="S1733" s="4" t="s">
        <v>5573</v>
      </c>
      <c r="T1733" s="4">
        <v>4.3</v>
      </c>
      <c r="U1733" s="4" t="s">
        <v>47</v>
      </c>
      <c r="V1733" s="4" t="s">
        <v>153</v>
      </c>
      <c r="W1733" s="67" t="str">
        <f t="shared" si="139"/>
        <v>-</v>
      </c>
    </row>
    <row r="1734" spans="1:23" x14ac:dyDescent="0.3">
      <c r="A1734" s="6" t="s">
        <v>4063</v>
      </c>
      <c r="B1734" s="6" t="s">
        <v>1118</v>
      </c>
      <c r="C1734" s="6">
        <v>9377755785</v>
      </c>
      <c r="D1734" s="6" t="s">
        <v>20</v>
      </c>
      <c r="E1734" s="6" t="s">
        <v>41</v>
      </c>
      <c r="F1734" s="6" t="s">
        <v>42</v>
      </c>
      <c r="G1734" s="6" t="s">
        <v>616</v>
      </c>
      <c r="H1734" s="6" t="s">
        <v>3954</v>
      </c>
      <c r="I1734" s="2" t="str">
        <f t="shared" si="135"/>
        <v>Jul</v>
      </c>
      <c r="J1734" s="2">
        <f t="shared" si="136"/>
        <v>7</v>
      </c>
      <c r="K1734" s="2">
        <f t="shared" si="137"/>
        <v>2025</v>
      </c>
      <c r="L1734" s="2">
        <f t="shared" si="138"/>
        <v>3</v>
      </c>
      <c r="M1734" s="6">
        <v>5</v>
      </c>
      <c r="N1734" s="6" t="s">
        <v>4064</v>
      </c>
      <c r="O1734" s="6" t="s">
        <v>97</v>
      </c>
      <c r="P1734" s="7">
        <v>212138</v>
      </c>
      <c r="Q1734" s="7">
        <v>217794</v>
      </c>
      <c r="R1734" s="6" t="s">
        <v>4065</v>
      </c>
      <c r="S1734" s="6" t="s">
        <v>5573</v>
      </c>
      <c r="T1734" s="6">
        <v>4.4000000000000004</v>
      </c>
      <c r="U1734" s="6" t="s">
        <v>47</v>
      </c>
      <c r="V1734" s="6" t="s">
        <v>113</v>
      </c>
      <c r="W1734" s="67" t="str">
        <f t="shared" si="139"/>
        <v>Customer</v>
      </c>
    </row>
    <row r="1735" spans="1:23" x14ac:dyDescent="0.3">
      <c r="A1735" s="4" t="s">
        <v>4066</v>
      </c>
      <c r="B1735" s="4" t="s">
        <v>1693</v>
      </c>
      <c r="C1735" s="4">
        <v>9132879120</v>
      </c>
      <c r="D1735" s="4" t="s">
        <v>108</v>
      </c>
      <c r="E1735" s="4" t="s">
        <v>1632</v>
      </c>
      <c r="F1735" s="4" t="s">
        <v>1633</v>
      </c>
      <c r="G1735" s="4" t="s">
        <v>1599</v>
      </c>
      <c r="H1735" s="4" t="s">
        <v>3954</v>
      </c>
      <c r="I1735" s="2" t="str">
        <f t="shared" si="135"/>
        <v>Jul</v>
      </c>
      <c r="J1735" s="2">
        <f t="shared" si="136"/>
        <v>7</v>
      </c>
      <c r="K1735" s="2">
        <f t="shared" si="137"/>
        <v>2025</v>
      </c>
      <c r="L1735" s="2">
        <f t="shared" si="138"/>
        <v>3</v>
      </c>
      <c r="M1735" s="4">
        <v>1</v>
      </c>
      <c r="N1735" s="4" t="s">
        <v>4005</v>
      </c>
      <c r="O1735" s="4" t="s">
        <v>62</v>
      </c>
      <c r="P1735" s="5">
        <v>840513</v>
      </c>
      <c r="Q1735" s="4"/>
      <c r="R1735" s="4"/>
      <c r="S1735" s="4" t="s">
        <v>5573</v>
      </c>
      <c r="T1735" s="4">
        <v>26.2</v>
      </c>
      <c r="U1735" s="4" t="s">
        <v>47</v>
      </c>
      <c r="V1735" s="4" t="s">
        <v>137</v>
      </c>
      <c r="W1735" s="67" t="str">
        <f t="shared" si="139"/>
        <v>-</v>
      </c>
    </row>
    <row r="1736" spans="1:23" x14ac:dyDescent="0.3">
      <c r="A1736" s="6" t="s">
        <v>4067</v>
      </c>
      <c r="B1736" s="6" t="s">
        <v>2571</v>
      </c>
      <c r="C1736" s="6">
        <v>9320696200</v>
      </c>
      <c r="D1736" s="6" t="s">
        <v>59</v>
      </c>
      <c r="E1736" s="6" t="s">
        <v>1632</v>
      </c>
      <c r="F1736" s="6" t="s">
        <v>1633</v>
      </c>
      <c r="G1736" s="6" t="s">
        <v>643</v>
      </c>
      <c r="H1736" s="6" t="s">
        <v>3954</v>
      </c>
      <c r="I1736" s="2" t="str">
        <f t="shared" si="135"/>
        <v>Jul</v>
      </c>
      <c r="J1736" s="2">
        <f t="shared" si="136"/>
        <v>7</v>
      </c>
      <c r="K1736" s="2">
        <f t="shared" si="137"/>
        <v>2025</v>
      </c>
      <c r="L1736" s="2">
        <f t="shared" si="138"/>
        <v>3</v>
      </c>
      <c r="M1736" s="6">
        <v>7</v>
      </c>
      <c r="N1736" s="6" t="s">
        <v>4051</v>
      </c>
      <c r="O1736" s="6" t="s">
        <v>97</v>
      </c>
      <c r="P1736" s="7">
        <v>972945</v>
      </c>
      <c r="Q1736" s="7">
        <v>917581</v>
      </c>
      <c r="R1736" s="6" t="s">
        <v>4068</v>
      </c>
      <c r="S1736" s="6" t="s">
        <v>5574</v>
      </c>
      <c r="T1736" s="6">
        <v>31.6</v>
      </c>
      <c r="U1736" s="6" t="s">
        <v>47</v>
      </c>
      <c r="V1736" s="6"/>
      <c r="W1736" s="67" t="str">
        <f t="shared" si="139"/>
        <v>Customer</v>
      </c>
    </row>
    <row r="1737" spans="1:23" x14ac:dyDescent="0.3">
      <c r="A1737" s="4" t="s">
        <v>4069</v>
      </c>
      <c r="B1737" s="4" t="s">
        <v>1528</v>
      </c>
      <c r="C1737" s="4">
        <v>9611990049</v>
      </c>
      <c r="D1737" s="4" t="s">
        <v>59</v>
      </c>
      <c r="E1737" s="4" t="s">
        <v>73</v>
      </c>
      <c r="F1737" s="4" t="s">
        <v>74</v>
      </c>
      <c r="G1737" s="4" t="s">
        <v>52</v>
      </c>
      <c r="H1737" s="4" t="s">
        <v>3896</v>
      </c>
      <c r="I1737" s="2" t="str">
        <f t="shared" si="135"/>
        <v>Jul</v>
      </c>
      <c r="J1737" s="2">
        <f t="shared" si="136"/>
        <v>7</v>
      </c>
      <c r="K1737" s="2">
        <f t="shared" si="137"/>
        <v>2025</v>
      </c>
      <c r="L1737" s="2">
        <f t="shared" si="138"/>
        <v>3</v>
      </c>
      <c r="M1737" s="4">
        <v>2</v>
      </c>
      <c r="N1737" s="4" t="s">
        <v>3949</v>
      </c>
      <c r="O1737" s="4" t="s">
        <v>27</v>
      </c>
      <c r="P1737" s="5">
        <v>222435</v>
      </c>
      <c r="Q1737" s="4"/>
      <c r="R1737" s="4"/>
      <c r="S1737" s="4" t="s">
        <v>5819</v>
      </c>
      <c r="T1737" s="4">
        <v>1.1000000000000001</v>
      </c>
      <c r="U1737" s="4" t="s">
        <v>47</v>
      </c>
      <c r="V1737" s="4" t="s">
        <v>163</v>
      </c>
      <c r="W1737" s="67" t="str">
        <f t="shared" si="139"/>
        <v>-</v>
      </c>
    </row>
    <row r="1738" spans="1:23" x14ac:dyDescent="0.3">
      <c r="A1738" s="6" t="s">
        <v>4070</v>
      </c>
      <c r="B1738" s="6" t="s">
        <v>540</v>
      </c>
      <c r="C1738" s="6">
        <v>9281784499</v>
      </c>
      <c r="D1738" s="6" t="s">
        <v>108</v>
      </c>
      <c r="E1738" s="6" t="s">
        <v>641</v>
      </c>
      <c r="F1738" s="6" t="s">
        <v>717</v>
      </c>
      <c r="G1738" s="6" t="s">
        <v>1609</v>
      </c>
      <c r="H1738" s="6" t="s">
        <v>3896</v>
      </c>
      <c r="I1738" s="2" t="str">
        <f t="shared" si="135"/>
        <v>Jul</v>
      </c>
      <c r="J1738" s="2">
        <f t="shared" si="136"/>
        <v>7</v>
      </c>
      <c r="K1738" s="2">
        <f t="shared" si="137"/>
        <v>2025</v>
      </c>
      <c r="L1738" s="2">
        <f t="shared" si="138"/>
        <v>3</v>
      </c>
      <c r="M1738" s="6">
        <v>0</v>
      </c>
      <c r="N1738" s="6" t="s">
        <v>4071</v>
      </c>
      <c r="O1738" s="6" t="s">
        <v>97</v>
      </c>
      <c r="P1738" s="7">
        <v>389033</v>
      </c>
      <c r="Q1738" s="7">
        <v>371951</v>
      </c>
      <c r="R1738" s="6" t="s">
        <v>4072</v>
      </c>
      <c r="S1738" s="6" t="s">
        <v>5574</v>
      </c>
      <c r="T1738" s="6">
        <v>19.600000000000001</v>
      </c>
      <c r="U1738" s="6" t="s">
        <v>63</v>
      </c>
      <c r="V1738" s="6" t="s">
        <v>286</v>
      </c>
      <c r="W1738" s="67" t="str">
        <f t="shared" si="139"/>
        <v>Customer</v>
      </c>
    </row>
    <row r="1739" spans="1:23" x14ac:dyDescent="0.3">
      <c r="A1739" s="6" t="s">
        <v>4073</v>
      </c>
      <c r="B1739" s="6" t="s">
        <v>1833</v>
      </c>
      <c r="C1739" s="6">
        <v>9866390862</v>
      </c>
      <c r="D1739" s="6" t="s">
        <v>121</v>
      </c>
      <c r="E1739" s="6" t="s">
        <v>41</v>
      </c>
      <c r="F1739" s="6" t="s">
        <v>92</v>
      </c>
      <c r="G1739" s="6" t="s">
        <v>1609</v>
      </c>
      <c r="H1739" s="6" t="s">
        <v>3896</v>
      </c>
      <c r="I1739" s="2" t="str">
        <f t="shared" si="135"/>
        <v>Jul</v>
      </c>
      <c r="J1739" s="2">
        <f t="shared" si="136"/>
        <v>7</v>
      </c>
      <c r="K1739" s="2">
        <f t="shared" si="137"/>
        <v>2025</v>
      </c>
      <c r="L1739" s="2">
        <f t="shared" si="138"/>
        <v>3</v>
      </c>
      <c r="M1739" s="6">
        <v>11</v>
      </c>
      <c r="N1739" s="6" t="s">
        <v>4033</v>
      </c>
      <c r="O1739" s="6" t="s">
        <v>97</v>
      </c>
      <c r="P1739" s="7">
        <v>538739</v>
      </c>
      <c r="Q1739" s="7">
        <v>516247</v>
      </c>
      <c r="R1739" s="6" t="s">
        <v>4074</v>
      </c>
      <c r="S1739" s="6" t="s">
        <v>5574</v>
      </c>
      <c r="T1739" s="6">
        <v>6.6</v>
      </c>
      <c r="U1739" s="6" t="s">
        <v>63</v>
      </c>
      <c r="V1739" s="6" t="s">
        <v>113</v>
      </c>
      <c r="W1739" s="67" t="str">
        <f t="shared" si="139"/>
        <v>Customer</v>
      </c>
    </row>
    <row r="1740" spans="1:23" x14ac:dyDescent="0.3">
      <c r="A1740" s="2" t="s">
        <v>4075</v>
      </c>
      <c r="B1740" s="2" t="s">
        <v>4076</v>
      </c>
      <c r="C1740" s="2">
        <v>9444300978</v>
      </c>
      <c r="D1740" s="2" t="s">
        <v>20</v>
      </c>
      <c r="E1740" s="2" t="s">
        <v>641</v>
      </c>
      <c r="F1740" s="2" t="s">
        <v>727</v>
      </c>
      <c r="G1740" s="2" t="s">
        <v>87</v>
      </c>
      <c r="H1740" s="2" t="s">
        <v>3952</v>
      </c>
      <c r="I1740" s="2" t="str">
        <f t="shared" si="135"/>
        <v>Jul</v>
      </c>
      <c r="J1740" s="2">
        <f t="shared" si="136"/>
        <v>7</v>
      </c>
      <c r="K1740" s="2">
        <f t="shared" si="137"/>
        <v>2025</v>
      </c>
      <c r="L1740" s="2">
        <f t="shared" si="138"/>
        <v>3</v>
      </c>
      <c r="M1740" s="2">
        <v>10</v>
      </c>
      <c r="N1740" s="2" t="s">
        <v>4039</v>
      </c>
      <c r="O1740" s="2" t="s">
        <v>55</v>
      </c>
      <c r="P1740" s="3">
        <v>123816</v>
      </c>
      <c r="Q1740" s="2"/>
      <c r="R1740" s="2"/>
      <c r="S1740" s="2" t="s">
        <v>5574</v>
      </c>
      <c r="T1740" s="2">
        <v>24.3</v>
      </c>
      <c r="U1740" s="2" t="s">
        <v>47</v>
      </c>
      <c r="V1740" s="2" t="s">
        <v>174</v>
      </c>
      <c r="W1740" s="67" t="str">
        <f t="shared" si="139"/>
        <v>-</v>
      </c>
    </row>
    <row r="1741" spans="1:23" x14ac:dyDescent="0.3">
      <c r="A1741" s="4" t="s">
        <v>4077</v>
      </c>
      <c r="B1741" s="4" t="s">
        <v>689</v>
      </c>
      <c r="C1741" s="4">
        <v>9142262603</v>
      </c>
      <c r="D1741" s="4" t="s">
        <v>20</v>
      </c>
      <c r="E1741" s="4" t="s">
        <v>641</v>
      </c>
      <c r="F1741" s="4" t="s">
        <v>642</v>
      </c>
      <c r="G1741" s="4" t="s">
        <v>1609</v>
      </c>
      <c r="H1741" s="4" t="s">
        <v>3952</v>
      </c>
      <c r="I1741" s="2" t="str">
        <f t="shared" si="135"/>
        <v>Jul</v>
      </c>
      <c r="J1741" s="2">
        <f t="shared" si="136"/>
        <v>7</v>
      </c>
      <c r="K1741" s="2">
        <f t="shared" si="137"/>
        <v>2025</v>
      </c>
      <c r="L1741" s="2">
        <f t="shared" si="138"/>
        <v>3</v>
      </c>
      <c r="M1741" s="4">
        <v>1</v>
      </c>
      <c r="N1741" s="4" t="s">
        <v>4005</v>
      </c>
      <c r="O1741" s="4" t="s">
        <v>45</v>
      </c>
      <c r="P1741" s="5">
        <v>429208</v>
      </c>
      <c r="Q1741" s="4"/>
      <c r="R1741" s="4"/>
      <c r="S1741" s="4" t="s">
        <v>5573</v>
      </c>
      <c r="T1741" s="4">
        <v>12.5</v>
      </c>
      <c r="U1741" s="4" t="s">
        <v>47</v>
      </c>
      <c r="V1741" s="4" t="s">
        <v>77</v>
      </c>
      <c r="W1741" s="67" t="str">
        <f t="shared" si="139"/>
        <v>-</v>
      </c>
    </row>
    <row r="1742" spans="1:23" x14ac:dyDescent="0.3">
      <c r="A1742" s="6" t="s">
        <v>4078</v>
      </c>
      <c r="B1742" s="6" t="s">
        <v>3698</v>
      </c>
      <c r="C1742" s="6">
        <v>9126729712</v>
      </c>
      <c r="D1742" s="6" t="s">
        <v>20</v>
      </c>
      <c r="E1742" s="6" t="s">
        <v>41</v>
      </c>
      <c r="F1742" s="6" t="s">
        <v>151</v>
      </c>
      <c r="G1742" s="6" t="s">
        <v>1623</v>
      </c>
      <c r="H1742" s="6" t="s">
        <v>3952</v>
      </c>
      <c r="I1742" s="2" t="str">
        <f t="shared" si="135"/>
        <v>Jul</v>
      </c>
      <c r="J1742" s="2">
        <f t="shared" si="136"/>
        <v>7</v>
      </c>
      <c r="K1742" s="2">
        <f t="shared" si="137"/>
        <v>2025</v>
      </c>
      <c r="L1742" s="2">
        <f t="shared" si="138"/>
        <v>3</v>
      </c>
      <c r="M1742" s="6">
        <v>7</v>
      </c>
      <c r="N1742" s="6" t="s">
        <v>4079</v>
      </c>
      <c r="O1742" s="6" t="s">
        <v>97</v>
      </c>
      <c r="P1742" s="7">
        <v>240123</v>
      </c>
      <c r="Q1742" s="7">
        <v>223289</v>
      </c>
      <c r="R1742" s="6" t="s">
        <v>4080</v>
      </c>
      <c r="S1742" s="6" t="s">
        <v>5574</v>
      </c>
      <c r="T1742" s="6">
        <v>10</v>
      </c>
      <c r="U1742" s="6" t="s">
        <v>47</v>
      </c>
      <c r="V1742" s="6" t="s">
        <v>465</v>
      </c>
      <c r="W1742" s="67" t="str">
        <f t="shared" si="139"/>
        <v>Architect</v>
      </c>
    </row>
    <row r="1743" spans="1:23" x14ac:dyDescent="0.3">
      <c r="A1743" s="6" t="s">
        <v>4081</v>
      </c>
      <c r="B1743" s="6" t="s">
        <v>1848</v>
      </c>
      <c r="C1743" s="6">
        <v>9936002765</v>
      </c>
      <c r="D1743" s="6" t="s">
        <v>20</v>
      </c>
      <c r="E1743" s="6" t="s">
        <v>109</v>
      </c>
      <c r="F1743" s="6" t="s">
        <v>217</v>
      </c>
      <c r="G1743" s="6" t="s">
        <v>3302</v>
      </c>
      <c r="H1743" s="6" t="s">
        <v>3952</v>
      </c>
      <c r="I1743" s="2" t="str">
        <f t="shared" si="135"/>
        <v>Jul</v>
      </c>
      <c r="J1743" s="2">
        <f t="shared" si="136"/>
        <v>7</v>
      </c>
      <c r="K1743" s="2">
        <f t="shared" si="137"/>
        <v>2025</v>
      </c>
      <c r="L1743" s="2">
        <f t="shared" si="138"/>
        <v>3</v>
      </c>
      <c r="M1743" s="6">
        <v>1</v>
      </c>
      <c r="N1743" s="6" t="s">
        <v>3902</v>
      </c>
      <c r="O1743" s="6" t="s">
        <v>97</v>
      </c>
      <c r="P1743" s="7">
        <v>2133417</v>
      </c>
      <c r="Q1743" s="7">
        <v>1884376</v>
      </c>
      <c r="R1743" s="6" t="s">
        <v>4082</v>
      </c>
      <c r="S1743" s="6" t="s">
        <v>5819</v>
      </c>
      <c r="T1743" s="6">
        <v>15.2</v>
      </c>
      <c r="U1743" s="6" t="s">
        <v>63</v>
      </c>
      <c r="V1743" s="6" t="s">
        <v>170</v>
      </c>
      <c r="W1743" s="67" t="str">
        <f t="shared" si="139"/>
        <v>Customer</v>
      </c>
    </row>
    <row r="1744" spans="1:23" x14ac:dyDescent="0.3">
      <c r="A1744" s="6" t="s">
        <v>4083</v>
      </c>
      <c r="B1744" s="6" t="s">
        <v>4084</v>
      </c>
      <c r="C1744" s="6">
        <v>9311763175</v>
      </c>
      <c r="D1744" s="6" t="s">
        <v>51</v>
      </c>
      <c r="E1744" s="6" t="s">
        <v>73</v>
      </c>
      <c r="F1744" s="6" t="s">
        <v>126</v>
      </c>
      <c r="G1744" s="6" t="s">
        <v>1623</v>
      </c>
      <c r="H1744" s="6" t="s">
        <v>3995</v>
      </c>
      <c r="I1744" s="2" t="str">
        <f t="shared" si="135"/>
        <v>Jul</v>
      </c>
      <c r="J1744" s="2">
        <f t="shared" si="136"/>
        <v>7</v>
      </c>
      <c r="K1744" s="2">
        <f t="shared" si="137"/>
        <v>2025</v>
      </c>
      <c r="L1744" s="2">
        <f t="shared" si="138"/>
        <v>3</v>
      </c>
      <c r="M1744" s="6">
        <v>2</v>
      </c>
      <c r="N1744" s="6" t="s">
        <v>3949</v>
      </c>
      <c r="O1744" s="6" t="s">
        <v>97</v>
      </c>
      <c r="P1744" s="7">
        <v>303224</v>
      </c>
      <c r="Q1744" s="7">
        <v>269703</v>
      </c>
      <c r="R1744" s="6" t="s">
        <v>4085</v>
      </c>
      <c r="S1744" s="6" t="s">
        <v>5819</v>
      </c>
      <c r="T1744" s="6">
        <v>32.299999999999997</v>
      </c>
      <c r="U1744" s="6" t="s">
        <v>47</v>
      </c>
      <c r="V1744" s="6" t="s">
        <v>341</v>
      </c>
      <c r="W1744" s="67" t="str">
        <f t="shared" si="139"/>
        <v>Customer</v>
      </c>
    </row>
    <row r="1745" spans="1:23" x14ac:dyDescent="0.3">
      <c r="A1745" s="8" t="s">
        <v>4086</v>
      </c>
      <c r="B1745" s="8" t="s">
        <v>4087</v>
      </c>
      <c r="C1745" s="8">
        <v>9718590452</v>
      </c>
      <c r="D1745" s="8" t="s">
        <v>59</v>
      </c>
      <c r="E1745" s="8" t="s">
        <v>109</v>
      </c>
      <c r="F1745" s="8" t="s">
        <v>217</v>
      </c>
      <c r="G1745" s="8" t="s">
        <v>52</v>
      </c>
      <c r="H1745" s="8" t="s">
        <v>3935</v>
      </c>
      <c r="I1745" s="2" t="str">
        <f t="shared" si="135"/>
        <v>Jul</v>
      </c>
      <c r="J1745" s="2">
        <f t="shared" si="136"/>
        <v>7</v>
      </c>
      <c r="K1745" s="2">
        <f t="shared" si="137"/>
        <v>2025</v>
      </c>
      <c r="L1745" s="2">
        <f t="shared" si="138"/>
        <v>3</v>
      </c>
      <c r="M1745" s="8">
        <v>8</v>
      </c>
      <c r="N1745" s="8" t="s">
        <v>4030</v>
      </c>
      <c r="O1745" s="8" t="s">
        <v>27</v>
      </c>
      <c r="P1745" s="9">
        <v>196847</v>
      </c>
      <c r="Q1745" s="8"/>
      <c r="R1745" s="8"/>
      <c r="S1745" s="8" t="s">
        <v>5819</v>
      </c>
      <c r="T1745" s="8">
        <v>9.3000000000000007</v>
      </c>
      <c r="U1745" s="8" t="s">
        <v>47</v>
      </c>
      <c r="V1745" s="8" t="s">
        <v>157</v>
      </c>
      <c r="W1745" s="67" t="str">
        <f t="shared" si="139"/>
        <v>-</v>
      </c>
    </row>
    <row r="1746" spans="1:23" x14ac:dyDescent="0.3">
      <c r="A1746" s="2" t="s">
        <v>4088</v>
      </c>
      <c r="B1746" s="2" t="s">
        <v>4089</v>
      </c>
      <c r="C1746" s="2">
        <v>9296359490</v>
      </c>
      <c r="D1746" s="2" t="s">
        <v>59</v>
      </c>
      <c r="E1746" s="2" t="s">
        <v>1632</v>
      </c>
      <c r="F1746" s="2" t="s">
        <v>1694</v>
      </c>
      <c r="G1746" s="2" t="s">
        <v>1621</v>
      </c>
      <c r="H1746" s="2" t="s">
        <v>3935</v>
      </c>
      <c r="I1746" s="2" t="str">
        <f t="shared" si="135"/>
        <v>Jul</v>
      </c>
      <c r="J1746" s="2">
        <f t="shared" si="136"/>
        <v>7</v>
      </c>
      <c r="K1746" s="2">
        <f t="shared" si="137"/>
        <v>2025</v>
      </c>
      <c r="L1746" s="2">
        <f t="shared" si="138"/>
        <v>3</v>
      </c>
      <c r="M1746" s="2">
        <v>2</v>
      </c>
      <c r="N1746" s="2" t="s">
        <v>3999</v>
      </c>
      <c r="O1746" s="2" t="s">
        <v>27</v>
      </c>
      <c r="P1746" s="3">
        <v>374289</v>
      </c>
      <c r="Q1746" s="2"/>
      <c r="R1746" s="2"/>
      <c r="S1746" s="2" t="s">
        <v>5819</v>
      </c>
      <c r="T1746" s="2">
        <v>14.5</v>
      </c>
      <c r="U1746" s="2" t="s">
        <v>29</v>
      </c>
      <c r="V1746" s="2" t="s">
        <v>30</v>
      </c>
      <c r="W1746" s="67" t="str">
        <f t="shared" si="139"/>
        <v>-</v>
      </c>
    </row>
    <row r="1747" spans="1:23" x14ac:dyDescent="0.3">
      <c r="A1747" s="4" t="s">
        <v>4090</v>
      </c>
      <c r="B1747" s="4" t="s">
        <v>2333</v>
      </c>
      <c r="C1747" s="4">
        <v>9204116448</v>
      </c>
      <c r="D1747" s="4" t="s">
        <v>121</v>
      </c>
      <c r="E1747" s="4" t="s">
        <v>1632</v>
      </c>
      <c r="F1747" s="4" t="s">
        <v>1633</v>
      </c>
      <c r="G1747" s="4" t="s">
        <v>1599</v>
      </c>
      <c r="H1747" s="4" t="s">
        <v>3912</v>
      </c>
      <c r="I1747" s="2" t="str">
        <f t="shared" si="135"/>
        <v>Jul</v>
      </c>
      <c r="J1747" s="2">
        <f t="shared" si="136"/>
        <v>7</v>
      </c>
      <c r="K1747" s="2">
        <f t="shared" si="137"/>
        <v>2025</v>
      </c>
      <c r="L1747" s="2">
        <f t="shared" si="138"/>
        <v>3</v>
      </c>
      <c r="M1747" s="4">
        <v>5</v>
      </c>
      <c r="N1747" s="4" t="s">
        <v>4009</v>
      </c>
      <c r="O1747" s="4" t="s">
        <v>27</v>
      </c>
      <c r="P1747" s="5">
        <v>1071031</v>
      </c>
      <c r="Q1747" s="4"/>
      <c r="R1747" s="4"/>
      <c r="S1747" s="4" t="s">
        <v>5574</v>
      </c>
      <c r="T1747" s="4">
        <v>12.6</v>
      </c>
      <c r="U1747" s="4" t="s">
        <v>29</v>
      </c>
      <c r="V1747" s="4" t="s">
        <v>118</v>
      </c>
      <c r="W1747" s="67" t="str">
        <f t="shared" si="139"/>
        <v>-</v>
      </c>
    </row>
    <row r="1748" spans="1:23" x14ac:dyDescent="0.3">
      <c r="A1748" s="2" t="s">
        <v>4091</v>
      </c>
      <c r="B1748" s="2" t="s">
        <v>4092</v>
      </c>
      <c r="C1748" s="2">
        <v>9873408373</v>
      </c>
      <c r="D1748" s="2" t="s">
        <v>20</v>
      </c>
      <c r="E1748" s="2" t="s">
        <v>1632</v>
      </c>
      <c r="F1748" s="2" t="s">
        <v>1849</v>
      </c>
      <c r="G1748" s="2" t="s">
        <v>52</v>
      </c>
      <c r="H1748" s="2" t="s">
        <v>3949</v>
      </c>
      <c r="I1748" s="2" t="str">
        <f t="shared" si="135"/>
        <v>Jul</v>
      </c>
      <c r="J1748" s="2">
        <f t="shared" si="136"/>
        <v>7</v>
      </c>
      <c r="K1748" s="2">
        <f t="shared" si="137"/>
        <v>2025</v>
      </c>
      <c r="L1748" s="2">
        <f t="shared" si="138"/>
        <v>3</v>
      </c>
      <c r="M1748" s="2">
        <v>10</v>
      </c>
      <c r="N1748" s="2" t="s">
        <v>4093</v>
      </c>
      <c r="O1748" s="2" t="s">
        <v>62</v>
      </c>
      <c r="P1748" s="3">
        <v>587902</v>
      </c>
      <c r="Q1748" s="2"/>
      <c r="R1748" s="2"/>
      <c r="S1748" s="2" t="s">
        <v>5819</v>
      </c>
      <c r="T1748" s="2">
        <v>20.7</v>
      </c>
      <c r="U1748" s="2" t="s">
        <v>63</v>
      </c>
      <c r="V1748" s="2" t="s">
        <v>335</v>
      </c>
      <c r="W1748" s="67" t="str">
        <f t="shared" si="139"/>
        <v>-</v>
      </c>
    </row>
    <row r="1749" spans="1:23" x14ac:dyDescent="0.3">
      <c r="A1749" s="4" t="s">
        <v>4094</v>
      </c>
      <c r="B1749" s="4" t="s">
        <v>3597</v>
      </c>
      <c r="C1749" s="4">
        <v>9455933673</v>
      </c>
      <c r="D1749" s="4" t="s">
        <v>121</v>
      </c>
      <c r="E1749" s="4" t="s">
        <v>1632</v>
      </c>
      <c r="F1749" s="4" t="s">
        <v>1694</v>
      </c>
      <c r="G1749" s="4" t="s">
        <v>1735</v>
      </c>
      <c r="H1749" s="4" t="s">
        <v>3949</v>
      </c>
      <c r="I1749" s="2" t="str">
        <f t="shared" si="135"/>
        <v>Jul</v>
      </c>
      <c r="J1749" s="2">
        <f t="shared" si="136"/>
        <v>7</v>
      </c>
      <c r="K1749" s="2">
        <f t="shared" si="137"/>
        <v>2025</v>
      </c>
      <c r="L1749" s="2">
        <f t="shared" si="138"/>
        <v>3</v>
      </c>
      <c r="M1749" s="4">
        <v>10</v>
      </c>
      <c r="N1749" s="4" t="s">
        <v>4095</v>
      </c>
      <c r="O1749" s="4" t="s">
        <v>55</v>
      </c>
      <c r="P1749" s="5">
        <v>1521883</v>
      </c>
      <c r="Q1749" s="4"/>
      <c r="R1749" s="4"/>
      <c r="S1749" s="4" t="s">
        <v>5819</v>
      </c>
      <c r="T1749" s="4">
        <v>1.9</v>
      </c>
      <c r="U1749" s="4" t="s">
        <v>47</v>
      </c>
      <c r="V1749" s="4" t="s">
        <v>302</v>
      </c>
      <c r="W1749" s="67" t="str">
        <f t="shared" si="139"/>
        <v>-</v>
      </c>
    </row>
    <row r="1750" spans="1:23" x14ac:dyDescent="0.3">
      <c r="A1750" s="6" t="s">
        <v>4096</v>
      </c>
      <c r="B1750" s="6" t="s">
        <v>2014</v>
      </c>
      <c r="C1750" s="6">
        <v>9135983523</v>
      </c>
      <c r="D1750" s="6" t="s">
        <v>51</v>
      </c>
      <c r="E1750" s="6" t="s">
        <v>1632</v>
      </c>
      <c r="F1750" s="6" t="s">
        <v>1633</v>
      </c>
      <c r="G1750" s="6" t="s">
        <v>69</v>
      </c>
      <c r="H1750" s="6" t="s">
        <v>4024</v>
      </c>
      <c r="I1750" s="2" t="str">
        <f t="shared" si="135"/>
        <v>Jul</v>
      </c>
      <c r="J1750" s="2">
        <f t="shared" si="136"/>
        <v>7</v>
      </c>
      <c r="K1750" s="2">
        <f t="shared" si="137"/>
        <v>2025</v>
      </c>
      <c r="L1750" s="2">
        <f t="shared" si="138"/>
        <v>3</v>
      </c>
      <c r="M1750" s="6">
        <v>9</v>
      </c>
      <c r="N1750" s="6" t="s">
        <v>4097</v>
      </c>
      <c r="O1750" s="6" t="s">
        <v>97</v>
      </c>
      <c r="P1750" s="7">
        <v>315782</v>
      </c>
      <c r="Q1750" s="7">
        <v>297410</v>
      </c>
      <c r="R1750" s="6" t="s">
        <v>4098</v>
      </c>
      <c r="S1750" s="6" t="s">
        <v>5574</v>
      </c>
      <c r="T1750" s="6">
        <v>11</v>
      </c>
      <c r="U1750" s="6" t="s">
        <v>63</v>
      </c>
      <c r="V1750" s="6" t="s">
        <v>243</v>
      </c>
      <c r="W1750" s="67" t="str">
        <f t="shared" si="139"/>
        <v>Customer</v>
      </c>
    </row>
    <row r="1751" spans="1:23" x14ac:dyDescent="0.3">
      <c r="A1751" s="4" t="s">
        <v>4099</v>
      </c>
      <c r="B1751" s="4" t="s">
        <v>3276</v>
      </c>
      <c r="C1751" s="4">
        <v>9850055508</v>
      </c>
      <c r="D1751" s="4" t="s">
        <v>20</v>
      </c>
      <c r="E1751" s="4" t="s">
        <v>1632</v>
      </c>
      <c r="F1751" s="4" t="s">
        <v>1659</v>
      </c>
      <c r="G1751" s="4" t="s">
        <v>643</v>
      </c>
      <c r="H1751" s="4" t="s">
        <v>4024</v>
      </c>
      <c r="I1751" s="2" t="str">
        <f t="shared" si="135"/>
        <v>Jul</v>
      </c>
      <c r="J1751" s="2">
        <f t="shared" si="136"/>
        <v>7</v>
      </c>
      <c r="K1751" s="2">
        <f t="shared" si="137"/>
        <v>2025</v>
      </c>
      <c r="L1751" s="2">
        <f t="shared" si="138"/>
        <v>3</v>
      </c>
      <c r="M1751" s="4">
        <v>7</v>
      </c>
      <c r="N1751" s="4" t="s">
        <v>4100</v>
      </c>
      <c r="O1751" s="4" t="s">
        <v>27</v>
      </c>
      <c r="P1751" s="5">
        <v>809866</v>
      </c>
      <c r="Q1751" s="4"/>
      <c r="R1751" s="4"/>
      <c r="S1751" s="4" t="s">
        <v>5574</v>
      </c>
      <c r="T1751" s="4">
        <v>27.5</v>
      </c>
      <c r="U1751" s="4" t="s">
        <v>29</v>
      </c>
      <c r="V1751" s="4" t="s">
        <v>30</v>
      </c>
      <c r="W1751" s="67" t="str">
        <f t="shared" si="139"/>
        <v>-</v>
      </c>
    </row>
    <row r="1752" spans="1:23" x14ac:dyDescent="0.3">
      <c r="A1752" s="2" t="s">
        <v>4101</v>
      </c>
      <c r="B1752" s="2" t="s">
        <v>2841</v>
      </c>
      <c r="C1752" s="2">
        <v>9752293380</v>
      </c>
      <c r="D1752" s="2" t="s">
        <v>51</v>
      </c>
      <c r="E1752" s="2" t="s">
        <v>1632</v>
      </c>
      <c r="F1752" s="2" t="s">
        <v>1659</v>
      </c>
      <c r="G1752" s="2" t="s">
        <v>616</v>
      </c>
      <c r="H1752" s="2" t="s">
        <v>4024</v>
      </c>
      <c r="I1752" s="2" t="str">
        <f t="shared" si="135"/>
        <v>Jul</v>
      </c>
      <c r="J1752" s="2">
        <f t="shared" si="136"/>
        <v>7</v>
      </c>
      <c r="K1752" s="2">
        <f t="shared" si="137"/>
        <v>2025</v>
      </c>
      <c r="L1752" s="2">
        <f t="shared" si="138"/>
        <v>3</v>
      </c>
      <c r="M1752" s="2">
        <v>6</v>
      </c>
      <c r="N1752" s="2" t="s">
        <v>4100</v>
      </c>
      <c r="O1752" s="2" t="s">
        <v>62</v>
      </c>
      <c r="P1752" s="3">
        <v>167042</v>
      </c>
      <c r="Q1752" s="2"/>
      <c r="R1752" s="2"/>
      <c r="S1752" s="2" t="s">
        <v>5573</v>
      </c>
      <c r="T1752" s="2">
        <v>1.5</v>
      </c>
      <c r="U1752" s="2" t="s">
        <v>29</v>
      </c>
      <c r="V1752" s="2"/>
      <c r="W1752" s="67" t="str">
        <f t="shared" si="139"/>
        <v>-</v>
      </c>
    </row>
    <row r="1753" spans="1:23" x14ac:dyDescent="0.3">
      <c r="A1753" s="4" t="s">
        <v>4102</v>
      </c>
      <c r="B1753" s="4" t="s">
        <v>1532</v>
      </c>
      <c r="C1753" s="4">
        <v>9645976531</v>
      </c>
      <c r="D1753" s="4" t="s">
        <v>5357</v>
      </c>
      <c r="E1753" s="4" t="s">
        <v>41</v>
      </c>
      <c r="F1753" s="4" t="s">
        <v>86</v>
      </c>
      <c r="G1753" s="4" t="s">
        <v>1623</v>
      </c>
      <c r="H1753" s="4" t="s">
        <v>4012</v>
      </c>
      <c r="I1753" s="2" t="str">
        <f t="shared" si="135"/>
        <v>Jul</v>
      </c>
      <c r="J1753" s="2">
        <f t="shared" si="136"/>
        <v>7</v>
      </c>
      <c r="K1753" s="2">
        <f t="shared" si="137"/>
        <v>2025</v>
      </c>
      <c r="L1753" s="2">
        <f t="shared" si="138"/>
        <v>3</v>
      </c>
      <c r="M1753" s="4">
        <v>5</v>
      </c>
      <c r="N1753" s="4" t="s">
        <v>4085</v>
      </c>
      <c r="O1753" s="4" t="s">
        <v>62</v>
      </c>
      <c r="P1753" s="5">
        <v>241771</v>
      </c>
      <c r="Q1753" s="4"/>
      <c r="R1753" s="4"/>
      <c r="S1753" s="4" t="s">
        <v>5574</v>
      </c>
      <c r="T1753" s="4">
        <v>33.4</v>
      </c>
      <c r="U1753" s="4" t="s">
        <v>63</v>
      </c>
      <c r="V1753" s="4" t="s">
        <v>559</v>
      </c>
      <c r="W1753" s="67" t="str">
        <f t="shared" si="139"/>
        <v>-</v>
      </c>
    </row>
    <row r="1754" spans="1:23" x14ac:dyDescent="0.3">
      <c r="A1754" s="2" t="s">
        <v>4103</v>
      </c>
      <c r="B1754" s="2" t="s">
        <v>4104</v>
      </c>
      <c r="C1754" s="2"/>
      <c r="D1754" s="2" t="s">
        <v>59</v>
      </c>
      <c r="E1754" s="2" t="s">
        <v>1632</v>
      </c>
      <c r="F1754" s="2" t="s">
        <v>1682</v>
      </c>
      <c r="G1754" s="2" t="s">
        <v>643</v>
      </c>
      <c r="H1754" s="2" t="s">
        <v>4005</v>
      </c>
      <c r="I1754" s="2" t="str">
        <f t="shared" si="135"/>
        <v>Jul</v>
      </c>
      <c r="J1754" s="2">
        <f t="shared" si="136"/>
        <v>7</v>
      </c>
      <c r="K1754" s="2">
        <f t="shared" si="137"/>
        <v>2025</v>
      </c>
      <c r="L1754" s="2">
        <f t="shared" si="138"/>
        <v>3</v>
      </c>
      <c r="M1754" s="2">
        <v>7</v>
      </c>
      <c r="N1754" s="2" t="s">
        <v>4045</v>
      </c>
      <c r="O1754" s="2" t="s">
        <v>27</v>
      </c>
      <c r="P1754" s="3">
        <v>706298</v>
      </c>
      <c r="Q1754" s="2"/>
      <c r="R1754" s="2"/>
      <c r="S1754" s="2" t="s">
        <v>5574</v>
      </c>
      <c r="T1754" s="2">
        <v>2.4</v>
      </c>
      <c r="U1754" s="2" t="s">
        <v>29</v>
      </c>
      <c r="V1754" s="2" t="s">
        <v>1697</v>
      </c>
      <c r="W1754" s="67" t="str">
        <f t="shared" si="139"/>
        <v>-</v>
      </c>
    </row>
    <row r="1755" spans="1:23" x14ac:dyDescent="0.3">
      <c r="A1755" s="6" t="s">
        <v>4105</v>
      </c>
      <c r="B1755" s="6" t="s">
        <v>503</v>
      </c>
      <c r="C1755" s="6">
        <v>9807324732</v>
      </c>
      <c r="D1755" s="6" t="s">
        <v>121</v>
      </c>
      <c r="E1755" s="6" t="s">
        <v>21</v>
      </c>
      <c r="F1755" s="6" t="s">
        <v>22</v>
      </c>
      <c r="G1755" s="6" t="s">
        <v>1677</v>
      </c>
      <c r="H1755" s="6" t="s">
        <v>4005</v>
      </c>
      <c r="I1755" s="2" t="str">
        <f t="shared" si="135"/>
        <v>Jul</v>
      </c>
      <c r="J1755" s="2">
        <f t="shared" si="136"/>
        <v>7</v>
      </c>
      <c r="K1755" s="2">
        <f t="shared" si="137"/>
        <v>2025</v>
      </c>
      <c r="L1755" s="2">
        <f t="shared" si="138"/>
        <v>3</v>
      </c>
      <c r="M1755" s="6">
        <v>11</v>
      </c>
      <c r="N1755" s="6" t="s">
        <v>4030</v>
      </c>
      <c r="O1755" s="6" t="s">
        <v>97</v>
      </c>
      <c r="P1755" s="7">
        <v>1733739</v>
      </c>
      <c r="Q1755" s="7">
        <v>1709508</v>
      </c>
      <c r="R1755" s="6" t="s">
        <v>4100</v>
      </c>
      <c r="S1755" s="6" t="s">
        <v>5573</v>
      </c>
      <c r="T1755" s="6">
        <v>16.399999999999999</v>
      </c>
      <c r="U1755" s="6" t="s">
        <v>63</v>
      </c>
      <c r="V1755" s="6" t="s">
        <v>483</v>
      </c>
      <c r="W1755" s="67" t="str">
        <f t="shared" si="139"/>
        <v>Customer</v>
      </c>
    </row>
    <row r="1756" spans="1:23" x14ac:dyDescent="0.3">
      <c r="A1756" s="2" t="s">
        <v>4106</v>
      </c>
      <c r="B1756" s="2" t="s">
        <v>4107</v>
      </c>
      <c r="C1756" s="2">
        <v>9627797972</v>
      </c>
      <c r="D1756" s="2" t="s">
        <v>59</v>
      </c>
      <c r="E1756" s="2" t="s">
        <v>648</v>
      </c>
      <c r="F1756" s="2" t="s">
        <v>899</v>
      </c>
      <c r="G1756" s="2" t="s">
        <v>1623</v>
      </c>
      <c r="H1756" s="2" t="s">
        <v>4005</v>
      </c>
      <c r="I1756" s="2" t="str">
        <f t="shared" si="135"/>
        <v>Jul</v>
      </c>
      <c r="J1756" s="2">
        <f t="shared" si="136"/>
        <v>7</v>
      </c>
      <c r="K1756" s="2">
        <f t="shared" si="137"/>
        <v>2025</v>
      </c>
      <c r="L1756" s="2">
        <f t="shared" si="138"/>
        <v>3</v>
      </c>
      <c r="M1756" s="2">
        <v>1</v>
      </c>
      <c r="N1756" s="2" t="s">
        <v>4108</v>
      </c>
      <c r="O1756" s="2" t="s">
        <v>27</v>
      </c>
      <c r="P1756" s="3">
        <v>364029</v>
      </c>
      <c r="Q1756" s="2"/>
      <c r="R1756" s="2"/>
      <c r="S1756" s="2" t="s">
        <v>5573</v>
      </c>
      <c r="T1756" s="2">
        <v>8.6999999999999993</v>
      </c>
      <c r="U1756" s="2" t="s">
        <v>29</v>
      </c>
      <c r="V1756" s="2" t="s">
        <v>153</v>
      </c>
      <c r="W1756" s="67" t="str">
        <f t="shared" si="139"/>
        <v>-</v>
      </c>
    </row>
    <row r="1757" spans="1:23" x14ac:dyDescent="0.3">
      <c r="A1757" s="8" t="s">
        <v>4109</v>
      </c>
      <c r="B1757" s="8" t="s">
        <v>4110</v>
      </c>
      <c r="C1757" s="8">
        <v>9362362386</v>
      </c>
      <c r="D1757" s="8" t="s">
        <v>51</v>
      </c>
      <c r="E1757" s="8" t="s">
        <v>641</v>
      </c>
      <c r="F1757" s="8" t="s">
        <v>681</v>
      </c>
      <c r="G1757" s="8" t="s">
        <v>1623</v>
      </c>
      <c r="H1757" s="8" t="s">
        <v>4005</v>
      </c>
      <c r="I1757" s="2" t="str">
        <f t="shared" si="135"/>
        <v>Jul</v>
      </c>
      <c r="J1757" s="2">
        <f t="shared" si="136"/>
        <v>7</v>
      </c>
      <c r="K1757" s="2">
        <f t="shared" si="137"/>
        <v>2025</v>
      </c>
      <c r="L1757" s="2">
        <f t="shared" si="138"/>
        <v>3</v>
      </c>
      <c r="M1757" s="8">
        <v>4</v>
      </c>
      <c r="N1757" s="8" t="s">
        <v>4036</v>
      </c>
      <c r="O1757" s="8" t="s">
        <v>97</v>
      </c>
      <c r="P1757" s="9">
        <v>477423</v>
      </c>
      <c r="Q1757" s="9">
        <v>481846</v>
      </c>
      <c r="R1757" s="8" t="s">
        <v>4111</v>
      </c>
      <c r="S1757" s="8" t="s">
        <v>5574</v>
      </c>
      <c r="T1757" s="8">
        <v>35.200000000000003</v>
      </c>
      <c r="U1757" s="8" t="s">
        <v>63</v>
      </c>
      <c r="V1757" s="8" t="s">
        <v>286</v>
      </c>
      <c r="W1757" s="67" t="str">
        <f t="shared" si="139"/>
        <v>Customer</v>
      </c>
    </row>
    <row r="1758" spans="1:23" x14ac:dyDescent="0.3">
      <c r="A1758" s="2" t="s">
        <v>4112</v>
      </c>
      <c r="B1758" s="2" t="s">
        <v>4113</v>
      </c>
      <c r="C1758" s="2">
        <v>9868062907</v>
      </c>
      <c r="D1758" s="2" t="s">
        <v>59</v>
      </c>
      <c r="E1758" s="2" t="s">
        <v>1632</v>
      </c>
      <c r="F1758" s="2" t="s">
        <v>1694</v>
      </c>
      <c r="G1758" s="2" t="s">
        <v>616</v>
      </c>
      <c r="H1758" s="2" t="s">
        <v>4071</v>
      </c>
      <c r="I1758" s="2" t="str">
        <f t="shared" si="135"/>
        <v>Jul</v>
      </c>
      <c r="J1758" s="2">
        <f t="shared" si="136"/>
        <v>7</v>
      </c>
      <c r="K1758" s="2">
        <f t="shared" si="137"/>
        <v>2025</v>
      </c>
      <c r="L1758" s="2">
        <f t="shared" si="138"/>
        <v>3</v>
      </c>
      <c r="M1758" s="2">
        <v>12</v>
      </c>
      <c r="N1758" s="2" t="s">
        <v>4059</v>
      </c>
      <c r="O1758" s="2" t="s">
        <v>45</v>
      </c>
      <c r="P1758" s="3">
        <v>259076</v>
      </c>
      <c r="Q1758" s="2"/>
      <c r="R1758" s="2"/>
      <c r="S1758" s="2" t="s">
        <v>5573</v>
      </c>
      <c r="T1758" s="2">
        <v>19.100000000000001</v>
      </c>
      <c r="U1758" s="2" t="s">
        <v>63</v>
      </c>
      <c r="V1758" s="2" t="s">
        <v>260</v>
      </c>
      <c r="W1758" s="67" t="str">
        <f t="shared" si="139"/>
        <v>-</v>
      </c>
    </row>
    <row r="1759" spans="1:23" x14ac:dyDescent="0.3">
      <c r="A1759" s="4" t="s">
        <v>4114</v>
      </c>
      <c r="B1759" s="4" t="s">
        <v>4115</v>
      </c>
      <c r="C1759" s="4">
        <v>9980381933</v>
      </c>
      <c r="D1759" s="4" t="s">
        <v>108</v>
      </c>
      <c r="E1759" s="4" t="s">
        <v>648</v>
      </c>
      <c r="F1759" s="4" t="s">
        <v>649</v>
      </c>
      <c r="G1759" s="4" t="s">
        <v>1677</v>
      </c>
      <c r="H1759" s="4" t="s">
        <v>3913</v>
      </c>
      <c r="I1759" s="2" t="str">
        <f t="shared" si="135"/>
        <v>Jul</v>
      </c>
      <c r="J1759" s="2">
        <f t="shared" si="136"/>
        <v>7</v>
      </c>
      <c r="K1759" s="2">
        <f t="shared" si="137"/>
        <v>2025</v>
      </c>
      <c r="L1759" s="2">
        <f t="shared" si="138"/>
        <v>3</v>
      </c>
      <c r="M1759" s="4">
        <v>5</v>
      </c>
      <c r="N1759" s="4" t="s">
        <v>4079</v>
      </c>
      <c r="O1759" s="4" t="s">
        <v>27</v>
      </c>
      <c r="P1759" s="5">
        <v>1121145</v>
      </c>
      <c r="Q1759" s="4"/>
      <c r="R1759" s="4"/>
      <c r="S1759" s="4" t="s">
        <v>5819</v>
      </c>
      <c r="T1759" s="4">
        <v>7.8</v>
      </c>
      <c r="U1759" s="4" t="s">
        <v>29</v>
      </c>
      <c r="V1759" s="4" t="s">
        <v>153</v>
      </c>
      <c r="W1759" s="67" t="str">
        <f t="shared" si="139"/>
        <v>-</v>
      </c>
    </row>
    <row r="1760" spans="1:23" x14ac:dyDescent="0.3">
      <c r="A1760" s="6" t="s">
        <v>4116</v>
      </c>
      <c r="B1760" s="6" t="s">
        <v>1385</v>
      </c>
      <c r="C1760" s="6">
        <v>9539004547</v>
      </c>
      <c r="D1760" s="6" t="s">
        <v>51</v>
      </c>
      <c r="E1760" s="6" t="s">
        <v>109</v>
      </c>
      <c r="F1760" s="6" t="s">
        <v>217</v>
      </c>
      <c r="G1760" s="6" t="s">
        <v>69</v>
      </c>
      <c r="H1760" s="6" t="s">
        <v>3913</v>
      </c>
      <c r="I1760" s="2" t="str">
        <f t="shared" si="135"/>
        <v>Jul</v>
      </c>
      <c r="J1760" s="2">
        <f t="shared" si="136"/>
        <v>7</v>
      </c>
      <c r="K1760" s="2">
        <f t="shared" si="137"/>
        <v>2025</v>
      </c>
      <c r="L1760" s="2">
        <f t="shared" si="138"/>
        <v>3</v>
      </c>
      <c r="M1760" s="6">
        <v>1</v>
      </c>
      <c r="N1760" s="6" t="s">
        <v>4039</v>
      </c>
      <c r="O1760" s="6" t="s">
        <v>97</v>
      </c>
      <c r="P1760" s="7">
        <v>192550</v>
      </c>
      <c r="Q1760" s="7">
        <v>176948</v>
      </c>
      <c r="R1760" s="6" t="s">
        <v>4117</v>
      </c>
      <c r="S1760" s="6" t="s">
        <v>5574</v>
      </c>
      <c r="T1760" s="6">
        <v>1.1000000000000001</v>
      </c>
      <c r="U1760" s="6" t="s">
        <v>63</v>
      </c>
      <c r="V1760" s="6" t="s">
        <v>483</v>
      </c>
      <c r="W1760" s="67" t="str">
        <f t="shared" si="139"/>
        <v>Customer</v>
      </c>
    </row>
    <row r="1761" spans="1:23" x14ac:dyDescent="0.3">
      <c r="A1761" s="4" t="s">
        <v>4118</v>
      </c>
      <c r="B1761" s="4" t="s">
        <v>1825</v>
      </c>
      <c r="C1761" s="4">
        <v>9191949852</v>
      </c>
      <c r="D1761" s="4" t="s">
        <v>20</v>
      </c>
      <c r="E1761" s="4" t="s">
        <v>1632</v>
      </c>
      <c r="F1761" s="4" t="s">
        <v>1717</v>
      </c>
      <c r="G1761" s="4" t="s">
        <v>643</v>
      </c>
      <c r="H1761" s="4" t="s">
        <v>3913</v>
      </c>
      <c r="I1761" s="2" t="str">
        <f t="shared" si="135"/>
        <v>Jul</v>
      </c>
      <c r="J1761" s="2">
        <f t="shared" si="136"/>
        <v>7</v>
      </c>
      <c r="K1761" s="2">
        <f t="shared" si="137"/>
        <v>2025</v>
      </c>
      <c r="L1761" s="2">
        <f t="shared" si="138"/>
        <v>3</v>
      </c>
      <c r="M1761" s="4">
        <v>2</v>
      </c>
      <c r="N1761" s="4" t="s">
        <v>4064</v>
      </c>
      <c r="O1761" s="4" t="s">
        <v>27</v>
      </c>
      <c r="P1761" s="5">
        <v>1394834</v>
      </c>
      <c r="Q1761" s="4"/>
      <c r="R1761" s="4"/>
      <c r="S1761" s="4" t="s">
        <v>5573</v>
      </c>
      <c r="T1761" s="4">
        <v>32.6</v>
      </c>
      <c r="U1761" s="4" t="s">
        <v>29</v>
      </c>
      <c r="V1761" s="4" t="s">
        <v>105</v>
      </c>
      <c r="W1761" s="67" t="str">
        <f t="shared" si="139"/>
        <v>-</v>
      </c>
    </row>
    <row r="1762" spans="1:23" x14ac:dyDescent="0.3">
      <c r="A1762" s="8" t="s">
        <v>4119</v>
      </c>
      <c r="B1762" s="8" t="s">
        <v>2424</v>
      </c>
      <c r="C1762" s="8">
        <v>9809010556</v>
      </c>
      <c r="D1762" s="8" t="s">
        <v>59</v>
      </c>
      <c r="E1762" s="8" t="s">
        <v>641</v>
      </c>
      <c r="F1762" s="8" t="s">
        <v>717</v>
      </c>
      <c r="G1762" s="8" t="s">
        <v>23</v>
      </c>
      <c r="H1762" s="8" t="s">
        <v>3902</v>
      </c>
      <c r="I1762" s="2" t="str">
        <f t="shared" si="135"/>
        <v>Jul</v>
      </c>
      <c r="J1762" s="2">
        <f t="shared" si="136"/>
        <v>7</v>
      </c>
      <c r="K1762" s="2">
        <f t="shared" si="137"/>
        <v>2025</v>
      </c>
      <c r="L1762" s="2">
        <f t="shared" si="138"/>
        <v>3</v>
      </c>
      <c r="M1762" s="8">
        <v>3</v>
      </c>
      <c r="N1762" s="8" t="s">
        <v>4042</v>
      </c>
      <c r="O1762" s="8" t="s">
        <v>45</v>
      </c>
      <c r="P1762" s="9">
        <v>670034</v>
      </c>
      <c r="Q1762" s="8"/>
      <c r="R1762" s="8"/>
      <c r="S1762" s="8" t="s">
        <v>5573</v>
      </c>
      <c r="T1762" s="8">
        <v>11.5</v>
      </c>
      <c r="U1762" s="8" t="s">
        <v>47</v>
      </c>
      <c r="V1762" s="8" t="s">
        <v>137</v>
      </c>
      <c r="W1762" s="67" t="str">
        <f t="shared" si="139"/>
        <v>-</v>
      </c>
    </row>
    <row r="1763" spans="1:23" x14ac:dyDescent="0.3">
      <c r="A1763" s="6" t="s">
        <v>4120</v>
      </c>
      <c r="B1763" s="6" t="s">
        <v>2899</v>
      </c>
      <c r="C1763" s="6">
        <v>9558635938</v>
      </c>
      <c r="D1763" s="6" t="s">
        <v>51</v>
      </c>
      <c r="E1763" s="6" t="s">
        <v>41</v>
      </c>
      <c r="F1763" s="6" t="s">
        <v>86</v>
      </c>
      <c r="G1763" s="6" t="s">
        <v>52</v>
      </c>
      <c r="H1763" s="6" t="s">
        <v>3902</v>
      </c>
      <c r="I1763" s="2" t="str">
        <f t="shared" si="135"/>
        <v>Jul</v>
      </c>
      <c r="J1763" s="2">
        <f t="shared" si="136"/>
        <v>7</v>
      </c>
      <c r="K1763" s="2">
        <f t="shared" si="137"/>
        <v>2025</v>
      </c>
      <c r="L1763" s="2">
        <f t="shared" si="138"/>
        <v>3</v>
      </c>
      <c r="M1763" s="6"/>
      <c r="N1763" s="6" t="s">
        <v>4074</v>
      </c>
      <c r="O1763" s="6" t="s">
        <v>97</v>
      </c>
      <c r="P1763" s="7">
        <v>184285</v>
      </c>
      <c r="Q1763" s="7">
        <v>189600</v>
      </c>
      <c r="R1763" s="6" t="s">
        <v>4010</v>
      </c>
      <c r="S1763" s="6" t="s">
        <v>5573</v>
      </c>
      <c r="T1763" s="6">
        <v>9.5</v>
      </c>
      <c r="U1763" s="6" t="s">
        <v>63</v>
      </c>
      <c r="V1763" s="6"/>
      <c r="W1763" s="67" t="str">
        <f t="shared" si="139"/>
        <v>Customer</v>
      </c>
    </row>
    <row r="1764" spans="1:23" x14ac:dyDescent="0.3">
      <c r="A1764" s="2" t="s">
        <v>4121</v>
      </c>
      <c r="B1764" s="2" t="s">
        <v>2121</v>
      </c>
      <c r="C1764" s="2">
        <v>9144796232</v>
      </c>
      <c r="D1764" s="2" t="s">
        <v>59</v>
      </c>
      <c r="E1764" s="2" t="s">
        <v>67</v>
      </c>
      <c r="F1764" s="2" t="s">
        <v>68</v>
      </c>
      <c r="G1764" s="2" t="s">
        <v>87</v>
      </c>
      <c r="H1764" s="2" t="s">
        <v>3902</v>
      </c>
      <c r="I1764" s="2" t="str">
        <f t="shared" si="135"/>
        <v>Jul</v>
      </c>
      <c r="J1764" s="2">
        <f t="shared" si="136"/>
        <v>7</v>
      </c>
      <c r="K1764" s="2">
        <f t="shared" si="137"/>
        <v>2025</v>
      </c>
      <c r="L1764" s="2">
        <f t="shared" si="138"/>
        <v>3</v>
      </c>
      <c r="M1764" s="2">
        <v>3</v>
      </c>
      <c r="N1764" s="2" t="s">
        <v>4046</v>
      </c>
      <c r="O1764" s="2" t="s">
        <v>27</v>
      </c>
      <c r="P1764" s="3">
        <v>269405</v>
      </c>
      <c r="Q1764" s="2"/>
      <c r="R1764" s="2"/>
      <c r="S1764" s="2" t="s">
        <v>5573</v>
      </c>
      <c r="T1764" s="2">
        <v>3.5</v>
      </c>
      <c r="U1764" s="2" t="s">
        <v>29</v>
      </c>
      <c r="V1764" s="2" t="s">
        <v>157</v>
      </c>
      <c r="W1764" s="67" t="str">
        <f t="shared" si="139"/>
        <v>-</v>
      </c>
    </row>
    <row r="1765" spans="1:23" x14ac:dyDescent="0.3">
      <c r="A1765" s="4" t="s">
        <v>4122</v>
      </c>
      <c r="B1765" s="4" t="s">
        <v>4123</v>
      </c>
      <c r="C1765" s="4">
        <v>9783960103</v>
      </c>
      <c r="D1765" s="4" t="s">
        <v>20</v>
      </c>
      <c r="E1765" s="4" t="s">
        <v>641</v>
      </c>
      <c r="F1765" s="4" t="s">
        <v>727</v>
      </c>
      <c r="G1765" s="4" t="s">
        <v>1677</v>
      </c>
      <c r="H1765" s="4" t="s">
        <v>3915</v>
      </c>
      <c r="I1765" s="2" t="str">
        <f t="shared" si="135"/>
        <v>Jul</v>
      </c>
      <c r="J1765" s="2">
        <f t="shared" si="136"/>
        <v>7</v>
      </c>
      <c r="K1765" s="2">
        <f t="shared" si="137"/>
        <v>2025</v>
      </c>
      <c r="L1765" s="2">
        <f t="shared" si="138"/>
        <v>3</v>
      </c>
      <c r="M1765" s="4">
        <v>3</v>
      </c>
      <c r="N1765" s="4" t="s">
        <v>4036</v>
      </c>
      <c r="O1765" s="4" t="s">
        <v>27</v>
      </c>
      <c r="P1765" s="4"/>
      <c r="Q1765" s="4"/>
      <c r="R1765" s="4"/>
      <c r="S1765" s="4" t="s">
        <v>5574</v>
      </c>
      <c r="T1765" s="4">
        <v>31.6</v>
      </c>
      <c r="U1765" s="4" t="s">
        <v>29</v>
      </c>
      <c r="V1765" s="4" t="s">
        <v>38</v>
      </c>
      <c r="W1765" s="67" t="str">
        <f t="shared" si="139"/>
        <v>-</v>
      </c>
    </row>
    <row r="1766" spans="1:23" x14ac:dyDescent="0.3">
      <c r="A1766" s="8" t="s">
        <v>4124</v>
      </c>
      <c r="B1766" s="8" t="s">
        <v>3709</v>
      </c>
      <c r="C1766" s="8">
        <v>9225958808</v>
      </c>
      <c r="D1766" s="8" t="s">
        <v>20</v>
      </c>
      <c r="E1766" s="8" t="s">
        <v>1632</v>
      </c>
      <c r="F1766" s="8" t="s">
        <v>1633</v>
      </c>
      <c r="G1766" s="8" t="s">
        <v>1623</v>
      </c>
      <c r="H1766" s="8" t="s">
        <v>3915</v>
      </c>
      <c r="I1766" s="2" t="str">
        <f t="shared" si="135"/>
        <v>Jul</v>
      </c>
      <c r="J1766" s="2">
        <f t="shared" si="136"/>
        <v>7</v>
      </c>
      <c r="K1766" s="2">
        <f t="shared" si="137"/>
        <v>2025</v>
      </c>
      <c r="L1766" s="2">
        <f t="shared" si="138"/>
        <v>3</v>
      </c>
      <c r="M1766" s="8">
        <v>3</v>
      </c>
      <c r="N1766" s="8" t="s">
        <v>4019</v>
      </c>
      <c r="O1766" s="8" t="s">
        <v>55</v>
      </c>
      <c r="P1766" s="9">
        <v>503735</v>
      </c>
      <c r="Q1766" s="8"/>
      <c r="R1766" s="8"/>
      <c r="S1766" s="8" t="s">
        <v>5573</v>
      </c>
      <c r="T1766" s="8">
        <v>32.5</v>
      </c>
      <c r="U1766" s="8" t="s">
        <v>47</v>
      </c>
      <c r="V1766" s="8" t="s">
        <v>302</v>
      </c>
      <c r="W1766" s="67" t="str">
        <f t="shared" si="139"/>
        <v>-</v>
      </c>
    </row>
    <row r="1767" spans="1:23" x14ac:dyDescent="0.3">
      <c r="A1767" s="4" t="s">
        <v>4125</v>
      </c>
      <c r="B1767" s="4" t="s">
        <v>4126</v>
      </c>
      <c r="C1767" s="4">
        <v>9384107070</v>
      </c>
      <c r="D1767" s="4" t="s">
        <v>121</v>
      </c>
      <c r="E1767" s="4" t="s">
        <v>648</v>
      </c>
      <c r="F1767" s="4" t="s">
        <v>822</v>
      </c>
      <c r="G1767" s="4" t="s">
        <v>69</v>
      </c>
      <c r="H1767" s="4" t="s">
        <v>4082</v>
      </c>
      <c r="I1767" s="2" t="str">
        <f t="shared" si="135"/>
        <v>Jul</v>
      </c>
      <c r="J1767" s="2">
        <f t="shared" si="136"/>
        <v>7</v>
      </c>
      <c r="K1767" s="2">
        <f t="shared" si="137"/>
        <v>2025</v>
      </c>
      <c r="L1767" s="2">
        <f t="shared" si="138"/>
        <v>3</v>
      </c>
      <c r="M1767" s="4">
        <v>1</v>
      </c>
      <c r="N1767" s="4" t="s">
        <v>3992</v>
      </c>
      <c r="O1767" s="4" t="s">
        <v>62</v>
      </c>
      <c r="P1767" s="5">
        <v>196462</v>
      </c>
      <c r="Q1767" s="4"/>
      <c r="R1767" s="4"/>
      <c r="S1767" s="4" t="s">
        <v>5573</v>
      </c>
      <c r="T1767" s="4">
        <v>33.299999999999997</v>
      </c>
      <c r="U1767" s="4" t="s">
        <v>63</v>
      </c>
      <c r="V1767" s="4" t="s">
        <v>559</v>
      </c>
      <c r="W1767" s="67" t="str">
        <f t="shared" si="139"/>
        <v>-</v>
      </c>
    </row>
    <row r="1768" spans="1:23" x14ac:dyDescent="0.3">
      <c r="A1768" s="2" t="s">
        <v>4127</v>
      </c>
      <c r="B1768" s="2" t="s">
        <v>4128</v>
      </c>
      <c r="C1768" s="2">
        <v>9975716657</v>
      </c>
      <c r="D1768" s="2" t="s">
        <v>108</v>
      </c>
      <c r="E1768" s="2" t="s">
        <v>109</v>
      </c>
      <c r="F1768" s="2" t="s">
        <v>217</v>
      </c>
      <c r="G1768" s="2" t="s">
        <v>643</v>
      </c>
      <c r="H1768" s="2" t="s">
        <v>4082</v>
      </c>
      <c r="I1768" s="2" t="str">
        <f t="shared" si="135"/>
        <v>Jul</v>
      </c>
      <c r="J1768" s="2">
        <f t="shared" si="136"/>
        <v>7</v>
      </c>
      <c r="K1768" s="2">
        <f t="shared" si="137"/>
        <v>2025</v>
      </c>
      <c r="L1768" s="2">
        <f t="shared" si="138"/>
        <v>3</v>
      </c>
      <c r="M1768" s="2">
        <v>7</v>
      </c>
      <c r="N1768" s="2" t="s">
        <v>4129</v>
      </c>
      <c r="O1768" s="2" t="s">
        <v>27</v>
      </c>
      <c r="P1768" s="3">
        <v>1096659</v>
      </c>
      <c r="Q1768" s="2"/>
      <c r="R1768" s="2"/>
      <c r="S1768" s="2" t="s">
        <v>5573</v>
      </c>
      <c r="T1768" s="2">
        <v>13.5</v>
      </c>
      <c r="U1768" s="2" t="s">
        <v>29</v>
      </c>
      <c r="V1768" s="2" t="s">
        <v>30</v>
      </c>
      <c r="W1768" s="67" t="str">
        <f t="shared" si="139"/>
        <v>-</v>
      </c>
    </row>
    <row r="1769" spans="1:23" x14ac:dyDescent="0.3">
      <c r="A1769" s="4" t="s">
        <v>4130</v>
      </c>
      <c r="B1769" s="4" t="s">
        <v>4131</v>
      </c>
      <c r="C1769" s="4">
        <v>9163047349</v>
      </c>
      <c r="D1769" s="4" t="s">
        <v>121</v>
      </c>
      <c r="E1769" s="4" t="s">
        <v>109</v>
      </c>
      <c r="F1769" s="4" t="s">
        <v>331</v>
      </c>
      <c r="G1769" s="4" t="s">
        <v>643</v>
      </c>
      <c r="H1769" s="4" t="s">
        <v>3986</v>
      </c>
      <c r="I1769" s="2" t="str">
        <f t="shared" si="135"/>
        <v>Jul</v>
      </c>
      <c r="J1769" s="2">
        <f t="shared" si="136"/>
        <v>7</v>
      </c>
      <c r="K1769" s="2">
        <f t="shared" si="137"/>
        <v>2025</v>
      </c>
      <c r="L1769" s="2">
        <f t="shared" si="138"/>
        <v>3</v>
      </c>
      <c r="M1769" s="4">
        <v>12</v>
      </c>
      <c r="N1769" s="4" t="s">
        <v>4051</v>
      </c>
      <c r="O1769" s="4" t="s">
        <v>62</v>
      </c>
      <c r="P1769" s="5">
        <v>1170622</v>
      </c>
      <c r="Q1769" s="4"/>
      <c r="R1769" s="4"/>
      <c r="S1769" s="4" t="s">
        <v>5819</v>
      </c>
      <c r="T1769" s="4">
        <v>4.9000000000000004</v>
      </c>
      <c r="U1769" s="4" t="s">
        <v>63</v>
      </c>
      <c r="V1769" s="4" t="s">
        <v>335</v>
      </c>
      <c r="W1769" s="67" t="str">
        <f t="shared" si="139"/>
        <v>-</v>
      </c>
    </row>
    <row r="1770" spans="1:23" x14ac:dyDescent="0.3">
      <c r="A1770" s="2" t="s">
        <v>4132</v>
      </c>
      <c r="B1770" s="2" t="s">
        <v>4133</v>
      </c>
      <c r="C1770" s="2">
        <v>9912382694</v>
      </c>
      <c r="D1770" s="2" t="s">
        <v>20</v>
      </c>
      <c r="E1770" s="2" t="s">
        <v>41</v>
      </c>
      <c r="F1770" s="2" t="s">
        <v>42</v>
      </c>
      <c r="G1770" s="2" t="s">
        <v>1609</v>
      </c>
      <c r="H1770" s="2" t="s">
        <v>3986</v>
      </c>
      <c r="I1770" s="2" t="str">
        <f t="shared" si="135"/>
        <v>Jul</v>
      </c>
      <c r="J1770" s="2">
        <f t="shared" si="136"/>
        <v>7</v>
      </c>
      <c r="K1770" s="2">
        <f t="shared" si="137"/>
        <v>2025</v>
      </c>
      <c r="L1770" s="2">
        <f t="shared" si="138"/>
        <v>3</v>
      </c>
      <c r="M1770" s="2">
        <v>2</v>
      </c>
      <c r="N1770" s="2" t="s">
        <v>3992</v>
      </c>
      <c r="O1770" s="2" t="s">
        <v>45</v>
      </c>
      <c r="P1770" s="3">
        <v>298620</v>
      </c>
      <c r="Q1770" s="2"/>
      <c r="R1770" s="2"/>
      <c r="S1770" s="2" t="s">
        <v>5819</v>
      </c>
      <c r="T1770" s="2">
        <v>4.7</v>
      </c>
      <c r="U1770" s="2" t="s">
        <v>29</v>
      </c>
      <c r="V1770" s="2" t="s">
        <v>389</v>
      </c>
      <c r="W1770" s="67" t="str">
        <f t="shared" si="139"/>
        <v>-</v>
      </c>
    </row>
    <row r="1771" spans="1:23" x14ac:dyDescent="0.3">
      <c r="A1771" s="6" t="s">
        <v>4134</v>
      </c>
      <c r="B1771" s="6" t="s">
        <v>4135</v>
      </c>
      <c r="C1771" s="6">
        <v>9334847209</v>
      </c>
      <c r="D1771" s="6" t="s">
        <v>59</v>
      </c>
      <c r="E1771" s="6" t="s">
        <v>1632</v>
      </c>
      <c r="F1771" s="6" t="s">
        <v>1659</v>
      </c>
      <c r="G1771" s="6" t="s">
        <v>23</v>
      </c>
      <c r="H1771" s="6" t="s">
        <v>4108</v>
      </c>
      <c r="I1771" s="2" t="str">
        <f t="shared" si="135"/>
        <v>Aug</v>
      </c>
      <c r="J1771" s="2">
        <f t="shared" si="136"/>
        <v>8</v>
      </c>
      <c r="K1771" s="2">
        <f t="shared" si="137"/>
        <v>2025</v>
      </c>
      <c r="L1771" s="2">
        <f t="shared" si="138"/>
        <v>3</v>
      </c>
      <c r="M1771" s="6">
        <v>12</v>
      </c>
      <c r="N1771" s="6" t="s">
        <v>4136</v>
      </c>
      <c r="O1771" s="6" t="s">
        <v>97</v>
      </c>
      <c r="P1771" s="7">
        <v>514535</v>
      </c>
      <c r="Q1771" s="7">
        <v>509387</v>
      </c>
      <c r="R1771" s="6" t="s">
        <v>4137</v>
      </c>
      <c r="S1771" s="6" t="s">
        <v>5574</v>
      </c>
      <c r="T1771" s="6">
        <v>34.6</v>
      </c>
      <c r="U1771" s="6" t="s">
        <v>63</v>
      </c>
      <c r="V1771" s="6" t="s">
        <v>170</v>
      </c>
      <c r="W1771" s="67" t="str">
        <f t="shared" si="139"/>
        <v>Customer</v>
      </c>
    </row>
    <row r="1772" spans="1:23" x14ac:dyDescent="0.3">
      <c r="A1772" s="2" t="s">
        <v>4138</v>
      </c>
      <c r="B1772" s="2" t="s">
        <v>4139</v>
      </c>
      <c r="C1772" s="2">
        <v>9193611341</v>
      </c>
      <c r="D1772" s="2" t="s">
        <v>108</v>
      </c>
      <c r="E1772" s="2" t="s">
        <v>641</v>
      </c>
      <c r="F1772" s="2" t="s">
        <v>642</v>
      </c>
      <c r="G1772" s="2" t="s">
        <v>23</v>
      </c>
      <c r="H1772" s="2" t="s">
        <v>4108</v>
      </c>
      <c r="I1772" s="2" t="str">
        <f t="shared" si="135"/>
        <v>Aug</v>
      </c>
      <c r="J1772" s="2">
        <f t="shared" si="136"/>
        <v>8</v>
      </c>
      <c r="K1772" s="2">
        <f t="shared" si="137"/>
        <v>2025</v>
      </c>
      <c r="L1772" s="2">
        <f t="shared" si="138"/>
        <v>3</v>
      </c>
      <c r="M1772" s="2">
        <v>2</v>
      </c>
      <c r="N1772" s="2" t="s">
        <v>4019</v>
      </c>
      <c r="O1772" s="2" t="s">
        <v>27</v>
      </c>
      <c r="P1772" s="3">
        <v>466753</v>
      </c>
      <c r="Q1772" s="2"/>
      <c r="R1772" s="2"/>
      <c r="S1772" s="2" t="s">
        <v>5574</v>
      </c>
      <c r="T1772" s="2">
        <v>6.3</v>
      </c>
      <c r="U1772" s="2" t="s">
        <v>47</v>
      </c>
      <c r="V1772" s="2" t="s">
        <v>38</v>
      </c>
      <c r="W1772" s="67" t="str">
        <f t="shared" si="139"/>
        <v>-</v>
      </c>
    </row>
    <row r="1773" spans="1:23" x14ac:dyDescent="0.3">
      <c r="A1773" s="4" t="s">
        <v>4140</v>
      </c>
      <c r="B1773" s="4" t="s">
        <v>3528</v>
      </c>
      <c r="C1773" s="4">
        <v>9692199586</v>
      </c>
      <c r="D1773" s="4" t="s">
        <v>20</v>
      </c>
      <c r="E1773" s="4" t="s">
        <v>1632</v>
      </c>
      <c r="F1773" s="4" t="s">
        <v>1694</v>
      </c>
      <c r="G1773" s="4" t="s">
        <v>643</v>
      </c>
      <c r="H1773" s="4" t="s">
        <v>3980</v>
      </c>
      <c r="I1773" s="2" t="str">
        <f t="shared" si="135"/>
        <v>Aug</v>
      </c>
      <c r="J1773" s="2">
        <f t="shared" si="136"/>
        <v>8</v>
      </c>
      <c r="K1773" s="2">
        <f t="shared" si="137"/>
        <v>2025</v>
      </c>
      <c r="L1773" s="2">
        <f t="shared" si="138"/>
        <v>3</v>
      </c>
      <c r="M1773" s="4">
        <v>7</v>
      </c>
      <c r="N1773" s="4" t="s">
        <v>4068</v>
      </c>
      <c r="O1773" s="4" t="s">
        <v>45</v>
      </c>
      <c r="P1773" s="5">
        <v>926836</v>
      </c>
      <c r="Q1773" s="4"/>
      <c r="R1773" s="4"/>
      <c r="S1773" s="4" t="s">
        <v>5819</v>
      </c>
      <c r="T1773" s="4">
        <v>23.4</v>
      </c>
      <c r="U1773" s="4" t="s">
        <v>29</v>
      </c>
      <c r="V1773" s="4" t="s">
        <v>247</v>
      </c>
      <c r="W1773" s="67" t="str">
        <f t="shared" si="139"/>
        <v>-</v>
      </c>
    </row>
    <row r="1774" spans="1:23" x14ac:dyDescent="0.3">
      <c r="A1774" s="2" t="s">
        <v>4141</v>
      </c>
      <c r="B1774" s="2" t="s">
        <v>843</v>
      </c>
      <c r="C1774" s="2">
        <v>9930306578</v>
      </c>
      <c r="D1774" s="2" t="s">
        <v>108</v>
      </c>
      <c r="E1774" s="2" t="s">
        <v>109</v>
      </c>
      <c r="F1774" s="2" t="s">
        <v>110</v>
      </c>
      <c r="G1774" s="2" t="s">
        <v>87</v>
      </c>
      <c r="H1774" s="2" t="s">
        <v>3980</v>
      </c>
      <c r="I1774" s="2" t="str">
        <f t="shared" si="135"/>
        <v>Aug</v>
      </c>
      <c r="J1774" s="2">
        <f t="shared" si="136"/>
        <v>8</v>
      </c>
      <c r="K1774" s="2">
        <f t="shared" si="137"/>
        <v>2025</v>
      </c>
      <c r="L1774" s="2">
        <f t="shared" si="138"/>
        <v>3</v>
      </c>
      <c r="M1774" s="2">
        <v>9</v>
      </c>
      <c r="N1774" s="2" t="s">
        <v>4111</v>
      </c>
      <c r="O1774" s="2" t="s">
        <v>27</v>
      </c>
      <c r="P1774" s="3">
        <v>244082</v>
      </c>
      <c r="Q1774" s="2"/>
      <c r="R1774" s="2"/>
      <c r="S1774" s="2" t="s">
        <v>5819</v>
      </c>
      <c r="T1774" s="2">
        <v>7</v>
      </c>
      <c r="U1774" s="2" t="s">
        <v>29</v>
      </c>
      <c r="V1774" s="2"/>
      <c r="W1774" s="67" t="str">
        <f t="shared" si="139"/>
        <v>-</v>
      </c>
    </row>
    <row r="1775" spans="1:23" x14ac:dyDescent="0.3">
      <c r="A1775" s="6" t="s">
        <v>4142</v>
      </c>
      <c r="B1775" s="6" t="s">
        <v>3150</v>
      </c>
      <c r="C1775" s="6">
        <v>9698831315</v>
      </c>
      <c r="D1775" s="6" t="s">
        <v>20</v>
      </c>
      <c r="E1775" s="6" t="s">
        <v>648</v>
      </c>
      <c r="F1775" s="6" t="s">
        <v>656</v>
      </c>
      <c r="G1775" s="6" t="s">
        <v>35</v>
      </c>
      <c r="H1775" s="6" t="s">
        <v>3980</v>
      </c>
      <c r="I1775" s="2" t="str">
        <f t="shared" si="135"/>
        <v>Aug</v>
      </c>
      <c r="J1775" s="2">
        <f t="shared" si="136"/>
        <v>8</v>
      </c>
      <c r="K1775" s="2">
        <f t="shared" si="137"/>
        <v>2025</v>
      </c>
      <c r="L1775" s="2">
        <f t="shared" si="138"/>
        <v>3</v>
      </c>
      <c r="M1775" s="6">
        <v>2</v>
      </c>
      <c r="N1775" s="6" t="s">
        <v>4042</v>
      </c>
      <c r="O1775" s="6" t="s">
        <v>97</v>
      </c>
      <c r="P1775" s="7">
        <v>290695</v>
      </c>
      <c r="Q1775" s="7">
        <v>263478</v>
      </c>
      <c r="R1775" s="6" t="s">
        <v>4033</v>
      </c>
      <c r="S1775" s="6" t="s">
        <v>5573</v>
      </c>
      <c r="T1775" s="6">
        <v>17.5</v>
      </c>
      <c r="U1775" s="6" t="s">
        <v>47</v>
      </c>
      <c r="V1775" s="6" t="s">
        <v>286</v>
      </c>
      <c r="W1775" s="67" t="str">
        <f t="shared" si="139"/>
        <v>Customer</v>
      </c>
    </row>
    <row r="1776" spans="1:23" x14ac:dyDescent="0.3">
      <c r="A1776" s="6" t="s">
        <v>4143</v>
      </c>
      <c r="B1776" s="6" t="s">
        <v>4144</v>
      </c>
      <c r="C1776" s="6">
        <v>9722679879</v>
      </c>
      <c r="D1776" s="6" t="s">
        <v>20</v>
      </c>
      <c r="E1776" s="6" t="s">
        <v>648</v>
      </c>
      <c r="F1776" s="6" t="s">
        <v>899</v>
      </c>
      <c r="G1776" s="6" t="s">
        <v>35</v>
      </c>
      <c r="H1776" s="6" t="s">
        <v>4021</v>
      </c>
      <c r="I1776" s="2" t="str">
        <f t="shared" si="135"/>
        <v>Aug</v>
      </c>
      <c r="J1776" s="2">
        <f t="shared" si="136"/>
        <v>8</v>
      </c>
      <c r="K1776" s="2">
        <f t="shared" si="137"/>
        <v>2025</v>
      </c>
      <c r="L1776" s="2">
        <f t="shared" si="138"/>
        <v>3</v>
      </c>
      <c r="M1776" s="6">
        <v>6</v>
      </c>
      <c r="N1776" s="6" t="s">
        <v>4129</v>
      </c>
      <c r="O1776" s="6" t="s">
        <v>97</v>
      </c>
      <c r="P1776" s="7">
        <v>206071</v>
      </c>
      <c r="Q1776" s="7">
        <v>208093</v>
      </c>
      <c r="R1776" s="6" t="s">
        <v>4145</v>
      </c>
      <c r="S1776" s="6" t="s">
        <v>5573</v>
      </c>
      <c r="T1776" s="6">
        <v>30.4</v>
      </c>
      <c r="U1776" s="6" t="s">
        <v>63</v>
      </c>
      <c r="V1776" s="6" t="s">
        <v>295</v>
      </c>
      <c r="W1776" s="67" t="str">
        <f t="shared" si="139"/>
        <v>Customer</v>
      </c>
    </row>
    <row r="1777" spans="1:23" x14ac:dyDescent="0.3">
      <c r="A1777" s="4" t="s">
        <v>4146</v>
      </c>
      <c r="B1777" s="4" t="s">
        <v>165</v>
      </c>
      <c r="C1777" s="4">
        <v>9978288665</v>
      </c>
      <c r="D1777" s="4" t="s">
        <v>108</v>
      </c>
      <c r="E1777" s="4" t="s">
        <v>41</v>
      </c>
      <c r="F1777" s="4" t="s">
        <v>86</v>
      </c>
      <c r="G1777" s="4" t="s">
        <v>643</v>
      </c>
      <c r="H1777" s="4" t="s">
        <v>4072</v>
      </c>
      <c r="I1777" s="2" t="str">
        <f t="shared" si="135"/>
        <v>Aug</v>
      </c>
      <c r="J1777" s="2">
        <f t="shared" si="136"/>
        <v>8</v>
      </c>
      <c r="K1777" s="2">
        <f t="shared" si="137"/>
        <v>2025</v>
      </c>
      <c r="L1777" s="2">
        <f t="shared" si="138"/>
        <v>3</v>
      </c>
      <c r="M1777" s="4">
        <v>2</v>
      </c>
      <c r="N1777" s="4" t="s">
        <v>4033</v>
      </c>
      <c r="O1777" s="4" t="s">
        <v>62</v>
      </c>
      <c r="P1777" s="5">
        <v>1050945</v>
      </c>
      <c r="Q1777" s="4"/>
      <c r="R1777" s="4"/>
      <c r="S1777" s="4" t="s">
        <v>5819</v>
      </c>
      <c r="T1777" s="4">
        <v>29.8</v>
      </c>
      <c r="U1777" s="4" t="s">
        <v>47</v>
      </c>
      <c r="V1777" s="4" t="s">
        <v>310</v>
      </c>
      <c r="W1777" s="67" t="str">
        <f t="shared" si="139"/>
        <v>-</v>
      </c>
    </row>
    <row r="1778" spans="1:23" x14ac:dyDescent="0.3">
      <c r="A1778" s="2" t="s">
        <v>4147</v>
      </c>
      <c r="B1778" s="2" t="s">
        <v>165</v>
      </c>
      <c r="C1778" s="2">
        <v>9978288665</v>
      </c>
      <c r="D1778" s="2" t="s">
        <v>121</v>
      </c>
      <c r="E1778" s="2" t="s">
        <v>41</v>
      </c>
      <c r="F1778" s="2" t="s">
        <v>86</v>
      </c>
      <c r="G1778" s="2" t="s">
        <v>643</v>
      </c>
      <c r="H1778" s="2" t="s">
        <v>4072</v>
      </c>
      <c r="I1778" s="2" t="str">
        <f t="shared" si="135"/>
        <v>Aug</v>
      </c>
      <c r="J1778" s="2">
        <f t="shared" si="136"/>
        <v>8</v>
      </c>
      <c r="K1778" s="2">
        <f t="shared" si="137"/>
        <v>2025</v>
      </c>
      <c r="L1778" s="2">
        <f t="shared" si="138"/>
        <v>3</v>
      </c>
      <c r="M1778" s="2">
        <v>2</v>
      </c>
      <c r="N1778" s="2" t="s">
        <v>4033</v>
      </c>
      <c r="O1778" s="2" t="s">
        <v>62</v>
      </c>
      <c r="P1778" s="3">
        <v>1156959</v>
      </c>
      <c r="Q1778" s="2"/>
      <c r="R1778" s="2"/>
      <c r="S1778" s="2" t="s">
        <v>5574</v>
      </c>
      <c r="T1778" s="2">
        <v>29.8</v>
      </c>
      <c r="U1778" s="2" t="s">
        <v>47</v>
      </c>
      <c r="V1778" s="2" t="s">
        <v>310</v>
      </c>
      <c r="W1778" s="67" t="str">
        <f t="shared" si="139"/>
        <v>-</v>
      </c>
    </row>
    <row r="1779" spans="1:23" x14ac:dyDescent="0.3">
      <c r="A1779" s="4" t="s">
        <v>4148</v>
      </c>
      <c r="B1779" s="4" t="s">
        <v>4149</v>
      </c>
      <c r="C1779" s="4">
        <v>9691618458</v>
      </c>
      <c r="D1779" s="4" t="s">
        <v>121</v>
      </c>
      <c r="E1779" s="4" t="s">
        <v>1632</v>
      </c>
      <c r="F1779" s="4" t="s">
        <v>1682</v>
      </c>
      <c r="G1779" s="4" t="s">
        <v>1621</v>
      </c>
      <c r="H1779" s="4" t="s">
        <v>4072</v>
      </c>
      <c r="I1779" s="2" t="str">
        <f t="shared" si="135"/>
        <v>Aug</v>
      </c>
      <c r="J1779" s="2">
        <f t="shared" si="136"/>
        <v>8</v>
      </c>
      <c r="K1779" s="2">
        <f t="shared" si="137"/>
        <v>2025</v>
      </c>
      <c r="L1779" s="2">
        <f t="shared" si="138"/>
        <v>3</v>
      </c>
      <c r="M1779" s="4">
        <v>6</v>
      </c>
      <c r="N1779" s="4" t="s">
        <v>4033</v>
      </c>
      <c r="O1779" s="4" t="s">
        <v>27</v>
      </c>
      <c r="P1779" s="5">
        <v>545562</v>
      </c>
      <c r="Q1779" s="4"/>
      <c r="R1779" s="4"/>
      <c r="S1779" s="4" t="s">
        <v>5819</v>
      </c>
      <c r="T1779" s="4">
        <v>5.5</v>
      </c>
      <c r="U1779" s="4" t="s">
        <v>29</v>
      </c>
      <c r="V1779" s="4" t="s">
        <v>163</v>
      </c>
      <c r="W1779" s="67" t="str">
        <f t="shared" si="139"/>
        <v>-</v>
      </c>
    </row>
    <row r="1780" spans="1:23" x14ac:dyDescent="0.3">
      <c r="A1780" s="6" t="s">
        <v>4150</v>
      </c>
      <c r="B1780" s="6" t="s">
        <v>4151</v>
      </c>
      <c r="C1780" s="6">
        <v>9208999772</v>
      </c>
      <c r="D1780" s="6" t="s">
        <v>121</v>
      </c>
      <c r="E1780" s="6" t="s">
        <v>1632</v>
      </c>
      <c r="F1780" s="6" t="s">
        <v>1694</v>
      </c>
      <c r="G1780" s="6" t="s">
        <v>23</v>
      </c>
      <c r="H1780" s="6" t="s">
        <v>4072</v>
      </c>
      <c r="I1780" s="2" t="str">
        <f t="shared" si="135"/>
        <v>Aug</v>
      </c>
      <c r="J1780" s="2">
        <f t="shared" si="136"/>
        <v>8</v>
      </c>
      <c r="K1780" s="2">
        <f t="shared" si="137"/>
        <v>2025</v>
      </c>
      <c r="L1780" s="2">
        <f t="shared" si="138"/>
        <v>3</v>
      </c>
      <c r="M1780" s="6">
        <v>8</v>
      </c>
      <c r="N1780" s="6" t="s">
        <v>4065</v>
      </c>
      <c r="O1780" s="6" t="s">
        <v>97</v>
      </c>
      <c r="P1780" s="7">
        <v>413780</v>
      </c>
      <c r="Q1780" s="7">
        <v>379198</v>
      </c>
      <c r="R1780" s="6" t="s">
        <v>4152</v>
      </c>
      <c r="S1780" s="6" t="s">
        <v>5574</v>
      </c>
      <c r="T1780" s="6">
        <v>26.3</v>
      </c>
      <c r="U1780" s="6" t="s">
        <v>63</v>
      </c>
      <c r="V1780" s="6" t="s">
        <v>286</v>
      </c>
      <c r="W1780" s="67" t="str">
        <f t="shared" si="139"/>
        <v>Customer</v>
      </c>
    </row>
    <row r="1781" spans="1:23" x14ac:dyDescent="0.3">
      <c r="A1781" s="8" t="s">
        <v>4153</v>
      </c>
      <c r="B1781" s="8" t="s">
        <v>3979</v>
      </c>
      <c r="C1781" s="8">
        <v>9446384079</v>
      </c>
      <c r="D1781" s="8" t="s">
        <v>108</v>
      </c>
      <c r="E1781" s="8" t="s">
        <v>109</v>
      </c>
      <c r="F1781" s="8" t="s">
        <v>110</v>
      </c>
      <c r="G1781" s="8" t="s">
        <v>1623</v>
      </c>
      <c r="H1781" s="8" t="s">
        <v>4072</v>
      </c>
      <c r="I1781" s="2" t="str">
        <f t="shared" si="135"/>
        <v>Aug</v>
      </c>
      <c r="J1781" s="2">
        <f t="shared" si="136"/>
        <v>8</v>
      </c>
      <c r="K1781" s="2">
        <f t="shared" si="137"/>
        <v>2025</v>
      </c>
      <c r="L1781" s="2">
        <f t="shared" si="138"/>
        <v>3</v>
      </c>
      <c r="M1781" s="8">
        <v>2</v>
      </c>
      <c r="N1781" s="8" t="s">
        <v>4155</v>
      </c>
      <c r="O1781" s="8" t="s">
        <v>27</v>
      </c>
      <c r="P1781" s="9">
        <v>178941</v>
      </c>
      <c r="Q1781" s="8"/>
      <c r="R1781" s="8"/>
      <c r="S1781" s="8" t="s">
        <v>5819</v>
      </c>
      <c r="T1781" s="8">
        <v>11.3</v>
      </c>
      <c r="U1781" s="8" t="s">
        <v>29</v>
      </c>
      <c r="V1781" s="8" t="s">
        <v>157</v>
      </c>
      <c r="W1781" s="67" t="str">
        <f t="shared" si="139"/>
        <v>-</v>
      </c>
    </row>
    <row r="1782" spans="1:23" x14ac:dyDescent="0.3">
      <c r="A1782" s="8" t="s">
        <v>4156</v>
      </c>
      <c r="B1782" s="8" t="s">
        <v>4157</v>
      </c>
      <c r="C1782" s="8">
        <v>9753698659</v>
      </c>
      <c r="D1782" s="8" t="s">
        <v>20</v>
      </c>
      <c r="E1782" s="8" t="s">
        <v>648</v>
      </c>
      <c r="F1782" s="8" t="s">
        <v>822</v>
      </c>
      <c r="G1782" s="8" t="s">
        <v>1677</v>
      </c>
      <c r="H1782" s="8" t="s">
        <v>4085</v>
      </c>
      <c r="I1782" s="2" t="str">
        <f t="shared" si="135"/>
        <v>Aug</v>
      </c>
      <c r="J1782" s="2">
        <f t="shared" si="136"/>
        <v>8</v>
      </c>
      <c r="K1782" s="2">
        <f t="shared" si="137"/>
        <v>2025</v>
      </c>
      <c r="L1782" s="2">
        <f t="shared" si="138"/>
        <v>3</v>
      </c>
      <c r="M1782" s="8">
        <v>12</v>
      </c>
      <c r="N1782" s="8" t="s">
        <v>4158</v>
      </c>
      <c r="O1782" s="8" t="s">
        <v>45</v>
      </c>
      <c r="P1782" s="9">
        <v>1676779</v>
      </c>
      <c r="Q1782" s="8"/>
      <c r="R1782" s="8"/>
      <c r="S1782" s="8" t="s">
        <v>5573</v>
      </c>
      <c r="T1782" s="8">
        <v>25.3</v>
      </c>
      <c r="U1782" s="8" t="s">
        <v>47</v>
      </c>
      <c r="V1782" s="8" t="s">
        <v>89</v>
      </c>
      <c r="W1782" s="67" t="str">
        <f t="shared" si="139"/>
        <v>-</v>
      </c>
    </row>
    <row r="1783" spans="1:23" x14ac:dyDescent="0.3">
      <c r="A1783" s="4" t="s">
        <v>4159</v>
      </c>
      <c r="B1783" s="4" t="s">
        <v>914</v>
      </c>
      <c r="C1783" s="4">
        <v>9878198036</v>
      </c>
      <c r="D1783" s="4" t="s">
        <v>108</v>
      </c>
      <c r="E1783" s="4" t="s">
        <v>648</v>
      </c>
      <c r="F1783" s="4" t="s">
        <v>899</v>
      </c>
      <c r="G1783" s="4" t="s">
        <v>69</v>
      </c>
      <c r="H1783" s="4" t="s">
        <v>4085</v>
      </c>
      <c r="I1783" s="2" t="str">
        <f t="shared" si="135"/>
        <v>Aug</v>
      </c>
      <c r="J1783" s="2">
        <f t="shared" si="136"/>
        <v>8</v>
      </c>
      <c r="K1783" s="2">
        <f t="shared" si="137"/>
        <v>2025</v>
      </c>
      <c r="L1783" s="2">
        <f t="shared" si="138"/>
        <v>3</v>
      </c>
      <c r="M1783" s="4">
        <v>9</v>
      </c>
      <c r="N1783" s="4" t="s">
        <v>4160</v>
      </c>
      <c r="O1783" s="4" t="s">
        <v>45</v>
      </c>
      <c r="P1783" s="5">
        <v>387250</v>
      </c>
      <c r="Q1783" s="4"/>
      <c r="R1783" s="4"/>
      <c r="S1783" s="4" t="s">
        <v>5574</v>
      </c>
      <c r="T1783" s="4">
        <v>16.8</v>
      </c>
      <c r="U1783" s="4" t="s">
        <v>63</v>
      </c>
      <c r="V1783" s="4" t="s">
        <v>335</v>
      </c>
      <c r="W1783" s="67" t="str">
        <f t="shared" si="139"/>
        <v>-</v>
      </c>
    </row>
    <row r="1784" spans="1:23" x14ac:dyDescent="0.3">
      <c r="A1784" s="8" t="s">
        <v>4161</v>
      </c>
      <c r="B1784" s="8" t="s">
        <v>4162</v>
      </c>
      <c r="C1784" s="8">
        <v>9297671965</v>
      </c>
      <c r="D1784" s="8" t="s">
        <v>59</v>
      </c>
      <c r="E1784" s="8" t="s">
        <v>67</v>
      </c>
      <c r="F1784" s="8" t="s">
        <v>68</v>
      </c>
      <c r="G1784" s="8" t="s">
        <v>52</v>
      </c>
      <c r="H1784" s="8" t="s">
        <v>4085</v>
      </c>
      <c r="I1784" s="2" t="str">
        <f t="shared" si="135"/>
        <v>Aug</v>
      </c>
      <c r="J1784" s="2">
        <f t="shared" si="136"/>
        <v>8</v>
      </c>
      <c r="K1784" s="2">
        <f t="shared" si="137"/>
        <v>2025</v>
      </c>
      <c r="L1784" s="2">
        <f t="shared" si="138"/>
        <v>3</v>
      </c>
      <c r="M1784" s="8">
        <v>12</v>
      </c>
      <c r="N1784" s="8" t="s">
        <v>4163</v>
      </c>
      <c r="O1784" s="8" t="s">
        <v>27</v>
      </c>
      <c r="P1784" s="9">
        <v>396351</v>
      </c>
      <c r="Q1784" s="8"/>
      <c r="R1784" s="8"/>
      <c r="S1784" s="8" t="s">
        <v>5573</v>
      </c>
      <c r="T1784" s="8">
        <v>10.4</v>
      </c>
      <c r="U1784" s="8" t="s">
        <v>47</v>
      </c>
      <c r="V1784" s="8" t="s">
        <v>30</v>
      </c>
      <c r="W1784" s="67" t="str">
        <f t="shared" si="139"/>
        <v>-</v>
      </c>
    </row>
    <row r="1785" spans="1:23" x14ac:dyDescent="0.3">
      <c r="A1785" s="6" t="s">
        <v>4164</v>
      </c>
      <c r="B1785" s="6" t="s">
        <v>1151</v>
      </c>
      <c r="C1785" s="6">
        <v>9301726789</v>
      </c>
      <c r="D1785" s="6" t="s">
        <v>51</v>
      </c>
      <c r="E1785" s="6" t="s">
        <v>641</v>
      </c>
      <c r="F1785" s="6" t="s">
        <v>717</v>
      </c>
      <c r="G1785" s="6" t="s">
        <v>616</v>
      </c>
      <c r="H1785" s="6" t="s">
        <v>3999</v>
      </c>
      <c r="I1785" s="2" t="str">
        <f t="shared" si="135"/>
        <v>Aug</v>
      </c>
      <c r="J1785" s="2">
        <f t="shared" si="136"/>
        <v>8</v>
      </c>
      <c r="K1785" s="2">
        <f t="shared" si="137"/>
        <v>2025</v>
      </c>
      <c r="L1785" s="2">
        <f t="shared" si="138"/>
        <v>3</v>
      </c>
      <c r="M1785" s="6">
        <v>9</v>
      </c>
      <c r="N1785" s="6" t="s">
        <v>4097</v>
      </c>
      <c r="O1785" s="6" t="s">
        <v>97</v>
      </c>
      <c r="P1785" s="7">
        <v>178590</v>
      </c>
      <c r="Q1785" s="7">
        <v>163974</v>
      </c>
      <c r="R1785" s="6" t="s">
        <v>4165</v>
      </c>
      <c r="S1785" s="6" t="s">
        <v>5819</v>
      </c>
      <c r="T1785" s="6">
        <v>30.6</v>
      </c>
      <c r="U1785" s="6" t="s">
        <v>47</v>
      </c>
      <c r="V1785" s="6" t="s">
        <v>113</v>
      </c>
      <c r="W1785" s="67" t="str">
        <f t="shared" si="139"/>
        <v>Customer</v>
      </c>
    </row>
    <row r="1786" spans="1:23" x14ac:dyDescent="0.3">
      <c r="A1786" s="6" t="s">
        <v>4166</v>
      </c>
      <c r="B1786" s="6" t="s">
        <v>4167</v>
      </c>
      <c r="C1786" s="6">
        <v>9249070105</v>
      </c>
      <c r="D1786" s="6" t="s">
        <v>59</v>
      </c>
      <c r="E1786" s="6" t="s">
        <v>41</v>
      </c>
      <c r="F1786" s="6" t="s">
        <v>92</v>
      </c>
      <c r="G1786" s="6" t="s">
        <v>1609</v>
      </c>
      <c r="H1786" s="6" t="s">
        <v>3999</v>
      </c>
      <c r="I1786" s="2" t="str">
        <f t="shared" si="135"/>
        <v>Aug</v>
      </c>
      <c r="J1786" s="2">
        <f t="shared" si="136"/>
        <v>8</v>
      </c>
      <c r="K1786" s="2">
        <f t="shared" si="137"/>
        <v>2025</v>
      </c>
      <c r="L1786" s="2">
        <f t="shared" si="138"/>
        <v>3</v>
      </c>
      <c r="M1786" s="6">
        <v>9</v>
      </c>
      <c r="N1786" s="6" t="s">
        <v>4168</v>
      </c>
      <c r="O1786" s="6" t="s">
        <v>97</v>
      </c>
      <c r="P1786" s="7">
        <v>318055</v>
      </c>
      <c r="Q1786" s="7">
        <v>309791</v>
      </c>
      <c r="R1786" s="6" t="s">
        <v>4169</v>
      </c>
      <c r="S1786" s="6" t="s">
        <v>5574</v>
      </c>
      <c r="T1786" s="6">
        <v>0.9</v>
      </c>
      <c r="U1786" s="6" t="s">
        <v>63</v>
      </c>
      <c r="V1786" s="6" t="s">
        <v>341</v>
      </c>
      <c r="W1786" s="67" t="str">
        <f t="shared" si="139"/>
        <v>Customer</v>
      </c>
    </row>
    <row r="1787" spans="1:23" x14ac:dyDescent="0.3">
      <c r="A1787" s="4" t="s">
        <v>4170</v>
      </c>
      <c r="B1787" s="4" t="s">
        <v>343</v>
      </c>
      <c r="C1787" s="4">
        <v>9437024777</v>
      </c>
      <c r="D1787" s="4" t="s">
        <v>121</v>
      </c>
      <c r="E1787" s="4" t="s">
        <v>1632</v>
      </c>
      <c r="F1787" s="4" t="s">
        <v>1717</v>
      </c>
      <c r="G1787" s="4" t="s">
        <v>643</v>
      </c>
      <c r="H1787" s="4" t="s">
        <v>3999</v>
      </c>
      <c r="I1787" s="2" t="str">
        <f t="shared" si="135"/>
        <v>Aug</v>
      </c>
      <c r="J1787" s="2">
        <f t="shared" si="136"/>
        <v>8</v>
      </c>
      <c r="K1787" s="2">
        <f t="shared" si="137"/>
        <v>2025</v>
      </c>
      <c r="L1787" s="2">
        <f t="shared" si="138"/>
        <v>3</v>
      </c>
      <c r="M1787" s="4">
        <v>1</v>
      </c>
      <c r="N1787" s="4" t="s">
        <v>4042</v>
      </c>
      <c r="O1787" s="4" t="s">
        <v>27</v>
      </c>
      <c r="P1787" s="5">
        <v>1085878</v>
      </c>
      <c r="Q1787" s="4"/>
      <c r="R1787" s="4"/>
      <c r="S1787" s="4" t="s">
        <v>5574</v>
      </c>
      <c r="T1787" s="4">
        <v>12</v>
      </c>
      <c r="U1787" s="4" t="s">
        <v>29</v>
      </c>
      <c r="V1787" s="4" t="s">
        <v>118</v>
      </c>
      <c r="W1787" s="67" t="str">
        <f t="shared" si="139"/>
        <v>-</v>
      </c>
    </row>
    <row r="1788" spans="1:23" x14ac:dyDescent="0.3">
      <c r="A1788" s="6" t="s">
        <v>4171</v>
      </c>
      <c r="B1788" s="6" t="s">
        <v>3089</v>
      </c>
      <c r="C1788" s="6">
        <v>9836300510</v>
      </c>
      <c r="D1788" s="6" t="s">
        <v>20</v>
      </c>
      <c r="E1788" s="6" t="s">
        <v>73</v>
      </c>
      <c r="F1788" s="6" t="s">
        <v>126</v>
      </c>
      <c r="G1788" s="6" t="s">
        <v>1599</v>
      </c>
      <c r="H1788" s="6" t="s">
        <v>3999</v>
      </c>
      <c r="I1788" s="2" t="str">
        <f t="shared" si="135"/>
        <v>Aug</v>
      </c>
      <c r="J1788" s="2">
        <f t="shared" si="136"/>
        <v>8</v>
      </c>
      <c r="K1788" s="2">
        <f t="shared" si="137"/>
        <v>2025</v>
      </c>
      <c r="L1788" s="2">
        <f t="shared" si="138"/>
        <v>3</v>
      </c>
      <c r="M1788" s="6">
        <v>1</v>
      </c>
      <c r="N1788" s="6" t="s">
        <v>4054</v>
      </c>
      <c r="O1788" s="6" t="s">
        <v>97</v>
      </c>
      <c r="P1788" s="7">
        <v>637765</v>
      </c>
      <c r="Q1788" s="7">
        <v>617175</v>
      </c>
      <c r="R1788" s="6" t="s">
        <v>4098</v>
      </c>
      <c r="S1788" s="6" t="s">
        <v>5574</v>
      </c>
      <c r="T1788" s="6">
        <v>13.4</v>
      </c>
      <c r="U1788" s="6" t="s">
        <v>63</v>
      </c>
      <c r="V1788" s="6" t="s">
        <v>243</v>
      </c>
      <c r="W1788" s="67" t="str">
        <f t="shared" si="139"/>
        <v>Customer</v>
      </c>
    </row>
    <row r="1789" spans="1:23" x14ac:dyDescent="0.3">
      <c r="A1789" s="4" t="s">
        <v>4172</v>
      </c>
      <c r="B1789" s="4" t="s">
        <v>4173</v>
      </c>
      <c r="C1789" s="4">
        <v>9589923248</v>
      </c>
      <c r="D1789" s="4" t="s">
        <v>20</v>
      </c>
      <c r="E1789" s="4" t="s">
        <v>641</v>
      </c>
      <c r="F1789" s="4" t="s">
        <v>727</v>
      </c>
      <c r="G1789" s="4" t="s">
        <v>1609</v>
      </c>
      <c r="H1789" s="4" t="s">
        <v>3999</v>
      </c>
      <c r="I1789" s="2" t="str">
        <f t="shared" si="135"/>
        <v>Aug</v>
      </c>
      <c r="J1789" s="2">
        <f t="shared" si="136"/>
        <v>8</v>
      </c>
      <c r="K1789" s="2">
        <f t="shared" si="137"/>
        <v>2025</v>
      </c>
      <c r="L1789" s="2">
        <f t="shared" si="138"/>
        <v>3</v>
      </c>
      <c r="M1789" s="4">
        <v>9</v>
      </c>
      <c r="N1789" s="4" t="s">
        <v>4160</v>
      </c>
      <c r="O1789" s="4" t="s">
        <v>62</v>
      </c>
      <c r="P1789" s="5">
        <v>301874</v>
      </c>
      <c r="Q1789" s="4"/>
      <c r="R1789" s="4"/>
      <c r="S1789" s="4" t="s">
        <v>5573</v>
      </c>
      <c r="T1789" s="4">
        <v>11.8</v>
      </c>
      <c r="U1789" s="4" t="s">
        <v>47</v>
      </c>
      <c r="V1789" s="4" t="s">
        <v>310</v>
      </c>
      <c r="W1789" s="67" t="str">
        <f t="shared" si="139"/>
        <v>-</v>
      </c>
    </row>
    <row r="1790" spans="1:23" x14ac:dyDescent="0.3">
      <c r="A1790" s="2" t="s">
        <v>4174</v>
      </c>
      <c r="B1790" s="2" t="s">
        <v>2107</v>
      </c>
      <c r="C1790" s="2">
        <v>9520473312</v>
      </c>
      <c r="D1790" s="2" t="s">
        <v>20</v>
      </c>
      <c r="E1790" s="2" t="s">
        <v>1632</v>
      </c>
      <c r="F1790" s="2" t="s">
        <v>1849</v>
      </c>
      <c r="G1790" s="2" t="s">
        <v>1677</v>
      </c>
      <c r="H1790" s="2" t="s">
        <v>4036</v>
      </c>
      <c r="I1790" s="2" t="str">
        <f t="shared" si="135"/>
        <v>Aug</v>
      </c>
      <c r="J1790" s="2">
        <f t="shared" si="136"/>
        <v>8</v>
      </c>
      <c r="K1790" s="2">
        <f t="shared" si="137"/>
        <v>2025</v>
      </c>
      <c r="L1790" s="2">
        <f t="shared" si="138"/>
        <v>3</v>
      </c>
      <c r="M1790" s="2">
        <v>10</v>
      </c>
      <c r="N1790" s="2" t="s">
        <v>4152</v>
      </c>
      <c r="O1790" s="2" t="s">
        <v>27</v>
      </c>
      <c r="P1790" s="3">
        <v>1555228</v>
      </c>
      <c r="Q1790" s="2"/>
      <c r="R1790" s="2"/>
      <c r="S1790" s="2" t="s">
        <v>5819</v>
      </c>
      <c r="T1790" s="2">
        <v>26.7</v>
      </c>
      <c r="U1790" s="2" t="s">
        <v>47</v>
      </c>
      <c r="V1790" s="2"/>
      <c r="W1790" s="67" t="str">
        <f t="shared" si="139"/>
        <v>-</v>
      </c>
    </row>
    <row r="1791" spans="1:23" x14ac:dyDescent="0.3">
      <c r="A1791" s="4" t="s">
        <v>4175</v>
      </c>
      <c r="B1791" s="4" t="s">
        <v>3863</v>
      </c>
      <c r="C1791" s="4">
        <v>9700363977</v>
      </c>
      <c r="D1791" s="4" t="s">
        <v>20</v>
      </c>
      <c r="E1791" s="4" t="s">
        <v>648</v>
      </c>
      <c r="F1791" s="4" t="s">
        <v>649</v>
      </c>
      <c r="G1791" s="4" t="s">
        <v>35</v>
      </c>
      <c r="H1791" s="4" t="s">
        <v>4154</v>
      </c>
      <c r="I1791" s="2" t="str">
        <f t="shared" si="135"/>
        <v>Aug</v>
      </c>
      <c r="J1791" s="2">
        <f t="shared" si="136"/>
        <v>8</v>
      </c>
      <c r="K1791" s="2">
        <f t="shared" si="137"/>
        <v>2025</v>
      </c>
      <c r="L1791" s="2">
        <f t="shared" si="138"/>
        <v>3</v>
      </c>
      <c r="M1791" s="4">
        <v>6</v>
      </c>
      <c r="N1791" s="4" t="s">
        <v>4010</v>
      </c>
      <c r="O1791" s="4" t="s">
        <v>27</v>
      </c>
      <c r="P1791" s="5">
        <v>113559</v>
      </c>
      <c r="Q1791" s="4"/>
      <c r="R1791" s="4"/>
      <c r="S1791" s="4" t="s">
        <v>5573</v>
      </c>
      <c r="T1791" s="4">
        <v>18.100000000000001</v>
      </c>
      <c r="U1791" s="4" t="s">
        <v>29</v>
      </c>
      <c r="V1791" s="4" t="s">
        <v>30</v>
      </c>
      <c r="W1791" s="67" t="str">
        <f t="shared" si="139"/>
        <v>-</v>
      </c>
    </row>
    <row r="1792" spans="1:23" x14ac:dyDescent="0.3">
      <c r="A1792" s="6" t="s">
        <v>4176</v>
      </c>
      <c r="B1792" s="6" t="s">
        <v>4177</v>
      </c>
      <c r="C1792" s="6">
        <v>9518366204</v>
      </c>
      <c r="D1792" s="6" t="s">
        <v>59</v>
      </c>
      <c r="E1792" s="6" t="s">
        <v>41</v>
      </c>
      <c r="F1792" s="6" t="s">
        <v>42</v>
      </c>
      <c r="G1792" s="6" t="s">
        <v>616</v>
      </c>
      <c r="H1792" s="6" t="s">
        <v>4019</v>
      </c>
      <c r="I1792" s="2" t="str">
        <f t="shared" si="135"/>
        <v>Aug</v>
      </c>
      <c r="J1792" s="2">
        <f t="shared" si="136"/>
        <v>8</v>
      </c>
      <c r="K1792" s="2">
        <f t="shared" si="137"/>
        <v>2025</v>
      </c>
      <c r="L1792" s="2">
        <f t="shared" si="138"/>
        <v>3</v>
      </c>
      <c r="M1792" s="6">
        <v>8</v>
      </c>
      <c r="N1792" s="6" t="s">
        <v>4065</v>
      </c>
      <c r="O1792" s="6" t="s">
        <v>97</v>
      </c>
      <c r="P1792" s="7">
        <v>405109</v>
      </c>
      <c r="Q1792" s="7">
        <v>388868</v>
      </c>
      <c r="R1792" s="6" t="s">
        <v>4058</v>
      </c>
      <c r="S1792" s="6" t="s">
        <v>5574</v>
      </c>
      <c r="T1792" s="6">
        <v>12.5</v>
      </c>
      <c r="U1792" s="6" t="s">
        <v>47</v>
      </c>
      <c r="V1792" s="6" t="s">
        <v>341</v>
      </c>
      <c r="W1792" s="67" t="str">
        <f t="shared" si="139"/>
        <v>Customer</v>
      </c>
    </row>
    <row r="1793" spans="1:23" x14ac:dyDescent="0.3">
      <c r="A1793" s="6" t="s">
        <v>4178</v>
      </c>
      <c r="B1793" s="6" t="s">
        <v>4179</v>
      </c>
      <c r="C1793" s="6">
        <v>9706736633</v>
      </c>
      <c r="D1793" s="6" t="s">
        <v>121</v>
      </c>
      <c r="E1793" s="6" t="s">
        <v>648</v>
      </c>
      <c r="F1793" s="6" t="s">
        <v>656</v>
      </c>
      <c r="G1793" s="6" t="s">
        <v>1677</v>
      </c>
      <c r="H1793" s="6" t="s">
        <v>4039</v>
      </c>
      <c r="I1793" s="2" t="str">
        <f t="shared" si="135"/>
        <v>Aug</v>
      </c>
      <c r="J1793" s="2">
        <f t="shared" si="136"/>
        <v>8</v>
      </c>
      <c r="K1793" s="2">
        <f t="shared" si="137"/>
        <v>2025</v>
      </c>
      <c r="L1793" s="2">
        <f t="shared" si="138"/>
        <v>3</v>
      </c>
      <c r="M1793" s="6">
        <v>6</v>
      </c>
      <c r="N1793" s="6" t="s">
        <v>4180</v>
      </c>
      <c r="O1793" s="6" t="s">
        <v>97</v>
      </c>
      <c r="P1793" s="7">
        <v>929694</v>
      </c>
      <c r="Q1793" s="7">
        <v>919747</v>
      </c>
      <c r="R1793" s="6" t="s">
        <v>4181</v>
      </c>
      <c r="S1793" s="6" t="s">
        <v>5573</v>
      </c>
      <c r="T1793" s="6">
        <v>15.8</v>
      </c>
      <c r="U1793" s="6" t="s">
        <v>63</v>
      </c>
      <c r="V1793" s="6" t="s">
        <v>465</v>
      </c>
      <c r="W1793" s="67" t="str">
        <f t="shared" si="139"/>
        <v>Customer</v>
      </c>
    </row>
    <row r="1794" spans="1:23" x14ac:dyDescent="0.3">
      <c r="A1794" s="6" t="s">
        <v>4182</v>
      </c>
      <c r="B1794" s="6" t="s">
        <v>599</v>
      </c>
      <c r="C1794" s="6">
        <v>9919114609</v>
      </c>
      <c r="D1794" s="6" t="s">
        <v>20</v>
      </c>
      <c r="E1794" s="6" t="s">
        <v>648</v>
      </c>
      <c r="F1794" s="6" t="s">
        <v>649</v>
      </c>
      <c r="G1794" s="6" t="s">
        <v>87</v>
      </c>
      <c r="H1794" s="6" t="s">
        <v>4064</v>
      </c>
      <c r="I1794" s="2" t="str">
        <f t="shared" ref="I1794:I1857" si="140">TEXT(H1794,"mmm")</f>
        <v>Aug</v>
      </c>
      <c r="J1794" s="2">
        <f t="shared" ref="J1794:J1857" si="141">MONTH(H1794)</f>
        <v>8</v>
      </c>
      <c r="K1794" s="2">
        <f t="shared" ref="K1794:K1857" si="142">YEAR(H1794)</f>
        <v>2025</v>
      </c>
      <c r="L1794" s="2">
        <f t="shared" ref="L1794:L1857" si="143">ROUNDUP(MONTH(H1794)/3,0)</f>
        <v>3</v>
      </c>
      <c r="M1794" s="6">
        <v>8</v>
      </c>
      <c r="N1794" s="6" t="s">
        <v>4095</v>
      </c>
      <c r="O1794" s="6" t="s">
        <v>97</v>
      </c>
      <c r="P1794" s="7">
        <v>150848</v>
      </c>
      <c r="Q1794" s="7">
        <v>147305</v>
      </c>
      <c r="R1794" s="6" t="s">
        <v>4183</v>
      </c>
      <c r="S1794" s="6" t="s">
        <v>5574</v>
      </c>
      <c r="T1794" s="6">
        <v>9.9</v>
      </c>
      <c r="U1794" s="6" t="s">
        <v>47</v>
      </c>
      <c r="V1794" s="6" t="s">
        <v>286</v>
      </c>
      <c r="W1794" s="67" t="str">
        <f t="shared" ref="W1794:W1857" si="144">IF($O1794&lt;&gt;"Converted","-",IF(ISNUMBER(SEARCH("Architect",$F1794)),"Architect","Customer"))</f>
        <v>Customer</v>
      </c>
    </row>
    <row r="1795" spans="1:23" x14ac:dyDescent="0.3">
      <c r="A1795" s="4" t="s">
        <v>4184</v>
      </c>
      <c r="B1795" s="4" t="s">
        <v>3157</v>
      </c>
      <c r="C1795" s="4">
        <v>9546249621</v>
      </c>
      <c r="D1795" s="4" t="s">
        <v>59</v>
      </c>
      <c r="E1795" s="4" t="s">
        <v>41</v>
      </c>
      <c r="F1795" s="4" t="s">
        <v>86</v>
      </c>
      <c r="G1795" s="4" t="s">
        <v>87</v>
      </c>
      <c r="H1795" s="4" t="s">
        <v>4064</v>
      </c>
      <c r="I1795" s="2" t="str">
        <f t="shared" si="140"/>
        <v>Aug</v>
      </c>
      <c r="J1795" s="2">
        <f t="shared" si="141"/>
        <v>8</v>
      </c>
      <c r="K1795" s="2">
        <f t="shared" si="142"/>
        <v>2025</v>
      </c>
      <c r="L1795" s="2">
        <f t="shared" si="143"/>
        <v>3</v>
      </c>
      <c r="M1795" s="4">
        <v>4</v>
      </c>
      <c r="N1795" s="4" t="s">
        <v>4058</v>
      </c>
      <c r="O1795" s="4" t="s">
        <v>45</v>
      </c>
      <c r="P1795" s="5">
        <v>121226</v>
      </c>
      <c r="Q1795" s="4"/>
      <c r="R1795" s="4"/>
      <c r="S1795" s="4" t="s">
        <v>5573</v>
      </c>
      <c r="T1795" s="4">
        <v>13.8</v>
      </c>
      <c r="U1795" s="4" t="s">
        <v>63</v>
      </c>
      <c r="V1795" s="4" t="s">
        <v>678</v>
      </c>
      <c r="W1795" s="67" t="str">
        <f t="shared" si="144"/>
        <v>-</v>
      </c>
    </row>
    <row r="1796" spans="1:23" x14ac:dyDescent="0.3">
      <c r="A1796" s="2" t="s">
        <v>4185</v>
      </c>
      <c r="B1796" s="2" t="s">
        <v>4186</v>
      </c>
      <c r="C1796" s="2">
        <v>9351107288</v>
      </c>
      <c r="D1796" s="2" t="s">
        <v>59</v>
      </c>
      <c r="E1796" s="2" t="s">
        <v>648</v>
      </c>
      <c r="F1796" s="2" t="s">
        <v>899</v>
      </c>
      <c r="G1796" s="2" t="s">
        <v>1735</v>
      </c>
      <c r="H1796" s="2" t="s">
        <v>4064</v>
      </c>
      <c r="I1796" s="2" t="str">
        <f t="shared" si="140"/>
        <v>Aug</v>
      </c>
      <c r="J1796" s="2">
        <f t="shared" si="141"/>
        <v>8</v>
      </c>
      <c r="K1796" s="2">
        <f t="shared" si="142"/>
        <v>2025</v>
      </c>
      <c r="L1796" s="2">
        <f t="shared" si="143"/>
        <v>3</v>
      </c>
      <c r="M1796" s="2">
        <v>6</v>
      </c>
      <c r="N1796" s="2" t="s">
        <v>4058</v>
      </c>
      <c r="O1796" s="2" t="s">
        <v>45</v>
      </c>
      <c r="P1796" s="3">
        <v>1937060</v>
      </c>
      <c r="Q1796" s="2"/>
      <c r="R1796" s="2"/>
      <c r="S1796" s="2" t="s">
        <v>5819</v>
      </c>
      <c r="T1796" s="2">
        <v>12.3</v>
      </c>
      <c r="U1796" s="2" t="s">
        <v>63</v>
      </c>
      <c r="V1796" s="2" t="s">
        <v>668</v>
      </c>
      <c r="W1796" s="67" t="str">
        <f t="shared" si="144"/>
        <v>-</v>
      </c>
    </row>
    <row r="1797" spans="1:23" x14ac:dyDescent="0.3">
      <c r="A1797" s="6" t="s">
        <v>4187</v>
      </c>
      <c r="B1797" s="6" t="s">
        <v>859</v>
      </c>
      <c r="C1797" s="6">
        <v>9359336731</v>
      </c>
      <c r="D1797" s="6" t="s">
        <v>59</v>
      </c>
      <c r="E1797" s="6" t="s">
        <v>33</v>
      </c>
      <c r="F1797" s="6" t="s">
        <v>34</v>
      </c>
      <c r="G1797" s="6" t="s">
        <v>52</v>
      </c>
      <c r="H1797" s="6" t="s">
        <v>4117</v>
      </c>
      <c r="I1797" s="2" t="str">
        <f t="shared" si="140"/>
        <v>Aug</v>
      </c>
      <c r="J1797" s="2">
        <f t="shared" si="141"/>
        <v>8</v>
      </c>
      <c r="K1797" s="2">
        <f t="shared" si="142"/>
        <v>2025</v>
      </c>
      <c r="L1797" s="2">
        <f t="shared" si="143"/>
        <v>3</v>
      </c>
      <c r="M1797" s="6">
        <v>7</v>
      </c>
      <c r="N1797" s="6" t="s">
        <v>4100</v>
      </c>
      <c r="O1797" s="6" t="s">
        <v>97</v>
      </c>
      <c r="P1797" s="7">
        <v>379225</v>
      </c>
      <c r="Q1797" s="7">
        <v>389522</v>
      </c>
      <c r="R1797" s="6" t="s">
        <v>4188</v>
      </c>
      <c r="S1797" s="6" t="s">
        <v>5573</v>
      </c>
      <c r="T1797" s="6">
        <v>22.5</v>
      </c>
      <c r="U1797" s="6" t="s">
        <v>63</v>
      </c>
      <c r="V1797" s="6" t="s">
        <v>907</v>
      </c>
      <c r="W1797" s="67" t="str">
        <f t="shared" si="144"/>
        <v>Customer</v>
      </c>
    </row>
    <row r="1798" spans="1:23" x14ac:dyDescent="0.3">
      <c r="A1798" s="6" t="s">
        <v>4189</v>
      </c>
      <c r="B1798" s="6" t="s">
        <v>2305</v>
      </c>
      <c r="C1798" s="6">
        <v>9601639941</v>
      </c>
      <c r="D1798" s="6" t="s">
        <v>20</v>
      </c>
      <c r="E1798" s="6" t="s">
        <v>33</v>
      </c>
      <c r="F1798" s="6" t="s">
        <v>34</v>
      </c>
      <c r="G1798" s="6" t="s">
        <v>69</v>
      </c>
      <c r="H1798" s="6" t="s">
        <v>4117</v>
      </c>
      <c r="I1798" s="2" t="str">
        <f t="shared" si="140"/>
        <v>Aug</v>
      </c>
      <c r="J1798" s="2">
        <f t="shared" si="141"/>
        <v>8</v>
      </c>
      <c r="K1798" s="2">
        <f t="shared" si="142"/>
        <v>2025</v>
      </c>
      <c r="L1798" s="2">
        <f t="shared" si="143"/>
        <v>3</v>
      </c>
      <c r="M1798" s="6">
        <v>3</v>
      </c>
      <c r="N1798" s="6" t="s">
        <v>4051</v>
      </c>
      <c r="O1798" s="6" t="s">
        <v>97</v>
      </c>
      <c r="P1798" s="7">
        <v>181760</v>
      </c>
      <c r="Q1798" s="7">
        <v>167570</v>
      </c>
      <c r="R1798" s="6" t="s">
        <v>4129</v>
      </c>
      <c r="S1798" s="6" t="s">
        <v>5573</v>
      </c>
      <c r="T1798" s="6">
        <v>31.9</v>
      </c>
      <c r="U1798" s="6" t="s">
        <v>63</v>
      </c>
      <c r="V1798" s="6"/>
      <c r="W1798" s="67" t="str">
        <f t="shared" si="144"/>
        <v>Customer</v>
      </c>
    </row>
    <row r="1799" spans="1:23" x14ac:dyDescent="0.3">
      <c r="A1799" s="4" t="s">
        <v>4190</v>
      </c>
      <c r="B1799" s="4" t="s">
        <v>1504</v>
      </c>
      <c r="C1799" s="4">
        <v>9429019866</v>
      </c>
      <c r="D1799" s="4" t="s">
        <v>5357</v>
      </c>
      <c r="E1799" s="4" t="s">
        <v>641</v>
      </c>
      <c r="F1799" s="4" t="s">
        <v>717</v>
      </c>
      <c r="G1799" s="4" t="s">
        <v>643</v>
      </c>
      <c r="H1799" s="4" t="s">
        <v>4117</v>
      </c>
      <c r="I1799" s="2" t="str">
        <f t="shared" si="140"/>
        <v>Aug</v>
      </c>
      <c r="J1799" s="2">
        <f t="shared" si="141"/>
        <v>8</v>
      </c>
      <c r="K1799" s="2">
        <f t="shared" si="142"/>
        <v>2025</v>
      </c>
      <c r="L1799" s="2">
        <f t="shared" si="143"/>
        <v>3</v>
      </c>
      <c r="M1799" s="4">
        <v>0</v>
      </c>
      <c r="N1799" s="4" t="s">
        <v>4097</v>
      </c>
      <c r="O1799" s="4" t="s">
        <v>27</v>
      </c>
      <c r="P1799" s="5">
        <v>746223</v>
      </c>
      <c r="Q1799" s="4"/>
      <c r="R1799" s="4"/>
      <c r="S1799" s="4" t="s">
        <v>5573</v>
      </c>
      <c r="T1799" s="4">
        <v>1.5</v>
      </c>
      <c r="U1799" s="4" t="s">
        <v>29</v>
      </c>
      <c r="V1799" s="4" t="s">
        <v>123</v>
      </c>
      <c r="W1799" s="67" t="str">
        <f t="shared" si="144"/>
        <v>-</v>
      </c>
    </row>
    <row r="1800" spans="1:23" x14ac:dyDescent="0.3">
      <c r="A1800" s="8" t="s">
        <v>4191</v>
      </c>
      <c r="B1800" s="8" t="s">
        <v>4192</v>
      </c>
      <c r="C1800" s="8">
        <v>9165120960</v>
      </c>
      <c r="D1800" s="8" t="s">
        <v>108</v>
      </c>
      <c r="E1800" s="8" t="s">
        <v>1632</v>
      </c>
      <c r="F1800" s="8" t="s">
        <v>1694</v>
      </c>
      <c r="G1800" s="8" t="s">
        <v>35</v>
      </c>
      <c r="H1800" s="8" t="s">
        <v>3992</v>
      </c>
      <c r="I1800" s="2" t="str">
        <f t="shared" si="140"/>
        <v>Aug</v>
      </c>
      <c r="J1800" s="2">
        <f t="shared" si="141"/>
        <v>8</v>
      </c>
      <c r="K1800" s="2">
        <f t="shared" si="142"/>
        <v>2025</v>
      </c>
      <c r="L1800" s="2">
        <f t="shared" si="143"/>
        <v>3</v>
      </c>
      <c r="M1800" s="8">
        <v>9</v>
      </c>
      <c r="N1800" s="8" t="s">
        <v>4193</v>
      </c>
      <c r="O1800" s="8" t="s">
        <v>45</v>
      </c>
      <c r="P1800" s="9">
        <v>234924</v>
      </c>
      <c r="Q1800" s="8"/>
      <c r="R1800" s="8"/>
      <c r="S1800" s="8" t="s">
        <v>5573</v>
      </c>
      <c r="T1800" s="8"/>
      <c r="U1800" s="8" t="s">
        <v>63</v>
      </c>
      <c r="V1800" s="8" t="s">
        <v>535</v>
      </c>
      <c r="W1800" s="67" t="str">
        <f t="shared" si="144"/>
        <v>-</v>
      </c>
    </row>
    <row r="1801" spans="1:23" x14ac:dyDescent="0.3">
      <c r="A1801" s="8" t="s">
        <v>4194</v>
      </c>
      <c r="B1801" s="8" t="s">
        <v>283</v>
      </c>
      <c r="C1801" s="8">
        <v>9157153967</v>
      </c>
      <c r="D1801" s="8" t="s">
        <v>108</v>
      </c>
      <c r="E1801" s="8" t="s">
        <v>41</v>
      </c>
      <c r="F1801" s="8" t="s">
        <v>92</v>
      </c>
      <c r="G1801" s="8" t="s">
        <v>643</v>
      </c>
      <c r="H1801" s="8" t="s">
        <v>3992</v>
      </c>
      <c r="I1801" s="2" t="str">
        <f t="shared" si="140"/>
        <v>Aug</v>
      </c>
      <c r="J1801" s="2">
        <f t="shared" si="141"/>
        <v>8</v>
      </c>
      <c r="K1801" s="2">
        <f t="shared" si="142"/>
        <v>2025</v>
      </c>
      <c r="L1801" s="2">
        <f t="shared" si="143"/>
        <v>3</v>
      </c>
      <c r="M1801" s="8"/>
      <c r="N1801" s="8" t="s">
        <v>4074</v>
      </c>
      <c r="O1801" s="8" t="s">
        <v>97</v>
      </c>
      <c r="P1801" s="9">
        <v>1420675</v>
      </c>
      <c r="Q1801" s="9">
        <v>1405703</v>
      </c>
      <c r="R1801" s="8" t="s">
        <v>4195</v>
      </c>
      <c r="S1801" s="8" t="s">
        <v>5819</v>
      </c>
      <c r="T1801" s="8">
        <v>16.600000000000001</v>
      </c>
      <c r="U1801" s="8" t="s">
        <v>63</v>
      </c>
      <c r="V1801" s="8" t="s">
        <v>465</v>
      </c>
      <c r="W1801" s="67" t="str">
        <f t="shared" si="144"/>
        <v>Customer</v>
      </c>
    </row>
    <row r="1802" spans="1:23" x14ac:dyDescent="0.3">
      <c r="A1802" s="8" t="s">
        <v>4196</v>
      </c>
      <c r="B1802" s="8" t="s">
        <v>3317</v>
      </c>
      <c r="C1802" s="8">
        <v>9197773793</v>
      </c>
      <c r="D1802" s="8" t="s">
        <v>121</v>
      </c>
      <c r="E1802" s="8" t="s">
        <v>641</v>
      </c>
      <c r="F1802" s="8" t="s">
        <v>717</v>
      </c>
      <c r="G1802" s="8" t="s">
        <v>1621</v>
      </c>
      <c r="H1802" s="8" t="s">
        <v>3992</v>
      </c>
      <c r="I1802" s="2" t="str">
        <f t="shared" si="140"/>
        <v>Aug</v>
      </c>
      <c r="J1802" s="2">
        <f t="shared" si="141"/>
        <v>8</v>
      </c>
      <c r="K1802" s="2">
        <f t="shared" si="142"/>
        <v>2025</v>
      </c>
      <c r="L1802" s="2">
        <f t="shared" si="143"/>
        <v>3</v>
      </c>
      <c r="M1802" s="8">
        <v>10</v>
      </c>
      <c r="N1802" s="8" t="s">
        <v>4163</v>
      </c>
      <c r="O1802" s="8" t="s">
        <v>62</v>
      </c>
      <c r="P1802" s="9">
        <v>400231</v>
      </c>
      <c r="Q1802" s="8"/>
      <c r="R1802" s="8"/>
      <c r="S1802" s="8" t="s">
        <v>5574</v>
      </c>
      <c r="T1802" s="8">
        <v>18</v>
      </c>
      <c r="U1802" s="8" t="s">
        <v>47</v>
      </c>
      <c r="V1802" s="8" t="s">
        <v>137</v>
      </c>
      <c r="W1802" s="67" t="str">
        <f t="shared" si="144"/>
        <v>-</v>
      </c>
    </row>
    <row r="1803" spans="1:23" x14ac:dyDescent="0.3">
      <c r="A1803" s="6" t="s">
        <v>4197</v>
      </c>
      <c r="B1803" s="6" t="s">
        <v>4198</v>
      </c>
      <c r="C1803" s="6">
        <v>9490709679</v>
      </c>
      <c r="D1803" s="6" t="s">
        <v>121</v>
      </c>
      <c r="E1803" s="6" t="s">
        <v>41</v>
      </c>
      <c r="F1803" s="6" t="s">
        <v>92</v>
      </c>
      <c r="G1803" s="6" t="s">
        <v>52</v>
      </c>
      <c r="H1803" s="6" t="s">
        <v>4042</v>
      </c>
      <c r="I1803" s="2" t="str">
        <f t="shared" si="140"/>
        <v>Aug</v>
      </c>
      <c r="J1803" s="2">
        <f t="shared" si="141"/>
        <v>8</v>
      </c>
      <c r="K1803" s="2">
        <f t="shared" si="142"/>
        <v>2025</v>
      </c>
      <c r="L1803" s="2">
        <f t="shared" si="143"/>
        <v>3</v>
      </c>
      <c r="M1803" s="6">
        <v>3</v>
      </c>
      <c r="N1803" s="6" t="s">
        <v>4100</v>
      </c>
      <c r="O1803" s="6" t="s">
        <v>97</v>
      </c>
      <c r="P1803" s="7">
        <v>181967</v>
      </c>
      <c r="Q1803" s="7">
        <v>178735</v>
      </c>
      <c r="R1803" s="6" t="s">
        <v>4188</v>
      </c>
      <c r="S1803" s="6" t="s">
        <v>5574</v>
      </c>
      <c r="T1803" s="6">
        <v>9.6</v>
      </c>
      <c r="U1803" s="6" t="s">
        <v>47</v>
      </c>
      <c r="V1803" s="6" t="s">
        <v>295</v>
      </c>
      <c r="W1803" s="67" t="str">
        <f t="shared" si="144"/>
        <v>Customer</v>
      </c>
    </row>
    <row r="1804" spans="1:23" x14ac:dyDescent="0.3">
      <c r="A1804" s="2" t="s">
        <v>4199</v>
      </c>
      <c r="B1804" s="2" t="s">
        <v>3181</v>
      </c>
      <c r="C1804" s="2"/>
      <c r="D1804" s="2" t="s">
        <v>20</v>
      </c>
      <c r="E1804" s="2" t="s">
        <v>1632</v>
      </c>
      <c r="F1804" s="2" t="s">
        <v>1849</v>
      </c>
      <c r="G1804" s="2" t="s">
        <v>1609</v>
      </c>
      <c r="H1804" s="2" t="s">
        <v>4042</v>
      </c>
      <c r="I1804" s="2" t="str">
        <f t="shared" si="140"/>
        <v>Aug</v>
      </c>
      <c r="J1804" s="2">
        <f t="shared" si="141"/>
        <v>8</v>
      </c>
      <c r="K1804" s="2">
        <f t="shared" si="142"/>
        <v>2025</v>
      </c>
      <c r="L1804" s="2">
        <f t="shared" si="143"/>
        <v>3</v>
      </c>
      <c r="M1804" s="2">
        <v>1</v>
      </c>
      <c r="N1804" s="2" t="s">
        <v>4136</v>
      </c>
      <c r="O1804" s="2" t="s">
        <v>27</v>
      </c>
      <c r="P1804" s="3">
        <v>239401</v>
      </c>
      <c r="Q1804" s="2"/>
      <c r="R1804" s="2"/>
      <c r="S1804" s="2" t="s">
        <v>5574</v>
      </c>
      <c r="T1804" s="2">
        <v>25.5</v>
      </c>
      <c r="U1804" s="2" t="s">
        <v>29</v>
      </c>
      <c r="V1804" s="2" t="s">
        <v>2847</v>
      </c>
      <c r="W1804" s="67" t="str">
        <f t="shared" si="144"/>
        <v>-</v>
      </c>
    </row>
    <row r="1805" spans="1:23" x14ac:dyDescent="0.3">
      <c r="A1805" s="4" t="s">
        <v>4200</v>
      </c>
      <c r="B1805" s="4" t="s">
        <v>4201</v>
      </c>
      <c r="C1805" s="4">
        <v>9211000079</v>
      </c>
      <c r="D1805" s="4" t="s">
        <v>108</v>
      </c>
      <c r="E1805" s="4" t="s">
        <v>648</v>
      </c>
      <c r="F1805" s="4" t="s">
        <v>649</v>
      </c>
      <c r="G1805" s="4" t="s">
        <v>1623</v>
      </c>
      <c r="H1805" s="4" t="s">
        <v>4202</v>
      </c>
      <c r="I1805" s="2" t="str">
        <f t="shared" si="140"/>
        <v>Aug</v>
      </c>
      <c r="J1805" s="2">
        <f t="shared" si="141"/>
        <v>8</v>
      </c>
      <c r="K1805" s="2">
        <f t="shared" si="142"/>
        <v>2025</v>
      </c>
      <c r="L1805" s="2">
        <f t="shared" si="143"/>
        <v>3</v>
      </c>
      <c r="M1805" s="4">
        <v>9</v>
      </c>
      <c r="N1805" s="4" t="s">
        <v>4095</v>
      </c>
      <c r="O1805" s="4" t="s">
        <v>27</v>
      </c>
      <c r="P1805" s="5">
        <v>334196</v>
      </c>
      <c r="Q1805" s="4"/>
      <c r="R1805" s="4"/>
      <c r="S1805" s="4" t="s">
        <v>5819</v>
      </c>
      <c r="T1805" s="4">
        <v>4</v>
      </c>
      <c r="U1805" s="4" t="s">
        <v>29</v>
      </c>
      <c r="V1805" s="4" t="s">
        <v>30</v>
      </c>
      <c r="W1805" s="67" t="str">
        <f t="shared" si="144"/>
        <v>-</v>
      </c>
    </row>
    <row r="1806" spans="1:23" x14ac:dyDescent="0.3">
      <c r="A1806" s="6" t="s">
        <v>4203</v>
      </c>
      <c r="B1806" s="6" t="s">
        <v>2664</v>
      </c>
      <c r="C1806" s="6">
        <v>9352689382</v>
      </c>
      <c r="D1806" s="6" t="s">
        <v>59</v>
      </c>
      <c r="E1806" s="6" t="s">
        <v>1632</v>
      </c>
      <c r="F1806" s="6" t="s">
        <v>1849</v>
      </c>
      <c r="G1806" s="6" t="s">
        <v>1609</v>
      </c>
      <c r="H1806" s="6" t="s">
        <v>4033</v>
      </c>
      <c r="I1806" s="2" t="str">
        <f t="shared" si="140"/>
        <v>Aug</v>
      </c>
      <c r="J1806" s="2">
        <f t="shared" si="141"/>
        <v>8</v>
      </c>
      <c r="K1806" s="2">
        <f t="shared" si="142"/>
        <v>2025</v>
      </c>
      <c r="L1806" s="2">
        <f t="shared" si="143"/>
        <v>3</v>
      </c>
      <c r="M1806" s="6">
        <v>4</v>
      </c>
      <c r="N1806" s="6" t="s">
        <v>4051</v>
      </c>
      <c r="O1806" s="6" t="s">
        <v>97</v>
      </c>
      <c r="P1806" s="7">
        <v>389436</v>
      </c>
      <c r="Q1806" s="7">
        <v>371283</v>
      </c>
      <c r="R1806" s="6" t="s">
        <v>4010</v>
      </c>
      <c r="S1806" s="6" t="s">
        <v>5819</v>
      </c>
      <c r="T1806" s="6">
        <v>3.6</v>
      </c>
      <c r="U1806" s="6" t="s">
        <v>63</v>
      </c>
      <c r="V1806" s="6" t="s">
        <v>99</v>
      </c>
      <c r="W1806" s="67" t="str">
        <f t="shared" si="144"/>
        <v>Customer</v>
      </c>
    </row>
    <row r="1807" spans="1:23" x14ac:dyDescent="0.3">
      <c r="A1807" s="6" t="s">
        <v>4204</v>
      </c>
      <c r="B1807" s="6" t="s">
        <v>4205</v>
      </c>
      <c r="C1807" s="6">
        <v>9159710478</v>
      </c>
      <c r="D1807" s="6" t="s">
        <v>121</v>
      </c>
      <c r="E1807" s="6" t="s">
        <v>648</v>
      </c>
      <c r="F1807" s="6" t="s">
        <v>822</v>
      </c>
      <c r="G1807" s="6" t="s">
        <v>643</v>
      </c>
      <c r="H1807" s="6" t="s">
        <v>4033</v>
      </c>
      <c r="I1807" s="2" t="str">
        <f t="shared" si="140"/>
        <v>Aug</v>
      </c>
      <c r="J1807" s="2">
        <f t="shared" si="141"/>
        <v>8</v>
      </c>
      <c r="K1807" s="2">
        <f t="shared" si="142"/>
        <v>2025</v>
      </c>
      <c r="L1807" s="2">
        <f t="shared" si="143"/>
        <v>3</v>
      </c>
      <c r="M1807" s="6">
        <v>3</v>
      </c>
      <c r="N1807" s="6" t="s">
        <v>4165</v>
      </c>
      <c r="O1807" s="6" t="s">
        <v>97</v>
      </c>
      <c r="P1807" s="7">
        <v>733339</v>
      </c>
      <c r="Q1807" s="7">
        <v>715055</v>
      </c>
      <c r="R1807" s="6" t="s">
        <v>4206</v>
      </c>
      <c r="S1807" s="6" t="s">
        <v>5573</v>
      </c>
      <c r="T1807" s="6">
        <v>31.1</v>
      </c>
      <c r="U1807" s="6" t="s">
        <v>63</v>
      </c>
      <c r="V1807" s="6" t="s">
        <v>341</v>
      </c>
      <c r="W1807" s="67" t="str">
        <f t="shared" si="144"/>
        <v>Customer</v>
      </c>
    </row>
    <row r="1808" spans="1:23" x14ac:dyDescent="0.3">
      <c r="A1808" s="2" t="s">
        <v>4207</v>
      </c>
      <c r="B1808" s="2" t="s">
        <v>2255</v>
      </c>
      <c r="C1808" s="2">
        <v>9180095075</v>
      </c>
      <c r="D1808" s="2" t="s">
        <v>59</v>
      </c>
      <c r="E1808" s="2" t="s">
        <v>41</v>
      </c>
      <c r="F1808" s="2" t="s">
        <v>92</v>
      </c>
      <c r="G1808" s="2" t="s">
        <v>60</v>
      </c>
      <c r="H1808" s="2" t="s">
        <v>4033</v>
      </c>
      <c r="I1808" s="2" t="str">
        <f t="shared" si="140"/>
        <v>Aug</v>
      </c>
      <c r="J1808" s="2">
        <f t="shared" si="141"/>
        <v>8</v>
      </c>
      <c r="K1808" s="2">
        <f t="shared" si="142"/>
        <v>2025</v>
      </c>
      <c r="L1808" s="2">
        <f t="shared" si="143"/>
        <v>3</v>
      </c>
      <c r="M1808" s="2">
        <v>3</v>
      </c>
      <c r="N1808" s="2" t="s">
        <v>4180</v>
      </c>
      <c r="O1808" s="2" t="s">
        <v>45</v>
      </c>
      <c r="P1808" s="3">
        <v>158698</v>
      </c>
      <c r="Q1808" s="2"/>
      <c r="R1808" s="2"/>
      <c r="S1808" s="2" t="s">
        <v>5819</v>
      </c>
      <c r="T1808" s="2">
        <v>27.8</v>
      </c>
      <c r="U1808" s="2" t="s">
        <v>29</v>
      </c>
      <c r="V1808" s="2" t="s">
        <v>697</v>
      </c>
      <c r="W1808" s="67" t="str">
        <f t="shared" si="144"/>
        <v>-</v>
      </c>
    </row>
    <row r="1809" spans="1:23" x14ac:dyDescent="0.3">
      <c r="A1809" s="8" t="s">
        <v>4208</v>
      </c>
      <c r="B1809" s="8" t="s">
        <v>2639</v>
      </c>
      <c r="C1809" s="8">
        <v>9785083321</v>
      </c>
      <c r="D1809" s="8" t="s">
        <v>20</v>
      </c>
      <c r="E1809" s="8" t="s">
        <v>41</v>
      </c>
      <c r="F1809" s="8" t="s">
        <v>42</v>
      </c>
      <c r="G1809" s="8" t="s">
        <v>1677</v>
      </c>
      <c r="H1809" s="8" t="s">
        <v>4033</v>
      </c>
      <c r="I1809" s="2" t="str">
        <f t="shared" si="140"/>
        <v>Aug</v>
      </c>
      <c r="J1809" s="2">
        <f t="shared" si="141"/>
        <v>8</v>
      </c>
      <c r="K1809" s="2">
        <f t="shared" si="142"/>
        <v>2025</v>
      </c>
      <c r="L1809" s="2">
        <f t="shared" si="143"/>
        <v>3</v>
      </c>
      <c r="M1809" s="8">
        <v>3</v>
      </c>
      <c r="N1809" s="8" t="s">
        <v>4165</v>
      </c>
      <c r="O1809" s="8" t="s">
        <v>62</v>
      </c>
      <c r="P1809" s="9">
        <v>1509964</v>
      </c>
      <c r="Q1809" s="8"/>
      <c r="R1809" s="8"/>
      <c r="S1809" s="8" t="s">
        <v>5574</v>
      </c>
      <c r="T1809" s="8">
        <v>10.1</v>
      </c>
      <c r="U1809" s="8" t="s">
        <v>47</v>
      </c>
      <c r="V1809" s="8" t="s">
        <v>487</v>
      </c>
      <c r="W1809" s="67" t="str">
        <f t="shared" si="144"/>
        <v>-</v>
      </c>
    </row>
    <row r="1810" spans="1:23" x14ac:dyDescent="0.3">
      <c r="A1810" s="6" t="s">
        <v>4209</v>
      </c>
      <c r="B1810" s="6" t="s">
        <v>4210</v>
      </c>
      <c r="C1810" s="6">
        <v>9982952076</v>
      </c>
      <c r="D1810" s="6" t="s">
        <v>59</v>
      </c>
      <c r="E1810" s="6" t="s">
        <v>33</v>
      </c>
      <c r="F1810" s="6" t="s">
        <v>34</v>
      </c>
      <c r="G1810" s="6" t="s">
        <v>87</v>
      </c>
      <c r="H1810" s="6" t="s">
        <v>4033</v>
      </c>
      <c r="I1810" s="2" t="str">
        <f t="shared" si="140"/>
        <v>Aug</v>
      </c>
      <c r="J1810" s="2">
        <f t="shared" si="141"/>
        <v>8</v>
      </c>
      <c r="K1810" s="2">
        <f t="shared" si="142"/>
        <v>2025</v>
      </c>
      <c r="L1810" s="2">
        <f t="shared" si="143"/>
        <v>3</v>
      </c>
      <c r="M1810" s="6">
        <v>5</v>
      </c>
      <c r="N1810" s="6" t="s">
        <v>4211</v>
      </c>
      <c r="O1810" s="6" t="s">
        <v>97</v>
      </c>
      <c r="P1810" s="7">
        <v>117851</v>
      </c>
      <c r="Q1810" s="7">
        <v>105056</v>
      </c>
      <c r="R1810" s="6" t="s">
        <v>4212</v>
      </c>
      <c r="S1810" s="6" t="s">
        <v>5819</v>
      </c>
      <c r="T1810" s="6">
        <v>10.7</v>
      </c>
      <c r="U1810" s="6" t="s">
        <v>63</v>
      </c>
      <c r="V1810" s="6" t="s">
        <v>170</v>
      </c>
      <c r="W1810" s="67" t="str">
        <f t="shared" si="144"/>
        <v>Customer</v>
      </c>
    </row>
    <row r="1811" spans="1:23" x14ac:dyDescent="0.3">
      <c r="A1811" s="4" t="s">
        <v>4213</v>
      </c>
      <c r="B1811" s="4" t="s">
        <v>1212</v>
      </c>
      <c r="C1811" s="4">
        <v>9575335722</v>
      </c>
      <c r="D1811" s="4" t="s">
        <v>108</v>
      </c>
      <c r="E1811" s="4" t="s">
        <v>41</v>
      </c>
      <c r="F1811" s="4" t="s">
        <v>86</v>
      </c>
      <c r="G1811" s="4" t="s">
        <v>23</v>
      </c>
      <c r="H1811" s="4" t="s">
        <v>4030</v>
      </c>
      <c r="I1811" s="2" t="str">
        <f t="shared" si="140"/>
        <v>Aug</v>
      </c>
      <c r="J1811" s="2">
        <f t="shared" si="141"/>
        <v>8</v>
      </c>
      <c r="K1811" s="2">
        <f t="shared" si="142"/>
        <v>2025</v>
      </c>
      <c r="L1811" s="2">
        <f t="shared" si="143"/>
        <v>3</v>
      </c>
      <c r="M1811" s="4">
        <v>7</v>
      </c>
      <c r="N1811" s="4" t="s">
        <v>4180</v>
      </c>
      <c r="O1811" s="4" t="s">
        <v>62</v>
      </c>
      <c r="P1811" s="5">
        <v>365087</v>
      </c>
      <c r="Q1811" s="4"/>
      <c r="R1811" s="4"/>
      <c r="S1811" s="4" t="s">
        <v>5574</v>
      </c>
      <c r="T1811" s="4">
        <v>3.5</v>
      </c>
      <c r="U1811" s="4" t="s">
        <v>29</v>
      </c>
      <c r="V1811" s="4" t="s">
        <v>206</v>
      </c>
      <c r="W1811" s="67" t="str">
        <f t="shared" si="144"/>
        <v>-</v>
      </c>
    </row>
    <row r="1812" spans="1:23" x14ac:dyDescent="0.3">
      <c r="A1812" s="2" t="s">
        <v>4214</v>
      </c>
      <c r="B1812" s="2" t="s">
        <v>1327</v>
      </c>
      <c r="C1812" s="2">
        <v>9309640161</v>
      </c>
      <c r="D1812" s="2" t="s">
        <v>121</v>
      </c>
      <c r="E1812" s="2" t="s">
        <v>41</v>
      </c>
      <c r="F1812" s="2" t="s">
        <v>92</v>
      </c>
      <c r="G1812" s="2" t="s">
        <v>616</v>
      </c>
      <c r="H1812" s="2" t="s">
        <v>4111</v>
      </c>
      <c r="I1812" s="2" t="str">
        <f t="shared" si="140"/>
        <v>Aug</v>
      </c>
      <c r="J1812" s="2">
        <f t="shared" si="141"/>
        <v>8</v>
      </c>
      <c r="K1812" s="2">
        <f t="shared" si="142"/>
        <v>2025</v>
      </c>
      <c r="L1812" s="2">
        <f t="shared" si="143"/>
        <v>3</v>
      </c>
      <c r="M1812" s="2">
        <v>9</v>
      </c>
      <c r="N1812" s="2" t="s">
        <v>4215</v>
      </c>
      <c r="O1812" s="2" t="s">
        <v>45</v>
      </c>
      <c r="P1812" s="3">
        <v>241104</v>
      </c>
      <c r="Q1812" s="2"/>
      <c r="R1812" s="2"/>
      <c r="S1812" s="2" t="s">
        <v>5819</v>
      </c>
      <c r="T1812" s="2">
        <v>13</v>
      </c>
      <c r="U1812" s="2" t="s">
        <v>63</v>
      </c>
      <c r="V1812" s="2" t="s">
        <v>221</v>
      </c>
      <c r="W1812" s="67" t="str">
        <f t="shared" si="144"/>
        <v>-</v>
      </c>
    </row>
    <row r="1813" spans="1:23" x14ac:dyDescent="0.3">
      <c r="A1813" s="4" t="s">
        <v>4216</v>
      </c>
      <c r="B1813" s="4" t="s">
        <v>1061</v>
      </c>
      <c r="C1813" s="4">
        <v>9906145163</v>
      </c>
      <c r="D1813" s="4" t="s">
        <v>59</v>
      </c>
      <c r="E1813" s="4" t="s">
        <v>21</v>
      </c>
      <c r="F1813" s="4" t="s">
        <v>230</v>
      </c>
      <c r="G1813" s="4" t="s">
        <v>1735</v>
      </c>
      <c r="H1813" s="4" t="s">
        <v>4054</v>
      </c>
      <c r="I1813" s="2" t="str">
        <f t="shared" si="140"/>
        <v>Aug</v>
      </c>
      <c r="J1813" s="2">
        <f t="shared" si="141"/>
        <v>8</v>
      </c>
      <c r="K1813" s="2">
        <f t="shared" si="142"/>
        <v>2025</v>
      </c>
      <c r="L1813" s="2">
        <f t="shared" si="143"/>
        <v>3</v>
      </c>
      <c r="M1813" s="4">
        <v>7</v>
      </c>
      <c r="N1813" s="4" t="s">
        <v>4217</v>
      </c>
      <c r="O1813" s="4" t="s">
        <v>27</v>
      </c>
      <c r="P1813" s="5">
        <v>1475988</v>
      </c>
      <c r="Q1813" s="4"/>
      <c r="R1813" s="4"/>
      <c r="S1813" s="4" t="s">
        <v>5819</v>
      </c>
      <c r="T1813" s="4">
        <v>15.7</v>
      </c>
      <c r="U1813" s="4" t="s">
        <v>29</v>
      </c>
      <c r="V1813" s="4" t="s">
        <v>202</v>
      </c>
      <c r="W1813" s="67" t="str">
        <f t="shared" si="144"/>
        <v>-</v>
      </c>
    </row>
    <row r="1814" spans="1:23" x14ac:dyDescent="0.3">
      <c r="A1814" s="8" t="s">
        <v>4218</v>
      </c>
      <c r="B1814" s="8" t="s">
        <v>2141</v>
      </c>
      <c r="C1814" s="8">
        <v>9257877777</v>
      </c>
      <c r="D1814" s="8" t="s">
        <v>20</v>
      </c>
      <c r="E1814" s="8" t="s">
        <v>1632</v>
      </c>
      <c r="F1814" s="8" t="s">
        <v>1717</v>
      </c>
      <c r="G1814" s="8" t="s">
        <v>643</v>
      </c>
      <c r="H1814" s="8" t="s">
        <v>4054</v>
      </c>
      <c r="I1814" s="2" t="str">
        <f t="shared" si="140"/>
        <v>Aug</v>
      </c>
      <c r="J1814" s="2">
        <f t="shared" si="141"/>
        <v>8</v>
      </c>
      <c r="K1814" s="2">
        <f t="shared" si="142"/>
        <v>2025</v>
      </c>
      <c r="L1814" s="2">
        <f t="shared" si="143"/>
        <v>3</v>
      </c>
      <c r="M1814" s="8">
        <v>4</v>
      </c>
      <c r="N1814" s="8" t="s">
        <v>4211</v>
      </c>
      <c r="O1814" s="8" t="s">
        <v>45</v>
      </c>
      <c r="P1814" s="9">
        <v>784593</v>
      </c>
      <c r="Q1814" s="8"/>
      <c r="R1814" s="8"/>
      <c r="S1814" s="8" t="s">
        <v>5574</v>
      </c>
      <c r="T1814" s="8">
        <v>9.1</v>
      </c>
      <c r="U1814" s="8" t="s">
        <v>47</v>
      </c>
      <c r="V1814" s="8" t="s">
        <v>48</v>
      </c>
      <c r="W1814" s="67" t="str">
        <f t="shared" si="144"/>
        <v>-</v>
      </c>
    </row>
    <row r="1815" spans="1:23" x14ac:dyDescent="0.3">
      <c r="A1815" s="4" t="s">
        <v>4219</v>
      </c>
      <c r="B1815" s="4" t="s">
        <v>1433</v>
      </c>
      <c r="C1815" s="4">
        <v>9705540625</v>
      </c>
      <c r="D1815" s="4" t="s">
        <v>121</v>
      </c>
      <c r="E1815" s="4" t="s">
        <v>41</v>
      </c>
      <c r="F1815" s="4" t="s">
        <v>151</v>
      </c>
      <c r="G1815" s="4" t="s">
        <v>1677</v>
      </c>
      <c r="H1815" s="4" t="s">
        <v>4054</v>
      </c>
      <c r="I1815" s="2" t="str">
        <f t="shared" si="140"/>
        <v>Aug</v>
      </c>
      <c r="J1815" s="2">
        <f t="shared" si="141"/>
        <v>8</v>
      </c>
      <c r="K1815" s="2">
        <f t="shared" si="142"/>
        <v>2025</v>
      </c>
      <c r="L1815" s="2">
        <f t="shared" si="143"/>
        <v>3</v>
      </c>
      <c r="M1815" s="4">
        <v>4</v>
      </c>
      <c r="N1815" s="4" t="s">
        <v>4059</v>
      </c>
      <c r="O1815" s="4" t="s">
        <v>27</v>
      </c>
      <c r="P1815" s="5">
        <v>1772764</v>
      </c>
      <c r="Q1815" s="4"/>
      <c r="R1815" s="4"/>
      <c r="S1815" s="4" t="s">
        <v>5574</v>
      </c>
      <c r="T1815" s="4">
        <v>26.7</v>
      </c>
      <c r="U1815" s="4" t="s">
        <v>29</v>
      </c>
      <c r="V1815" s="4"/>
      <c r="W1815" s="67" t="str">
        <f t="shared" si="144"/>
        <v>-</v>
      </c>
    </row>
    <row r="1816" spans="1:23" x14ac:dyDescent="0.3">
      <c r="A1816" s="8" t="s">
        <v>4220</v>
      </c>
      <c r="B1816" s="8" t="s">
        <v>1696</v>
      </c>
      <c r="C1816" s="8"/>
      <c r="D1816" s="8" t="s">
        <v>59</v>
      </c>
      <c r="E1816" s="8" t="s">
        <v>1632</v>
      </c>
      <c r="F1816" s="8" t="s">
        <v>1659</v>
      </c>
      <c r="G1816" s="8" t="s">
        <v>52</v>
      </c>
      <c r="H1816" s="8" t="s">
        <v>4054</v>
      </c>
      <c r="I1816" s="2" t="str">
        <f t="shared" si="140"/>
        <v>Aug</v>
      </c>
      <c r="J1816" s="2">
        <f t="shared" si="141"/>
        <v>8</v>
      </c>
      <c r="K1816" s="2">
        <f t="shared" si="142"/>
        <v>2025</v>
      </c>
      <c r="L1816" s="2">
        <f t="shared" si="143"/>
        <v>3</v>
      </c>
      <c r="M1816" s="8">
        <v>9</v>
      </c>
      <c r="N1816" s="8" t="s">
        <v>4145</v>
      </c>
      <c r="O1816" s="8" t="s">
        <v>27</v>
      </c>
      <c r="P1816" s="9">
        <v>411739</v>
      </c>
      <c r="Q1816" s="8"/>
      <c r="R1816" s="8"/>
      <c r="S1816" s="8" t="s">
        <v>5819</v>
      </c>
      <c r="T1816" s="8">
        <v>17.2</v>
      </c>
      <c r="U1816" s="8" t="s">
        <v>29</v>
      </c>
      <c r="V1816" s="8" t="s">
        <v>1697</v>
      </c>
      <c r="W1816" s="67" t="str">
        <f t="shared" si="144"/>
        <v>-</v>
      </c>
    </row>
    <row r="1817" spans="1:23" x14ac:dyDescent="0.3">
      <c r="A1817" s="4" t="s">
        <v>4221</v>
      </c>
      <c r="B1817" s="4" t="s">
        <v>2913</v>
      </c>
      <c r="C1817" s="4">
        <v>9342394731</v>
      </c>
      <c r="D1817" s="4" t="s">
        <v>59</v>
      </c>
      <c r="E1817" s="4" t="s">
        <v>1632</v>
      </c>
      <c r="F1817" s="4" t="s">
        <v>1694</v>
      </c>
      <c r="G1817" s="4" t="s">
        <v>643</v>
      </c>
      <c r="H1817" s="4" t="s">
        <v>4046</v>
      </c>
      <c r="I1817" s="2" t="str">
        <f t="shared" si="140"/>
        <v>Aug</v>
      </c>
      <c r="J1817" s="2">
        <f t="shared" si="141"/>
        <v>8</v>
      </c>
      <c r="K1817" s="2">
        <f t="shared" si="142"/>
        <v>2025</v>
      </c>
      <c r="L1817" s="2">
        <f t="shared" si="143"/>
        <v>3</v>
      </c>
      <c r="M1817" s="4">
        <v>2</v>
      </c>
      <c r="N1817" s="4" t="s">
        <v>4136</v>
      </c>
      <c r="O1817" s="4" t="s">
        <v>45</v>
      </c>
      <c r="P1817" s="5">
        <v>1277329</v>
      </c>
      <c r="Q1817" s="4"/>
      <c r="R1817" s="4"/>
      <c r="S1817" s="4" t="s">
        <v>5819</v>
      </c>
      <c r="T1817" s="4">
        <v>24</v>
      </c>
      <c r="U1817" s="4" t="s">
        <v>47</v>
      </c>
      <c r="V1817" s="4" t="s">
        <v>89</v>
      </c>
      <c r="W1817" s="67" t="str">
        <f t="shared" si="144"/>
        <v>-</v>
      </c>
    </row>
    <row r="1818" spans="1:23" x14ac:dyDescent="0.3">
      <c r="A1818" s="2" t="s">
        <v>4222</v>
      </c>
      <c r="B1818" s="2" t="s">
        <v>3056</v>
      </c>
      <c r="C1818" s="2">
        <v>9278451152</v>
      </c>
      <c r="D1818" s="2" t="s">
        <v>121</v>
      </c>
      <c r="E1818" s="2" t="s">
        <v>648</v>
      </c>
      <c r="F1818" s="2" t="s">
        <v>649</v>
      </c>
      <c r="G1818" s="2" t="s">
        <v>52</v>
      </c>
      <c r="H1818" s="2" t="s">
        <v>4046</v>
      </c>
      <c r="I1818" s="2" t="str">
        <f t="shared" si="140"/>
        <v>Aug</v>
      </c>
      <c r="J1818" s="2">
        <f t="shared" si="141"/>
        <v>8</v>
      </c>
      <c r="K1818" s="2">
        <f t="shared" si="142"/>
        <v>2025</v>
      </c>
      <c r="L1818" s="2">
        <f t="shared" si="143"/>
        <v>3</v>
      </c>
      <c r="M1818" s="2">
        <v>4</v>
      </c>
      <c r="N1818" s="2" t="s">
        <v>4145</v>
      </c>
      <c r="O1818" s="2" t="s">
        <v>45</v>
      </c>
      <c r="P1818" s="3">
        <v>398278</v>
      </c>
      <c r="Q1818" s="2"/>
      <c r="R1818" s="2"/>
      <c r="S1818" s="2" t="s">
        <v>5573</v>
      </c>
      <c r="T1818" s="2">
        <v>13.3</v>
      </c>
      <c r="U1818" s="2" t="s">
        <v>47</v>
      </c>
      <c r="V1818" s="2" t="s">
        <v>310</v>
      </c>
      <c r="W1818" s="67" t="str">
        <f t="shared" si="144"/>
        <v>-</v>
      </c>
    </row>
    <row r="1819" spans="1:23" x14ac:dyDescent="0.3">
      <c r="A1819" s="4" t="s">
        <v>4223</v>
      </c>
      <c r="B1819" s="4" t="s">
        <v>995</v>
      </c>
      <c r="C1819" s="4">
        <v>9373464167</v>
      </c>
      <c r="D1819" s="4" t="s">
        <v>51</v>
      </c>
      <c r="E1819" s="4" t="s">
        <v>1632</v>
      </c>
      <c r="F1819" s="4" t="s">
        <v>1659</v>
      </c>
      <c r="G1819" s="4" t="s">
        <v>1621</v>
      </c>
      <c r="H1819" s="4" t="s">
        <v>4046</v>
      </c>
      <c r="I1819" s="2" t="str">
        <f t="shared" si="140"/>
        <v>Aug</v>
      </c>
      <c r="J1819" s="2">
        <f t="shared" si="141"/>
        <v>8</v>
      </c>
      <c r="K1819" s="2">
        <f t="shared" si="142"/>
        <v>2025</v>
      </c>
      <c r="L1819" s="2">
        <f t="shared" si="143"/>
        <v>3</v>
      </c>
      <c r="M1819" s="4">
        <v>5</v>
      </c>
      <c r="N1819" s="4" t="s">
        <v>4136</v>
      </c>
      <c r="O1819" s="4" t="s">
        <v>62</v>
      </c>
      <c r="P1819" s="5">
        <v>248931</v>
      </c>
      <c r="Q1819" s="4"/>
      <c r="R1819" s="4"/>
      <c r="S1819" s="4" t="s">
        <v>5574</v>
      </c>
      <c r="T1819" s="4">
        <v>30</v>
      </c>
      <c r="U1819" s="4" t="s">
        <v>47</v>
      </c>
      <c r="V1819" s="4"/>
      <c r="W1819" s="67" t="str">
        <f t="shared" si="144"/>
        <v>-</v>
      </c>
    </row>
    <row r="1820" spans="1:23" x14ac:dyDescent="0.3">
      <c r="A1820" s="2" t="s">
        <v>4224</v>
      </c>
      <c r="B1820" s="2" t="s">
        <v>3925</v>
      </c>
      <c r="C1820" s="2">
        <v>9498928031</v>
      </c>
      <c r="D1820" s="2" t="s">
        <v>5356</v>
      </c>
      <c r="E1820" s="2" t="s">
        <v>33</v>
      </c>
      <c r="F1820" s="2" t="s">
        <v>201</v>
      </c>
      <c r="G1820" s="2" t="s">
        <v>52</v>
      </c>
      <c r="H1820" s="2" t="s">
        <v>4155</v>
      </c>
      <c r="I1820" s="2" t="str">
        <f t="shared" si="140"/>
        <v>Aug</v>
      </c>
      <c r="J1820" s="2">
        <f t="shared" si="141"/>
        <v>8</v>
      </c>
      <c r="K1820" s="2">
        <f t="shared" si="142"/>
        <v>2025</v>
      </c>
      <c r="L1820" s="2">
        <f t="shared" si="143"/>
        <v>3</v>
      </c>
      <c r="M1820" s="2">
        <v>5</v>
      </c>
      <c r="N1820" s="2" t="s">
        <v>4095</v>
      </c>
      <c r="O1820" s="2" t="s">
        <v>62</v>
      </c>
      <c r="P1820" s="3">
        <v>412731</v>
      </c>
      <c r="Q1820" s="2"/>
      <c r="R1820" s="2"/>
      <c r="S1820" s="2" t="s">
        <v>5573</v>
      </c>
      <c r="T1820" s="2">
        <v>9.4</v>
      </c>
      <c r="U1820" s="2" t="s">
        <v>47</v>
      </c>
      <c r="V1820" s="2" t="s">
        <v>137</v>
      </c>
      <c r="W1820" s="67" t="str">
        <f t="shared" si="144"/>
        <v>-</v>
      </c>
    </row>
    <row r="1821" spans="1:23" x14ac:dyDescent="0.3">
      <c r="A1821" s="4" t="s">
        <v>4225</v>
      </c>
      <c r="B1821" s="4" t="s">
        <v>40</v>
      </c>
      <c r="C1821" s="4">
        <v>9936143345</v>
      </c>
      <c r="D1821" s="4" t="s">
        <v>59</v>
      </c>
      <c r="E1821" s="4" t="s">
        <v>67</v>
      </c>
      <c r="F1821" s="4" t="s">
        <v>80</v>
      </c>
      <c r="G1821" s="4" t="s">
        <v>616</v>
      </c>
      <c r="H1821" s="4" t="s">
        <v>4155</v>
      </c>
      <c r="I1821" s="2" t="str">
        <f t="shared" si="140"/>
        <v>Aug</v>
      </c>
      <c r="J1821" s="2">
        <f t="shared" si="141"/>
        <v>8</v>
      </c>
      <c r="K1821" s="2">
        <f t="shared" si="142"/>
        <v>2025</v>
      </c>
      <c r="L1821" s="2">
        <f t="shared" si="143"/>
        <v>3</v>
      </c>
      <c r="M1821" s="4">
        <v>1</v>
      </c>
      <c r="N1821" s="4" t="s">
        <v>4129</v>
      </c>
      <c r="O1821" s="4" t="s">
        <v>27</v>
      </c>
      <c r="P1821" s="5">
        <v>356412</v>
      </c>
      <c r="Q1821" s="4"/>
      <c r="R1821" s="4"/>
      <c r="S1821" s="4" t="s">
        <v>5819</v>
      </c>
      <c r="T1821" s="4">
        <v>19.8</v>
      </c>
      <c r="U1821" s="4" t="s">
        <v>29</v>
      </c>
      <c r="V1821" s="4" t="s">
        <v>118</v>
      </c>
      <c r="W1821" s="67" t="str">
        <f t="shared" si="144"/>
        <v>-</v>
      </c>
    </row>
    <row r="1822" spans="1:23" x14ac:dyDescent="0.3">
      <c r="A1822" s="6" t="s">
        <v>4226</v>
      </c>
      <c r="B1822" s="6" t="s">
        <v>3137</v>
      </c>
      <c r="C1822" s="6">
        <v>9840901333</v>
      </c>
      <c r="D1822" s="6" t="s">
        <v>108</v>
      </c>
      <c r="E1822" s="6" t="s">
        <v>41</v>
      </c>
      <c r="F1822" s="6" t="s">
        <v>42</v>
      </c>
      <c r="G1822" s="6" t="s">
        <v>60</v>
      </c>
      <c r="H1822" s="6" t="s">
        <v>4155</v>
      </c>
      <c r="I1822" s="2" t="str">
        <f t="shared" si="140"/>
        <v>Aug</v>
      </c>
      <c r="J1822" s="2">
        <f t="shared" si="141"/>
        <v>8</v>
      </c>
      <c r="K1822" s="2">
        <f t="shared" si="142"/>
        <v>2025</v>
      </c>
      <c r="L1822" s="2">
        <f t="shared" si="143"/>
        <v>3</v>
      </c>
      <c r="M1822" s="6">
        <v>12</v>
      </c>
      <c r="N1822" s="6" t="s">
        <v>4227</v>
      </c>
      <c r="O1822" s="6" t="s">
        <v>97</v>
      </c>
      <c r="P1822" s="7">
        <v>184405</v>
      </c>
      <c r="Q1822" s="7">
        <v>163122</v>
      </c>
      <c r="R1822" s="6" t="s">
        <v>4228</v>
      </c>
      <c r="S1822" s="6" t="s">
        <v>5574</v>
      </c>
      <c r="T1822" s="6">
        <v>29.7</v>
      </c>
      <c r="U1822" s="6" t="s">
        <v>63</v>
      </c>
      <c r="V1822" s="6" t="s">
        <v>483</v>
      </c>
      <c r="W1822" s="67" t="str">
        <f t="shared" si="144"/>
        <v>Customer</v>
      </c>
    </row>
    <row r="1823" spans="1:23" x14ac:dyDescent="0.3">
      <c r="A1823" s="8" t="s">
        <v>4229</v>
      </c>
      <c r="B1823" s="8" t="s">
        <v>3100</v>
      </c>
      <c r="C1823" s="8">
        <v>9261602831</v>
      </c>
      <c r="D1823" s="8" t="s">
        <v>59</v>
      </c>
      <c r="E1823" s="8" t="s">
        <v>21</v>
      </c>
      <c r="F1823" s="8" t="s">
        <v>230</v>
      </c>
      <c r="G1823" s="8" t="s">
        <v>1609</v>
      </c>
      <c r="H1823" s="8" t="s">
        <v>4097</v>
      </c>
      <c r="I1823" s="2" t="str">
        <f t="shared" si="140"/>
        <v>Aug</v>
      </c>
      <c r="J1823" s="2">
        <f t="shared" si="141"/>
        <v>8</v>
      </c>
      <c r="K1823" s="2">
        <f t="shared" si="142"/>
        <v>2025</v>
      </c>
      <c r="L1823" s="2">
        <f t="shared" si="143"/>
        <v>3</v>
      </c>
      <c r="M1823" s="8">
        <v>11</v>
      </c>
      <c r="N1823" s="8" t="s">
        <v>4230</v>
      </c>
      <c r="O1823" s="8" t="s">
        <v>27</v>
      </c>
      <c r="P1823" s="9">
        <v>551727</v>
      </c>
      <c r="Q1823" s="8"/>
      <c r="R1823" s="8"/>
      <c r="S1823" s="8" t="s">
        <v>5819</v>
      </c>
      <c r="T1823" s="8">
        <v>14.1</v>
      </c>
      <c r="U1823" s="8" t="s">
        <v>29</v>
      </c>
      <c r="V1823" s="8" t="s">
        <v>202</v>
      </c>
      <c r="W1823" s="67" t="str">
        <f t="shared" si="144"/>
        <v>-</v>
      </c>
    </row>
    <row r="1824" spans="1:23" x14ac:dyDescent="0.3">
      <c r="A1824" s="2" t="s">
        <v>4231</v>
      </c>
      <c r="B1824" s="2" t="s">
        <v>4232</v>
      </c>
      <c r="C1824" s="2">
        <v>9624348514</v>
      </c>
      <c r="D1824" s="2" t="s">
        <v>59</v>
      </c>
      <c r="E1824" s="2" t="s">
        <v>41</v>
      </c>
      <c r="F1824" s="2" t="s">
        <v>92</v>
      </c>
      <c r="G1824" s="2" t="s">
        <v>60</v>
      </c>
      <c r="H1824" s="2" t="s">
        <v>4079</v>
      </c>
      <c r="I1824" s="2" t="str">
        <f t="shared" si="140"/>
        <v>Aug</v>
      </c>
      <c r="J1824" s="2">
        <f t="shared" si="141"/>
        <v>8</v>
      </c>
      <c r="K1824" s="2">
        <f t="shared" si="142"/>
        <v>2025</v>
      </c>
      <c r="L1824" s="2">
        <f t="shared" si="143"/>
        <v>3</v>
      </c>
      <c r="M1824" s="2">
        <v>6</v>
      </c>
      <c r="N1824" s="2" t="s">
        <v>4062</v>
      </c>
      <c r="O1824" s="2" t="s">
        <v>62</v>
      </c>
      <c r="P1824" s="3">
        <v>50000</v>
      </c>
      <c r="Q1824" s="2"/>
      <c r="R1824" s="2"/>
      <c r="S1824" s="2" t="s">
        <v>5574</v>
      </c>
      <c r="T1824" s="2">
        <v>10.1</v>
      </c>
      <c r="U1824" s="2" t="s">
        <v>63</v>
      </c>
      <c r="V1824" s="2" t="s">
        <v>559</v>
      </c>
      <c r="W1824" s="67" t="str">
        <f t="shared" si="144"/>
        <v>-</v>
      </c>
    </row>
    <row r="1825" spans="1:23" x14ac:dyDescent="0.3">
      <c r="A1825" s="4" t="s">
        <v>4233</v>
      </c>
      <c r="B1825" s="4" t="s">
        <v>4234</v>
      </c>
      <c r="C1825" s="4">
        <v>9386224283</v>
      </c>
      <c r="D1825" s="4" t="s">
        <v>121</v>
      </c>
      <c r="E1825" s="4" t="s">
        <v>41</v>
      </c>
      <c r="F1825" s="4" t="s">
        <v>151</v>
      </c>
      <c r="G1825" s="4" t="s">
        <v>23</v>
      </c>
      <c r="H1825" s="4" t="s">
        <v>4079</v>
      </c>
      <c r="I1825" s="2" t="str">
        <f t="shared" si="140"/>
        <v>Aug</v>
      </c>
      <c r="J1825" s="2">
        <f t="shared" si="141"/>
        <v>8</v>
      </c>
      <c r="K1825" s="2">
        <f t="shared" si="142"/>
        <v>2025</v>
      </c>
      <c r="L1825" s="2">
        <f t="shared" si="143"/>
        <v>3</v>
      </c>
      <c r="M1825" s="4">
        <v>12</v>
      </c>
      <c r="N1825" s="4" t="s">
        <v>4235</v>
      </c>
      <c r="O1825" s="4" t="s">
        <v>27</v>
      </c>
      <c r="P1825" s="5">
        <v>401772</v>
      </c>
      <c r="Q1825" s="4"/>
      <c r="R1825" s="4"/>
      <c r="S1825" s="4" t="s">
        <v>5819</v>
      </c>
      <c r="T1825" s="4">
        <v>28.9</v>
      </c>
      <c r="U1825" s="4" t="s">
        <v>29</v>
      </c>
      <c r="V1825" s="4" t="s">
        <v>153</v>
      </c>
      <c r="W1825" s="67" t="str">
        <f t="shared" si="144"/>
        <v>-</v>
      </c>
    </row>
    <row r="1826" spans="1:23" x14ac:dyDescent="0.3">
      <c r="A1826" s="8" t="s">
        <v>4236</v>
      </c>
      <c r="B1826" s="8" t="s">
        <v>726</v>
      </c>
      <c r="C1826" s="8">
        <v>9632406749</v>
      </c>
      <c r="D1826" s="8" t="s">
        <v>59</v>
      </c>
      <c r="E1826" s="8" t="s">
        <v>41</v>
      </c>
      <c r="F1826" s="8" t="s">
        <v>42</v>
      </c>
      <c r="G1826" s="8" t="s">
        <v>1623</v>
      </c>
      <c r="H1826" s="8" t="s">
        <v>4079</v>
      </c>
      <c r="I1826" s="2" t="str">
        <f t="shared" si="140"/>
        <v>Aug</v>
      </c>
      <c r="J1826" s="2">
        <f t="shared" si="141"/>
        <v>8</v>
      </c>
      <c r="K1826" s="2">
        <f t="shared" si="142"/>
        <v>2025</v>
      </c>
      <c r="L1826" s="2">
        <f t="shared" si="143"/>
        <v>3</v>
      </c>
      <c r="M1826" s="8">
        <v>11</v>
      </c>
      <c r="N1826" s="8" t="s">
        <v>4193</v>
      </c>
      <c r="O1826" s="8" t="s">
        <v>97</v>
      </c>
      <c r="P1826" s="9">
        <v>369982</v>
      </c>
      <c r="Q1826" s="9">
        <v>372579</v>
      </c>
      <c r="R1826" s="8" t="s">
        <v>4237</v>
      </c>
      <c r="S1826" s="8" t="s">
        <v>5573</v>
      </c>
      <c r="T1826" s="8">
        <v>6.7</v>
      </c>
      <c r="U1826" s="8" t="s">
        <v>47</v>
      </c>
      <c r="V1826" s="8" t="s">
        <v>295</v>
      </c>
      <c r="W1826" s="67" t="str">
        <f t="shared" si="144"/>
        <v>Customer</v>
      </c>
    </row>
    <row r="1827" spans="1:23" x14ac:dyDescent="0.3">
      <c r="A1827" s="4" t="s">
        <v>4238</v>
      </c>
      <c r="B1827" s="4" t="s">
        <v>4239</v>
      </c>
      <c r="C1827" s="4">
        <v>9561326429</v>
      </c>
      <c r="D1827" s="4" t="s">
        <v>20</v>
      </c>
      <c r="E1827" s="4" t="s">
        <v>1632</v>
      </c>
      <c r="F1827" s="4" t="s">
        <v>1849</v>
      </c>
      <c r="G1827" s="4" t="s">
        <v>1609</v>
      </c>
      <c r="H1827" s="4" t="s">
        <v>4009</v>
      </c>
      <c r="I1827" s="2" t="str">
        <f t="shared" si="140"/>
        <v>Aug</v>
      </c>
      <c r="J1827" s="2">
        <f t="shared" si="141"/>
        <v>8</v>
      </c>
      <c r="K1827" s="2">
        <f t="shared" si="142"/>
        <v>2025</v>
      </c>
      <c r="L1827" s="2">
        <f t="shared" si="143"/>
        <v>3</v>
      </c>
      <c r="M1827" s="4">
        <v>4</v>
      </c>
      <c r="N1827" s="4" t="s">
        <v>4068</v>
      </c>
      <c r="O1827" s="4" t="s">
        <v>62</v>
      </c>
      <c r="P1827" s="5">
        <v>320497</v>
      </c>
      <c r="Q1827" s="4"/>
      <c r="R1827" s="4"/>
      <c r="S1827" s="4" t="s">
        <v>5573</v>
      </c>
      <c r="T1827" s="4">
        <v>14.6</v>
      </c>
      <c r="U1827" s="4" t="s">
        <v>63</v>
      </c>
      <c r="V1827" s="4" t="s">
        <v>535</v>
      </c>
      <c r="W1827" s="67" t="str">
        <f t="shared" si="144"/>
        <v>-</v>
      </c>
    </row>
    <row r="1828" spans="1:23" x14ac:dyDescent="0.3">
      <c r="A1828" s="2" t="s">
        <v>4240</v>
      </c>
      <c r="B1828" s="2" t="s">
        <v>4241</v>
      </c>
      <c r="C1828" s="2">
        <v>9334397084</v>
      </c>
      <c r="D1828" s="2" t="s">
        <v>59</v>
      </c>
      <c r="E1828" s="2" t="s">
        <v>641</v>
      </c>
      <c r="F1828" s="2" t="s">
        <v>681</v>
      </c>
      <c r="G1828" s="2" t="s">
        <v>643</v>
      </c>
      <c r="H1828" s="2" t="s">
        <v>4009</v>
      </c>
      <c r="I1828" s="2" t="str">
        <f t="shared" si="140"/>
        <v>Aug</v>
      </c>
      <c r="J1828" s="2">
        <f t="shared" si="141"/>
        <v>8</v>
      </c>
      <c r="K1828" s="2">
        <f t="shared" si="142"/>
        <v>2025</v>
      </c>
      <c r="L1828" s="2">
        <f t="shared" si="143"/>
        <v>3</v>
      </c>
      <c r="M1828" s="2">
        <v>8</v>
      </c>
      <c r="N1828" s="2" t="s">
        <v>4230</v>
      </c>
      <c r="O1828" s="2" t="s">
        <v>27</v>
      </c>
      <c r="P1828" s="3">
        <v>879877</v>
      </c>
      <c r="Q1828" s="2"/>
      <c r="R1828" s="2"/>
      <c r="S1828" s="2" t="s">
        <v>5573</v>
      </c>
      <c r="T1828" s="2">
        <v>32.5</v>
      </c>
      <c r="U1828" s="2" t="s">
        <v>29</v>
      </c>
      <c r="V1828" s="2"/>
      <c r="W1828" s="67" t="str">
        <f t="shared" si="144"/>
        <v>-</v>
      </c>
    </row>
    <row r="1829" spans="1:23" x14ac:dyDescent="0.3">
      <c r="A1829" s="4" t="s">
        <v>4242</v>
      </c>
      <c r="B1829" s="4" t="s">
        <v>477</v>
      </c>
      <c r="C1829" s="4">
        <v>9673254269</v>
      </c>
      <c r="D1829" s="4" t="s">
        <v>59</v>
      </c>
      <c r="E1829" s="4" t="s">
        <v>1632</v>
      </c>
      <c r="F1829" s="4" t="s">
        <v>1694</v>
      </c>
      <c r="G1829" s="4" t="s">
        <v>643</v>
      </c>
      <c r="H1829" s="4" t="s">
        <v>4009</v>
      </c>
      <c r="I1829" s="2" t="str">
        <f t="shared" si="140"/>
        <v>Aug</v>
      </c>
      <c r="J1829" s="2">
        <f t="shared" si="141"/>
        <v>8</v>
      </c>
      <c r="K1829" s="2">
        <f t="shared" si="142"/>
        <v>2025</v>
      </c>
      <c r="L1829" s="2">
        <f t="shared" si="143"/>
        <v>3</v>
      </c>
      <c r="M1829" s="4">
        <v>6</v>
      </c>
      <c r="N1829" s="4" t="s">
        <v>4243</v>
      </c>
      <c r="O1829" s="4" t="s">
        <v>45</v>
      </c>
      <c r="P1829" s="5">
        <v>1039402</v>
      </c>
      <c r="Q1829" s="4"/>
      <c r="R1829" s="4"/>
      <c r="S1829" s="4" t="s">
        <v>5574</v>
      </c>
      <c r="T1829" s="4">
        <v>20.9</v>
      </c>
      <c r="U1829" s="4" t="s">
        <v>47</v>
      </c>
      <c r="V1829" s="4" t="s">
        <v>48</v>
      </c>
      <c r="W1829" s="67" t="str">
        <f t="shared" si="144"/>
        <v>-</v>
      </c>
    </row>
    <row r="1830" spans="1:23" x14ac:dyDescent="0.3">
      <c r="A1830" s="2" t="s">
        <v>4244</v>
      </c>
      <c r="B1830" s="2" t="s">
        <v>1314</v>
      </c>
      <c r="C1830" s="2">
        <v>9813636544</v>
      </c>
      <c r="D1830" s="2" t="s">
        <v>59</v>
      </c>
      <c r="E1830" s="2" t="s">
        <v>1632</v>
      </c>
      <c r="F1830" s="2" t="s">
        <v>1659</v>
      </c>
      <c r="G1830" s="2" t="s">
        <v>643</v>
      </c>
      <c r="H1830" s="2" t="s">
        <v>4051</v>
      </c>
      <c r="I1830" s="2" t="str">
        <f t="shared" si="140"/>
        <v>Sep</v>
      </c>
      <c r="J1830" s="2">
        <f t="shared" si="141"/>
        <v>9</v>
      </c>
      <c r="K1830" s="2">
        <f t="shared" si="142"/>
        <v>2025</v>
      </c>
      <c r="L1830" s="2">
        <f t="shared" si="143"/>
        <v>3</v>
      </c>
      <c r="M1830" s="2">
        <v>8</v>
      </c>
      <c r="N1830" s="2" t="s">
        <v>4230</v>
      </c>
      <c r="O1830" s="2" t="s">
        <v>45</v>
      </c>
      <c r="P1830" s="3">
        <v>1311299</v>
      </c>
      <c r="Q1830" s="2"/>
      <c r="R1830" s="2"/>
      <c r="S1830" s="2" t="s">
        <v>5574</v>
      </c>
      <c r="T1830" s="2">
        <v>34.799999999999997</v>
      </c>
      <c r="U1830" s="2" t="s">
        <v>29</v>
      </c>
      <c r="V1830" s="2" t="s">
        <v>613</v>
      </c>
      <c r="W1830" s="67" t="str">
        <f t="shared" si="144"/>
        <v>-</v>
      </c>
    </row>
    <row r="1831" spans="1:23" x14ac:dyDescent="0.3">
      <c r="A1831" s="4" t="s">
        <v>4245</v>
      </c>
      <c r="B1831" s="4" t="s">
        <v>838</v>
      </c>
      <c r="C1831" s="4">
        <v>9686016056</v>
      </c>
      <c r="D1831" s="4" t="s">
        <v>20</v>
      </c>
      <c r="E1831" s="4" t="s">
        <v>41</v>
      </c>
      <c r="F1831" s="4" t="s">
        <v>42</v>
      </c>
      <c r="G1831" s="4" t="s">
        <v>1621</v>
      </c>
      <c r="H1831" s="4" t="s">
        <v>4051</v>
      </c>
      <c r="I1831" s="2" t="str">
        <f t="shared" si="140"/>
        <v>Sep</v>
      </c>
      <c r="J1831" s="2">
        <f t="shared" si="141"/>
        <v>9</v>
      </c>
      <c r="K1831" s="2">
        <f t="shared" si="142"/>
        <v>2025</v>
      </c>
      <c r="L1831" s="2">
        <f t="shared" si="143"/>
        <v>3</v>
      </c>
      <c r="M1831" s="4">
        <v>12</v>
      </c>
      <c r="N1831" s="4" t="s">
        <v>4235</v>
      </c>
      <c r="O1831" s="4" t="s">
        <v>62</v>
      </c>
      <c r="P1831" s="5">
        <v>291520</v>
      </c>
      <c r="Q1831" s="4"/>
      <c r="R1831" s="4"/>
      <c r="S1831" s="4" t="s">
        <v>5574</v>
      </c>
      <c r="T1831" s="4">
        <v>24.5</v>
      </c>
      <c r="U1831" s="4" t="s">
        <v>29</v>
      </c>
      <c r="V1831" s="4" t="s">
        <v>613</v>
      </c>
      <c r="W1831" s="67" t="str">
        <f t="shared" si="144"/>
        <v>-</v>
      </c>
    </row>
    <row r="1832" spans="1:23" x14ac:dyDescent="0.3">
      <c r="A1832" s="6" t="s">
        <v>4247</v>
      </c>
      <c r="B1832" s="6" t="s">
        <v>4248</v>
      </c>
      <c r="C1832" s="6">
        <v>9391885050</v>
      </c>
      <c r="D1832" s="6" t="s">
        <v>121</v>
      </c>
      <c r="E1832" s="6" t="s">
        <v>41</v>
      </c>
      <c r="F1832" s="6" t="s">
        <v>42</v>
      </c>
      <c r="G1832" s="6" t="s">
        <v>1621</v>
      </c>
      <c r="H1832" s="6" t="s">
        <v>4051</v>
      </c>
      <c r="I1832" s="2" t="str">
        <f t="shared" si="140"/>
        <v>Sep</v>
      </c>
      <c r="J1832" s="2">
        <f t="shared" si="141"/>
        <v>9</v>
      </c>
      <c r="K1832" s="2">
        <f t="shared" si="142"/>
        <v>2025</v>
      </c>
      <c r="L1832" s="2">
        <f t="shared" si="143"/>
        <v>3</v>
      </c>
      <c r="M1832" s="6">
        <v>6</v>
      </c>
      <c r="N1832" s="6" t="s">
        <v>4235</v>
      </c>
      <c r="O1832" s="6" t="s">
        <v>97</v>
      </c>
      <c r="P1832" s="7">
        <v>236387</v>
      </c>
      <c r="Q1832" s="7">
        <v>223147</v>
      </c>
      <c r="R1832" s="6" t="s">
        <v>4249</v>
      </c>
      <c r="S1832" s="6" t="s">
        <v>5573</v>
      </c>
      <c r="T1832" s="6">
        <v>18.3</v>
      </c>
      <c r="U1832" s="6" t="s">
        <v>63</v>
      </c>
      <c r="V1832" s="6" t="s">
        <v>295</v>
      </c>
      <c r="W1832" s="67" t="str">
        <f t="shared" si="144"/>
        <v>Customer</v>
      </c>
    </row>
    <row r="1833" spans="1:23" x14ac:dyDescent="0.3">
      <c r="A1833" s="4" t="s">
        <v>4250</v>
      </c>
      <c r="B1833" s="4" t="s">
        <v>4251</v>
      </c>
      <c r="C1833" s="4">
        <v>9599649398</v>
      </c>
      <c r="D1833" s="4" t="s">
        <v>108</v>
      </c>
      <c r="E1833" s="4" t="s">
        <v>641</v>
      </c>
      <c r="F1833" s="4" t="s">
        <v>727</v>
      </c>
      <c r="G1833" s="4" t="s">
        <v>616</v>
      </c>
      <c r="H1833" s="4" t="s">
        <v>4051</v>
      </c>
      <c r="I1833" s="2" t="str">
        <f t="shared" si="140"/>
        <v>Sep</v>
      </c>
      <c r="J1833" s="2">
        <f t="shared" si="141"/>
        <v>9</v>
      </c>
      <c r="K1833" s="2">
        <f t="shared" si="142"/>
        <v>2025</v>
      </c>
      <c r="L1833" s="2">
        <f t="shared" si="143"/>
        <v>3</v>
      </c>
      <c r="M1833" s="4">
        <v>10</v>
      </c>
      <c r="N1833" s="4" t="s">
        <v>4193</v>
      </c>
      <c r="O1833" s="4" t="s">
        <v>27</v>
      </c>
      <c r="P1833" s="5">
        <v>265187</v>
      </c>
      <c r="Q1833" s="4"/>
      <c r="R1833" s="4"/>
      <c r="S1833" s="4" t="s">
        <v>5574</v>
      </c>
      <c r="T1833" s="4">
        <v>27.5</v>
      </c>
      <c r="U1833" s="4" t="s">
        <v>47</v>
      </c>
      <c r="V1833" s="4" t="s">
        <v>202</v>
      </c>
      <c r="W1833" s="67" t="str">
        <f t="shared" si="144"/>
        <v>-</v>
      </c>
    </row>
    <row r="1834" spans="1:23" x14ac:dyDescent="0.3">
      <c r="A1834" s="6" t="s">
        <v>4252</v>
      </c>
      <c r="B1834" s="6" t="s">
        <v>150</v>
      </c>
      <c r="C1834" s="6">
        <v>9313907122</v>
      </c>
      <c r="D1834" s="6" t="s">
        <v>121</v>
      </c>
      <c r="E1834" s="6" t="s">
        <v>41</v>
      </c>
      <c r="F1834" s="6" t="s">
        <v>151</v>
      </c>
      <c r="G1834" s="6" t="s">
        <v>60</v>
      </c>
      <c r="H1834" s="6" t="s">
        <v>4098</v>
      </c>
      <c r="I1834" s="2" t="str">
        <f t="shared" si="140"/>
        <v>Sep</v>
      </c>
      <c r="J1834" s="2">
        <f t="shared" si="141"/>
        <v>9</v>
      </c>
      <c r="K1834" s="2">
        <f t="shared" si="142"/>
        <v>2025</v>
      </c>
      <c r="L1834" s="2">
        <f t="shared" si="143"/>
        <v>3</v>
      </c>
      <c r="M1834" s="6">
        <v>10</v>
      </c>
      <c r="N1834" s="6" t="s">
        <v>4253</v>
      </c>
      <c r="O1834" s="6" t="s">
        <v>97</v>
      </c>
      <c r="P1834" s="7">
        <v>99901</v>
      </c>
      <c r="Q1834" s="7">
        <v>95336</v>
      </c>
      <c r="R1834" s="6" t="s">
        <v>4254</v>
      </c>
      <c r="S1834" s="6" t="s">
        <v>5819</v>
      </c>
      <c r="T1834" s="6">
        <v>11.2</v>
      </c>
      <c r="U1834" s="6" t="s">
        <v>63</v>
      </c>
      <c r="V1834" s="6" t="s">
        <v>465</v>
      </c>
      <c r="W1834" s="67" t="str">
        <f t="shared" si="144"/>
        <v>Architect</v>
      </c>
    </row>
    <row r="1835" spans="1:23" x14ac:dyDescent="0.3">
      <c r="A1835" s="4" t="s">
        <v>4255</v>
      </c>
      <c r="B1835" s="4" t="s">
        <v>2752</v>
      </c>
      <c r="C1835" s="4">
        <v>9420828896</v>
      </c>
      <c r="D1835" s="4" t="s">
        <v>20</v>
      </c>
      <c r="E1835" s="4" t="s">
        <v>1632</v>
      </c>
      <c r="F1835" s="4" t="s">
        <v>1633</v>
      </c>
      <c r="G1835" s="4" t="s">
        <v>87</v>
      </c>
      <c r="H1835" s="4" t="s">
        <v>4098</v>
      </c>
      <c r="I1835" s="2" t="str">
        <f t="shared" si="140"/>
        <v>Sep</v>
      </c>
      <c r="J1835" s="2">
        <f t="shared" si="141"/>
        <v>9</v>
      </c>
      <c r="K1835" s="2">
        <f t="shared" si="142"/>
        <v>2025</v>
      </c>
      <c r="L1835" s="2">
        <f t="shared" si="143"/>
        <v>3</v>
      </c>
      <c r="M1835" s="4">
        <v>5</v>
      </c>
      <c r="N1835" s="4" t="s">
        <v>4212</v>
      </c>
      <c r="O1835" s="4" t="s">
        <v>27</v>
      </c>
      <c r="P1835" s="5">
        <v>282688</v>
      </c>
      <c r="Q1835" s="4"/>
      <c r="R1835" s="4"/>
      <c r="S1835" s="4" t="s">
        <v>5574</v>
      </c>
      <c r="T1835" s="4">
        <v>16.600000000000001</v>
      </c>
      <c r="U1835" s="4" t="s">
        <v>29</v>
      </c>
      <c r="V1835" s="4" t="s">
        <v>157</v>
      </c>
      <c r="W1835" s="67" t="str">
        <f t="shared" si="144"/>
        <v>-</v>
      </c>
    </row>
    <row r="1836" spans="1:23" x14ac:dyDescent="0.3">
      <c r="A1836" s="2" t="s">
        <v>4256</v>
      </c>
      <c r="B1836" s="2" t="s">
        <v>155</v>
      </c>
      <c r="C1836" s="2">
        <v>9905737525</v>
      </c>
      <c r="D1836" s="2" t="s">
        <v>121</v>
      </c>
      <c r="E1836" s="2" t="s">
        <v>648</v>
      </c>
      <c r="F1836" s="2" t="s">
        <v>649</v>
      </c>
      <c r="G1836" s="2" t="s">
        <v>1735</v>
      </c>
      <c r="H1836" s="2" t="s">
        <v>4098</v>
      </c>
      <c r="I1836" s="2" t="str">
        <f t="shared" si="140"/>
        <v>Sep</v>
      </c>
      <c r="J1836" s="2">
        <f t="shared" si="141"/>
        <v>9</v>
      </c>
      <c r="K1836" s="2">
        <f t="shared" si="142"/>
        <v>2025</v>
      </c>
      <c r="L1836" s="2">
        <f t="shared" si="143"/>
        <v>3</v>
      </c>
      <c r="M1836" s="2">
        <v>4</v>
      </c>
      <c r="N1836" s="2" t="s">
        <v>4095</v>
      </c>
      <c r="O1836" s="2" t="s">
        <v>55</v>
      </c>
      <c r="P1836" s="3">
        <v>1849360</v>
      </c>
      <c r="Q1836" s="2"/>
      <c r="R1836" s="2"/>
      <c r="S1836" s="2" t="s">
        <v>5573</v>
      </c>
      <c r="T1836" s="2">
        <v>8.6999999999999993</v>
      </c>
      <c r="U1836" s="2" t="s">
        <v>29</v>
      </c>
      <c r="V1836" s="2" t="s">
        <v>389</v>
      </c>
      <c r="W1836" s="67" t="str">
        <f t="shared" si="144"/>
        <v>-</v>
      </c>
    </row>
    <row r="1837" spans="1:23" x14ac:dyDescent="0.3">
      <c r="A1837" s="4" t="s">
        <v>4257</v>
      </c>
      <c r="B1837" s="4" t="s">
        <v>3894</v>
      </c>
      <c r="C1837" s="4">
        <v>9895908205</v>
      </c>
      <c r="D1837" s="4" t="s">
        <v>59</v>
      </c>
      <c r="E1837" s="4" t="s">
        <v>1632</v>
      </c>
      <c r="F1837" s="4" t="s">
        <v>1717</v>
      </c>
      <c r="G1837" s="4" t="s">
        <v>1621</v>
      </c>
      <c r="H1837" s="4" t="s">
        <v>4098</v>
      </c>
      <c r="I1837" s="2" t="str">
        <f t="shared" si="140"/>
        <v>Sep</v>
      </c>
      <c r="J1837" s="2">
        <f t="shared" si="141"/>
        <v>9</v>
      </c>
      <c r="K1837" s="2">
        <f t="shared" si="142"/>
        <v>2025</v>
      </c>
      <c r="L1837" s="2">
        <f t="shared" si="143"/>
        <v>3</v>
      </c>
      <c r="M1837" s="4">
        <v>3</v>
      </c>
      <c r="N1837" s="4" t="s">
        <v>4188</v>
      </c>
      <c r="O1837" s="4" t="s">
        <v>45</v>
      </c>
      <c r="P1837" s="5">
        <v>198704</v>
      </c>
      <c r="Q1837" s="4"/>
      <c r="R1837" s="4"/>
      <c r="S1837" s="4" t="s">
        <v>5573</v>
      </c>
      <c r="T1837" s="4">
        <v>18.8</v>
      </c>
      <c r="U1837" s="4" t="s">
        <v>47</v>
      </c>
      <c r="V1837" s="4" t="s">
        <v>256</v>
      </c>
      <c r="W1837" s="67" t="str">
        <f t="shared" si="144"/>
        <v>-</v>
      </c>
    </row>
    <row r="1838" spans="1:23" x14ac:dyDescent="0.3">
      <c r="A1838" s="2" t="s">
        <v>4258</v>
      </c>
      <c r="B1838" s="2" t="s">
        <v>4259</v>
      </c>
      <c r="C1838" s="2">
        <v>9900749320</v>
      </c>
      <c r="D1838" s="2" t="s">
        <v>108</v>
      </c>
      <c r="E1838" s="2" t="s">
        <v>1632</v>
      </c>
      <c r="F1838" s="2" t="s">
        <v>1694</v>
      </c>
      <c r="G1838" s="2" t="s">
        <v>1599</v>
      </c>
      <c r="H1838" s="2" t="s">
        <v>4098</v>
      </c>
      <c r="I1838" s="2" t="str">
        <f t="shared" si="140"/>
        <v>Sep</v>
      </c>
      <c r="J1838" s="2">
        <f t="shared" si="141"/>
        <v>9</v>
      </c>
      <c r="K1838" s="2">
        <f t="shared" si="142"/>
        <v>2025</v>
      </c>
      <c r="L1838" s="2">
        <f t="shared" si="143"/>
        <v>3</v>
      </c>
      <c r="M1838" s="2">
        <v>0</v>
      </c>
      <c r="N1838" s="2" t="s">
        <v>4129</v>
      </c>
      <c r="O1838" s="2" t="s">
        <v>27</v>
      </c>
      <c r="P1838" s="3">
        <v>480319</v>
      </c>
      <c r="Q1838" s="2"/>
      <c r="R1838" s="2"/>
      <c r="S1838" s="2" t="s">
        <v>5819</v>
      </c>
      <c r="T1838" s="2">
        <v>4</v>
      </c>
      <c r="U1838" s="2" t="s">
        <v>47</v>
      </c>
      <c r="V1838" s="2" t="s">
        <v>30</v>
      </c>
      <c r="W1838" s="67" t="str">
        <f t="shared" si="144"/>
        <v>-</v>
      </c>
    </row>
    <row r="1839" spans="1:23" x14ac:dyDescent="0.3">
      <c r="A1839" s="6" t="s">
        <v>4260</v>
      </c>
      <c r="B1839" s="6" t="s">
        <v>4261</v>
      </c>
      <c r="C1839" s="6">
        <v>9553748478</v>
      </c>
      <c r="D1839" s="6" t="s">
        <v>51</v>
      </c>
      <c r="E1839" s="6" t="s">
        <v>41</v>
      </c>
      <c r="F1839" s="6" t="s">
        <v>92</v>
      </c>
      <c r="G1839" s="6" t="s">
        <v>643</v>
      </c>
      <c r="H1839" s="6" t="s">
        <v>4093</v>
      </c>
      <c r="I1839" s="2" t="str">
        <f t="shared" si="140"/>
        <v>Sep</v>
      </c>
      <c r="J1839" s="2">
        <f t="shared" si="141"/>
        <v>9</v>
      </c>
      <c r="K1839" s="2">
        <f t="shared" si="142"/>
        <v>2025</v>
      </c>
      <c r="L1839" s="2">
        <f t="shared" si="143"/>
        <v>3</v>
      </c>
      <c r="M1839" s="6">
        <v>2</v>
      </c>
      <c r="N1839" s="6" t="s">
        <v>4262</v>
      </c>
      <c r="O1839" s="6" t="s">
        <v>97</v>
      </c>
      <c r="P1839" s="7">
        <v>1464907</v>
      </c>
      <c r="Q1839" s="7">
        <v>1399926</v>
      </c>
      <c r="R1839" s="6" t="s">
        <v>4195</v>
      </c>
      <c r="S1839" s="6" t="s">
        <v>5574</v>
      </c>
      <c r="T1839" s="6">
        <v>1.5</v>
      </c>
      <c r="U1839" s="6" t="s">
        <v>63</v>
      </c>
      <c r="V1839" s="6" t="s">
        <v>113</v>
      </c>
      <c r="W1839" s="67" t="str">
        <f t="shared" si="144"/>
        <v>Customer</v>
      </c>
    </row>
    <row r="1840" spans="1:23" x14ac:dyDescent="0.3">
      <c r="A1840" s="2" t="s">
        <v>4263</v>
      </c>
      <c r="B1840" s="2" t="s">
        <v>2901</v>
      </c>
      <c r="C1840" s="2">
        <v>9860675831</v>
      </c>
      <c r="D1840" s="2" t="s">
        <v>20</v>
      </c>
      <c r="E1840" s="2" t="s">
        <v>641</v>
      </c>
      <c r="F1840" s="2" t="s">
        <v>727</v>
      </c>
      <c r="G1840" s="2" t="s">
        <v>643</v>
      </c>
      <c r="H1840" s="2" t="s">
        <v>4093</v>
      </c>
      <c r="I1840" s="2" t="str">
        <f t="shared" si="140"/>
        <v>Sep</v>
      </c>
      <c r="J1840" s="2">
        <f t="shared" si="141"/>
        <v>9</v>
      </c>
      <c r="K1840" s="2">
        <f t="shared" si="142"/>
        <v>2025</v>
      </c>
      <c r="L1840" s="2">
        <f t="shared" si="143"/>
        <v>3</v>
      </c>
      <c r="M1840" s="2">
        <v>1</v>
      </c>
      <c r="N1840" s="2" t="s">
        <v>4095</v>
      </c>
      <c r="O1840" s="2" t="s">
        <v>27</v>
      </c>
      <c r="P1840" s="3">
        <v>1459643</v>
      </c>
      <c r="Q1840" s="2"/>
      <c r="R1840" s="2"/>
      <c r="S1840" s="2" t="s">
        <v>5574</v>
      </c>
      <c r="T1840" s="2">
        <v>34.5</v>
      </c>
      <c r="U1840" s="2" t="s">
        <v>29</v>
      </c>
      <c r="V1840" s="2" t="s">
        <v>30</v>
      </c>
      <c r="W1840" s="67" t="str">
        <f t="shared" si="144"/>
        <v>-</v>
      </c>
    </row>
    <row r="1841" spans="1:23" x14ac:dyDescent="0.3">
      <c r="A1841" s="4" t="s">
        <v>4264</v>
      </c>
      <c r="B1841" s="4" t="s">
        <v>185</v>
      </c>
      <c r="C1841" s="4">
        <v>9411497109</v>
      </c>
      <c r="D1841" s="4" t="s">
        <v>121</v>
      </c>
      <c r="E1841" s="4" t="s">
        <v>67</v>
      </c>
      <c r="F1841" s="4" t="s">
        <v>80</v>
      </c>
      <c r="G1841" s="4" t="s">
        <v>1677</v>
      </c>
      <c r="H1841" s="4" t="s">
        <v>4065</v>
      </c>
      <c r="I1841" s="2" t="str">
        <f t="shared" si="140"/>
        <v>Sep</v>
      </c>
      <c r="J1841" s="2">
        <f t="shared" si="141"/>
        <v>9</v>
      </c>
      <c r="K1841" s="2">
        <f t="shared" si="142"/>
        <v>2025</v>
      </c>
      <c r="L1841" s="2">
        <f t="shared" si="143"/>
        <v>3</v>
      </c>
      <c r="M1841" s="4">
        <v>8</v>
      </c>
      <c r="N1841" s="4" t="s">
        <v>4230</v>
      </c>
      <c r="O1841" s="4" t="s">
        <v>27</v>
      </c>
      <c r="P1841" s="5">
        <v>1250039</v>
      </c>
      <c r="Q1841" s="4"/>
      <c r="R1841" s="4"/>
      <c r="S1841" s="4" t="s">
        <v>5819</v>
      </c>
      <c r="T1841" s="4">
        <v>27.2</v>
      </c>
      <c r="U1841" s="4" t="s">
        <v>47</v>
      </c>
      <c r="V1841" s="4" t="s">
        <v>238</v>
      </c>
      <c r="W1841" s="67" t="str">
        <f t="shared" si="144"/>
        <v>-</v>
      </c>
    </row>
    <row r="1842" spans="1:23" x14ac:dyDescent="0.3">
      <c r="A1842" s="6" t="s">
        <v>4265</v>
      </c>
      <c r="B1842" s="6" t="s">
        <v>1960</v>
      </c>
      <c r="C1842" s="6">
        <v>9144654931</v>
      </c>
      <c r="D1842" s="6" t="s">
        <v>20</v>
      </c>
      <c r="E1842" s="6" t="s">
        <v>1632</v>
      </c>
      <c r="F1842" s="6" t="s">
        <v>1849</v>
      </c>
      <c r="G1842" s="6" t="s">
        <v>3302</v>
      </c>
      <c r="H1842" s="6" t="s">
        <v>4065</v>
      </c>
      <c r="I1842" s="2" t="str">
        <f t="shared" si="140"/>
        <v>Sep</v>
      </c>
      <c r="J1842" s="2">
        <f t="shared" si="141"/>
        <v>9</v>
      </c>
      <c r="K1842" s="2">
        <f t="shared" si="142"/>
        <v>2025</v>
      </c>
      <c r="L1842" s="2">
        <f t="shared" si="143"/>
        <v>3</v>
      </c>
      <c r="M1842" s="6">
        <v>10</v>
      </c>
      <c r="N1842" s="6" t="s">
        <v>4215</v>
      </c>
      <c r="O1842" s="6" t="s">
        <v>97</v>
      </c>
      <c r="P1842" s="7">
        <v>1969916</v>
      </c>
      <c r="Q1842" s="7">
        <v>1938886</v>
      </c>
      <c r="R1842" s="6" t="s">
        <v>4254</v>
      </c>
      <c r="S1842" s="6" t="s">
        <v>5819</v>
      </c>
      <c r="T1842" s="6">
        <v>20.399999999999999</v>
      </c>
      <c r="U1842" s="6" t="s">
        <v>63</v>
      </c>
      <c r="V1842" s="6" t="s">
        <v>170</v>
      </c>
      <c r="W1842" s="67" t="str">
        <f t="shared" si="144"/>
        <v>Customer</v>
      </c>
    </row>
    <row r="1843" spans="1:23" x14ac:dyDescent="0.3">
      <c r="A1843" s="6" t="s">
        <v>4266</v>
      </c>
      <c r="B1843" s="6" t="s">
        <v>1389</v>
      </c>
      <c r="C1843" s="6">
        <v>9110023895</v>
      </c>
      <c r="D1843" s="6" t="s">
        <v>59</v>
      </c>
      <c r="E1843" s="6" t="s">
        <v>41</v>
      </c>
      <c r="F1843" s="6" t="s">
        <v>92</v>
      </c>
      <c r="G1843" s="6" t="s">
        <v>1621</v>
      </c>
      <c r="H1843" s="6" t="s">
        <v>4246</v>
      </c>
      <c r="I1843" s="2" t="str">
        <f t="shared" si="140"/>
        <v>Sep</v>
      </c>
      <c r="J1843" s="2">
        <f t="shared" si="141"/>
        <v>9</v>
      </c>
      <c r="K1843" s="2">
        <f t="shared" si="142"/>
        <v>2025</v>
      </c>
      <c r="L1843" s="2">
        <f t="shared" si="143"/>
        <v>3</v>
      </c>
      <c r="M1843" s="6">
        <v>6</v>
      </c>
      <c r="N1843" s="6" t="s">
        <v>4253</v>
      </c>
      <c r="O1843" s="6" t="s">
        <v>97</v>
      </c>
      <c r="P1843" s="7">
        <v>248995</v>
      </c>
      <c r="Q1843" s="7">
        <v>232453</v>
      </c>
      <c r="R1843" s="6" t="s">
        <v>4267</v>
      </c>
      <c r="S1843" s="6" t="s">
        <v>5573</v>
      </c>
      <c r="T1843" s="6">
        <v>35.200000000000003</v>
      </c>
      <c r="U1843" s="6" t="s">
        <v>47</v>
      </c>
      <c r="V1843" s="6" t="s">
        <v>483</v>
      </c>
      <c r="W1843" s="67" t="str">
        <f t="shared" si="144"/>
        <v>Customer</v>
      </c>
    </row>
    <row r="1844" spans="1:23" x14ac:dyDescent="0.3">
      <c r="A1844" s="2" t="s">
        <v>4268</v>
      </c>
      <c r="B1844" s="2" t="s">
        <v>4269</v>
      </c>
      <c r="C1844" s="2">
        <v>9903147187</v>
      </c>
      <c r="D1844" s="2" t="s">
        <v>121</v>
      </c>
      <c r="E1844" s="2" t="s">
        <v>1632</v>
      </c>
      <c r="F1844" s="2" t="s">
        <v>1659</v>
      </c>
      <c r="G1844" s="2" t="s">
        <v>1599</v>
      </c>
      <c r="H1844" s="2" t="s">
        <v>4246</v>
      </c>
      <c r="I1844" s="2" t="str">
        <f t="shared" si="140"/>
        <v>Sep</v>
      </c>
      <c r="J1844" s="2">
        <f t="shared" si="141"/>
        <v>9</v>
      </c>
      <c r="K1844" s="2">
        <f t="shared" si="142"/>
        <v>2025</v>
      </c>
      <c r="L1844" s="2">
        <f t="shared" si="143"/>
        <v>3</v>
      </c>
      <c r="M1844" s="2">
        <v>10</v>
      </c>
      <c r="N1844" s="2" t="s">
        <v>4243</v>
      </c>
      <c r="O1844" s="2" t="s">
        <v>27</v>
      </c>
      <c r="P1844" s="3">
        <v>469945</v>
      </c>
      <c r="Q1844" s="2"/>
      <c r="R1844" s="2"/>
      <c r="S1844" s="2" t="s">
        <v>5574</v>
      </c>
      <c r="T1844" s="2">
        <v>34.799999999999997</v>
      </c>
      <c r="U1844" s="2" t="s">
        <v>47</v>
      </c>
      <c r="V1844" s="2" t="s">
        <v>105</v>
      </c>
      <c r="W1844" s="67" t="str">
        <f t="shared" si="144"/>
        <v>-</v>
      </c>
    </row>
    <row r="1845" spans="1:23" x14ac:dyDescent="0.3">
      <c r="A1845" s="4" t="s">
        <v>4270</v>
      </c>
      <c r="B1845" s="4" t="s">
        <v>2080</v>
      </c>
      <c r="C1845" s="4">
        <v>9331498678</v>
      </c>
      <c r="D1845" s="4" t="s">
        <v>59</v>
      </c>
      <c r="E1845" s="4" t="s">
        <v>1632</v>
      </c>
      <c r="F1845" s="4" t="s">
        <v>1682</v>
      </c>
      <c r="G1845" s="4" t="s">
        <v>1677</v>
      </c>
      <c r="H1845" s="4" t="s">
        <v>4136</v>
      </c>
      <c r="I1845" s="2" t="str">
        <f t="shared" si="140"/>
        <v>Sep</v>
      </c>
      <c r="J1845" s="2">
        <f t="shared" si="141"/>
        <v>9</v>
      </c>
      <c r="K1845" s="2">
        <f t="shared" si="142"/>
        <v>2025</v>
      </c>
      <c r="L1845" s="2">
        <f t="shared" si="143"/>
        <v>3</v>
      </c>
      <c r="M1845" s="4">
        <v>11</v>
      </c>
      <c r="N1845" s="4" t="s">
        <v>4271</v>
      </c>
      <c r="O1845" s="4" t="s">
        <v>62</v>
      </c>
      <c r="P1845" s="5">
        <v>1344882</v>
      </c>
      <c r="Q1845" s="4"/>
      <c r="R1845" s="4"/>
      <c r="S1845" s="4" t="s">
        <v>5819</v>
      </c>
      <c r="T1845" s="4">
        <v>9.4</v>
      </c>
      <c r="U1845" s="4" t="s">
        <v>29</v>
      </c>
      <c r="V1845" s="4" t="s">
        <v>805</v>
      </c>
      <c r="W1845" s="67" t="str">
        <f t="shared" si="144"/>
        <v>-</v>
      </c>
    </row>
    <row r="1846" spans="1:23" x14ac:dyDescent="0.3">
      <c r="A1846" s="2" t="s">
        <v>4272</v>
      </c>
      <c r="B1846" s="2" t="s">
        <v>3704</v>
      </c>
      <c r="C1846" s="2">
        <v>9397880730</v>
      </c>
      <c r="D1846" s="2" t="s">
        <v>121</v>
      </c>
      <c r="E1846" s="2" t="s">
        <v>73</v>
      </c>
      <c r="F1846" s="2" t="s">
        <v>74</v>
      </c>
      <c r="G1846" s="2" t="s">
        <v>23</v>
      </c>
      <c r="H1846" s="2" t="s">
        <v>4136</v>
      </c>
      <c r="I1846" s="2" t="str">
        <f t="shared" si="140"/>
        <v>Sep</v>
      </c>
      <c r="J1846" s="2">
        <f t="shared" si="141"/>
        <v>9</v>
      </c>
      <c r="K1846" s="2">
        <f t="shared" si="142"/>
        <v>2025</v>
      </c>
      <c r="L1846" s="2">
        <f t="shared" si="143"/>
        <v>3</v>
      </c>
      <c r="M1846" s="2">
        <v>1</v>
      </c>
      <c r="N1846" s="2" t="s">
        <v>4165</v>
      </c>
      <c r="O1846" s="2" t="s">
        <v>27</v>
      </c>
      <c r="P1846" s="3">
        <v>835312</v>
      </c>
      <c r="Q1846" s="2"/>
      <c r="R1846" s="2"/>
      <c r="S1846" s="2" t="s">
        <v>5574</v>
      </c>
      <c r="T1846" s="2">
        <v>11.5</v>
      </c>
      <c r="U1846" s="2" t="s">
        <v>47</v>
      </c>
      <c r="V1846" s="2" t="s">
        <v>118</v>
      </c>
      <c r="W1846" s="67" t="str">
        <f t="shared" si="144"/>
        <v>-</v>
      </c>
    </row>
    <row r="1847" spans="1:23" x14ac:dyDescent="0.3">
      <c r="A1847" s="4" t="s">
        <v>4273</v>
      </c>
      <c r="B1847" s="4" t="s">
        <v>4274</v>
      </c>
      <c r="C1847" s="4">
        <v>9907572553</v>
      </c>
      <c r="D1847" s="4" t="s">
        <v>20</v>
      </c>
      <c r="E1847" s="4" t="s">
        <v>33</v>
      </c>
      <c r="F1847" s="4" t="s">
        <v>201</v>
      </c>
      <c r="G1847" s="4" t="s">
        <v>1599</v>
      </c>
      <c r="H1847" s="4" t="s">
        <v>4100</v>
      </c>
      <c r="I1847" s="2" t="str">
        <f t="shared" si="140"/>
        <v>Sep</v>
      </c>
      <c r="J1847" s="2">
        <f t="shared" si="141"/>
        <v>9</v>
      </c>
      <c r="K1847" s="2">
        <f t="shared" si="142"/>
        <v>2025</v>
      </c>
      <c r="L1847" s="2">
        <f t="shared" si="143"/>
        <v>3</v>
      </c>
      <c r="M1847" s="4">
        <v>10</v>
      </c>
      <c r="N1847" s="4" t="s">
        <v>4275</v>
      </c>
      <c r="O1847" s="4" t="s">
        <v>27</v>
      </c>
      <c r="P1847" s="4"/>
      <c r="Q1847" s="4"/>
      <c r="R1847" s="4"/>
      <c r="S1847" s="4" t="s">
        <v>5819</v>
      </c>
      <c r="T1847" s="4">
        <v>24.1</v>
      </c>
      <c r="U1847" s="4" t="s">
        <v>29</v>
      </c>
      <c r="V1847" s="4" t="s">
        <v>118</v>
      </c>
      <c r="W1847" s="67" t="str">
        <f t="shared" si="144"/>
        <v>-</v>
      </c>
    </row>
    <row r="1848" spans="1:23" x14ac:dyDescent="0.3">
      <c r="A1848" s="2" t="s">
        <v>4276</v>
      </c>
      <c r="B1848" s="2" t="s">
        <v>2965</v>
      </c>
      <c r="C1848" s="2"/>
      <c r="D1848" s="2" t="s">
        <v>121</v>
      </c>
      <c r="E1848" s="2" t="s">
        <v>1632</v>
      </c>
      <c r="F1848" s="2" t="s">
        <v>1633</v>
      </c>
      <c r="G1848" s="2" t="s">
        <v>1609</v>
      </c>
      <c r="H1848" s="2" t="s">
        <v>4100</v>
      </c>
      <c r="I1848" s="2" t="str">
        <f t="shared" si="140"/>
        <v>Sep</v>
      </c>
      <c r="J1848" s="2">
        <f t="shared" si="141"/>
        <v>9</v>
      </c>
      <c r="K1848" s="2">
        <f t="shared" si="142"/>
        <v>2025</v>
      </c>
      <c r="L1848" s="2">
        <f t="shared" si="143"/>
        <v>3</v>
      </c>
      <c r="M1848" s="2">
        <v>11</v>
      </c>
      <c r="N1848" s="2" t="s">
        <v>4277</v>
      </c>
      <c r="O1848" s="2" t="s">
        <v>27</v>
      </c>
      <c r="P1848" s="3">
        <v>458253</v>
      </c>
      <c r="Q1848" s="2"/>
      <c r="R1848" s="2"/>
      <c r="S1848" s="2" t="s">
        <v>5573</v>
      </c>
      <c r="T1848" s="2">
        <v>3</v>
      </c>
      <c r="U1848" s="2" t="s">
        <v>29</v>
      </c>
      <c r="V1848" s="2" t="s">
        <v>2847</v>
      </c>
      <c r="W1848" s="67" t="str">
        <f t="shared" si="144"/>
        <v>-</v>
      </c>
    </row>
    <row r="1849" spans="1:23" x14ac:dyDescent="0.3">
      <c r="A1849" s="4" t="s">
        <v>4278</v>
      </c>
      <c r="B1849" s="4" t="s">
        <v>1348</v>
      </c>
      <c r="C1849" s="4">
        <v>9336050892</v>
      </c>
      <c r="D1849" s="4" t="s">
        <v>51</v>
      </c>
      <c r="E1849" s="4" t="s">
        <v>1632</v>
      </c>
      <c r="F1849" s="4" t="s">
        <v>1694</v>
      </c>
      <c r="G1849" s="4" t="s">
        <v>1677</v>
      </c>
      <c r="H1849" s="4" t="s">
        <v>4100</v>
      </c>
      <c r="I1849" s="2" t="str">
        <f t="shared" si="140"/>
        <v>Sep</v>
      </c>
      <c r="J1849" s="2">
        <f t="shared" si="141"/>
        <v>9</v>
      </c>
      <c r="K1849" s="2">
        <f t="shared" si="142"/>
        <v>2025</v>
      </c>
      <c r="L1849" s="2">
        <f t="shared" si="143"/>
        <v>3</v>
      </c>
      <c r="M1849" s="4">
        <v>9</v>
      </c>
      <c r="N1849" s="4" t="s">
        <v>4158</v>
      </c>
      <c r="O1849" s="4" t="s">
        <v>27</v>
      </c>
      <c r="P1849" s="5">
        <v>1585741</v>
      </c>
      <c r="Q1849" s="4"/>
      <c r="R1849" s="4"/>
      <c r="S1849" s="4" t="s">
        <v>5819</v>
      </c>
      <c r="T1849" s="4">
        <v>27.4</v>
      </c>
      <c r="U1849" s="4" t="s">
        <v>47</v>
      </c>
      <c r="V1849" s="4" t="s">
        <v>202</v>
      </c>
      <c r="W1849" s="67" t="str">
        <f t="shared" si="144"/>
        <v>-</v>
      </c>
    </row>
    <row r="1850" spans="1:23" x14ac:dyDescent="0.3">
      <c r="A1850" s="2" t="s">
        <v>4279</v>
      </c>
      <c r="B1850" s="2" t="s">
        <v>2600</v>
      </c>
      <c r="C1850" s="2">
        <v>9414291521</v>
      </c>
      <c r="D1850" s="2" t="s">
        <v>20</v>
      </c>
      <c r="E1850" s="2" t="s">
        <v>1632</v>
      </c>
      <c r="F1850" s="2" t="s">
        <v>1633</v>
      </c>
      <c r="G1850" s="2" t="s">
        <v>52</v>
      </c>
      <c r="H1850" s="2" t="s">
        <v>4100</v>
      </c>
      <c r="I1850" s="2" t="str">
        <f t="shared" si="140"/>
        <v>Sep</v>
      </c>
      <c r="J1850" s="2">
        <f t="shared" si="141"/>
        <v>9</v>
      </c>
      <c r="K1850" s="2">
        <f t="shared" si="142"/>
        <v>2025</v>
      </c>
      <c r="L1850" s="2">
        <f t="shared" si="143"/>
        <v>3</v>
      </c>
      <c r="M1850" s="2">
        <v>2</v>
      </c>
      <c r="N1850" s="2" t="s">
        <v>4280</v>
      </c>
      <c r="O1850" s="2" t="s">
        <v>45</v>
      </c>
      <c r="P1850" s="2"/>
      <c r="Q1850" s="2"/>
      <c r="R1850" s="2"/>
      <c r="S1850" s="2" t="s">
        <v>5819</v>
      </c>
      <c r="T1850" s="2">
        <v>9.6</v>
      </c>
      <c r="U1850" s="2" t="s">
        <v>63</v>
      </c>
      <c r="V1850" s="2" t="s">
        <v>221</v>
      </c>
      <c r="W1850" s="67" t="str">
        <f t="shared" si="144"/>
        <v>-</v>
      </c>
    </row>
    <row r="1851" spans="1:23" x14ac:dyDescent="0.3">
      <c r="A1851" s="4" t="s">
        <v>4281</v>
      </c>
      <c r="B1851" s="4" t="s">
        <v>3796</v>
      </c>
      <c r="C1851" s="4">
        <v>9877286011</v>
      </c>
      <c r="D1851" s="4" t="s">
        <v>121</v>
      </c>
      <c r="E1851" s="4" t="s">
        <v>648</v>
      </c>
      <c r="F1851" s="4" t="s">
        <v>899</v>
      </c>
      <c r="G1851" s="4" t="s">
        <v>1621</v>
      </c>
      <c r="H1851" s="4" t="s">
        <v>4068</v>
      </c>
      <c r="I1851" s="2" t="str">
        <f t="shared" si="140"/>
        <v>Sep</v>
      </c>
      <c r="J1851" s="2">
        <f t="shared" si="141"/>
        <v>9</v>
      </c>
      <c r="K1851" s="2">
        <f t="shared" si="142"/>
        <v>2025</v>
      </c>
      <c r="L1851" s="2">
        <f t="shared" si="143"/>
        <v>3</v>
      </c>
      <c r="M1851" s="4">
        <v>1</v>
      </c>
      <c r="N1851" s="4" t="s">
        <v>4211</v>
      </c>
      <c r="O1851" s="4" t="s">
        <v>45</v>
      </c>
      <c r="P1851" s="5">
        <v>211873</v>
      </c>
      <c r="Q1851" s="4"/>
      <c r="R1851" s="4"/>
      <c r="S1851" s="4" t="s">
        <v>5819</v>
      </c>
      <c r="T1851" s="4">
        <v>35.700000000000003</v>
      </c>
      <c r="U1851" s="4" t="s">
        <v>63</v>
      </c>
      <c r="V1851" s="4" t="s">
        <v>260</v>
      </c>
      <c r="W1851" s="67" t="str">
        <f t="shared" si="144"/>
        <v>-</v>
      </c>
    </row>
    <row r="1852" spans="1:23" x14ac:dyDescent="0.3">
      <c r="A1852" s="2" t="s">
        <v>4282</v>
      </c>
      <c r="B1852" s="2" t="s">
        <v>637</v>
      </c>
      <c r="C1852" s="2">
        <v>9308076891</v>
      </c>
      <c r="D1852" s="2" t="s">
        <v>121</v>
      </c>
      <c r="E1852" s="2" t="s">
        <v>648</v>
      </c>
      <c r="F1852" s="2" t="s">
        <v>899</v>
      </c>
      <c r="G1852" s="2" t="s">
        <v>87</v>
      </c>
      <c r="H1852" s="2" t="s">
        <v>4068</v>
      </c>
      <c r="I1852" s="2" t="str">
        <f t="shared" si="140"/>
        <v>Sep</v>
      </c>
      <c r="J1852" s="2">
        <f t="shared" si="141"/>
        <v>9</v>
      </c>
      <c r="K1852" s="2">
        <f t="shared" si="142"/>
        <v>2025</v>
      </c>
      <c r="L1852" s="2">
        <f t="shared" si="143"/>
        <v>3</v>
      </c>
      <c r="M1852" s="2">
        <v>5</v>
      </c>
      <c r="N1852" s="2" t="s">
        <v>4243</v>
      </c>
      <c r="O1852" s="2" t="s">
        <v>27</v>
      </c>
      <c r="P1852" s="3">
        <v>248610</v>
      </c>
      <c r="Q1852" s="2"/>
      <c r="R1852" s="2"/>
      <c r="S1852" s="2" t="s">
        <v>5819</v>
      </c>
      <c r="T1852" s="2">
        <v>22.8</v>
      </c>
      <c r="U1852" s="2" t="s">
        <v>47</v>
      </c>
      <c r="V1852" s="2" t="s">
        <v>238</v>
      </c>
      <c r="W1852" s="67" t="str">
        <f t="shared" si="144"/>
        <v>-</v>
      </c>
    </row>
    <row r="1853" spans="1:23" x14ac:dyDescent="0.3">
      <c r="A1853" s="4" t="s">
        <v>4283</v>
      </c>
      <c r="B1853" s="4" t="s">
        <v>843</v>
      </c>
      <c r="C1853" s="4">
        <v>9787433751</v>
      </c>
      <c r="D1853" s="4" t="s">
        <v>59</v>
      </c>
      <c r="E1853" s="4" t="s">
        <v>648</v>
      </c>
      <c r="F1853" s="4" t="s">
        <v>822</v>
      </c>
      <c r="G1853" s="4" t="s">
        <v>1735</v>
      </c>
      <c r="H1853" s="4" t="s">
        <v>4068</v>
      </c>
      <c r="I1853" s="2" t="str">
        <f t="shared" si="140"/>
        <v>Sep</v>
      </c>
      <c r="J1853" s="2">
        <f t="shared" si="141"/>
        <v>9</v>
      </c>
      <c r="K1853" s="2">
        <f t="shared" si="142"/>
        <v>2025</v>
      </c>
      <c r="L1853" s="2">
        <f t="shared" si="143"/>
        <v>3</v>
      </c>
      <c r="M1853" s="4">
        <v>4</v>
      </c>
      <c r="N1853" s="4" t="s">
        <v>4284</v>
      </c>
      <c r="O1853" s="4" t="s">
        <v>45</v>
      </c>
      <c r="P1853" s="5">
        <v>1448017</v>
      </c>
      <c r="Q1853" s="4"/>
      <c r="R1853" s="4"/>
      <c r="S1853" s="4" t="s">
        <v>5819</v>
      </c>
      <c r="T1853" s="4">
        <v>34</v>
      </c>
      <c r="U1853" s="4" t="s">
        <v>63</v>
      </c>
      <c r="V1853" s="4" t="s">
        <v>559</v>
      </c>
      <c r="W1853" s="67" t="str">
        <f t="shared" si="144"/>
        <v>-</v>
      </c>
    </row>
    <row r="1854" spans="1:23" x14ac:dyDescent="0.3">
      <c r="A1854" s="2" t="s">
        <v>4285</v>
      </c>
      <c r="B1854" s="2" t="s">
        <v>4286</v>
      </c>
      <c r="C1854" s="2">
        <v>9996873958</v>
      </c>
      <c r="D1854" s="2" t="s">
        <v>20</v>
      </c>
      <c r="E1854" s="2" t="s">
        <v>41</v>
      </c>
      <c r="F1854" s="2" t="s">
        <v>42</v>
      </c>
      <c r="G1854" s="2" t="s">
        <v>1599</v>
      </c>
      <c r="H1854" s="2" t="s">
        <v>4074</v>
      </c>
      <c r="I1854" s="2" t="str">
        <f t="shared" si="140"/>
        <v>Sep</v>
      </c>
      <c r="J1854" s="2">
        <f t="shared" si="141"/>
        <v>9</v>
      </c>
      <c r="K1854" s="2">
        <f t="shared" si="142"/>
        <v>2025</v>
      </c>
      <c r="L1854" s="2">
        <f t="shared" si="143"/>
        <v>3</v>
      </c>
      <c r="M1854" s="2">
        <v>10</v>
      </c>
      <c r="N1854" s="2" t="s">
        <v>4215</v>
      </c>
      <c r="O1854" s="2" t="s">
        <v>27</v>
      </c>
      <c r="P1854" s="3">
        <v>827058</v>
      </c>
      <c r="Q1854" s="2"/>
      <c r="R1854" s="2"/>
      <c r="S1854" s="2" t="s">
        <v>5574</v>
      </c>
      <c r="T1854" s="2">
        <v>9.1999999999999993</v>
      </c>
      <c r="U1854" s="2" t="s">
        <v>29</v>
      </c>
      <c r="V1854" s="2" t="s">
        <v>157</v>
      </c>
      <c r="W1854" s="67" t="str">
        <f t="shared" si="144"/>
        <v>-</v>
      </c>
    </row>
    <row r="1855" spans="1:23" x14ac:dyDescent="0.3">
      <c r="A1855" s="4" t="s">
        <v>4287</v>
      </c>
      <c r="B1855" s="4" t="s">
        <v>4288</v>
      </c>
      <c r="C1855" s="4">
        <v>9543624839</v>
      </c>
      <c r="D1855" s="4" t="s">
        <v>20</v>
      </c>
      <c r="E1855" s="4" t="s">
        <v>1632</v>
      </c>
      <c r="F1855" s="4" t="s">
        <v>1694</v>
      </c>
      <c r="G1855" s="4" t="s">
        <v>1599</v>
      </c>
      <c r="H1855" s="4" t="s">
        <v>4074</v>
      </c>
      <c r="I1855" s="2" t="str">
        <f t="shared" si="140"/>
        <v>Sep</v>
      </c>
      <c r="J1855" s="2">
        <f t="shared" si="141"/>
        <v>9</v>
      </c>
      <c r="K1855" s="2">
        <f t="shared" si="142"/>
        <v>2025</v>
      </c>
      <c r="L1855" s="2">
        <f t="shared" si="143"/>
        <v>3</v>
      </c>
      <c r="M1855" s="4">
        <v>10</v>
      </c>
      <c r="N1855" s="4" t="s">
        <v>4289</v>
      </c>
      <c r="O1855" s="4" t="s">
        <v>45</v>
      </c>
      <c r="P1855" s="5">
        <v>965171</v>
      </c>
      <c r="Q1855" s="4"/>
      <c r="R1855" s="4"/>
      <c r="S1855" s="4" t="s">
        <v>5573</v>
      </c>
      <c r="T1855" s="4">
        <v>28.7</v>
      </c>
      <c r="U1855" s="4" t="s">
        <v>63</v>
      </c>
      <c r="V1855" s="4" t="s">
        <v>335</v>
      </c>
      <c r="W1855" s="67" t="str">
        <f t="shared" si="144"/>
        <v>-</v>
      </c>
    </row>
    <row r="1856" spans="1:23" x14ac:dyDescent="0.3">
      <c r="A1856" s="2" t="s">
        <v>4290</v>
      </c>
      <c r="B1856" s="2" t="s">
        <v>4291</v>
      </c>
      <c r="C1856" s="2">
        <v>9162765720</v>
      </c>
      <c r="D1856" s="2" t="s">
        <v>108</v>
      </c>
      <c r="E1856" s="2" t="s">
        <v>648</v>
      </c>
      <c r="F1856" s="2" t="s">
        <v>899</v>
      </c>
      <c r="G1856" s="2" t="s">
        <v>1735</v>
      </c>
      <c r="H1856" s="2" t="s">
        <v>4074</v>
      </c>
      <c r="I1856" s="2" t="str">
        <f t="shared" si="140"/>
        <v>Sep</v>
      </c>
      <c r="J1856" s="2">
        <f t="shared" si="141"/>
        <v>9</v>
      </c>
      <c r="K1856" s="2">
        <f t="shared" si="142"/>
        <v>2025</v>
      </c>
      <c r="L1856" s="2">
        <f t="shared" si="143"/>
        <v>3</v>
      </c>
      <c r="M1856" s="2">
        <v>6</v>
      </c>
      <c r="N1856" s="2" t="s">
        <v>4212</v>
      </c>
      <c r="O1856" s="2" t="s">
        <v>27</v>
      </c>
      <c r="P1856" s="3">
        <v>1938404</v>
      </c>
      <c r="Q1856" s="2"/>
      <c r="R1856" s="2"/>
      <c r="S1856" s="2" t="s">
        <v>5573</v>
      </c>
      <c r="T1856" s="2">
        <v>29.9</v>
      </c>
      <c r="U1856" s="2" t="s">
        <v>29</v>
      </c>
      <c r="V1856" s="2" t="s">
        <v>38</v>
      </c>
      <c r="W1856" s="67" t="str">
        <f t="shared" si="144"/>
        <v>-</v>
      </c>
    </row>
    <row r="1857" spans="1:23" x14ac:dyDescent="0.3">
      <c r="A1857" s="4" t="s">
        <v>4292</v>
      </c>
      <c r="B1857" s="4" t="s">
        <v>297</v>
      </c>
      <c r="C1857" s="4">
        <v>9830203668</v>
      </c>
      <c r="D1857" s="4" t="s">
        <v>121</v>
      </c>
      <c r="E1857" s="4" t="s">
        <v>1632</v>
      </c>
      <c r="F1857" s="4" t="s">
        <v>1659</v>
      </c>
      <c r="G1857" s="4" t="s">
        <v>60</v>
      </c>
      <c r="H1857" s="4" t="s">
        <v>4074</v>
      </c>
      <c r="I1857" s="2" t="str">
        <f t="shared" si="140"/>
        <v>Sep</v>
      </c>
      <c r="J1857" s="2">
        <f t="shared" si="141"/>
        <v>9</v>
      </c>
      <c r="K1857" s="2">
        <f t="shared" si="142"/>
        <v>2025</v>
      </c>
      <c r="L1857" s="2">
        <f t="shared" si="143"/>
        <v>3</v>
      </c>
      <c r="M1857" s="4">
        <v>10</v>
      </c>
      <c r="N1857" s="4" t="s">
        <v>4293</v>
      </c>
      <c r="O1857" s="4" t="s">
        <v>27</v>
      </c>
      <c r="P1857" s="5">
        <v>75241</v>
      </c>
      <c r="Q1857" s="4"/>
      <c r="R1857" s="4"/>
      <c r="S1857" s="4" t="s">
        <v>5819</v>
      </c>
      <c r="T1857" s="4">
        <v>27.3</v>
      </c>
      <c r="U1857" s="4" t="s">
        <v>29</v>
      </c>
      <c r="V1857" s="4" t="s">
        <v>238</v>
      </c>
      <c r="W1857" s="67" t="str">
        <f t="shared" si="144"/>
        <v>-</v>
      </c>
    </row>
    <row r="1858" spans="1:23" x14ac:dyDescent="0.3">
      <c r="A1858" s="2" t="s">
        <v>4294</v>
      </c>
      <c r="B1858" s="2" t="s">
        <v>1201</v>
      </c>
      <c r="C1858" s="2">
        <v>9872080151</v>
      </c>
      <c r="D1858" s="2" t="s">
        <v>20</v>
      </c>
      <c r="E1858" s="2" t="s">
        <v>33</v>
      </c>
      <c r="F1858" s="2" t="s">
        <v>34</v>
      </c>
      <c r="G1858" s="2" t="s">
        <v>69</v>
      </c>
      <c r="H1858" s="2" t="s">
        <v>4062</v>
      </c>
      <c r="I1858" s="2" t="str">
        <f t="shared" ref="I1858:I1921" si="145">TEXT(H1858,"mmm")</f>
        <v>Sep</v>
      </c>
      <c r="J1858" s="2">
        <f t="shared" ref="J1858:J1921" si="146">MONTH(H1858)</f>
        <v>9</v>
      </c>
      <c r="K1858" s="2">
        <f t="shared" ref="K1858:K1921" si="147">YEAR(H1858)</f>
        <v>2025</v>
      </c>
      <c r="L1858" s="2">
        <f t="shared" ref="L1858:L1921" si="148">ROUNDUP(MONTH(H1858)/3,0)</f>
        <v>3</v>
      </c>
      <c r="M1858" s="2">
        <v>10</v>
      </c>
      <c r="N1858" s="2" t="s">
        <v>4295</v>
      </c>
      <c r="O1858" s="2" t="s">
        <v>45</v>
      </c>
      <c r="P1858" s="3">
        <v>394067</v>
      </c>
      <c r="Q1858" s="2"/>
      <c r="R1858" s="2"/>
      <c r="S1858" s="2" t="s">
        <v>5819</v>
      </c>
      <c r="T1858" s="2">
        <v>12.4</v>
      </c>
      <c r="U1858" s="2" t="s">
        <v>47</v>
      </c>
      <c r="V1858" s="2" t="s">
        <v>48</v>
      </c>
      <c r="W1858" s="67" t="str">
        <f t="shared" ref="W1858:W1921" si="149">IF($O1858&lt;&gt;"Converted","-",IF(ISNUMBER(SEARCH("Architect",$F1858)),"Architect","Customer"))</f>
        <v>-</v>
      </c>
    </row>
    <row r="1859" spans="1:23" x14ac:dyDescent="0.3">
      <c r="A1859" s="4" t="s">
        <v>4296</v>
      </c>
      <c r="B1859" s="4" t="s">
        <v>4297</v>
      </c>
      <c r="C1859" s="4">
        <v>9443840059</v>
      </c>
      <c r="D1859" s="4" t="s">
        <v>121</v>
      </c>
      <c r="E1859" s="4" t="s">
        <v>109</v>
      </c>
      <c r="F1859" s="4" t="s">
        <v>331</v>
      </c>
      <c r="G1859" s="4" t="s">
        <v>35</v>
      </c>
      <c r="H1859" s="4" t="s">
        <v>4062</v>
      </c>
      <c r="I1859" s="2" t="str">
        <f t="shared" si="145"/>
        <v>Sep</v>
      </c>
      <c r="J1859" s="2">
        <f t="shared" si="146"/>
        <v>9</v>
      </c>
      <c r="K1859" s="2">
        <f t="shared" si="147"/>
        <v>2025</v>
      </c>
      <c r="L1859" s="2">
        <f t="shared" si="148"/>
        <v>3</v>
      </c>
      <c r="M1859" s="4">
        <v>7</v>
      </c>
      <c r="N1859" s="4" t="s">
        <v>4215</v>
      </c>
      <c r="O1859" s="4" t="s">
        <v>45</v>
      </c>
      <c r="P1859" s="5">
        <v>259279</v>
      </c>
      <c r="Q1859" s="4"/>
      <c r="R1859" s="4"/>
      <c r="S1859" s="4" t="s">
        <v>5574</v>
      </c>
      <c r="T1859" s="4">
        <v>24.3</v>
      </c>
      <c r="U1859" s="4" t="s">
        <v>29</v>
      </c>
      <c r="V1859" s="4" t="s">
        <v>454</v>
      </c>
      <c r="W1859" s="67" t="str">
        <f t="shared" si="149"/>
        <v>-</v>
      </c>
    </row>
    <row r="1860" spans="1:23" x14ac:dyDescent="0.3">
      <c r="A1860" s="6" t="s">
        <v>4298</v>
      </c>
      <c r="B1860" s="6" t="s">
        <v>3546</v>
      </c>
      <c r="C1860" s="6">
        <v>9358864998</v>
      </c>
      <c r="D1860" s="6" t="s">
        <v>51</v>
      </c>
      <c r="E1860" s="6" t="s">
        <v>41</v>
      </c>
      <c r="F1860" s="6" t="s">
        <v>151</v>
      </c>
      <c r="G1860" s="6" t="s">
        <v>1621</v>
      </c>
      <c r="H1860" s="6" t="s">
        <v>4058</v>
      </c>
      <c r="I1860" s="2" t="str">
        <f t="shared" si="145"/>
        <v>Sep</v>
      </c>
      <c r="J1860" s="2">
        <f t="shared" si="146"/>
        <v>9</v>
      </c>
      <c r="K1860" s="2">
        <f t="shared" si="147"/>
        <v>2025</v>
      </c>
      <c r="L1860" s="2">
        <f t="shared" si="148"/>
        <v>3</v>
      </c>
      <c r="M1860" s="6">
        <v>4</v>
      </c>
      <c r="N1860" s="6" t="s">
        <v>4230</v>
      </c>
      <c r="O1860" s="6" t="s">
        <v>97</v>
      </c>
      <c r="P1860" s="7">
        <v>377531</v>
      </c>
      <c r="Q1860" s="7">
        <v>388524</v>
      </c>
      <c r="R1860" s="6" t="s">
        <v>4158</v>
      </c>
      <c r="S1860" s="6" t="s">
        <v>5819</v>
      </c>
      <c r="T1860" s="6">
        <v>26.9</v>
      </c>
      <c r="U1860" s="6" t="s">
        <v>63</v>
      </c>
      <c r="V1860" s="6" t="s">
        <v>286</v>
      </c>
      <c r="W1860" s="67" t="str">
        <f t="shared" si="149"/>
        <v>Architect</v>
      </c>
    </row>
    <row r="1861" spans="1:23" x14ac:dyDescent="0.3">
      <c r="A1861" s="4" t="s">
        <v>4299</v>
      </c>
      <c r="B1861" s="4" t="s">
        <v>2064</v>
      </c>
      <c r="C1861" s="4">
        <v>9486080542</v>
      </c>
      <c r="D1861" s="4" t="s">
        <v>108</v>
      </c>
      <c r="E1861" s="4" t="s">
        <v>67</v>
      </c>
      <c r="F1861" s="4" t="s">
        <v>68</v>
      </c>
      <c r="G1861" s="4" t="s">
        <v>87</v>
      </c>
      <c r="H1861" s="4" t="s">
        <v>4058</v>
      </c>
      <c r="I1861" s="2" t="str">
        <f t="shared" si="145"/>
        <v>Sep</v>
      </c>
      <c r="J1861" s="2">
        <f t="shared" si="146"/>
        <v>9</v>
      </c>
      <c r="K1861" s="2">
        <f t="shared" si="147"/>
        <v>2025</v>
      </c>
      <c r="L1861" s="2">
        <f t="shared" si="148"/>
        <v>3</v>
      </c>
      <c r="M1861" s="4">
        <v>9</v>
      </c>
      <c r="N1861" s="4" t="s">
        <v>4163</v>
      </c>
      <c r="O1861" s="4" t="s">
        <v>45</v>
      </c>
      <c r="P1861" s="5">
        <v>182988</v>
      </c>
      <c r="Q1861" s="4"/>
      <c r="R1861" s="4"/>
      <c r="S1861" s="4" t="s">
        <v>5819</v>
      </c>
      <c r="T1861" s="4">
        <v>7.8</v>
      </c>
      <c r="U1861" s="4" t="s">
        <v>63</v>
      </c>
      <c r="V1861" s="4" t="s">
        <v>335</v>
      </c>
      <c r="W1861" s="67" t="str">
        <f t="shared" si="149"/>
        <v>-</v>
      </c>
    </row>
    <row r="1862" spans="1:23" x14ac:dyDescent="0.3">
      <c r="A1862" s="2" t="s">
        <v>4300</v>
      </c>
      <c r="B1862" s="2" t="s">
        <v>2814</v>
      </c>
      <c r="C1862" s="2">
        <v>9565704491</v>
      </c>
      <c r="D1862" s="2" t="s">
        <v>121</v>
      </c>
      <c r="E1862" s="2" t="s">
        <v>67</v>
      </c>
      <c r="F1862" s="2" t="s">
        <v>80</v>
      </c>
      <c r="G1862" s="2" t="s">
        <v>23</v>
      </c>
      <c r="H1862" s="2" t="s">
        <v>4058</v>
      </c>
      <c r="I1862" s="2" t="str">
        <f t="shared" si="145"/>
        <v>Sep</v>
      </c>
      <c r="J1862" s="2">
        <f t="shared" si="146"/>
        <v>9</v>
      </c>
      <c r="K1862" s="2">
        <f t="shared" si="147"/>
        <v>2025</v>
      </c>
      <c r="L1862" s="2">
        <f t="shared" si="148"/>
        <v>3</v>
      </c>
      <c r="M1862" s="2">
        <v>5</v>
      </c>
      <c r="N1862" s="2" t="s">
        <v>4301</v>
      </c>
      <c r="O1862" s="2" t="s">
        <v>45</v>
      </c>
      <c r="P1862" s="3">
        <v>407611</v>
      </c>
      <c r="Q1862" s="2"/>
      <c r="R1862" s="2"/>
      <c r="S1862" s="2" t="s">
        <v>5574</v>
      </c>
      <c r="T1862" s="2">
        <v>9.1999999999999993</v>
      </c>
      <c r="U1862" s="2" t="s">
        <v>63</v>
      </c>
      <c r="V1862" s="2" t="s">
        <v>195</v>
      </c>
      <c r="W1862" s="67" t="str">
        <f t="shared" si="149"/>
        <v>-</v>
      </c>
    </row>
    <row r="1863" spans="1:23" x14ac:dyDescent="0.3">
      <c r="A1863" s="6" t="s">
        <v>4302</v>
      </c>
      <c r="B1863" s="6" t="s">
        <v>4303</v>
      </c>
      <c r="C1863" s="6">
        <v>9737221653</v>
      </c>
      <c r="D1863" s="6" t="s">
        <v>108</v>
      </c>
      <c r="E1863" s="6" t="s">
        <v>109</v>
      </c>
      <c r="F1863" s="6" t="s">
        <v>110</v>
      </c>
      <c r="G1863" s="6" t="s">
        <v>23</v>
      </c>
      <c r="H1863" s="6" t="s">
        <v>4058</v>
      </c>
      <c r="I1863" s="2" t="str">
        <f t="shared" si="145"/>
        <v>Sep</v>
      </c>
      <c r="J1863" s="2">
        <f t="shared" si="146"/>
        <v>9</v>
      </c>
      <c r="K1863" s="2">
        <f t="shared" si="147"/>
        <v>2025</v>
      </c>
      <c r="L1863" s="2">
        <f t="shared" si="148"/>
        <v>3</v>
      </c>
      <c r="M1863" s="6">
        <v>1</v>
      </c>
      <c r="N1863" s="6" t="s">
        <v>4188</v>
      </c>
      <c r="O1863" s="6" t="s">
        <v>97</v>
      </c>
      <c r="P1863" s="7">
        <v>517031</v>
      </c>
      <c r="Q1863" s="7">
        <v>492050</v>
      </c>
      <c r="R1863" s="6" t="s">
        <v>4304</v>
      </c>
      <c r="S1863" s="6" t="s">
        <v>5819</v>
      </c>
      <c r="T1863" s="6">
        <v>9.8000000000000007</v>
      </c>
      <c r="U1863" s="6" t="s">
        <v>63</v>
      </c>
      <c r="V1863" s="6" t="s">
        <v>295</v>
      </c>
      <c r="W1863" s="67" t="str">
        <f t="shared" si="149"/>
        <v>Customer</v>
      </c>
    </row>
    <row r="1864" spans="1:23" x14ac:dyDescent="0.3">
      <c r="A1864" s="6" t="s">
        <v>4305</v>
      </c>
      <c r="B1864" s="6" t="s">
        <v>437</v>
      </c>
      <c r="C1864" s="6">
        <v>9537369594</v>
      </c>
      <c r="D1864" s="6" t="s">
        <v>59</v>
      </c>
      <c r="E1864" s="6" t="s">
        <v>109</v>
      </c>
      <c r="F1864" s="6" t="s">
        <v>217</v>
      </c>
      <c r="G1864" s="6" t="s">
        <v>1677</v>
      </c>
      <c r="H1864" s="6" t="s">
        <v>4058</v>
      </c>
      <c r="I1864" s="2" t="str">
        <f t="shared" si="145"/>
        <v>Sep</v>
      </c>
      <c r="J1864" s="2">
        <f t="shared" si="146"/>
        <v>9</v>
      </c>
      <c r="K1864" s="2">
        <f t="shared" si="147"/>
        <v>2025</v>
      </c>
      <c r="L1864" s="2">
        <f t="shared" si="148"/>
        <v>3</v>
      </c>
      <c r="M1864" s="6">
        <v>4</v>
      </c>
      <c r="N1864" s="6" t="s">
        <v>4195</v>
      </c>
      <c r="O1864" s="6" t="s">
        <v>97</v>
      </c>
      <c r="P1864" s="7">
        <v>1721635</v>
      </c>
      <c r="Q1864" s="7">
        <v>1556131</v>
      </c>
      <c r="R1864" s="6" t="s">
        <v>4169</v>
      </c>
      <c r="S1864" s="6" t="s">
        <v>5574</v>
      </c>
      <c r="T1864" s="6">
        <v>15.2</v>
      </c>
      <c r="U1864" s="6" t="s">
        <v>47</v>
      </c>
      <c r="V1864" s="6" t="s">
        <v>99</v>
      </c>
      <c r="W1864" s="67" t="str">
        <f t="shared" si="149"/>
        <v>Customer</v>
      </c>
    </row>
    <row r="1865" spans="1:23" x14ac:dyDescent="0.3">
      <c r="A1865" s="6" t="s">
        <v>4306</v>
      </c>
      <c r="B1865" s="6" t="s">
        <v>499</v>
      </c>
      <c r="C1865" s="6">
        <v>9362086408</v>
      </c>
      <c r="D1865" s="6" t="s">
        <v>59</v>
      </c>
      <c r="E1865" s="6" t="s">
        <v>641</v>
      </c>
      <c r="F1865" s="6" t="s">
        <v>681</v>
      </c>
      <c r="G1865" s="6" t="s">
        <v>23</v>
      </c>
      <c r="H1865" s="6" t="s">
        <v>4058</v>
      </c>
      <c r="I1865" s="2" t="str">
        <f t="shared" si="145"/>
        <v>Sep</v>
      </c>
      <c r="J1865" s="2">
        <f t="shared" si="146"/>
        <v>9</v>
      </c>
      <c r="K1865" s="2">
        <f t="shared" si="147"/>
        <v>2025</v>
      </c>
      <c r="L1865" s="2">
        <f t="shared" si="148"/>
        <v>3</v>
      </c>
      <c r="M1865" s="6">
        <v>6</v>
      </c>
      <c r="N1865" s="6" t="s">
        <v>4277</v>
      </c>
      <c r="O1865" s="6" t="s">
        <v>97</v>
      </c>
      <c r="P1865" s="7">
        <v>733490</v>
      </c>
      <c r="Q1865" s="7">
        <v>746323</v>
      </c>
      <c r="R1865" s="6" t="s">
        <v>4307</v>
      </c>
      <c r="S1865" s="6" t="s">
        <v>5573</v>
      </c>
      <c r="T1865" s="6">
        <v>21.7</v>
      </c>
      <c r="U1865" s="6" t="s">
        <v>63</v>
      </c>
      <c r="V1865" s="6" t="s">
        <v>341</v>
      </c>
      <c r="W1865" s="67" t="str">
        <f t="shared" si="149"/>
        <v>Customer</v>
      </c>
    </row>
    <row r="1866" spans="1:23" x14ac:dyDescent="0.3">
      <c r="A1866" s="2" t="s">
        <v>4308</v>
      </c>
      <c r="B1866" s="2" t="s">
        <v>4309</v>
      </c>
      <c r="C1866" s="2">
        <v>9379553019</v>
      </c>
      <c r="D1866" s="2" t="s">
        <v>121</v>
      </c>
      <c r="E1866" s="2" t="s">
        <v>67</v>
      </c>
      <c r="F1866" s="2" t="s">
        <v>68</v>
      </c>
      <c r="G1866" s="2" t="s">
        <v>23</v>
      </c>
      <c r="H1866" s="2" t="s">
        <v>4058</v>
      </c>
      <c r="I1866" s="2" t="str">
        <f t="shared" si="145"/>
        <v>Sep</v>
      </c>
      <c r="J1866" s="2">
        <f t="shared" si="146"/>
        <v>9</v>
      </c>
      <c r="K1866" s="2">
        <f t="shared" si="147"/>
        <v>2025</v>
      </c>
      <c r="L1866" s="2">
        <f t="shared" si="148"/>
        <v>3</v>
      </c>
      <c r="M1866" s="2">
        <v>9</v>
      </c>
      <c r="N1866" s="2" t="s">
        <v>4310</v>
      </c>
      <c r="O1866" s="2" t="s">
        <v>27</v>
      </c>
      <c r="P1866" s="3">
        <v>856293</v>
      </c>
      <c r="Q1866" s="2"/>
      <c r="R1866" s="2"/>
      <c r="S1866" s="2" t="s">
        <v>5819</v>
      </c>
      <c r="T1866" s="2">
        <v>14.1</v>
      </c>
      <c r="U1866" s="2" t="s">
        <v>47</v>
      </c>
      <c r="V1866" s="2" t="s">
        <v>105</v>
      </c>
      <c r="W1866" s="67" t="str">
        <f t="shared" si="149"/>
        <v>-</v>
      </c>
    </row>
    <row r="1867" spans="1:23" x14ac:dyDescent="0.3">
      <c r="A1867" s="4" t="s">
        <v>4311</v>
      </c>
      <c r="B1867" s="4" t="s">
        <v>3017</v>
      </c>
      <c r="C1867" s="4">
        <v>9602790542</v>
      </c>
      <c r="D1867" s="4" t="s">
        <v>59</v>
      </c>
      <c r="E1867" s="4" t="s">
        <v>1632</v>
      </c>
      <c r="F1867" s="4" t="s">
        <v>1659</v>
      </c>
      <c r="G1867" s="4" t="s">
        <v>1609</v>
      </c>
      <c r="H1867" s="4" t="s">
        <v>4058</v>
      </c>
      <c r="I1867" s="2" t="str">
        <f t="shared" si="145"/>
        <v>Sep</v>
      </c>
      <c r="J1867" s="2">
        <f t="shared" si="146"/>
        <v>9</v>
      </c>
      <c r="K1867" s="2">
        <f t="shared" si="147"/>
        <v>2025</v>
      </c>
      <c r="L1867" s="2">
        <f t="shared" si="148"/>
        <v>3</v>
      </c>
      <c r="M1867" s="4">
        <v>8</v>
      </c>
      <c r="N1867" s="4" t="s">
        <v>4312</v>
      </c>
      <c r="O1867" s="4" t="s">
        <v>62</v>
      </c>
      <c r="P1867" s="5">
        <v>338964</v>
      </c>
      <c r="Q1867" s="4"/>
      <c r="R1867" s="4"/>
      <c r="S1867" s="4" t="s">
        <v>5573</v>
      </c>
      <c r="T1867" s="4">
        <v>5.5</v>
      </c>
      <c r="U1867" s="4" t="s">
        <v>47</v>
      </c>
      <c r="V1867" s="4" t="s">
        <v>487</v>
      </c>
      <c r="W1867" s="67" t="str">
        <f t="shared" si="149"/>
        <v>-</v>
      </c>
    </row>
    <row r="1868" spans="1:23" x14ac:dyDescent="0.3">
      <c r="A1868" s="6" t="s">
        <v>4313</v>
      </c>
      <c r="B1868" s="6" t="s">
        <v>4314</v>
      </c>
      <c r="C1868" s="6">
        <v>9339808863</v>
      </c>
      <c r="D1868" s="6" t="s">
        <v>5357</v>
      </c>
      <c r="E1868" s="6" t="s">
        <v>33</v>
      </c>
      <c r="F1868" s="6" t="s">
        <v>34</v>
      </c>
      <c r="G1868" s="6" t="s">
        <v>1623</v>
      </c>
      <c r="H1868" s="6" t="s">
        <v>4180</v>
      </c>
      <c r="I1868" s="2" t="str">
        <f t="shared" si="145"/>
        <v>Sep</v>
      </c>
      <c r="J1868" s="2">
        <f t="shared" si="146"/>
        <v>9</v>
      </c>
      <c r="K1868" s="2">
        <f t="shared" si="147"/>
        <v>2025</v>
      </c>
      <c r="L1868" s="2">
        <f t="shared" si="148"/>
        <v>3</v>
      </c>
      <c r="M1868" s="6">
        <v>8</v>
      </c>
      <c r="N1868" s="6" t="s">
        <v>4237</v>
      </c>
      <c r="O1868" s="6" t="s">
        <v>97</v>
      </c>
      <c r="P1868" s="7">
        <v>300033</v>
      </c>
      <c r="Q1868" s="7">
        <v>266190</v>
      </c>
      <c r="R1868" s="6" t="s">
        <v>4307</v>
      </c>
      <c r="S1868" s="6" t="s">
        <v>5819</v>
      </c>
      <c r="T1868" s="6">
        <v>0.8</v>
      </c>
      <c r="U1868" s="6" t="s">
        <v>47</v>
      </c>
      <c r="V1868" s="6" t="s">
        <v>341</v>
      </c>
      <c r="W1868" s="67" t="str">
        <f t="shared" si="149"/>
        <v>Customer</v>
      </c>
    </row>
    <row r="1869" spans="1:23" x14ac:dyDescent="0.3">
      <c r="A1869" s="4" t="s">
        <v>4315</v>
      </c>
      <c r="B1869" s="4" t="s">
        <v>155</v>
      </c>
      <c r="C1869" s="4">
        <v>9862287210</v>
      </c>
      <c r="D1869" s="4" t="s">
        <v>121</v>
      </c>
      <c r="E1869" s="4" t="s">
        <v>648</v>
      </c>
      <c r="F1869" s="4" t="s">
        <v>899</v>
      </c>
      <c r="G1869" s="4" t="s">
        <v>643</v>
      </c>
      <c r="H1869" s="4" t="s">
        <v>4180</v>
      </c>
      <c r="I1869" s="2" t="str">
        <f t="shared" si="145"/>
        <v>Sep</v>
      </c>
      <c r="J1869" s="2">
        <f t="shared" si="146"/>
        <v>9</v>
      </c>
      <c r="K1869" s="2">
        <f t="shared" si="147"/>
        <v>2025</v>
      </c>
      <c r="L1869" s="2">
        <f t="shared" si="148"/>
        <v>3</v>
      </c>
      <c r="M1869" s="4">
        <v>12</v>
      </c>
      <c r="N1869" s="4" t="s">
        <v>4316</v>
      </c>
      <c r="O1869" s="4" t="s">
        <v>45</v>
      </c>
      <c r="P1869" s="5">
        <v>928726</v>
      </c>
      <c r="Q1869" s="4"/>
      <c r="R1869" s="4"/>
      <c r="S1869" s="4" t="s">
        <v>5819</v>
      </c>
      <c r="T1869" s="4">
        <v>28.9</v>
      </c>
      <c r="U1869" s="4" t="s">
        <v>47</v>
      </c>
      <c r="V1869" s="4" t="s">
        <v>302</v>
      </c>
      <c r="W1869" s="67" t="str">
        <f t="shared" si="149"/>
        <v>-</v>
      </c>
    </row>
    <row r="1870" spans="1:23" x14ac:dyDescent="0.3">
      <c r="A1870" s="2" t="s">
        <v>4317</v>
      </c>
      <c r="B1870" s="2" t="s">
        <v>155</v>
      </c>
      <c r="C1870" s="2">
        <v>9862287210</v>
      </c>
      <c r="D1870" s="2" t="s">
        <v>20</v>
      </c>
      <c r="E1870" s="2" t="s">
        <v>648</v>
      </c>
      <c r="F1870" s="2" t="s">
        <v>899</v>
      </c>
      <c r="G1870" s="2" t="s">
        <v>643</v>
      </c>
      <c r="H1870" s="2" t="s">
        <v>4180</v>
      </c>
      <c r="I1870" s="2" t="str">
        <f t="shared" si="145"/>
        <v>Sep</v>
      </c>
      <c r="J1870" s="2">
        <f t="shared" si="146"/>
        <v>9</v>
      </c>
      <c r="K1870" s="2">
        <f t="shared" si="147"/>
        <v>2025</v>
      </c>
      <c r="L1870" s="2">
        <f t="shared" si="148"/>
        <v>3</v>
      </c>
      <c r="M1870" s="2">
        <v>12</v>
      </c>
      <c r="N1870" s="2" t="s">
        <v>4316</v>
      </c>
      <c r="O1870" s="2" t="s">
        <v>45</v>
      </c>
      <c r="P1870" s="3">
        <v>1020609</v>
      </c>
      <c r="Q1870" s="2"/>
      <c r="R1870" s="2"/>
      <c r="S1870" s="2" t="s">
        <v>5819</v>
      </c>
      <c r="T1870" s="2">
        <v>28.9</v>
      </c>
      <c r="U1870" s="2" t="s">
        <v>47</v>
      </c>
      <c r="V1870" s="2" t="s">
        <v>302</v>
      </c>
      <c r="W1870" s="67" t="str">
        <f t="shared" si="149"/>
        <v>-</v>
      </c>
    </row>
    <row r="1871" spans="1:23" x14ac:dyDescent="0.3">
      <c r="A1871" s="4" t="s">
        <v>4318</v>
      </c>
      <c r="B1871" s="4" t="s">
        <v>1035</v>
      </c>
      <c r="C1871" s="4">
        <v>9894349577</v>
      </c>
      <c r="D1871" s="4" t="s">
        <v>59</v>
      </c>
      <c r="E1871" s="4" t="s">
        <v>41</v>
      </c>
      <c r="F1871" s="4" t="s">
        <v>92</v>
      </c>
      <c r="G1871" s="4" t="s">
        <v>69</v>
      </c>
      <c r="H1871" s="4" t="s">
        <v>4137</v>
      </c>
      <c r="I1871" s="2" t="str">
        <f t="shared" si="145"/>
        <v>Sep</v>
      </c>
      <c r="J1871" s="2">
        <f t="shared" si="146"/>
        <v>9</v>
      </c>
      <c r="K1871" s="2">
        <f t="shared" si="147"/>
        <v>2025</v>
      </c>
      <c r="L1871" s="2">
        <f t="shared" si="148"/>
        <v>3</v>
      </c>
      <c r="M1871" s="4">
        <v>2</v>
      </c>
      <c r="N1871" s="4" t="s">
        <v>4280</v>
      </c>
      <c r="O1871" s="4" t="s">
        <v>27</v>
      </c>
      <c r="P1871" s="5">
        <v>244701</v>
      </c>
      <c r="Q1871" s="4"/>
      <c r="R1871" s="4"/>
      <c r="S1871" s="4" t="s">
        <v>5573</v>
      </c>
      <c r="T1871" s="4">
        <v>20.7</v>
      </c>
      <c r="U1871" s="4" t="s">
        <v>47</v>
      </c>
      <c r="V1871" s="4" t="s">
        <v>123</v>
      </c>
      <c r="W1871" s="67" t="str">
        <f t="shared" si="149"/>
        <v>-</v>
      </c>
    </row>
    <row r="1872" spans="1:23" x14ac:dyDescent="0.3">
      <c r="A1872" s="2" t="s">
        <v>4319</v>
      </c>
      <c r="B1872" s="2" t="s">
        <v>1429</v>
      </c>
      <c r="C1872" s="2">
        <v>9229061832</v>
      </c>
      <c r="D1872" s="2" t="s">
        <v>59</v>
      </c>
      <c r="E1872" s="2" t="s">
        <v>1632</v>
      </c>
      <c r="F1872" s="2" t="s">
        <v>1717</v>
      </c>
      <c r="G1872" s="2" t="s">
        <v>1621</v>
      </c>
      <c r="H1872" s="2" t="s">
        <v>4137</v>
      </c>
      <c r="I1872" s="2" t="str">
        <f t="shared" si="145"/>
        <v>Sep</v>
      </c>
      <c r="J1872" s="2">
        <f t="shared" si="146"/>
        <v>9</v>
      </c>
      <c r="K1872" s="2">
        <f t="shared" si="147"/>
        <v>2025</v>
      </c>
      <c r="L1872" s="2">
        <f t="shared" si="148"/>
        <v>3</v>
      </c>
      <c r="M1872" s="2">
        <v>2</v>
      </c>
      <c r="N1872" s="2" t="s">
        <v>4059</v>
      </c>
      <c r="O1872" s="2" t="s">
        <v>27</v>
      </c>
      <c r="P1872" s="3">
        <v>261812</v>
      </c>
      <c r="Q1872" s="2"/>
      <c r="R1872" s="2"/>
      <c r="S1872" s="2" t="s">
        <v>5819</v>
      </c>
      <c r="T1872" s="2">
        <v>36</v>
      </c>
      <c r="U1872" s="2" t="s">
        <v>29</v>
      </c>
      <c r="V1872" s="2" t="s">
        <v>157</v>
      </c>
      <c r="W1872" s="67" t="str">
        <f t="shared" si="149"/>
        <v>-</v>
      </c>
    </row>
    <row r="1873" spans="1:23" x14ac:dyDescent="0.3">
      <c r="A1873" s="6" t="s">
        <v>4320</v>
      </c>
      <c r="B1873" s="6" t="s">
        <v>959</v>
      </c>
      <c r="C1873" s="6">
        <v>9675585469</v>
      </c>
      <c r="D1873" s="6" t="s">
        <v>108</v>
      </c>
      <c r="E1873" s="6" t="s">
        <v>41</v>
      </c>
      <c r="F1873" s="6" t="s">
        <v>86</v>
      </c>
      <c r="G1873" s="6" t="s">
        <v>1621</v>
      </c>
      <c r="H1873" s="6" t="s">
        <v>4165</v>
      </c>
      <c r="I1873" s="2" t="str">
        <f t="shared" si="145"/>
        <v>Sep</v>
      </c>
      <c r="J1873" s="2">
        <f t="shared" si="146"/>
        <v>9</v>
      </c>
      <c r="K1873" s="2">
        <f t="shared" si="147"/>
        <v>2025</v>
      </c>
      <c r="L1873" s="2">
        <f t="shared" si="148"/>
        <v>3</v>
      </c>
      <c r="M1873" s="6">
        <v>12</v>
      </c>
      <c r="N1873" s="6" t="s">
        <v>4321</v>
      </c>
      <c r="O1873" s="6" t="s">
        <v>97</v>
      </c>
      <c r="P1873" s="7">
        <v>525682</v>
      </c>
      <c r="Q1873" s="7">
        <v>467353</v>
      </c>
      <c r="R1873" s="6" t="s">
        <v>4322</v>
      </c>
      <c r="S1873" s="6" t="s">
        <v>5574</v>
      </c>
      <c r="T1873" s="6">
        <v>11.9</v>
      </c>
      <c r="U1873" s="6" t="s">
        <v>63</v>
      </c>
      <c r="V1873" s="6" t="s">
        <v>99</v>
      </c>
      <c r="W1873" s="67" t="str">
        <f t="shared" si="149"/>
        <v>Customer</v>
      </c>
    </row>
    <row r="1874" spans="1:23" x14ac:dyDescent="0.3">
      <c r="A1874" s="6" t="s">
        <v>4323</v>
      </c>
      <c r="B1874" s="6" t="s">
        <v>4324</v>
      </c>
      <c r="C1874" s="6">
        <v>9837038603</v>
      </c>
      <c r="D1874" s="6" t="s">
        <v>59</v>
      </c>
      <c r="E1874" s="6" t="s">
        <v>109</v>
      </c>
      <c r="F1874" s="6" t="s">
        <v>110</v>
      </c>
      <c r="G1874" s="6" t="s">
        <v>23</v>
      </c>
      <c r="H1874" s="6" t="s">
        <v>4165</v>
      </c>
      <c r="I1874" s="2" t="str">
        <f t="shared" si="145"/>
        <v>Sep</v>
      </c>
      <c r="J1874" s="2">
        <f t="shared" si="146"/>
        <v>9</v>
      </c>
      <c r="K1874" s="2">
        <f t="shared" si="147"/>
        <v>2025</v>
      </c>
      <c r="L1874" s="2">
        <f t="shared" si="148"/>
        <v>3</v>
      </c>
      <c r="M1874" s="6">
        <v>2</v>
      </c>
      <c r="N1874" s="6" t="s">
        <v>4193</v>
      </c>
      <c r="O1874" s="6" t="s">
        <v>97</v>
      </c>
      <c r="P1874" s="7">
        <v>453205</v>
      </c>
      <c r="Q1874" s="7">
        <v>402227</v>
      </c>
      <c r="R1874" s="6" t="s">
        <v>4163</v>
      </c>
      <c r="S1874" s="6" t="s">
        <v>5573</v>
      </c>
      <c r="T1874" s="6">
        <v>15.5</v>
      </c>
      <c r="U1874" s="6" t="s">
        <v>47</v>
      </c>
      <c r="V1874" s="6" t="s">
        <v>170</v>
      </c>
      <c r="W1874" s="67" t="str">
        <f t="shared" si="149"/>
        <v>Customer</v>
      </c>
    </row>
    <row r="1875" spans="1:23" x14ac:dyDescent="0.3">
      <c r="A1875" s="6" t="s">
        <v>4325</v>
      </c>
      <c r="B1875" s="6" t="s">
        <v>3157</v>
      </c>
      <c r="C1875" s="6">
        <v>9686475619</v>
      </c>
      <c r="D1875" s="6" t="s">
        <v>20</v>
      </c>
      <c r="E1875" s="6" t="s">
        <v>41</v>
      </c>
      <c r="F1875" s="6" t="s">
        <v>151</v>
      </c>
      <c r="G1875" s="6" t="s">
        <v>616</v>
      </c>
      <c r="H1875" s="6" t="s">
        <v>4262</v>
      </c>
      <c r="I1875" s="2" t="str">
        <f t="shared" si="145"/>
        <v>Sep</v>
      </c>
      <c r="J1875" s="2">
        <f t="shared" si="146"/>
        <v>9</v>
      </c>
      <c r="K1875" s="2">
        <f t="shared" si="147"/>
        <v>2025</v>
      </c>
      <c r="L1875" s="2">
        <f t="shared" si="148"/>
        <v>3</v>
      </c>
      <c r="M1875" s="6">
        <v>9</v>
      </c>
      <c r="N1875" s="6" t="s">
        <v>4326</v>
      </c>
      <c r="O1875" s="6" t="s">
        <v>97</v>
      </c>
      <c r="P1875" s="7">
        <v>174910</v>
      </c>
      <c r="Q1875" s="7">
        <v>177392</v>
      </c>
      <c r="R1875" s="6" t="s">
        <v>4327</v>
      </c>
      <c r="S1875" s="6" t="s">
        <v>5574</v>
      </c>
      <c r="T1875" s="6">
        <v>34.5</v>
      </c>
      <c r="U1875" s="6" t="s">
        <v>63</v>
      </c>
      <c r="V1875" s="6" t="s">
        <v>341</v>
      </c>
      <c r="W1875" s="67" t="str">
        <f t="shared" si="149"/>
        <v>Architect</v>
      </c>
    </row>
    <row r="1876" spans="1:23" x14ac:dyDescent="0.3">
      <c r="A1876" s="2" t="s">
        <v>4328</v>
      </c>
      <c r="B1876" s="2" t="s">
        <v>2587</v>
      </c>
      <c r="C1876" s="2">
        <v>9828687999</v>
      </c>
      <c r="D1876" s="2" t="s">
        <v>59</v>
      </c>
      <c r="E1876" s="2" t="s">
        <v>1632</v>
      </c>
      <c r="F1876" s="2" t="s">
        <v>1694</v>
      </c>
      <c r="G1876" s="2" t="s">
        <v>1609</v>
      </c>
      <c r="H1876" s="2" t="s">
        <v>4262</v>
      </c>
      <c r="I1876" s="2" t="str">
        <f t="shared" si="145"/>
        <v>Sep</v>
      </c>
      <c r="J1876" s="2">
        <f t="shared" si="146"/>
        <v>9</v>
      </c>
      <c r="K1876" s="2">
        <f t="shared" si="147"/>
        <v>2025</v>
      </c>
      <c r="L1876" s="2">
        <f t="shared" si="148"/>
        <v>3</v>
      </c>
      <c r="M1876" s="2">
        <v>3</v>
      </c>
      <c r="N1876" s="2" t="s">
        <v>4301</v>
      </c>
      <c r="O1876" s="2" t="s">
        <v>45</v>
      </c>
      <c r="P1876" s="3">
        <v>426348</v>
      </c>
      <c r="Q1876" s="2"/>
      <c r="R1876" s="2"/>
      <c r="S1876" s="2" t="s">
        <v>5574</v>
      </c>
      <c r="T1876" s="2">
        <v>12.1</v>
      </c>
      <c r="U1876" s="2" t="s">
        <v>29</v>
      </c>
      <c r="V1876" s="2" t="s">
        <v>589</v>
      </c>
      <c r="W1876" s="67" t="str">
        <f t="shared" si="149"/>
        <v>-</v>
      </c>
    </row>
    <row r="1877" spans="1:23" x14ac:dyDescent="0.3">
      <c r="A1877" s="4" t="s">
        <v>4329</v>
      </c>
      <c r="B1877" s="4" t="s">
        <v>878</v>
      </c>
      <c r="C1877" s="4">
        <v>9871472708</v>
      </c>
      <c r="D1877" s="4" t="s">
        <v>51</v>
      </c>
      <c r="E1877" s="4" t="s">
        <v>109</v>
      </c>
      <c r="F1877" s="4" t="s">
        <v>217</v>
      </c>
      <c r="G1877" s="4" t="s">
        <v>60</v>
      </c>
      <c r="H1877" s="4" t="s">
        <v>4262</v>
      </c>
      <c r="I1877" s="2" t="str">
        <f t="shared" si="145"/>
        <v>Sep</v>
      </c>
      <c r="J1877" s="2">
        <f t="shared" si="146"/>
        <v>9</v>
      </c>
      <c r="K1877" s="2">
        <f t="shared" si="147"/>
        <v>2025</v>
      </c>
      <c r="L1877" s="2">
        <f t="shared" si="148"/>
        <v>3</v>
      </c>
      <c r="M1877" s="4">
        <v>2</v>
      </c>
      <c r="N1877" s="4" t="s">
        <v>4230</v>
      </c>
      <c r="O1877" s="4" t="s">
        <v>62</v>
      </c>
      <c r="P1877" s="5">
        <v>168891</v>
      </c>
      <c r="Q1877" s="4"/>
      <c r="R1877" s="4"/>
      <c r="S1877" s="4" t="s">
        <v>5819</v>
      </c>
      <c r="T1877" s="4">
        <v>0.7</v>
      </c>
      <c r="U1877" s="4" t="s">
        <v>63</v>
      </c>
      <c r="V1877" s="4" t="s">
        <v>535</v>
      </c>
      <c r="W1877" s="67" t="str">
        <f t="shared" si="149"/>
        <v>-</v>
      </c>
    </row>
    <row r="1878" spans="1:23" x14ac:dyDescent="0.3">
      <c r="A1878" s="6" t="s">
        <v>4330</v>
      </c>
      <c r="B1878" s="6" t="s">
        <v>1526</v>
      </c>
      <c r="C1878" s="6">
        <v>9885531796</v>
      </c>
      <c r="D1878" s="6" t="s">
        <v>51</v>
      </c>
      <c r="E1878" s="6" t="s">
        <v>41</v>
      </c>
      <c r="F1878" s="6" t="s">
        <v>86</v>
      </c>
      <c r="G1878" s="6" t="s">
        <v>1677</v>
      </c>
      <c r="H1878" s="6" t="s">
        <v>4010</v>
      </c>
      <c r="I1878" s="2" t="str">
        <f t="shared" si="145"/>
        <v>Sep</v>
      </c>
      <c r="J1878" s="2">
        <f t="shared" si="146"/>
        <v>9</v>
      </c>
      <c r="K1878" s="2">
        <f t="shared" si="147"/>
        <v>2025</v>
      </c>
      <c r="L1878" s="2">
        <f t="shared" si="148"/>
        <v>3</v>
      </c>
      <c r="M1878" s="6">
        <v>5</v>
      </c>
      <c r="N1878" s="6" t="s">
        <v>4301</v>
      </c>
      <c r="O1878" s="6" t="s">
        <v>97</v>
      </c>
      <c r="P1878" s="7">
        <v>988820</v>
      </c>
      <c r="Q1878" s="7">
        <v>937542</v>
      </c>
      <c r="R1878" s="6" t="s">
        <v>4331</v>
      </c>
      <c r="S1878" s="6" t="s">
        <v>5819</v>
      </c>
      <c r="T1878" s="6">
        <v>22.7</v>
      </c>
      <c r="U1878" s="6" t="s">
        <v>63</v>
      </c>
      <c r="V1878" s="6" t="s">
        <v>465</v>
      </c>
      <c r="W1878" s="67" t="str">
        <f t="shared" si="149"/>
        <v>Customer</v>
      </c>
    </row>
    <row r="1879" spans="1:23" x14ac:dyDescent="0.3">
      <c r="A1879" s="6" t="s">
        <v>4332</v>
      </c>
      <c r="B1879" s="6" t="s">
        <v>4333</v>
      </c>
      <c r="C1879" s="6">
        <v>9112960981</v>
      </c>
      <c r="D1879" s="6" t="s">
        <v>20</v>
      </c>
      <c r="E1879" s="6" t="s">
        <v>73</v>
      </c>
      <c r="F1879" s="6" t="s">
        <v>126</v>
      </c>
      <c r="G1879" s="6" t="s">
        <v>1621</v>
      </c>
      <c r="H1879" s="6" t="s">
        <v>4010</v>
      </c>
      <c r="I1879" s="2" t="str">
        <f t="shared" si="145"/>
        <v>Sep</v>
      </c>
      <c r="J1879" s="2">
        <f t="shared" si="146"/>
        <v>9</v>
      </c>
      <c r="K1879" s="2">
        <f t="shared" si="147"/>
        <v>2025</v>
      </c>
      <c r="L1879" s="2">
        <f t="shared" si="148"/>
        <v>3</v>
      </c>
      <c r="M1879" s="6">
        <v>12</v>
      </c>
      <c r="N1879" s="6" t="s">
        <v>4267</v>
      </c>
      <c r="O1879" s="6" t="s">
        <v>97</v>
      </c>
      <c r="P1879" s="7">
        <v>439525</v>
      </c>
      <c r="Q1879" s="7">
        <v>441120</v>
      </c>
      <c r="R1879" s="6" t="s">
        <v>4334</v>
      </c>
      <c r="S1879" s="6" t="s">
        <v>5573</v>
      </c>
      <c r="T1879" s="6">
        <v>24.2</v>
      </c>
      <c r="U1879" s="6" t="s">
        <v>63</v>
      </c>
      <c r="V1879" s="6" t="s">
        <v>113</v>
      </c>
      <c r="W1879" s="67" t="str">
        <f t="shared" si="149"/>
        <v>Customer</v>
      </c>
    </row>
    <row r="1880" spans="1:23" x14ac:dyDescent="0.3">
      <c r="A1880" s="2" t="s">
        <v>4335</v>
      </c>
      <c r="B1880" s="2" t="s">
        <v>527</v>
      </c>
      <c r="C1880" s="2">
        <v>9364423201</v>
      </c>
      <c r="D1880" s="2" t="s">
        <v>121</v>
      </c>
      <c r="E1880" s="2" t="s">
        <v>33</v>
      </c>
      <c r="F1880" s="2" t="s">
        <v>102</v>
      </c>
      <c r="G1880" s="2" t="s">
        <v>87</v>
      </c>
      <c r="H1880" s="2" t="s">
        <v>4010</v>
      </c>
      <c r="I1880" s="2" t="str">
        <f t="shared" si="145"/>
        <v>Sep</v>
      </c>
      <c r="J1880" s="2">
        <f t="shared" si="146"/>
        <v>9</v>
      </c>
      <c r="K1880" s="2">
        <f t="shared" si="147"/>
        <v>2025</v>
      </c>
      <c r="L1880" s="2">
        <f t="shared" si="148"/>
        <v>3</v>
      </c>
      <c r="M1880" s="2">
        <v>7</v>
      </c>
      <c r="N1880" s="2" t="s">
        <v>4310</v>
      </c>
      <c r="O1880" s="2" t="s">
        <v>27</v>
      </c>
      <c r="P1880" s="3">
        <v>274930</v>
      </c>
      <c r="Q1880" s="2"/>
      <c r="R1880" s="2"/>
      <c r="S1880" s="2" t="s">
        <v>5573</v>
      </c>
      <c r="T1880" s="2">
        <v>33.799999999999997</v>
      </c>
      <c r="U1880" s="2" t="s">
        <v>29</v>
      </c>
      <c r="V1880" s="2"/>
      <c r="W1880" s="67" t="str">
        <f t="shared" si="149"/>
        <v>-</v>
      </c>
    </row>
    <row r="1881" spans="1:23" x14ac:dyDescent="0.3">
      <c r="A1881" s="6" t="s">
        <v>4336</v>
      </c>
      <c r="B1881" s="6" t="s">
        <v>4337</v>
      </c>
      <c r="C1881" s="6">
        <v>9548132929</v>
      </c>
      <c r="D1881" s="6" t="s">
        <v>59</v>
      </c>
      <c r="E1881" s="6" t="s">
        <v>41</v>
      </c>
      <c r="F1881" s="6" t="s">
        <v>42</v>
      </c>
      <c r="G1881" s="6" t="s">
        <v>35</v>
      </c>
      <c r="H1881" s="6" t="s">
        <v>4095</v>
      </c>
      <c r="I1881" s="2" t="str">
        <f t="shared" si="145"/>
        <v>Sep</v>
      </c>
      <c r="J1881" s="2">
        <f t="shared" si="146"/>
        <v>9</v>
      </c>
      <c r="K1881" s="2">
        <f t="shared" si="147"/>
        <v>2025</v>
      </c>
      <c r="L1881" s="2">
        <f t="shared" si="148"/>
        <v>3</v>
      </c>
      <c r="M1881" s="6">
        <v>12</v>
      </c>
      <c r="N1881" s="6" t="s">
        <v>4338</v>
      </c>
      <c r="O1881" s="6" t="s">
        <v>97</v>
      </c>
      <c r="P1881" s="7">
        <v>221500</v>
      </c>
      <c r="Q1881" s="7">
        <v>205260</v>
      </c>
      <c r="R1881" s="6" t="s">
        <v>4339</v>
      </c>
      <c r="S1881" s="6" t="s">
        <v>5574</v>
      </c>
      <c r="T1881" s="6">
        <v>17.2</v>
      </c>
      <c r="U1881" s="6" t="s">
        <v>63</v>
      </c>
      <c r="V1881" s="6" t="s">
        <v>286</v>
      </c>
      <c r="W1881" s="67" t="str">
        <f t="shared" si="149"/>
        <v>Customer</v>
      </c>
    </row>
    <row r="1882" spans="1:23" x14ac:dyDescent="0.3">
      <c r="A1882" s="2" t="s">
        <v>4340</v>
      </c>
      <c r="B1882" s="2" t="s">
        <v>290</v>
      </c>
      <c r="C1882" s="2">
        <v>9368065921</v>
      </c>
      <c r="D1882" s="2" t="s">
        <v>108</v>
      </c>
      <c r="E1882" s="2" t="s">
        <v>1632</v>
      </c>
      <c r="F1882" s="2" t="s">
        <v>1717</v>
      </c>
      <c r="G1882" s="2" t="s">
        <v>1621</v>
      </c>
      <c r="H1882" s="2" t="s">
        <v>4095</v>
      </c>
      <c r="I1882" s="2" t="str">
        <f t="shared" si="145"/>
        <v>Sep</v>
      </c>
      <c r="J1882" s="2">
        <f t="shared" si="146"/>
        <v>9</v>
      </c>
      <c r="K1882" s="2">
        <f t="shared" si="147"/>
        <v>2025</v>
      </c>
      <c r="L1882" s="2">
        <f t="shared" si="148"/>
        <v>3</v>
      </c>
      <c r="M1882" s="2">
        <v>5</v>
      </c>
      <c r="N1882" s="2" t="s">
        <v>4254</v>
      </c>
      <c r="O1882" s="2" t="s">
        <v>45</v>
      </c>
      <c r="P1882" s="3">
        <v>629955</v>
      </c>
      <c r="Q1882" s="2"/>
      <c r="R1882" s="2"/>
      <c r="S1882" s="2" t="s">
        <v>5819</v>
      </c>
      <c r="T1882" s="2">
        <v>33.4</v>
      </c>
      <c r="U1882" s="2" t="s">
        <v>63</v>
      </c>
      <c r="V1882" s="2" t="s">
        <v>64</v>
      </c>
      <c r="W1882" s="67" t="str">
        <f t="shared" si="149"/>
        <v>-</v>
      </c>
    </row>
    <row r="1883" spans="1:23" x14ac:dyDescent="0.3">
      <c r="A1883" s="4" t="s">
        <v>4341</v>
      </c>
      <c r="B1883" s="4" t="s">
        <v>4342</v>
      </c>
      <c r="C1883" s="4">
        <v>9839266037</v>
      </c>
      <c r="D1883" s="4" t="s">
        <v>121</v>
      </c>
      <c r="E1883" s="4" t="s">
        <v>648</v>
      </c>
      <c r="F1883" s="4" t="s">
        <v>656</v>
      </c>
      <c r="G1883" s="4" t="s">
        <v>1609</v>
      </c>
      <c r="H1883" s="4" t="s">
        <v>4095</v>
      </c>
      <c r="I1883" s="2" t="str">
        <f t="shared" si="145"/>
        <v>Sep</v>
      </c>
      <c r="J1883" s="2">
        <f t="shared" si="146"/>
        <v>9</v>
      </c>
      <c r="K1883" s="2">
        <f t="shared" si="147"/>
        <v>2025</v>
      </c>
      <c r="L1883" s="2">
        <f t="shared" si="148"/>
        <v>3</v>
      </c>
      <c r="M1883" s="4">
        <v>7</v>
      </c>
      <c r="N1883" s="4" t="s">
        <v>4275</v>
      </c>
      <c r="O1883" s="4" t="s">
        <v>45</v>
      </c>
      <c r="P1883" s="5">
        <v>351107</v>
      </c>
      <c r="Q1883" s="4"/>
      <c r="R1883" s="4"/>
      <c r="S1883" s="4" t="s">
        <v>5574</v>
      </c>
      <c r="T1883" s="4">
        <v>1.6</v>
      </c>
      <c r="U1883" s="4" t="s">
        <v>29</v>
      </c>
      <c r="V1883" s="4" t="s">
        <v>613</v>
      </c>
      <c r="W1883" s="67" t="str">
        <f t="shared" si="149"/>
        <v>-</v>
      </c>
    </row>
    <row r="1884" spans="1:23" x14ac:dyDescent="0.3">
      <c r="A1884" s="2" t="s">
        <v>4343</v>
      </c>
      <c r="B1884" s="2" t="s">
        <v>4333</v>
      </c>
      <c r="C1884" s="2">
        <v>9663533894</v>
      </c>
      <c r="D1884" s="2" t="s">
        <v>59</v>
      </c>
      <c r="E1884" s="2" t="s">
        <v>648</v>
      </c>
      <c r="F1884" s="2" t="s">
        <v>822</v>
      </c>
      <c r="G1884" s="2" t="s">
        <v>1599</v>
      </c>
      <c r="H1884" s="2" t="s">
        <v>4095</v>
      </c>
      <c r="I1884" s="2" t="str">
        <f t="shared" si="145"/>
        <v>Sep</v>
      </c>
      <c r="J1884" s="2">
        <f t="shared" si="146"/>
        <v>9</v>
      </c>
      <c r="K1884" s="2">
        <f t="shared" si="147"/>
        <v>2025</v>
      </c>
      <c r="L1884" s="2">
        <f t="shared" si="148"/>
        <v>3</v>
      </c>
      <c r="M1884" s="2">
        <v>0</v>
      </c>
      <c r="N1884" s="2" t="s">
        <v>4188</v>
      </c>
      <c r="O1884" s="2" t="s">
        <v>27</v>
      </c>
      <c r="P1884" s="3">
        <v>683214</v>
      </c>
      <c r="Q1884" s="2"/>
      <c r="R1884" s="2"/>
      <c r="S1884" s="2" t="s">
        <v>5819</v>
      </c>
      <c r="T1884" s="2">
        <v>3.2</v>
      </c>
      <c r="U1884" s="2" t="s">
        <v>47</v>
      </c>
      <c r="V1884" s="2" t="s">
        <v>153</v>
      </c>
      <c r="W1884" s="67" t="str">
        <f t="shared" si="149"/>
        <v>-</v>
      </c>
    </row>
    <row r="1885" spans="1:23" x14ac:dyDescent="0.3">
      <c r="A1885" s="4" t="s">
        <v>4344</v>
      </c>
      <c r="B1885" s="4" t="s">
        <v>1024</v>
      </c>
      <c r="C1885" s="4">
        <v>9398720089</v>
      </c>
      <c r="D1885" s="4" t="s">
        <v>20</v>
      </c>
      <c r="E1885" s="4" t="s">
        <v>41</v>
      </c>
      <c r="F1885" s="4" t="s">
        <v>92</v>
      </c>
      <c r="G1885" s="4" t="s">
        <v>52</v>
      </c>
      <c r="H1885" s="4" t="s">
        <v>4217</v>
      </c>
      <c r="I1885" s="2" t="str">
        <f t="shared" si="145"/>
        <v>Sep</v>
      </c>
      <c r="J1885" s="2">
        <f t="shared" si="146"/>
        <v>9</v>
      </c>
      <c r="K1885" s="2">
        <f t="shared" si="147"/>
        <v>2025</v>
      </c>
      <c r="L1885" s="2">
        <f t="shared" si="148"/>
        <v>3</v>
      </c>
      <c r="M1885" s="4">
        <v>8</v>
      </c>
      <c r="N1885" s="4" t="s">
        <v>4345</v>
      </c>
      <c r="O1885" s="4" t="s">
        <v>62</v>
      </c>
      <c r="P1885" s="5">
        <v>308682</v>
      </c>
      <c r="Q1885" s="4"/>
      <c r="R1885" s="4"/>
      <c r="S1885" s="4" t="s">
        <v>5574</v>
      </c>
      <c r="T1885" s="4">
        <v>9.4</v>
      </c>
      <c r="U1885" s="4" t="s">
        <v>47</v>
      </c>
      <c r="V1885" s="4" t="s">
        <v>381</v>
      </c>
      <c r="W1885" s="67" t="str">
        <f t="shared" si="149"/>
        <v>-</v>
      </c>
    </row>
    <row r="1886" spans="1:23" x14ac:dyDescent="0.3">
      <c r="A1886" s="2" t="s">
        <v>4346</v>
      </c>
      <c r="B1886" s="2" t="s">
        <v>938</v>
      </c>
      <c r="C1886" s="2">
        <v>9984332817</v>
      </c>
      <c r="D1886" s="2" t="s">
        <v>59</v>
      </c>
      <c r="E1886" s="2" t="s">
        <v>21</v>
      </c>
      <c r="F1886" s="2" t="s">
        <v>22</v>
      </c>
      <c r="G1886" s="2" t="s">
        <v>52</v>
      </c>
      <c r="H1886" s="2" t="s">
        <v>4217</v>
      </c>
      <c r="I1886" s="2" t="str">
        <f t="shared" si="145"/>
        <v>Sep</v>
      </c>
      <c r="J1886" s="2">
        <f t="shared" si="146"/>
        <v>9</v>
      </c>
      <c r="K1886" s="2">
        <f t="shared" si="147"/>
        <v>2025</v>
      </c>
      <c r="L1886" s="2">
        <f t="shared" si="148"/>
        <v>3</v>
      </c>
      <c r="M1886" s="2">
        <v>12</v>
      </c>
      <c r="N1886" s="2" t="s">
        <v>4249</v>
      </c>
      <c r="O1886" s="2" t="s">
        <v>45</v>
      </c>
      <c r="P1886" s="3">
        <v>541379</v>
      </c>
      <c r="Q1886" s="2"/>
      <c r="R1886" s="2"/>
      <c r="S1886" s="2" t="s">
        <v>5819</v>
      </c>
      <c r="T1886" s="2">
        <v>13.1</v>
      </c>
      <c r="U1886" s="2" t="s">
        <v>47</v>
      </c>
      <c r="V1886" s="2" t="s">
        <v>487</v>
      </c>
      <c r="W1886" s="67" t="str">
        <f t="shared" si="149"/>
        <v>-</v>
      </c>
    </row>
    <row r="1887" spans="1:23" x14ac:dyDescent="0.3">
      <c r="A1887" s="4" t="s">
        <v>4347</v>
      </c>
      <c r="B1887" s="4" t="s">
        <v>4348</v>
      </c>
      <c r="C1887" s="4">
        <v>9826400572</v>
      </c>
      <c r="D1887" s="4" t="s">
        <v>20</v>
      </c>
      <c r="E1887" s="4" t="s">
        <v>33</v>
      </c>
      <c r="F1887" s="4" t="s">
        <v>102</v>
      </c>
      <c r="G1887" s="4" t="s">
        <v>52</v>
      </c>
      <c r="H1887" s="4" t="s">
        <v>4211</v>
      </c>
      <c r="I1887" s="2" t="str">
        <f t="shared" si="145"/>
        <v>Sep</v>
      </c>
      <c r="J1887" s="2">
        <f t="shared" si="146"/>
        <v>9</v>
      </c>
      <c r="K1887" s="2">
        <f t="shared" si="147"/>
        <v>2025</v>
      </c>
      <c r="L1887" s="2">
        <f t="shared" si="148"/>
        <v>3</v>
      </c>
      <c r="M1887" s="4">
        <v>9</v>
      </c>
      <c r="N1887" s="4" t="s">
        <v>4249</v>
      </c>
      <c r="O1887" s="4" t="s">
        <v>27</v>
      </c>
      <c r="P1887" s="5">
        <v>214273</v>
      </c>
      <c r="Q1887" s="4"/>
      <c r="R1887" s="4"/>
      <c r="S1887" s="4" t="s">
        <v>5573</v>
      </c>
      <c r="T1887" s="4">
        <v>14.1</v>
      </c>
      <c r="U1887" s="4" t="s">
        <v>29</v>
      </c>
      <c r="V1887" s="4" t="s">
        <v>105</v>
      </c>
      <c r="W1887" s="67" t="str">
        <f t="shared" si="149"/>
        <v>-</v>
      </c>
    </row>
    <row r="1888" spans="1:23" x14ac:dyDescent="0.3">
      <c r="A1888" s="2" t="s">
        <v>4349</v>
      </c>
      <c r="B1888" s="2" t="s">
        <v>2000</v>
      </c>
      <c r="C1888" s="2">
        <v>9605071631</v>
      </c>
      <c r="D1888" s="2" t="s">
        <v>20</v>
      </c>
      <c r="E1888" s="2" t="s">
        <v>648</v>
      </c>
      <c r="F1888" s="2" t="s">
        <v>822</v>
      </c>
      <c r="G1888" s="2" t="s">
        <v>1621</v>
      </c>
      <c r="H1888" s="2" t="s">
        <v>4211</v>
      </c>
      <c r="I1888" s="2" t="str">
        <f t="shared" si="145"/>
        <v>Sep</v>
      </c>
      <c r="J1888" s="2">
        <f t="shared" si="146"/>
        <v>9</v>
      </c>
      <c r="K1888" s="2">
        <f t="shared" si="147"/>
        <v>2025</v>
      </c>
      <c r="L1888" s="2">
        <f t="shared" si="148"/>
        <v>3</v>
      </c>
      <c r="M1888" s="2">
        <v>10</v>
      </c>
      <c r="N1888" s="2" t="s">
        <v>4158</v>
      </c>
      <c r="O1888" s="2" t="s">
        <v>62</v>
      </c>
      <c r="P1888" s="3">
        <v>280344</v>
      </c>
      <c r="Q1888" s="2"/>
      <c r="R1888" s="2"/>
      <c r="S1888" s="2" t="s">
        <v>5573</v>
      </c>
      <c r="T1888" s="2">
        <v>30</v>
      </c>
      <c r="U1888" s="2" t="s">
        <v>47</v>
      </c>
      <c r="V1888" s="2" t="s">
        <v>174</v>
      </c>
      <c r="W1888" s="67" t="str">
        <f t="shared" si="149"/>
        <v>-</v>
      </c>
    </row>
    <row r="1889" spans="1:23" x14ac:dyDescent="0.3">
      <c r="A1889" s="4" t="s">
        <v>4350</v>
      </c>
      <c r="B1889" s="4" t="s">
        <v>1137</v>
      </c>
      <c r="C1889" s="4">
        <v>9679707525</v>
      </c>
      <c r="D1889" s="4" t="s">
        <v>108</v>
      </c>
      <c r="E1889" s="4" t="s">
        <v>648</v>
      </c>
      <c r="F1889" s="4" t="s">
        <v>822</v>
      </c>
      <c r="G1889" s="4" t="s">
        <v>643</v>
      </c>
      <c r="H1889" s="4" t="s">
        <v>4145</v>
      </c>
      <c r="I1889" s="2" t="str">
        <f t="shared" si="145"/>
        <v>Sep</v>
      </c>
      <c r="J1889" s="2">
        <f t="shared" si="146"/>
        <v>9</v>
      </c>
      <c r="K1889" s="2">
        <f t="shared" si="147"/>
        <v>2025</v>
      </c>
      <c r="L1889" s="2">
        <f t="shared" si="148"/>
        <v>3</v>
      </c>
      <c r="M1889" s="4">
        <v>3</v>
      </c>
      <c r="N1889" s="4" t="s">
        <v>4193</v>
      </c>
      <c r="O1889" s="4" t="s">
        <v>27</v>
      </c>
      <c r="P1889" s="5">
        <v>793169</v>
      </c>
      <c r="Q1889" s="4"/>
      <c r="R1889" s="4"/>
      <c r="S1889" s="4" t="s">
        <v>5819</v>
      </c>
      <c r="T1889" s="4">
        <v>23.7</v>
      </c>
      <c r="U1889" s="4" t="s">
        <v>29</v>
      </c>
      <c r="V1889" s="4"/>
      <c r="W1889" s="67" t="str">
        <f t="shared" si="149"/>
        <v>-</v>
      </c>
    </row>
    <row r="1890" spans="1:23" x14ac:dyDescent="0.3">
      <c r="A1890" s="2" t="s">
        <v>4351</v>
      </c>
      <c r="B1890" s="2" t="s">
        <v>2472</v>
      </c>
      <c r="C1890" s="2">
        <v>9483886007</v>
      </c>
      <c r="D1890" s="2" t="s">
        <v>121</v>
      </c>
      <c r="E1890" s="2" t="s">
        <v>1632</v>
      </c>
      <c r="F1890" s="2" t="s">
        <v>1682</v>
      </c>
      <c r="G1890" s="2" t="s">
        <v>1621</v>
      </c>
      <c r="H1890" s="2" t="s">
        <v>4059</v>
      </c>
      <c r="I1890" s="2" t="str">
        <f t="shared" si="145"/>
        <v>Sep</v>
      </c>
      <c r="J1890" s="2">
        <f t="shared" si="146"/>
        <v>9</v>
      </c>
      <c r="K1890" s="2">
        <f t="shared" si="147"/>
        <v>2025</v>
      </c>
      <c r="L1890" s="2">
        <f t="shared" si="148"/>
        <v>3</v>
      </c>
      <c r="M1890" s="2">
        <v>5</v>
      </c>
      <c r="N1890" s="2" t="s">
        <v>4312</v>
      </c>
      <c r="O1890" s="2" t="s">
        <v>45</v>
      </c>
      <c r="P1890" s="3">
        <v>561684</v>
      </c>
      <c r="Q1890" s="2"/>
      <c r="R1890" s="2"/>
      <c r="S1890" s="2" t="s">
        <v>5574</v>
      </c>
      <c r="T1890" s="2">
        <v>6</v>
      </c>
      <c r="U1890" s="2" t="s">
        <v>63</v>
      </c>
      <c r="V1890" s="2" t="s">
        <v>559</v>
      </c>
      <c r="W1890" s="67" t="str">
        <f t="shared" si="149"/>
        <v>-</v>
      </c>
    </row>
    <row r="1891" spans="1:23" x14ac:dyDescent="0.3">
      <c r="A1891" s="4" t="s">
        <v>4352</v>
      </c>
      <c r="B1891" s="4" t="s">
        <v>3639</v>
      </c>
      <c r="C1891" s="4">
        <v>9601228068</v>
      </c>
      <c r="D1891" s="4" t="s">
        <v>108</v>
      </c>
      <c r="E1891" s="4" t="s">
        <v>648</v>
      </c>
      <c r="F1891" s="4" t="s">
        <v>656</v>
      </c>
      <c r="G1891" s="4" t="s">
        <v>1609</v>
      </c>
      <c r="H1891" s="4" t="s">
        <v>4059</v>
      </c>
      <c r="I1891" s="2" t="str">
        <f t="shared" si="145"/>
        <v>Sep</v>
      </c>
      <c r="J1891" s="2">
        <f t="shared" si="146"/>
        <v>9</v>
      </c>
      <c r="K1891" s="2">
        <f t="shared" si="147"/>
        <v>2025</v>
      </c>
      <c r="L1891" s="2">
        <f t="shared" si="148"/>
        <v>3</v>
      </c>
      <c r="M1891" s="4">
        <v>2</v>
      </c>
      <c r="N1891" s="4" t="s">
        <v>4284</v>
      </c>
      <c r="O1891" s="4" t="s">
        <v>27</v>
      </c>
      <c r="P1891" s="5">
        <v>346808</v>
      </c>
      <c r="Q1891" s="4"/>
      <c r="R1891" s="4"/>
      <c r="S1891" s="4" t="s">
        <v>5573</v>
      </c>
      <c r="T1891" s="4">
        <v>8.9</v>
      </c>
      <c r="U1891" s="4" t="s">
        <v>29</v>
      </c>
      <c r="V1891" s="4" t="s">
        <v>38</v>
      </c>
      <c r="W1891" s="67" t="str">
        <f t="shared" si="149"/>
        <v>-</v>
      </c>
    </row>
    <row r="1892" spans="1:23" x14ac:dyDescent="0.3">
      <c r="A1892" s="2" t="s">
        <v>4353</v>
      </c>
      <c r="B1892" s="2" t="s">
        <v>4354</v>
      </c>
      <c r="C1892" s="2">
        <v>9740083464</v>
      </c>
      <c r="D1892" s="2" t="s">
        <v>20</v>
      </c>
      <c r="E1892" s="2" t="s">
        <v>41</v>
      </c>
      <c r="F1892" s="2" t="s">
        <v>151</v>
      </c>
      <c r="G1892" s="2" t="s">
        <v>1621</v>
      </c>
      <c r="H1892" s="2" t="s">
        <v>4059</v>
      </c>
      <c r="I1892" s="2" t="str">
        <f t="shared" si="145"/>
        <v>Sep</v>
      </c>
      <c r="J1892" s="2">
        <f t="shared" si="146"/>
        <v>9</v>
      </c>
      <c r="K1892" s="2">
        <f t="shared" si="147"/>
        <v>2025</v>
      </c>
      <c r="L1892" s="2">
        <f t="shared" si="148"/>
        <v>3</v>
      </c>
      <c r="M1892" s="2">
        <v>7</v>
      </c>
      <c r="N1892" s="2" t="s">
        <v>4307</v>
      </c>
      <c r="O1892" s="2" t="s">
        <v>27</v>
      </c>
      <c r="P1892" s="3">
        <v>190688</v>
      </c>
      <c r="Q1892" s="2"/>
      <c r="R1892" s="2"/>
      <c r="S1892" s="2" t="s">
        <v>5819</v>
      </c>
      <c r="T1892" s="2">
        <v>34.200000000000003</v>
      </c>
      <c r="U1892" s="2" t="s">
        <v>29</v>
      </c>
      <c r="V1892" s="2" t="s">
        <v>238</v>
      </c>
      <c r="W1892" s="67" t="str">
        <f t="shared" si="149"/>
        <v>-</v>
      </c>
    </row>
    <row r="1893" spans="1:23" x14ac:dyDescent="0.3">
      <c r="A1893" s="4" t="s">
        <v>4355</v>
      </c>
      <c r="B1893" s="4" t="s">
        <v>730</v>
      </c>
      <c r="C1893" s="4">
        <v>9436690332</v>
      </c>
      <c r="D1893" s="4" t="s">
        <v>59</v>
      </c>
      <c r="E1893" s="4" t="s">
        <v>1632</v>
      </c>
      <c r="F1893" s="4" t="s">
        <v>1849</v>
      </c>
      <c r="G1893" s="4" t="s">
        <v>1621</v>
      </c>
      <c r="H1893" s="4" t="s">
        <v>4188</v>
      </c>
      <c r="I1893" s="2" t="str">
        <f t="shared" si="145"/>
        <v>Sep</v>
      </c>
      <c r="J1893" s="2">
        <f t="shared" si="146"/>
        <v>9</v>
      </c>
      <c r="K1893" s="2">
        <f t="shared" si="147"/>
        <v>2025</v>
      </c>
      <c r="L1893" s="2">
        <f t="shared" si="148"/>
        <v>3</v>
      </c>
      <c r="M1893" s="4">
        <v>11</v>
      </c>
      <c r="N1893" s="4" t="s">
        <v>4356</v>
      </c>
      <c r="O1893" s="4" t="s">
        <v>62</v>
      </c>
      <c r="P1893" s="5">
        <v>219451</v>
      </c>
      <c r="Q1893" s="4"/>
      <c r="R1893" s="4"/>
      <c r="S1893" s="4" t="s">
        <v>5819</v>
      </c>
      <c r="T1893" s="4">
        <v>22.7</v>
      </c>
      <c r="U1893" s="4" t="s">
        <v>47</v>
      </c>
      <c r="V1893" s="4" t="s">
        <v>256</v>
      </c>
      <c r="W1893" s="67" t="str">
        <f t="shared" si="149"/>
        <v>-</v>
      </c>
    </row>
    <row r="1894" spans="1:23" x14ac:dyDescent="0.3">
      <c r="A1894" s="2" t="s">
        <v>4357</v>
      </c>
      <c r="B1894" s="2" t="s">
        <v>1485</v>
      </c>
      <c r="C1894" s="2">
        <v>9893479752</v>
      </c>
      <c r="D1894" s="2" t="s">
        <v>121</v>
      </c>
      <c r="E1894" s="2" t="s">
        <v>41</v>
      </c>
      <c r="F1894" s="2" t="s">
        <v>42</v>
      </c>
      <c r="G1894" s="2" t="s">
        <v>1677</v>
      </c>
      <c r="H1894" s="2" t="s">
        <v>4195</v>
      </c>
      <c r="I1894" s="2" t="str">
        <f t="shared" si="145"/>
        <v>Sep</v>
      </c>
      <c r="J1894" s="2">
        <f t="shared" si="146"/>
        <v>9</v>
      </c>
      <c r="K1894" s="2">
        <f t="shared" si="147"/>
        <v>2025</v>
      </c>
      <c r="L1894" s="2">
        <f t="shared" si="148"/>
        <v>3</v>
      </c>
      <c r="M1894" s="2">
        <v>12</v>
      </c>
      <c r="N1894" s="2" t="s">
        <v>4312</v>
      </c>
      <c r="O1894" s="2" t="s">
        <v>62</v>
      </c>
      <c r="P1894" s="3">
        <v>1070165</v>
      </c>
      <c r="Q1894" s="2"/>
      <c r="R1894" s="2"/>
      <c r="S1894" s="2" t="s">
        <v>5574</v>
      </c>
      <c r="T1894" s="2">
        <v>29.7</v>
      </c>
      <c r="U1894" s="2" t="s">
        <v>47</v>
      </c>
      <c r="V1894" s="2" t="s">
        <v>381</v>
      </c>
      <c r="W1894" s="67" t="str">
        <f t="shared" si="149"/>
        <v>-</v>
      </c>
    </row>
    <row r="1895" spans="1:23" x14ac:dyDescent="0.3">
      <c r="A1895" s="4" t="s">
        <v>4358</v>
      </c>
      <c r="B1895" s="4" t="s">
        <v>4359</v>
      </c>
      <c r="C1895" s="4">
        <v>9589713565</v>
      </c>
      <c r="D1895" s="4" t="s">
        <v>108</v>
      </c>
      <c r="E1895" s="4" t="s">
        <v>1632</v>
      </c>
      <c r="F1895" s="4" t="s">
        <v>1659</v>
      </c>
      <c r="G1895" s="4" t="s">
        <v>616</v>
      </c>
      <c r="H1895" s="4" t="s">
        <v>4195</v>
      </c>
      <c r="I1895" s="2" t="str">
        <f t="shared" si="145"/>
        <v>Sep</v>
      </c>
      <c r="J1895" s="2">
        <f t="shared" si="146"/>
        <v>9</v>
      </c>
      <c r="K1895" s="2">
        <f t="shared" si="147"/>
        <v>2025</v>
      </c>
      <c r="L1895" s="2">
        <f t="shared" si="148"/>
        <v>3</v>
      </c>
      <c r="M1895" s="4">
        <v>0</v>
      </c>
      <c r="N1895" s="4" t="s">
        <v>4193</v>
      </c>
      <c r="O1895" s="4" t="s">
        <v>27</v>
      </c>
      <c r="P1895" s="5">
        <v>297350</v>
      </c>
      <c r="Q1895" s="4"/>
      <c r="R1895" s="4"/>
      <c r="S1895" s="4" t="s">
        <v>5819</v>
      </c>
      <c r="T1895" s="4">
        <v>29.4</v>
      </c>
      <c r="U1895" s="4" t="s">
        <v>29</v>
      </c>
      <c r="V1895" s="4" t="s">
        <v>202</v>
      </c>
      <c r="W1895" s="67" t="str">
        <f t="shared" si="149"/>
        <v>-</v>
      </c>
    </row>
    <row r="1896" spans="1:23" x14ac:dyDescent="0.3">
      <c r="A1896" s="6" t="s">
        <v>4360</v>
      </c>
      <c r="B1896" s="6" t="s">
        <v>4361</v>
      </c>
      <c r="C1896" s="6">
        <v>9565045321</v>
      </c>
      <c r="D1896" s="6" t="s">
        <v>121</v>
      </c>
      <c r="E1896" s="6" t="s">
        <v>109</v>
      </c>
      <c r="F1896" s="6" t="s">
        <v>110</v>
      </c>
      <c r="G1896" s="6" t="s">
        <v>1599</v>
      </c>
      <c r="H1896" s="6" t="s">
        <v>4195</v>
      </c>
      <c r="I1896" s="2" t="str">
        <f t="shared" si="145"/>
        <v>Sep</v>
      </c>
      <c r="J1896" s="2">
        <f t="shared" si="146"/>
        <v>9</v>
      </c>
      <c r="K1896" s="2">
        <f t="shared" si="147"/>
        <v>2025</v>
      </c>
      <c r="L1896" s="2">
        <f t="shared" si="148"/>
        <v>3</v>
      </c>
      <c r="M1896" s="6">
        <v>12</v>
      </c>
      <c r="N1896" s="6" t="s">
        <v>4362</v>
      </c>
      <c r="O1896" s="6" t="s">
        <v>97</v>
      </c>
      <c r="P1896" s="7">
        <v>927619</v>
      </c>
      <c r="Q1896" s="7">
        <v>820999</v>
      </c>
      <c r="R1896" s="6" t="s">
        <v>4363</v>
      </c>
      <c r="S1896" s="6" t="s">
        <v>5573</v>
      </c>
      <c r="T1896" s="6">
        <v>2.2000000000000002</v>
      </c>
      <c r="U1896" s="6" t="s">
        <v>63</v>
      </c>
      <c r="V1896" s="6" t="s">
        <v>341</v>
      </c>
      <c r="W1896" s="67" t="str">
        <f t="shared" si="149"/>
        <v>Customer</v>
      </c>
    </row>
    <row r="1897" spans="1:23" x14ac:dyDescent="0.3">
      <c r="A1897" s="4" t="s">
        <v>4364</v>
      </c>
      <c r="B1897" s="4" t="s">
        <v>4365</v>
      </c>
      <c r="C1897" s="4">
        <v>9172674671</v>
      </c>
      <c r="D1897" s="4" t="s">
        <v>20</v>
      </c>
      <c r="E1897" s="4" t="s">
        <v>641</v>
      </c>
      <c r="F1897" s="4" t="s">
        <v>681</v>
      </c>
      <c r="G1897" s="4" t="s">
        <v>1735</v>
      </c>
      <c r="H1897" s="4" t="s">
        <v>4195</v>
      </c>
      <c r="I1897" s="2" t="str">
        <f t="shared" si="145"/>
        <v>Sep</v>
      </c>
      <c r="J1897" s="2">
        <f t="shared" si="146"/>
        <v>9</v>
      </c>
      <c r="K1897" s="2">
        <f t="shared" si="147"/>
        <v>2025</v>
      </c>
      <c r="L1897" s="2">
        <f t="shared" si="148"/>
        <v>3</v>
      </c>
      <c r="M1897" s="4">
        <v>8</v>
      </c>
      <c r="N1897" s="4" t="s">
        <v>4366</v>
      </c>
      <c r="O1897" s="4" t="s">
        <v>62</v>
      </c>
      <c r="P1897" s="5">
        <v>1879952</v>
      </c>
      <c r="Q1897" s="4"/>
      <c r="R1897" s="4"/>
      <c r="S1897" s="4" t="s">
        <v>5573</v>
      </c>
      <c r="T1897" s="4">
        <v>8</v>
      </c>
      <c r="U1897" s="4" t="s">
        <v>63</v>
      </c>
      <c r="V1897" s="4" t="s">
        <v>260</v>
      </c>
      <c r="W1897" s="67" t="str">
        <f t="shared" si="149"/>
        <v>-</v>
      </c>
    </row>
    <row r="1898" spans="1:23" x14ac:dyDescent="0.3">
      <c r="A1898" s="2" t="s">
        <v>4367</v>
      </c>
      <c r="B1898" s="2" t="s">
        <v>4365</v>
      </c>
      <c r="C1898" s="2">
        <v>9172674671</v>
      </c>
      <c r="D1898" s="2" t="s">
        <v>20</v>
      </c>
      <c r="E1898" s="2" t="s">
        <v>641</v>
      </c>
      <c r="F1898" s="2" t="s">
        <v>681</v>
      </c>
      <c r="G1898" s="2" t="s">
        <v>1735</v>
      </c>
      <c r="H1898" s="2" t="s">
        <v>4195</v>
      </c>
      <c r="I1898" s="2" t="str">
        <f t="shared" si="145"/>
        <v>Sep</v>
      </c>
      <c r="J1898" s="2">
        <f t="shared" si="146"/>
        <v>9</v>
      </c>
      <c r="K1898" s="2">
        <f t="shared" si="147"/>
        <v>2025</v>
      </c>
      <c r="L1898" s="2">
        <f t="shared" si="148"/>
        <v>3</v>
      </c>
      <c r="M1898" s="2">
        <v>8</v>
      </c>
      <c r="N1898" s="2" t="s">
        <v>4366</v>
      </c>
      <c r="O1898" s="2" t="s">
        <v>62</v>
      </c>
      <c r="P1898" s="3">
        <v>1844661</v>
      </c>
      <c r="Q1898" s="2"/>
      <c r="R1898" s="2"/>
      <c r="S1898" s="2" t="s">
        <v>5574</v>
      </c>
      <c r="T1898" s="2">
        <v>8</v>
      </c>
      <c r="U1898" s="2" t="s">
        <v>63</v>
      </c>
      <c r="V1898" s="2" t="s">
        <v>260</v>
      </c>
      <c r="W1898" s="67" t="str">
        <f t="shared" si="149"/>
        <v>-</v>
      </c>
    </row>
    <row r="1899" spans="1:23" x14ac:dyDescent="0.3">
      <c r="A1899" s="4" t="s">
        <v>4368</v>
      </c>
      <c r="B1899" s="4" t="s">
        <v>3900</v>
      </c>
      <c r="C1899" s="4">
        <v>9885028033</v>
      </c>
      <c r="D1899" s="4" t="s">
        <v>20</v>
      </c>
      <c r="E1899" s="4" t="s">
        <v>641</v>
      </c>
      <c r="F1899" s="4" t="s">
        <v>681</v>
      </c>
      <c r="G1899" s="4" t="s">
        <v>52</v>
      </c>
      <c r="H1899" s="4" t="s">
        <v>4195</v>
      </c>
      <c r="I1899" s="2" t="str">
        <f t="shared" si="145"/>
        <v>Sep</v>
      </c>
      <c r="J1899" s="2">
        <f t="shared" si="146"/>
        <v>9</v>
      </c>
      <c r="K1899" s="2">
        <f t="shared" si="147"/>
        <v>2025</v>
      </c>
      <c r="L1899" s="2">
        <f t="shared" si="148"/>
        <v>3</v>
      </c>
      <c r="M1899" s="4">
        <v>8</v>
      </c>
      <c r="N1899" s="4" t="s">
        <v>4369</v>
      </c>
      <c r="O1899" s="4" t="s">
        <v>62</v>
      </c>
      <c r="P1899" s="5">
        <v>192557</v>
      </c>
      <c r="Q1899" s="4"/>
      <c r="R1899" s="4"/>
      <c r="S1899" s="4" t="s">
        <v>5574</v>
      </c>
      <c r="T1899" s="4">
        <v>0.6</v>
      </c>
      <c r="U1899" s="4" t="s">
        <v>63</v>
      </c>
      <c r="V1899" s="4"/>
      <c r="W1899" s="67" t="str">
        <f t="shared" si="149"/>
        <v>-</v>
      </c>
    </row>
    <row r="1900" spans="1:23" x14ac:dyDescent="0.3">
      <c r="A1900" s="2" t="s">
        <v>4370</v>
      </c>
      <c r="B1900" s="2" t="s">
        <v>4371</v>
      </c>
      <c r="C1900" s="2">
        <v>9849126901</v>
      </c>
      <c r="D1900" s="2" t="s">
        <v>59</v>
      </c>
      <c r="E1900" s="2" t="s">
        <v>1632</v>
      </c>
      <c r="F1900" s="2" t="s">
        <v>1633</v>
      </c>
      <c r="G1900" s="2" t="s">
        <v>69</v>
      </c>
      <c r="H1900" s="2" t="s">
        <v>4195</v>
      </c>
      <c r="I1900" s="2" t="str">
        <f t="shared" si="145"/>
        <v>Sep</v>
      </c>
      <c r="J1900" s="2">
        <f t="shared" si="146"/>
        <v>9</v>
      </c>
      <c r="K1900" s="2">
        <f t="shared" si="147"/>
        <v>2025</v>
      </c>
      <c r="L1900" s="2">
        <f t="shared" si="148"/>
        <v>3</v>
      </c>
      <c r="M1900" s="2">
        <v>2</v>
      </c>
      <c r="N1900" s="2" t="s">
        <v>4163</v>
      </c>
      <c r="O1900" s="2" t="s">
        <v>27</v>
      </c>
      <c r="P1900" s="3">
        <v>253320</v>
      </c>
      <c r="Q1900" s="2"/>
      <c r="R1900" s="2"/>
      <c r="S1900" s="2" t="s">
        <v>5573</v>
      </c>
      <c r="T1900" s="2">
        <v>8.6</v>
      </c>
      <c r="U1900" s="2" t="s">
        <v>29</v>
      </c>
      <c r="V1900" s="2" t="s">
        <v>118</v>
      </c>
      <c r="W1900" s="67" t="str">
        <f t="shared" si="149"/>
        <v>-</v>
      </c>
    </row>
    <row r="1901" spans="1:23" x14ac:dyDescent="0.3">
      <c r="A1901" s="4" t="s">
        <v>4372</v>
      </c>
      <c r="B1901" s="4" t="s">
        <v>4373</v>
      </c>
      <c r="C1901" s="4">
        <v>9990355677</v>
      </c>
      <c r="D1901" s="4" t="s">
        <v>59</v>
      </c>
      <c r="E1901" s="4" t="s">
        <v>41</v>
      </c>
      <c r="F1901" s="4" t="s">
        <v>92</v>
      </c>
      <c r="G1901" s="4" t="s">
        <v>1621</v>
      </c>
      <c r="H1901" s="4" t="s">
        <v>4280</v>
      </c>
      <c r="I1901" s="2" t="str">
        <f t="shared" si="145"/>
        <v>Sep</v>
      </c>
      <c r="J1901" s="2">
        <f t="shared" si="146"/>
        <v>9</v>
      </c>
      <c r="K1901" s="2">
        <f t="shared" si="147"/>
        <v>2025</v>
      </c>
      <c r="L1901" s="2">
        <f t="shared" si="148"/>
        <v>3</v>
      </c>
      <c r="M1901" s="4">
        <v>8</v>
      </c>
      <c r="N1901" s="4" t="s">
        <v>4227</v>
      </c>
      <c r="O1901" s="4" t="s">
        <v>27</v>
      </c>
      <c r="P1901" s="5">
        <v>300541</v>
      </c>
      <c r="Q1901" s="4"/>
      <c r="R1901" s="4"/>
      <c r="S1901" s="4" t="s">
        <v>5574</v>
      </c>
      <c r="T1901" s="4">
        <v>3.3</v>
      </c>
      <c r="U1901" s="4" t="s">
        <v>29</v>
      </c>
      <c r="V1901" s="4" t="s">
        <v>118</v>
      </c>
      <c r="W1901" s="67" t="str">
        <f t="shared" si="149"/>
        <v>-</v>
      </c>
    </row>
    <row r="1902" spans="1:23" x14ac:dyDescent="0.3">
      <c r="A1902" s="2" t="s">
        <v>4374</v>
      </c>
      <c r="B1902" s="2" t="s">
        <v>1618</v>
      </c>
      <c r="C1902" s="2">
        <v>9450451596</v>
      </c>
      <c r="D1902" s="2" t="s">
        <v>20</v>
      </c>
      <c r="E1902" s="2" t="s">
        <v>41</v>
      </c>
      <c r="F1902" s="2" t="s">
        <v>86</v>
      </c>
      <c r="G1902" s="2" t="s">
        <v>52</v>
      </c>
      <c r="H1902" s="2" t="s">
        <v>4280</v>
      </c>
      <c r="I1902" s="2" t="str">
        <f t="shared" si="145"/>
        <v>Sep</v>
      </c>
      <c r="J1902" s="2">
        <f t="shared" si="146"/>
        <v>9</v>
      </c>
      <c r="K1902" s="2">
        <f t="shared" si="147"/>
        <v>2025</v>
      </c>
      <c r="L1902" s="2">
        <f t="shared" si="148"/>
        <v>3</v>
      </c>
      <c r="M1902" s="2"/>
      <c r="N1902" s="2" t="s">
        <v>4158</v>
      </c>
      <c r="O1902" s="2" t="s">
        <v>45</v>
      </c>
      <c r="P1902" s="3">
        <v>436406</v>
      </c>
      <c r="Q1902" s="2"/>
      <c r="R1902" s="2"/>
      <c r="S1902" s="2" t="s">
        <v>5573</v>
      </c>
      <c r="T1902" s="2">
        <v>7.7</v>
      </c>
      <c r="U1902" s="2" t="s">
        <v>63</v>
      </c>
      <c r="V1902" s="2" t="s">
        <v>64</v>
      </c>
      <c r="W1902" s="67" t="str">
        <f t="shared" si="149"/>
        <v>-</v>
      </c>
    </row>
    <row r="1903" spans="1:23" x14ac:dyDescent="0.3">
      <c r="A1903" s="6" t="s">
        <v>4375</v>
      </c>
      <c r="B1903" s="6" t="s">
        <v>575</v>
      </c>
      <c r="C1903" s="6">
        <v>9920670645</v>
      </c>
      <c r="D1903" s="6" t="s">
        <v>59</v>
      </c>
      <c r="E1903" s="6" t="s">
        <v>73</v>
      </c>
      <c r="F1903" s="6" t="s">
        <v>74</v>
      </c>
      <c r="G1903" s="6" t="s">
        <v>69</v>
      </c>
      <c r="H1903" s="6" t="s">
        <v>4243</v>
      </c>
      <c r="I1903" s="2" t="str">
        <f t="shared" si="145"/>
        <v>Oct</v>
      </c>
      <c r="J1903" s="2">
        <f t="shared" si="146"/>
        <v>10</v>
      </c>
      <c r="K1903" s="2">
        <f t="shared" si="147"/>
        <v>2025</v>
      </c>
      <c r="L1903" s="2">
        <f t="shared" si="148"/>
        <v>4</v>
      </c>
      <c r="M1903" s="6">
        <v>9</v>
      </c>
      <c r="N1903" s="6" t="s">
        <v>4376</v>
      </c>
      <c r="O1903" s="6" t="s">
        <v>97</v>
      </c>
      <c r="P1903" s="7">
        <v>262830</v>
      </c>
      <c r="Q1903" s="7">
        <v>265812</v>
      </c>
      <c r="R1903" s="6" t="s">
        <v>4377</v>
      </c>
      <c r="S1903" s="6" t="s">
        <v>5819</v>
      </c>
      <c r="T1903" s="6">
        <v>2</v>
      </c>
      <c r="U1903" s="6" t="s">
        <v>63</v>
      </c>
      <c r="V1903" s="6" t="s">
        <v>483</v>
      </c>
      <c r="W1903" s="67" t="str">
        <f t="shared" si="149"/>
        <v>Customer</v>
      </c>
    </row>
    <row r="1904" spans="1:23" x14ac:dyDescent="0.3">
      <c r="A1904" s="2" t="s">
        <v>4378</v>
      </c>
      <c r="B1904" s="2" t="s">
        <v>348</v>
      </c>
      <c r="C1904" s="2"/>
      <c r="D1904" s="2" t="s">
        <v>20</v>
      </c>
      <c r="E1904" s="2" t="s">
        <v>73</v>
      </c>
      <c r="F1904" s="2" t="s">
        <v>126</v>
      </c>
      <c r="G1904" s="2" t="s">
        <v>643</v>
      </c>
      <c r="H1904" s="2" t="s">
        <v>4304</v>
      </c>
      <c r="I1904" s="2" t="str">
        <f t="shared" si="145"/>
        <v>Oct</v>
      </c>
      <c r="J1904" s="2">
        <f t="shared" si="146"/>
        <v>10</v>
      </c>
      <c r="K1904" s="2">
        <f t="shared" si="147"/>
        <v>2025</v>
      </c>
      <c r="L1904" s="2">
        <f t="shared" si="148"/>
        <v>4</v>
      </c>
      <c r="M1904" s="2">
        <v>6</v>
      </c>
      <c r="N1904" s="2" t="s">
        <v>4295</v>
      </c>
      <c r="O1904" s="2" t="s">
        <v>27</v>
      </c>
      <c r="P1904" s="3">
        <v>891569</v>
      </c>
      <c r="Q1904" s="2"/>
      <c r="R1904" s="2"/>
      <c r="S1904" s="2" t="s">
        <v>5574</v>
      </c>
      <c r="T1904" s="2">
        <v>3.2</v>
      </c>
      <c r="U1904" s="2" t="s">
        <v>29</v>
      </c>
      <c r="V1904" s="2" t="s">
        <v>140</v>
      </c>
      <c r="W1904" s="67" t="str">
        <f t="shared" si="149"/>
        <v>-</v>
      </c>
    </row>
    <row r="1905" spans="1:23" x14ac:dyDescent="0.3">
      <c r="A1905" s="4" t="s">
        <v>4379</v>
      </c>
      <c r="B1905" s="4" t="s">
        <v>3044</v>
      </c>
      <c r="C1905" s="4">
        <v>9190687993</v>
      </c>
      <c r="D1905" s="4" t="s">
        <v>59</v>
      </c>
      <c r="E1905" s="4" t="s">
        <v>21</v>
      </c>
      <c r="F1905" s="4" t="s">
        <v>22</v>
      </c>
      <c r="G1905" s="4" t="s">
        <v>69</v>
      </c>
      <c r="H1905" s="4" t="s">
        <v>4284</v>
      </c>
      <c r="I1905" s="2" t="str">
        <f t="shared" si="145"/>
        <v>Oct</v>
      </c>
      <c r="J1905" s="2">
        <f t="shared" si="146"/>
        <v>10</v>
      </c>
      <c r="K1905" s="2">
        <f t="shared" si="147"/>
        <v>2025</v>
      </c>
      <c r="L1905" s="2">
        <f t="shared" si="148"/>
        <v>4</v>
      </c>
      <c r="M1905" s="4">
        <v>12</v>
      </c>
      <c r="N1905" s="4" t="s">
        <v>4293</v>
      </c>
      <c r="O1905" s="4" t="s">
        <v>62</v>
      </c>
      <c r="P1905" s="5">
        <v>200163</v>
      </c>
      <c r="Q1905" s="4"/>
      <c r="R1905" s="4"/>
      <c r="S1905" s="4" t="s">
        <v>5573</v>
      </c>
      <c r="T1905" s="4">
        <v>17.7</v>
      </c>
      <c r="U1905" s="4" t="s">
        <v>63</v>
      </c>
      <c r="V1905" s="4" t="s">
        <v>678</v>
      </c>
      <c r="W1905" s="67" t="str">
        <f t="shared" si="149"/>
        <v>-</v>
      </c>
    </row>
    <row r="1906" spans="1:23" x14ac:dyDescent="0.3">
      <c r="A1906" s="2" t="s">
        <v>4380</v>
      </c>
      <c r="B1906" s="2" t="s">
        <v>2059</v>
      </c>
      <c r="C1906" s="2"/>
      <c r="D1906" s="2" t="s">
        <v>20</v>
      </c>
      <c r="E1906" s="2" t="s">
        <v>67</v>
      </c>
      <c r="F1906" s="2" t="s">
        <v>68</v>
      </c>
      <c r="G1906" s="2" t="s">
        <v>1735</v>
      </c>
      <c r="H1906" s="2" t="s">
        <v>4284</v>
      </c>
      <c r="I1906" s="2" t="str">
        <f t="shared" si="145"/>
        <v>Oct</v>
      </c>
      <c r="J1906" s="2">
        <f t="shared" si="146"/>
        <v>10</v>
      </c>
      <c r="K1906" s="2">
        <f t="shared" si="147"/>
        <v>2025</v>
      </c>
      <c r="L1906" s="2">
        <f t="shared" si="148"/>
        <v>4</v>
      </c>
      <c r="M1906" s="2">
        <v>6</v>
      </c>
      <c r="N1906" s="2" t="s">
        <v>4381</v>
      </c>
      <c r="O1906" s="2" t="s">
        <v>27</v>
      </c>
      <c r="P1906" s="3">
        <v>1577984</v>
      </c>
      <c r="Q1906" s="2"/>
      <c r="R1906" s="2"/>
      <c r="S1906" s="2" t="s">
        <v>5574</v>
      </c>
      <c r="T1906" s="2">
        <v>17.8</v>
      </c>
      <c r="U1906" s="2" t="s">
        <v>29</v>
      </c>
      <c r="V1906" s="2" t="s">
        <v>439</v>
      </c>
      <c r="W1906" s="67" t="str">
        <f t="shared" si="149"/>
        <v>-</v>
      </c>
    </row>
    <row r="1907" spans="1:23" x14ac:dyDescent="0.3">
      <c r="A1907" s="6" t="s">
        <v>4382</v>
      </c>
      <c r="B1907" s="6" t="s">
        <v>4383</v>
      </c>
      <c r="C1907" s="6">
        <v>9481610870</v>
      </c>
      <c r="D1907" s="6" t="s">
        <v>121</v>
      </c>
      <c r="E1907" s="6" t="s">
        <v>109</v>
      </c>
      <c r="F1907" s="6" t="s">
        <v>217</v>
      </c>
      <c r="G1907" s="6" t="s">
        <v>1621</v>
      </c>
      <c r="H1907" s="6" t="s">
        <v>4193</v>
      </c>
      <c r="I1907" s="2" t="str">
        <f t="shared" si="145"/>
        <v>Oct</v>
      </c>
      <c r="J1907" s="2">
        <f t="shared" si="146"/>
        <v>10</v>
      </c>
      <c r="K1907" s="2">
        <f t="shared" si="147"/>
        <v>2025</v>
      </c>
      <c r="L1907" s="2">
        <f t="shared" si="148"/>
        <v>4</v>
      </c>
      <c r="M1907" s="6">
        <v>9</v>
      </c>
      <c r="N1907" s="6" t="s">
        <v>4384</v>
      </c>
      <c r="O1907" s="6" t="s">
        <v>97</v>
      </c>
      <c r="P1907" s="7">
        <v>611469</v>
      </c>
      <c r="Q1907" s="7">
        <v>608387</v>
      </c>
      <c r="R1907" s="6" t="s">
        <v>4385</v>
      </c>
      <c r="S1907" s="6" t="s">
        <v>5819</v>
      </c>
      <c r="T1907" s="6">
        <v>27.2</v>
      </c>
      <c r="U1907" s="6" t="s">
        <v>63</v>
      </c>
      <c r="V1907" s="6"/>
      <c r="W1907" s="67" t="str">
        <f t="shared" si="149"/>
        <v>Customer</v>
      </c>
    </row>
    <row r="1908" spans="1:23" x14ac:dyDescent="0.3">
      <c r="A1908" s="2" t="s">
        <v>4386</v>
      </c>
      <c r="B1908" s="2" t="s">
        <v>2743</v>
      </c>
      <c r="C1908" s="2">
        <v>9579263682</v>
      </c>
      <c r="D1908" s="2" t="s">
        <v>59</v>
      </c>
      <c r="E1908" s="2" t="s">
        <v>641</v>
      </c>
      <c r="F1908" s="2" t="s">
        <v>727</v>
      </c>
      <c r="G1908" s="2" t="s">
        <v>616</v>
      </c>
      <c r="H1908" s="2" t="s">
        <v>4193</v>
      </c>
      <c r="I1908" s="2" t="str">
        <f t="shared" si="145"/>
        <v>Oct</v>
      </c>
      <c r="J1908" s="2">
        <f t="shared" si="146"/>
        <v>10</v>
      </c>
      <c r="K1908" s="2">
        <f t="shared" si="147"/>
        <v>2025</v>
      </c>
      <c r="L1908" s="2">
        <f t="shared" si="148"/>
        <v>4</v>
      </c>
      <c r="M1908" s="2">
        <v>9</v>
      </c>
      <c r="N1908" s="2" t="s">
        <v>4356</v>
      </c>
      <c r="O1908" s="2" t="s">
        <v>27</v>
      </c>
      <c r="P1908" s="3">
        <v>88273</v>
      </c>
      <c r="Q1908" s="2"/>
      <c r="R1908" s="2"/>
      <c r="S1908" s="2" t="s">
        <v>5573</v>
      </c>
      <c r="T1908" s="2">
        <v>18.600000000000001</v>
      </c>
      <c r="U1908" s="2" t="s">
        <v>29</v>
      </c>
      <c r="V1908" s="2" t="s">
        <v>153</v>
      </c>
      <c r="W1908" s="67" t="str">
        <f t="shared" si="149"/>
        <v>-</v>
      </c>
    </row>
    <row r="1909" spans="1:23" x14ac:dyDescent="0.3">
      <c r="A1909" s="4" t="s">
        <v>4387</v>
      </c>
      <c r="B1909" s="4" t="s">
        <v>3819</v>
      </c>
      <c r="C1909" s="4">
        <v>9526416754</v>
      </c>
      <c r="D1909" s="4" t="s">
        <v>121</v>
      </c>
      <c r="E1909" s="4" t="s">
        <v>1632</v>
      </c>
      <c r="F1909" s="4" t="s">
        <v>1694</v>
      </c>
      <c r="G1909" s="4" t="s">
        <v>1599</v>
      </c>
      <c r="H1909" s="4" t="s">
        <v>4193</v>
      </c>
      <c r="I1909" s="2" t="str">
        <f t="shared" si="145"/>
        <v>Oct</v>
      </c>
      <c r="J1909" s="2">
        <f t="shared" si="146"/>
        <v>10</v>
      </c>
      <c r="K1909" s="2">
        <f t="shared" si="147"/>
        <v>2025</v>
      </c>
      <c r="L1909" s="2">
        <f t="shared" si="148"/>
        <v>4</v>
      </c>
      <c r="M1909" s="4">
        <v>9</v>
      </c>
      <c r="N1909" s="4" t="s">
        <v>4289</v>
      </c>
      <c r="O1909" s="4" t="s">
        <v>45</v>
      </c>
      <c r="P1909" s="5">
        <v>668434</v>
      </c>
      <c r="Q1909" s="4"/>
      <c r="R1909" s="4"/>
      <c r="S1909" s="4" t="s">
        <v>5573</v>
      </c>
      <c r="T1909" s="4">
        <v>35.200000000000003</v>
      </c>
      <c r="U1909" s="4" t="s">
        <v>47</v>
      </c>
      <c r="V1909" s="4" t="s">
        <v>183</v>
      </c>
      <c r="W1909" s="67" t="str">
        <f t="shared" si="149"/>
        <v>-</v>
      </c>
    </row>
    <row r="1910" spans="1:23" x14ac:dyDescent="0.3">
      <c r="A1910" s="2" t="s">
        <v>4389</v>
      </c>
      <c r="B1910" s="2" t="s">
        <v>1670</v>
      </c>
      <c r="C1910" s="2">
        <v>9464286742</v>
      </c>
      <c r="D1910" s="2" t="s">
        <v>121</v>
      </c>
      <c r="E1910" s="2" t="s">
        <v>73</v>
      </c>
      <c r="F1910" s="2" t="s">
        <v>126</v>
      </c>
      <c r="G1910" s="2" t="s">
        <v>87</v>
      </c>
      <c r="H1910" s="2" t="s">
        <v>4193</v>
      </c>
      <c r="I1910" s="2" t="str">
        <f t="shared" si="145"/>
        <v>Oct</v>
      </c>
      <c r="J1910" s="2">
        <f t="shared" si="146"/>
        <v>10</v>
      </c>
      <c r="K1910" s="2">
        <f t="shared" si="147"/>
        <v>2025</v>
      </c>
      <c r="L1910" s="2">
        <f t="shared" si="148"/>
        <v>4</v>
      </c>
      <c r="M1910" s="2">
        <v>2</v>
      </c>
      <c r="N1910" s="2" t="s">
        <v>4331</v>
      </c>
      <c r="O1910" s="2" t="s">
        <v>62</v>
      </c>
      <c r="P1910" s="3">
        <v>213547</v>
      </c>
      <c r="Q1910" s="2"/>
      <c r="R1910" s="2"/>
      <c r="S1910" s="2" t="s">
        <v>5573</v>
      </c>
      <c r="T1910" s="2">
        <v>24.2</v>
      </c>
      <c r="U1910" s="2" t="s">
        <v>63</v>
      </c>
      <c r="V1910" s="2" t="s">
        <v>668</v>
      </c>
      <c r="W1910" s="67" t="str">
        <f t="shared" si="149"/>
        <v>-</v>
      </c>
    </row>
    <row r="1911" spans="1:23" x14ac:dyDescent="0.3">
      <c r="A1911" s="4" t="s">
        <v>4390</v>
      </c>
      <c r="B1911" s="4" t="s">
        <v>4373</v>
      </c>
      <c r="C1911" s="4">
        <v>9917282107</v>
      </c>
      <c r="D1911" s="4" t="s">
        <v>121</v>
      </c>
      <c r="E1911" s="4" t="s">
        <v>648</v>
      </c>
      <c r="F1911" s="4" t="s">
        <v>899</v>
      </c>
      <c r="G1911" s="4" t="s">
        <v>643</v>
      </c>
      <c r="H1911" s="4" t="s">
        <v>4193</v>
      </c>
      <c r="I1911" s="2" t="str">
        <f t="shared" si="145"/>
        <v>Oct</v>
      </c>
      <c r="J1911" s="2">
        <f t="shared" si="146"/>
        <v>10</v>
      </c>
      <c r="K1911" s="2">
        <f t="shared" si="147"/>
        <v>2025</v>
      </c>
      <c r="L1911" s="2">
        <f t="shared" si="148"/>
        <v>4</v>
      </c>
      <c r="M1911" s="4">
        <v>1</v>
      </c>
      <c r="N1911" s="4" t="s">
        <v>4391</v>
      </c>
      <c r="O1911" s="4" t="s">
        <v>45</v>
      </c>
      <c r="P1911" s="5">
        <v>1438043</v>
      </c>
      <c r="Q1911" s="4"/>
      <c r="R1911" s="4"/>
      <c r="S1911" s="4" t="s">
        <v>5819</v>
      </c>
      <c r="T1911" s="4">
        <v>12</v>
      </c>
      <c r="U1911" s="4" t="s">
        <v>63</v>
      </c>
      <c r="V1911" s="4" t="s">
        <v>260</v>
      </c>
      <c r="W1911" s="67" t="str">
        <f t="shared" si="149"/>
        <v>-</v>
      </c>
    </row>
    <row r="1912" spans="1:23" x14ac:dyDescent="0.3">
      <c r="A1912" s="6" t="s">
        <v>4392</v>
      </c>
      <c r="B1912" s="6" t="s">
        <v>3166</v>
      </c>
      <c r="C1912" s="6">
        <v>9515384922</v>
      </c>
      <c r="D1912" s="6" t="s">
        <v>20</v>
      </c>
      <c r="E1912" s="6" t="s">
        <v>1632</v>
      </c>
      <c r="F1912" s="6" t="s">
        <v>1633</v>
      </c>
      <c r="G1912" s="6" t="s">
        <v>52</v>
      </c>
      <c r="H1912" s="6" t="s">
        <v>4193</v>
      </c>
      <c r="I1912" s="2" t="str">
        <f t="shared" si="145"/>
        <v>Oct</v>
      </c>
      <c r="J1912" s="2">
        <f t="shared" si="146"/>
        <v>10</v>
      </c>
      <c r="K1912" s="2">
        <f t="shared" si="147"/>
        <v>2025</v>
      </c>
      <c r="L1912" s="2">
        <f t="shared" si="148"/>
        <v>4</v>
      </c>
      <c r="M1912" s="6">
        <v>12</v>
      </c>
      <c r="N1912" s="6" t="s">
        <v>4393</v>
      </c>
      <c r="O1912" s="6" t="s">
        <v>97</v>
      </c>
      <c r="P1912" s="7">
        <v>445097</v>
      </c>
      <c r="Q1912" s="7">
        <v>436996</v>
      </c>
      <c r="R1912" s="6" t="s">
        <v>4362</v>
      </c>
      <c r="S1912" s="6" t="s">
        <v>5573</v>
      </c>
      <c r="T1912" s="6">
        <v>15.5</v>
      </c>
      <c r="U1912" s="6" t="s">
        <v>63</v>
      </c>
      <c r="V1912" s="6" t="s">
        <v>907</v>
      </c>
      <c r="W1912" s="67" t="str">
        <f t="shared" si="149"/>
        <v>Customer</v>
      </c>
    </row>
    <row r="1913" spans="1:23" x14ac:dyDescent="0.3">
      <c r="A1913" s="4" t="s">
        <v>4394</v>
      </c>
      <c r="B1913" s="4" t="s">
        <v>3296</v>
      </c>
      <c r="C1913" s="4">
        <v>9513198053</v>
      </c>
      <c r="D1913" s="4" t="s">
        <v>121</v>
      </c>
      <c r="E1913" s="4" t="s">
        <v>1632</v>
      </c>
      <c r="F1913" s="4" t="s">
        <v>1633</v>
      </c>
      <c r="G1913" s="4" t="s">
        <v>1677</v>
      </c>
      <c r="H1913" s="4" t="s">
        <v>4193</v>
      </c>
      <c r="I1913" s="2" t="str">
        <f t="shared" si="145"/>
        <v>Oct</v>
      </c>
      <c r="J1913" s="2">
        <f t="shared" si="146"/>
        <v>10</v>
      </c>
      <c r="K1913" s="2">
        <f t="shared" si="147"/>
        <v>2025</v>
      </c>
      <c r="L1913" s="2">
        <f t="shared" si="148"/>
        <v>4</v>
      </c>
      <c r="M1913" s="4">
        <v>9</v>
      </c>
      <c r="N1913" s="4" t="s">
        <v>4376</v>
      </c>
      <c r="O1913" s="4" t="s">
        <v>55</v>
      </c>
      <c r="P1913" s="5">
        <v>1167722</v>
      </c>
      <c r="Q1913" s="4"/>
      <c r="R1913" s="4"/>
      <c r="S1913" s="4" t="s">
        <v>5574</v>
      </c>
      <c r="T1913" s="4">
        <v>17.100000000000001</v>
      </c>
      <c r="U1913" s="4" t="s">
        <v>29</v>
      </c>
      <c r="V1913" s="4" t="s">
        <v>454</v>
      </c>
      <c r="W1913" s="67" t="str">
        <f t="shared" si="149"/>
        <v>-</v>
      </c>
    </row>
    <row r="1914" spans="1:23" x14ac:dyDescent="0.3">
      <c r="A1914" s="2" t="s">
        <v>4395</v>
      </c>
      <c r="B1914" s="2" t="s">
        <v>4396</v>
      </c>
      <c r="C1914" s="2">
        <v>9104831696</v>
      </c>
      <c r="D1914" s="2" t="s">
        <v>20</v>
      </c>
      <c r="E1914" s="2" t="s">
        <v>67</v>
      </c>
      <c r="F1914" s="2" t="s">
        <v>68</v>
      </c>
      <c r="G1914" s="2" t="s">
        <v>616</v>
      </c>
      <c r="H1914" s="2" t="s">
        <v>4193</v>
      </c>
      <c r="I1914" s="2" t="str">
        <f t="shared" si="145"/>
        <v>Oct</v>
      </c>
      <c r="J1914" s="2">
        <f t="shared" si="146"/>
        <v>10</v>
      </c>
      <c r="K1914" s="2">
        <f t="shared" si="147"/>
        <v>2025</v>
      </c>
      <c r="L1914" s="2">
        <f t="shared" si="148"/>
        <v>4</v>
      </c>
      <c r="M1914" s="2">
        <v>9</v>
      </c>
      <c r="N1914" s="2" t="s">
        <v>4275</v>
      </c>
      <c r="O1914" s="2" t="s">
        <v>45</v>
      </c>
      <c r="P1914" s="3">
        <v>377418</v>
      </c>
      <c r="Q1914" s="2"/>
      <c r="R1914" s="2"/>
      <c r="S1914" s="2" t="s">
        <v>5573</v>
      </c>
      <c r="T1914" s="2">
        <v>25</v>
      </c>
      <c r="U1914" s="2" t="s">
        <v>47</v>
      </c>
      <c r="V1914" s="2" t="s">
        <v>597</v>
      </c>
      <c r="W1914" s="67" t="str">
        <f t="shared" si="149"/>
        <v>-</v>
      </c>
    </row>
    <row r="1915" spans="1:23" x14ac:dyDescent="0.3">
      <c r="A1915" s="6" t="s">
        <v>4397</v>
      </c>
      <c r="B1915" s="6" t="s">
        <v>2180</v>
      </c>
      <c r="C1915" s="6">
        <v>9689930051</v>
      </c>
      <c r="D1915" s="6" t="s">
        <v>59</v>
      </c>
      <c r="E1915" s="6" t="s">
        <v>648</v>
      </c>
      <c r="F1915" s="6" t="s">
        <v>649</v>
      </c>
      <c r="G1915" s="6" t="s">
        <v>1621</v>
      </c>
      <c r="H1915" s="6" t="s">
        <v>4388</v>
      </c>
      <c r="I1915" s="2" t="str">
        <f t="shared" si="145"/>
        <v>Oct</v>
      </c>
      <c r="J1915" s="2">
        <f t="shared" si="146"/>
        <v>10</v>
      </c>
      <c r="K1915" s="2">
        <f t="shared" si="147"/>
        <v>2025</v>
      </c>
      <c r="L1915" s="2">
        <f t="shared" si="148"/>
        <v>4</v>
      </c>
      <c r="M1915" s="6">
        <v>1</v>
      </c>
      <c r="N1915" s="6" t="s">
        <v>4237</v>
      </c>
      <c r="O1915" s="6" t="s">
        <v>97</v>
      </c>
      <c r="P1915" s="7">
        <v>388641</v>
      </c>
      <c r="Q1915" s="7">
        <v>345350</v>
      </c>
      <c r="R1915" s="6" t="s">
        <v>4235</v>
      </c>
      <c r="S1915" s="6" t="s">
        <v>5819</v>
      </c>
      <c r="T1915" s="6">
        <v>18.3</v>
      </c>
      <c r="U1915" s="6" t="s">
        <v>47</v>
      </c>
      <c r="V1915" s="6" t="s">
        <v>286</v>
      </c>
      <c r="W1915" s="67" t="str">
        <f t="shared" si="149"/>
        <v>Customer</v>
      </c>
    </row>
    <row r="1916" spans="1:23" x14ac:dyDescent="0.3">
      <c r="A1916" s="2" t="s">
        <v>4398</v>
      </c>
      <c r="B1916" s="2" t="s">
        <v>4399</v>
      </c>
      <c r="C1916" s="2">
        <v>9832349194</v>
      </c>
      <c r="D1916" s="2" t="s">
        <v>121</v>
      </c>
      <c r="E1916" s="2" t="s">
        <v>1632</v>
      </c>
      <c r="F1916" s="2" t="s">
        <v>1849</v>
      </c>
      <c r="G1916" s="2" t="s">
        <v>23</v>
      </c>
      <c r="H1916" s="2" t="s">
        <v>4230</v>
      </c>
      <c r="I1916" s="2" t="str">
        <f t="shared" si="145"/>
        <v>Oct</v>
      </c>
      <c r="J1916" s="2">
        <f t="shared" si="146"/>
        <v>10</v>
      </c>
      <c r="K1916" s="2">
        <f t="shared" si="147"/>
        <v>2025</v>
      </c>
      <c r="L1916" s="2">
        <f t="shared" si="148"/>
        <v>4</v>
      </c>
      <c r="M1916" s="2">
        <v>6</v>
      </c>
      <c r="N1916" s="2" t="s">
        <v>4400</v>
      </c>
      <c r="O1916" s="2" t="s">
        <v>27</v>
      </c>
      <c r="P1916" s="3">
        <v>575727</v>
      </c>
      <c r="Q1916" s="2"/>
      <c r="R1916" s="2"/>
      <c r="S1916" s="2" t="s">
        <v>5574</v>
      </c>
      <c r="T1916" s="2">
        <v>15.4</v>
      </c>
      <c r="U1916" s="2" t="s">
        <v>47</v>
      </c>
      <c r="V1916" s="2" t="s">
        <v>163</v>
      </c>
      <c r="W1916" s="67" t="str">
        <f t="shared" si="149"/>
        <v>-</v>
      </c>
    </row>
    <row r="1917" spans="1:23" x14ac:dyDescent="0.3">
      <c r="A1917" s="6" t="s">
        <v>4401</v>
      </c>
      <c r="B1917" s="6" t="s">
        <v>379</v>
      </c>
      <c r="C1917" s="6">
        <v>9511322328</v>
      </c>
      <c r="D1917" s="6" t="s">
        <v>20</v>
      </c>
      <c r="E1917" s="6" t="s">
        <v>41</v>
      </c>
      <c r="F1917" s="6" t="s">
        <v>151</v>
      </c>
      <c r="G1917" s="6" t="s">
        <v>23</v>
      </c>
      <c r="H1917" s="6" t="s">
        <v>4230</v>
      </c>
      <c r="I1917" s="2" t="str">
        <f t="shared" si="145"/>
        <v>Oct</v>
      </c>
      <c r="J1917" s="2">
        <f t="shared" si="146"/>
        <v>10</v>
      </c>
      <c r="K1917" s="2">
        <f t="shared" si="147"/>
        <v>2025</v>
      </c>
      <c r="L1917" s="2">
        <f t="shared" si="148"/>
        <v>4</v>
      </c>
      <c r="M1917" s="6">
        <v>8</v>
      </c>
      <c r="N1917" s="6" t="s">
        <v>4403</v>
      </c>
      <c r="O1917" s="6" t="s">
        <v>97</v>
      </c>
      <c r="P1917" s="7">
        <v>671411</v>
      </c>
      <c r="Q1917" s="7">
        <v>665574</v>
      </c>
      <c r="R1917" s="6" t="s">
        <v>4404</v>
      </c>
      <c r="S1917" s="6" t="s">
        <v>5819</v>
      </c>
      <c r="T1917" s="6">
        <v>19.3</v>
      </c>
      <c r="U1917" s="6" t="s">
        <v>63</v>
      </c>
      <c r="V1917" s="6" t="s">
        <v>465</v>
      </c>
      <c r="W1917" s="67" t="str">
        <f t="shared" si="149"/>
        <v>Architect</v>
      </c>
    </row>
    <row r="1918" spans="1:23" x14ac:dyDescent="0.3">
      <c r="A1918" s="2" t="s">
        <v>4405</v>
      </c>
      <c r="B1918" s="2" t="s">
        <v>3231</v>
      </c>
      <c r="C1918" s="2"/>
      <c r="D1918" s="2" t="s">
        <v>20</v>
      </c>
      <c r="E1918" s="2" t="s">
        <v>1632</v>
      </c>
      <c r="F1918" s="2" t="s">
        <v>1659</v>
      </c>
      <c r="G1918" s="2" t="s">
        <v>60</v>
      </c>
      <c r="H1918" s="2" t="s">
        <v>4230</v>
      </c>
      <c r="I1918" s="2" t="str">
        <f t="shared" si="145"/>
        <v>Oct</v>
      </c>
      <c r="J1918" s="2">
        <f t="shared" si="146"/>
        <v>10</v>
      </c>
      <c r="K1918" s="2">
        <f t="shared" si="147"/>
        <v>2025</v>
      </c>
      <c r="L1918" s="2">
        <f t="shared" si="148"/>
        <v>4</v>
      </c>
      <c r="M1918" s="2">
        <v>3</v>
      </c>
      <c r="N1918" s="2" t="s">
        <v>4310</v>
      </c>
      <c r="O1918" s="2" t="s">
        <v>55</v>
      </c>
      <c r="P1918" s="3">
        <v>145423</v>
      </c>
      <c r="Q1918" s="2"/>
      <c r="R1918" s="2"/>
      <c r="S1918" s="2" t="s">
        <v>5574</v>
      </c>
      <c r="T1918" s="2">
        <v>12.8</v>
      </c>
      <c r="U1918" s="2" t="s">
        <v>29</v>
      </c>
      <c r="V1918" s="2" t="s">
        <v>1776</v>
      </c>
      <c r="W1918" s="67" t="str">
        <f t="shared" si="149"/>
        <v>-</v>
      </c>
    </row>
    <row r="1919" spans="1:23" x14ac:dyDescent="0.3">
      <c r="A1919" s="4" t="s">
        <v>4406</v>
      </c>
      <c r="B1919" s="4" t="s">
        <v>793</v>
      </c>
      <c r="C1919" s="4">
        <v>9445425792</v>
      </c>
      <c r="D1919" s="4" t="s">
        <v>108</v>
      </c>
      <c r="E1919" s="4" t="s">
        <v>1632</v>
      </c>
      <c r="F1919" s="4" t="s">
        <v>1633</v>
      </c>
      <c r="G1919" s="4" t="s">
        <v>1677</v>
      </c>
      <c r="H1919" s="4" t="s">
        <v>4212</v>
      </c>
      <c r="I1919" s="2" t="str">
        <f t="shared" si="145"/>
        <v>Oct</v>
      </c>
      <c r="J1919" s="2">
        <f t="shared" si="146"/>
        <v>10</v>
      </c>
      <c r="K1919" s="2">
        <f t="shared" si="147"/>
        <v>2025</v>
      </c>
      <c r="L1919" s="2">
        <f t="shared" si="148"/>
        <v>4</v>
      </c>
      <c r="M1919" s="4">
        <v>11</v>
      </c>
      <c r="N1919" s="4" t="s">
        <v>4289</v>
      </c>
      <c r="O1919" s="4" t="s">
        <v>27</v>
      </c>
      <c r="P1919" s="5">
        <v>1383016</v>
      </c>
      <c r="Q1919" s="4"/>
      <c r="R1919" s="4"/>
      <c r="S1919" s="4" t="s">
        <v>5574</v>
      </c>
      <c r="T1919" s="4">
        <v>33.1</v>
      </c>
      <c r="U1919" s="4" t="s">
        <v>29</v>
      </c>
      <c r="V1919" s="4" t="s">
        <v>202</v>
      </c>
      <c r="W1919" s="67" t="str">
        <f t="shared" si="149"/>
        <v>-</v>
      </c>
    </row>
    <row r="1920" spans="1:23" x14ac:dyDescent="0.3">
      <c r="A1920" s="2" t="s">
        <v>4407</v>
      </c>
      <c r="B1920" s="2" t="s">
        <v>3725</v>
      </c>
      <c r="C1920" s="2">
        <v>9919267773</v>
      </c>
      <c r="D1920" s="2" t="s">
        <v>121</v>
      </c>
      <c r="E1920" s="2" t="s">
        <v>41</v>
      </c>
      <c r="F1920" s="2" t="s">
        <v>86</v>
      </c>
      <c r="G1920" s="2" t="s">
        <v>60</v>
      </c>
      <c r="H1920" s="2" t="s">
        <v>4212</v>
      </c>
      <c r="I1920" s="2" t="str">
        <f t="shared" si="145"/>
        <v>Oct</v>
      </c>
      <c r="J1920" s="2">
        <f t="shared" si="146"/>
        <v>10</v>
      </c>
      <c r="K1920" s="2">
        <f t="shared" si="147"/>
        <v>2025</v>
      </c>
      <c r="L1920" s="2">
        <f t="shared" si="148"/>
        <v>4</v>
      </c>
      <c r="M1920" s="2">
        <v>3</v>
      </c>
      <c r="N1920" s="2" t="s">
        <v>4158</v>
      </c>
      <c r="O1920" s="2" t="s">
        <v>27</v>
      </c>
      <c r="P1920" s="3">
        <v>261434</v>
      </c>
      <c r="Q1920" s="2"/>
      <c r="R1920" s="2"/>
      <c r="S1920" s="2" t="s">
        <v>5819</v>
      </c>
      <c r="T1920" s="2">
        <v>5.3</v>
      </c>
      <c r="U1920" s="2" t="s">
        <v>47</v>
      </c>
      <c r="V1920" s="2" t="s">
        <v>118</v>
      </c>
      <c r="W1920" s="67" t="str">
        <f t="shared" si="149"/>
        <v>-</v>
      </c>
    </row>
    <row r="1921" spans="1:23" x14ac:dyDescent="0.3">
      <c r="A1921" s="6" t="s">
        <v>4408</v>
      </c>
      <c r="B1921" s="6" t="s">
        <v>795</v>
      </c>
      <c r="C1921" s="6">
        <v>9637492693</v>
      </c>
      <c r="D1921" s="6" t="s">
        <v>20</v>
      </c>
      <c r="E1921" s="6" t="s">
        <v>1632</v>
      </c>
      <c r="F1921" s="6" t="s">
        <v>1849</v>
      </c>
      <c r="G1921" s="6" t="s">
        <v>23</v>
      </c>
      <c r="H1921" s="6" t="s">
        <v>4215</v>
      </c>
      <c r="I1921" s="2" t="str">
        <f t="shared" si="145"/>
        <v>Oct</v>
      </c>
      <c r="J1921" s="2">
        <f t="shared" si="146"/>
        <v>10</v>
      </c>
      <c r="K1921" s="2">
        <f t="shared" si="147"/>
        <v>2025</v>
      </c>
      <c r="L1921" s="2">
        <f t="shared" si="148"/>
        <v>4</v>
      </c>
      <c r="M1921" s="6">
        <v>9</v>
      </c>
      <c r="N1921" s="6" t="s">
        <v>4289</v>
      </c>
      <c r="O1921" s="6" t="s">
        <v>97</v>
      </c>
      <c r="P1921" s="7">
        <v>389954</v>
      </c>
      <c r="Q1921" s="7">
        <v>366548</v>
      </c>
      <c r="R1921" s="6" t="s">
        <v>4409</v>
      </c>
      <c r="S1921" s="6" t="s">
        <v>5819</v>
      </c>
      <c r="T1921" s="6">
        <v>4.5</v>
      </c>
      <c r="U1921" s="6" t="s">
        <v>47</v>
      </c>
      <c r="V1921" s="6" t="s">
        <v>113</v>
      </c>
      <c r="W1921" s="67" t="str">
        <f t="shared" si="149"/>
        <v>Customer</v>
      </c>
    </row>
    <row r="1922" spans="1:23" x14ac:dyDescent="0.3">
      <c r="A1922" s="2" t="s">
        <v>4410</v>
      </c>
      <c r="B1922" s="2" t="s">
        <v>4411</v>
      </c>
      <c r="C1922" s="2"/>
      <c r="D1922" s="2" t="s">
        <v>20</v>
      </c>
      <c r="E1922" s="2" t="s">
        <v>1632</v>
      </c>
      <c r="F1922" s="2" t="s">
        <v>1694</v>
      </c>
      <c r="G1922" s="2" t="s">
        <v>1623</v>
      </c>
      <c r="H1922" s="2" t="s">
        <v>4215</v>
      </c>
      <c r="I1922" s="2" t="str">
        <f t="shared" ref="I1922:I1985" si="150">TEXT(H1922,"mmm")</f>
        <v>Oct</v>
      </c>
      <c r="J1922" s="2">
        <f t="shared" ref="J1922:J1985" si="151">MONTH(H1922)</f>
        <v>10</v>
      </c>
      <c r="K1922" s="2">
        <f t="shared" ref="K1922:K1985" si="152">YEAR(H1922)</f>
        <v>2025</v>
      </c>
      <c r="L1922" s="2">
        <f t="shared" ref="L1922:L1985" si="153">ROUNDUP(MONTH(H1922)/3,0)</f>
        <v>4</v>
      </c>
      <c r="M1922" s="2">
        <v>6</v>
      </c>
      <c r="N1922" s="2" t="s">
        <v>4267</v>
      </c>
      <c r="O1922" s="2" t="s">
        <v>27</v>
      </c>
      <c r="P1922" s="3">
        <v>469307</v>
      </c>
      <c r="Q1922" s="2"/>
      <c r="R1922" s="2"/>
      <c r="S1922" s="2" t="s">
        <v>5819</v>
      </c>
      <c r="T1922" s="2">
        <v>30</v>
      </c>
      <c r="U1922" s="2" t="s">
        <v>29</v>
      </c>
      <c r="V1922" s="2" t="s">
        <v>1776</v>
      </c>
      <c r="W1922" s="67" t="str">
        <f t="shared" ref="W1922:W1985" si="154">IF($O1922&lt;&gt;"Converted","-",IF(ISNUMBER(SEARCH("Architect",$F1922)),"Architect","Customer"))</f>
        <v>-</v>
      </c>
    </row>
    <row r="1923" spans="1:23" x14ac:dyDescent="0.3">
      <c r="A1923" s="4" t="s">
        <v>4412</v>
      </c>
      <c r="B1923" s="4" t="s">
        <v>4413</v>
      </c>
      <c r="C1923" s="4"/>
      <c r="D1923" s="4" t="s">
        <v>51</v>
      </c>
      <c r="E1923" s="4" t="s">
        <v>1632</v>
      </c>
      <c r="F1923" s="4" t="s">
        <v>1717</v>
      </c>
      <c r="G1923" s="4" t="s">
        <v>1623</v>
      </c>
      <c r="H1923" s="4" t="s">
        <v>4215</v>
      </c>
      <c r="I1923" s="2" t="str">
        <f t="shared" si="150"/>
        <v>Oct</v>
      </c>
      <c r="J1923" s="2">
        <f t="shared" si="151"/>
        <v>10</v>
      </c>
      <c r="K1923" s="2">
        <f t="shared" si="152"/>
        <v>2025</v>
      </c>
      <c r="L1923" s="2">
        <f t="shared" si="153"/>
        <v>4</v>
      </c>
      <c r="M1923" s="4">
        <v>3</v>
      </c>
      <c r="N1923" s="4" t="s">
        <v>4158</v>
      </c>
      <c r="O1923" s="4" t="s">
        <v>27</v>
      </c>
      <c r="P1923" s="5">
        <v>393635</v>
      </c>
      <c r="Q1923" s="4"/>
      <c r="R1923" s="4"/>
      <c r="S1923" s="4" t="s">
        <v>5819</v>
      </c>
      <c r="T1923" s="4">
        <v>6.5</v>
      </c>
      <c r="U1923" s="4" t="s">
        <v>47</v>
      </c>
      <c r="V1923" s="4" t="s">
        <v>1685</v>
      </c>
      <c r="W1923" s="67" t="str">
        <f t="shared" si="154"/>
        <v>-</v>
      </c>
    </row>
    <row r="1924" spans="1:23" x14ac:dyDescent="0.3">
      <c r="A1924" s="2" t="s">
        <v>4414</v>
      </c>
      <c r="B1924" s="2" t="s">
        <v>4415</v>
      </c>
      <c r="C1924" s="2">
        <v>9320838571</v>
      </c>
      <c r="D1924" s="2" t="s">
        <v>59</v>
      </c>
      <c r="E1924" s="2" t="s">
        <v>648</v>
      </c>
      <c r="F1924" s="2" t="s">
        <v>656</v>
      </c>
      <c r="G1924" s="2" t="s">
        <v>60</v>
      </c>
      <c r="H1924" s="2" t="s">
        <v>4215</v>
      </c>
      <c r="I1924" s="2" t="str">
        <f t="shared" si="150"/>
        <v>Oct</v>
      </c>
      <c r="J1924" s="2">
        <f t="shared" si="151"/>
        <v>10</v>
      </c>
      <c r="K1924" s="2">
        <f t="shared" si="152"/>
        <v>2025</v>
      </c>
      <c r="L1924" s="2">
        <f t="shared" si="153"/>
        <v>4</v>
      </c>
      <c r="M1924" s="2">
        <v>1</v>
      </c>
      <c r="N1924" s="2" t="s">
        <v>4310</v>
      </c>
      <c r="O1924" s="2" t="s">
        <v>55</v>
      </c>
      <c r="P1924" s="3">
        <v>244025</v>
      </c>
      <c r="Q1924" s="2"/>
      <c r="R1924" s="2"/>
      <c r="S1924" s="2" t="s">
        <v>5573</v>
      </c>
      <c r="T1924" s="2">
        <v>6</v>
      </c>
      <c r="U1924" s="2" t="s">
        <v>29</v>
      </c>
      <c r="V1924" s="2" t="s">
        <v>83</v>
      </c>
      <c r="W1924" s="67" t="str">
        <f t="shared" si="154"/>
        <v>-</v>
      </c>
    </row>
    <row r="1925" spans="1:23" x14ac:dyDescent="0.3">
      <c r="A1925" s="6" t="s">
        <v>4416</v>
      </c>
      <c r="B1925" s="6" t="s">
        <v>3359</v>
      </c>
      <c r="C1925" s="6">
        <v>9687270179</v>
      </c>
      <c r="D1925" s="6" t="s">
        <v>20</v>
      </c>
      <c r="E1925" s="6" t="s">
        <v>648</v>
      </c>
      <c r="F1925" s="6" t="s">
        <v>649</v>
      </c>
      <c r="G1925" s="6" t="s">
        <v>1621</v>
      </c>
      <c r="H1925" s="6" t="s">
        <v>4168</v>
      </c>
      <c r="I1925" s="2" t="str">
        <f t="shared" si="150"/>
        <v>Oct</v>
      </c>
      <c r="J1925" s="2">
        <f t="shared" si="151"/>
        <v>10</v>
      </c>
      <c r="K1925" s="2">
        <f t="shared" si="152"/>
        <v>2025</v>
      </c>
      <c r="L1925" s="2">
        <f t="shared" si="153"/>
        <v>4</v>
      </c>
      <c r="M1925" s="6">
        <v>7</v>
      </c>
      <c r="N1925" s="6" t="s">
        <v>4275</v>
      </c>
      <c r="O1925" s="6" t="s">
        <v>97</v>
      </c>
      <c r="P1925" s="7">
        <v>614014</v>
      </c>
      <c r="Q1925" s="7">
        <v>595255</v>
      </c>
      <c r="R1925" s="6" t="s">
        <v>4227</v>
      </c>
      <c r="S1925" s="6" t="s">
        <v>5819</v>
      </c>
      <c r="T1925" s="6">
        <v>19.899999999999999</v>
      </c>
      <c r="U1925" s="6" t="s">
        <v>63</v>
      </c>
      <c r="V1925" s="6" t="s">
        <v>113</v>
      </c>
      <c r="W1925" s="67" t="str">
        <f t="shared" si="154"/>
        <v>Customer</v>
      </c>
    </row>
    <row r="1926" spans="1:23" x14ac:dyDescent="0.3">
      <c r="A1926" s="2" t="s">
        <v>4417</v>
      </c>
      <c r="B1926" s="2" t="s">
        <v>3100</v>
      </c>
      <c r="C1926" s="2">
        <v>9751742023</v>
      </c>
      <c r="D1926" s="2" t="s">
        <v>59</v>
      </c>
      <c r="E1926" s="2" t="s">
        <v>648</v>
      </c>
      <c r="F1926" s="2" t="s">
        <v>656</v>
      </c>
      <c r="G1926" s="2" t="s">
        <v>69</v>
      </c>
      <c r="H1926" s="2" t="s">
        <v>4168</v>
      </c>
      <c r="I1926" s="2" t="str">
        <f t="shared" si="150"/>
        <v>Oct</v>
      </c>
      <c r="J1926" s="2">
        <f t="shared" si="151"/>
        <v>10</v>
      </c>
      <c r="K1926" s="2">
        <f t="shared" si="152"/>
        <v>2025</v>
      </c>
      <c r="L1926" s="2">
        <f t="shared" si="153"/>
        <v>4</v>
      </c>
      <c r="M1926" s="2">
        <v>9</v>
      </c>
      <c r="N1926" s="2" t="s">
        <v>4377</v>
      </c>
      <c r="O1926" s="2" t="s">
        <v>55</v>
      </c>
      <c r="P1926" s="3">
        <v>179719</v>
      </c>
      <c r="Q1926" s="2"/>
      <c r="R1926" s="2"/>
      <c r="S1926" s="2" t="s">
        <v>5574</v>
      </c>
      <c r="T1926" s="2">
        <v>1.3</v>
      </c>
      <c r="U1926" s="2" t="s">
        <v>29</v>
      </c>
      <c r="V1926" s="2" t="s">
        <v>389</v>
      </c>
      <c r="W1926" s="67" t="str">
        <f t="shared" si="154"/>
        <v>-</v>
      </c>
    </row>
    <row r="1927" spans="1:23" x14ac:dyDescent="0.3">
      <c r="A1927" s="4" t="s">
        <v>4418</v>
      </c>
      <c r="B1927" s="4" t="s">
        <v>2911</v>
      </c>
      <c r="C1927" s="4">
        <v>9309418096</v>
      </c>
      <c r="D1927" s="4" t="s">
        <v>59</v>
      </c>
      <c r="E1927" s="4" t="s">
        <v>41</v>
      </c>
      <c r="F1927" s="4" t="s">
        <v>151</v>
      </c>
      <c r="G1927" s="4" t="s">
        <v>1677</v>
      </c>
      <c r="H1927" s="4" t="s">
        <v>4168</v>
      </c>
      <c r="I1927" s="2" t="str">
        <f t="shared" si="150"/>
        <v>Oct</v>
      </c>
      <c r="J1927" s="2">
        <f t="shared" si="151"/>
        <v>10</v>
      </c>
      <c r="K1927" s="2">
        <f t="shared" si="152"/>
        <v>2025</v>
      </c>
      <c r="L1927" s="2">
        <f t="shared" si="153"/>
        <v>4</v>
      </c>
      <c r="M1927" s="4">
        <v>3</v>
      </c>
      <c r="N1927" s="4" t="s">
        <v>4419</v>
      </c>
      <c r="O1927" s="4" t="s">
        <v>55</v>
      </c>
      <c r="P1927" s="5">
        <v>1144855</v>
      </c>
      <c r="Q1927" s="4"/>
      <c r="R1927" s="4"/>
      <c r="S1927" s="4" t="s">
        <v>5573</v>
      </c>
      <c r="T1927" s="4">
        <v>9.3000000000000007</v>
      </c>
      <c r="U1927" s="4" t="s">
        <v>47</v>
      </c>
      <c r="V1927" s="4" t="s">
        <v>276</v>
      </c>
      <c r="W1927" s="67" t="str">
        <f t="shared" si="154"/>
        <v>-</v>
      </c>
    </row>
    <row r="1928" spans="1:23" x14ac:dyDescent="0.3">
      <c r="A1928" s="2" t="s">
        <v>4420</v>
      </c>
      <c r="B1928" s="2" t="s">
        <v>2114</v>
      </c>
      <c r="C1928" s="2">
        <v>9927755180</v>
      </c>
      <c r="D1928" s="2" t="s">
        <v>51</v>
      </c>
      <c r="E1928" s="2" t="s">
        <v>641</v>
      </c>
      <c r="F1928" s="2" t="s">
        <v>681</v>
      </c>
      <c r="G1928" s="2" t="s">
        <v>1621</v>
      </c>
      <c r="H1928" s="2" t="s">
        <v>4168</v>
      </c>
      <c r="I1928" s="2" t="str">
        <f t="shared" si="150"/>
        <v>Oct</v>
      </c>
      <c r="J1928" s="2">
        <f t="shared" si="151"/>
        <v>10</v>
      </c>
      <c r="K1928" s="2">
        <f t="shared" si="152"/>
        <v>2025</v>
      </c>
      <c r="L1928" s="2">
        <f t="shared" si="153"/>
        <v>4</v>
      </c>
      <c r="M1928" s="2">
        <v>5</v>
      </c>
      <c r="N1928" s="2" t="s">
        <v>4345</v>
      </c>
      <c r="O1928" s="2" t="s">
        <v>27</v>
      </c>
      <c r="P1928" s="3">
        <v>222592</v>
      </c>
      <c r="Q1928" s="2"/>
      <c r="R1928" s="2"/>
      <c r="S1928" s="2" t="s">
        <v>5819</v>
      </c>
      <c r="T1928" s="2">
        <v>31.2</v>
      </c>
      <c r="U1928" s="2" t="s">
        <v>29</v>
      </c>
      <c r="V1928" s="2" t="s">
        <v>157</v>
      </c>
      <c r="W1928" s="67" t="str">
        <f t="shared" si="154"/>
        <v>-</v>
      </c>
    </row>
    <row r="1929" spans="1:23" x14ac:dyDescent="0.3">
      <c r="A1929" s="4" t="s">
        <v>4421</v>
      </c>
      <c r="B1929" s="4" t="s">
        <v>509</v>
      </c>
      <c r="C1929" s="4">
        <v>9646417745</v>
      </c>
      <c r="D1929" s="4" t="s">
        <v>121</v>
      </c>
      <c r="E1929" s="4" t="s">
        <v>648</v>
      </c>
      <c r="F1929" s="4" t="s">
        <v>649</v>
      </c>
      <c r="G1929" s="4" t="s">
        <v>1677</v>
      </c>
      <c r="H1929" s="4" t="s">
        <v>4168</v>
      </c>
      <c r="I1929" s="2" t="str">
        <f t="shared" si="150"/>
        <v>Oct</v>
      </c>
      <c r="J1929" s="2">
        <f t="shared" si="151"/>
        <v>10</v>
      </c>
      <c r="K1929" s="2">
        <f t="shared" si="152"/>
        <v>2025</v>
      </c>
      <c r="L1929" s="2">
        <f t="shared" si="153"/>
        <v>4</v>
      </c>
      <c r="M1929" s="4">
        <v>2</v>
      </c>
      <c r="N1929" s="4" t="s">
        <v>4275</v>
      </c>
      <c r="O1929" s="4" t="s">
        <v>27</v>
      </c>
      <c r="P1929" s="5">
        <v>1755789</v>
      </c>
      <c r="Q1929" s="4"/>
      <c r="R1929" s="4"/>
      <c r="S1929" s="4" t="s">
        <v>5573</v>
      </c>
      <c r="T1929" s="4">
        <v>21.3</v>
      </c>
      <c r="U1929" s="4" t="s">
        <v>29</v>
      </c>
      <c r="V1929" s="4" t="s">
        <v>163</v>
      </c>
      <c r="W1929" s="67" t="str">
        <f t="shared" si="154"/>
        <v>-</v>
      </c>
    </row>
    <row r="1930" spans="1:23" x14ac:dyDescent="0.3">
      <c r="A1930" s="6" t="s">
        <v>4422</v>
      </c>
      <c r="B1930" s="6" t="s">
        <v>3735</v>
      </c>
      <c r="C1930" s="6">
        <v>9307189872</v>
      </c>
      <c r="D1930" s="6" t="s">
        <v>121</v>
      </c>
      <c r="E1930" s="6" t="s">
        <v>641</v>
      </c>
      <c r="F1930" s="6" t="s">
        <v>727</v>
      </c>
      <c r="G1930" s="6" t="s">
        <v>23</v>
      </c>
      <c r="H1930" s="6" t="s">
        <v>4402</v>
      </c>
      <c r="I1930" s="2" t="str">
        <f t="shared" si="150"/>
        <v>Oct</v>
      </c>
      <c r="J1930" s="2">
        <f t="shared" si="151"/>
        <v>10</v>
      </c>
      <c r="K1930" s="2">
        <f t="shared" si="152"/>
        <v>2025</v>
      </c>
      <c r="L1930" s="2">
        <f t="shared" si="153"/>
        <v>4</v>
      </c>
      <c r="M1930" s="6">
        <v>4</v>
      </c>
      <c r="N1930" s="6" t="s">
        <v>4158</v>
      </c>
      <c r="O1930" s="6" t="s">
        <v>97</v>
      </c>
      <c r="P1930" s="7">
        <v>461936</v>
      </c>
      <c r="Q1930" s="7">
        <v>470426</v>
      </c>
      <c r="R1930" s="6" t="s">
        <v>4423</v>
      </c>
      <c r="S1930" s="6" t="s">
        <v>5574</v>
      </c>
      <c r="T1930" s="6">
        <v>30.7</v>
      </c>
      <c r="U1930" s="6" t="s">
        <v>63</v>
      </c>
      <c r="V1930" s="6" t="s">
        <v>341</v>
      </c>
      <c r="W1930" s="67" t="str">
        <f t="shared" si="154"/>
        <v>Customer</v>
      </c>
    </row>
    <row r="1931" spans="1:23" x14ac:dyDescent="0.3">
      <c r="A1931" s="6" t="s">
        <v>4424</v>
      </c>
      <c r="B1931" s="6" t="s">
        <v>1273</v>
      </c>
      <c r="C1931" s="6">
        <v>9206947491</v>
      </c>
      <c r="D1931" s="6" t="s">
        <v>20</v>
      </c>
      <c r="E1931" s="6" t="s">
        <v>33</v>
      </c>
      <c r="F1931" s="6" t="s">
        <v>102</v>
      </c>
      <c r="G1931" s="6" t="s">
        <v>3302</v>
      </c>
      <c r="H1931" s="6" t="s">
        <v>4402</v>
      </c>
      <c r="I1931" s="2" t="str">
        <f t="shared" si="150"/>
        <v>Oct</v>
      </c>
      <c r="J1931" s="2">
        <f t="shared" si="151"/>
        <v>10</v>
      </c>
      <c r="K1931" s="2">
        <f t="shared" si="152"/>
        <v>2025</v>
      </c>
      <c r="L1931" s="2">
        <f t="shared" si="153"/>
        <v>4</v>
      </c>
      <c r="M1931" s="6">
        <v>5</v>
      </c>
      <c r="N1931" s="6" t="s">
        <v>4307</v>
      </c>
      <c r="O1931" s="6" t="s">
        <v>97</v>
      </c>
      <c r="P1931" s="7">
        <v>2228987</v>
      </c>
      <c r="Q1931" s="7">
        <v>2125537</v>
      </c>
      <c r="R1931" s="6" t="s">
        <v>4366</v>
      </c>
      <c r="S1931" s="6" t="s">
        <v>5574</v>
      </c>
      <c r="T1931" s="6">
        <v>34.700000000000003</v>
      </c>
      <c r="U1931" s="6" t="s">
        <v>63</v>
      </c>
      <c r="V1931" s="6" t="s">
        <v>341</v>
      </c>
      <c r="W1931" s="67" t="str">
        <f t="shared" si="154"/>
        <v>Customer</v>
      </c>
    </row>
    <row r="1932" spans="1:23" x14ac:dyDescent="0.3">
      <c r="A1932" s="6" t="s">
        <v>4425</v>
      </c>
      <c r="B1932" s="6" t="s">
        <v>2845</v>
      </c>
      <c r="C1932" s="6">
        <v>9727068900</v>
      </c>
      <c r="D1932" s="6" t="s">
        <v>59</v>
      </c>
      <c r="E1932" s="6" t="s">
        <v>109</v>
      </c>
      <c r="F1932" s="6" t="s">
        <v>217</v>
      </c>
      <c r="G1932" s="6" t="s">
        <v>643</v>
      </c>
      <c r="H1932" s="6" t="s">
        <v>4402</v>
      </c>
      <c r="I1932" s="2" t="str">
        <f t="shared" si="150"/>
        <v>Oct</v>
      </c>
      <c r="J1932" s="2">
        <f t="shared" si="151"/>
        <v>10</v>
      </c>
      <c r="K1932" s="2">
        <f t="shared" si="152"/>
        <v>2025</v>
      </c>
      <c r="L1932" s="2">
        <f t="shared" si="153"/>
        <v>4</v>
      </c>
      <c r="M1932" s="6">
        <v>8</v>
      </c>
      <c r="N1932" s="6" t="s">
        <v>4403</v>
      </c>
      <c r="O1932" s="6" t="s">
        <v>97</v>
      </c>
      <c r="P1932" s="7">
        <v>698764</v>
      </c>
      <c r="Q1932" s="7">
        <v>666064</v>
      </c>
      <c r="R1932" s="6" t="s">
        <v>4377</v>
      </c>
      <c r="S1932" s="6" t="s">
        <v>5574</v>
      </c>
      <c r="T1932" s="6">
        <v>16.2</v>
      </c>
      <c r="U1932" s="6" t="s">
        <v>63</v>
      </c>
      <c r="V1932" s="6" t="s">
        <v>113</v>
      </c>
      <c r="W1932" s="67" t="str">
        <f t="shared" si="154"/>
        <v>Customer</v>
      </c>
    </row>
    <row r="1933" spans="1:23" x14ac:dyDescent="0.3">
      <c r="A1933" s="6" t="s">
        <v>4426</v>
      </c>
      <c r="B1933" s="6" t="s">
        <v>2629</v>
      </c>
      <c r="C1933" s="6">
        <v>9808518921</v>
      </c>
      <c r="D1933" s="6" t="s">
        <v>108</v>
      </c>
      <c r="E1933" s="6" t="s">
        <v>109</v>
      </c>
      <c r="F1933" s="6" t="s">
        <v>217</v>
      </c>
      <c r="G1933" s="6" t="s">
        <v>643</v>
      </c>
      <c r="H1933" s="6" t="s">
        <v>4402</v>
      </c>
      <c r="I1933" s="2" t="str">
        <f t="shared" si="150"/>
        <v>Oct</v>
      </c>
      <c r="J1933" s="2">
        <f t="shared" si="151"/>
        <v>10</v>
      </c>
      <c r="K1933" s="2">
        <f t="shared" si="152"/>
        <v>2025</v>
      </c>
      <c r="L1933" s="2">
        <f t="shared" si="153"/>
        <v>4</v>
      </c>
      <c r="M1933" s="6">
        <v>11</v>
      </c>
      <c r="N1933" s="6" t="s">
        <v>4377</v>
      </c>
      <c r="O1933" s="6" t="s">
        <v>97</v>
      </c>
      <c r="P1933" s="7">
        <v>1448686</v>
      </c>
      <c r="Q1933" s="7">
        <v>1304882</v>
      </c>
      <c r="R1933" s="6" t="s">
        <v>4427</v>
      </c>
      <c r="S1933" s="6" t="s">
        <v>5573</v>
      </c>
      <c r="T1933" s="6">
        <v>5.6</v>
      </c>
      <c r="U1933" s="6" t="s">
        <v>63</v>
      </c>
      <c r="V1933" s="6" t="s">
        <v>907</v>
      </c>
      <c r="W1933" s="67" t="str">
        <f t="shared" si="154"/>
        <v>Customer</v>
      </c>
    </row>
    <row r="1934" spans="1:23" x14ac:dyDescent="0.3">
      <c r="A1934" s="2" t="s">
        <v>4428</v>
      </c>
      <c r="B1934" s="2" t="s">
        <v>2141</v>
      </c>
      <c r="C1934" s="2">
        <v>9984439266</v>
      </c>
      <c r="D1934" s="2" t="s">
        <v>108</v>
      </c>
      <c r="E1934" s="2" t="s">
        <v>1632</v>
      </c>
      <c r="F1934" s="2" t="s">
        <v>1659</v>
      </c>
      <c r="G1934" s="2" t="s">
        <v>23</v>
      </c>
      <c r="H1934" s="2" t="s">
        <v>4402</v>
      </c>
      <c r="I1934" s="2" t="str">
        <f t="shared" si="150"/>
        <v>Oct</v>
      </c>
      <c r="J1934" s="2">
        <f t="shared" si="151"/>
        <v>10</v>
      </c>
      <c r="K1934" s="2">
        <f t="shared" si="152"/>
        <v>2025</v>
      </c>
      <c r="L1934" s="2">
        <f t="shared" si="153"/>
        <v>4</v>
      </c>
      <c r="M1934" s="2">
        <v>8</v>
      </c>
      <c r="N1934" s="2" t="s">
        <v>4429</v>
      </c>
      <c r="O1934" s="2" t="s">
        <v>45</v>
      </c>
      <c r="P1934" s="3">
        <v>394952</v>
      </c>
      <c r="Q1934" s="2"/>
      <c r="R1934" s="2"/>
      <c r="S1934" s="2" t="s">
        <v>5573</v>
      </c>
      <c r="T1934" s="2">
        <v>0.9</v>
      </c>
      <c r="U1934" s="2" t="s">
        <v>63</v>
      </c>
      <c r="V1934" s="2" t="s">
        <v>221</v>
      </c>
      <c r="W1934" s="67" t="str">
        <f t="shared" si="154"/>
        <v>-</v>
      </c>
    </row>
    <row r="1935" spans="1:23" x14ac:dyDescent="0.3">
      <c r="A1935" s="4" t="s">
        <v>4430</v>
      </c>
      <c r="B1935" s="4" t="s">
        <v>4431</v>
      </c>
      <c r="C1935" s="4">
        <v>9335426469</v>
      </c>
      <c r="D1935" s="4" t="s">
        <v>59</v>
      </c>
      <c r="E1935" s="4" t="s">
        <v>73</v>
      </c>
      <c r="F1935" s="4" t="s">
        <v>74</v>
      </c>
      <c r="G1935" s="4" t="s">
        <v>1621</v>
      </c>
      <c r="H1935" s="4" t="s">
        <v>4391</v>
      </c>
      <c r="I1935" s="2" t="str">
        <f t="shared" si="150"/>
        <v>Oct</v>
      </c>
      <c r="J1935" s="2">
        <f t="shared" si="151"/>
        <v>10</v>
      </c>
      <c r="K1935" s="2">
        <f t="shared" si="152"/>
        <v>2025</v>
      </c>
      <c r="L1935" s="2">
        <f t="shared" si="153"/>
        <v>4</v>
      </c>
      <c r="M1935" s="4">
        <v>12</v>
      </c>
      <c r="N1935" s="4" t="s">
        <v>4362</v>
      </c>
      <c r="O1935" s="4" t="s">
        <v>27</v>
      </c>
      <c r="P1935" s="5">
        <v>237463</v>
      </c>
      <c r="Q1935" s="4"/>
      <c r="R1935" s="4"/>
      <c r="S1935" s="4" t="s">
        <v>5819</v>
      </c>
      <c r="T1935" s="4">
        <v>13.9</v>
      </c>
      <c r="U1935" s="4" t="s">
        <v>29</v>
      </c>
      <c r="V1935" s="4" t="s">
        <v>153</v>
      </c>
      <c r="W1935" s="67" t="str">
        <f t="shared" si="154"/>
        <v>-</v>
      </c>
    </row>
    <row r="1936" spans="1:23" x14ac:dyDescent="0.3">
      <c r="A1936" s="2" t="s">
        <v>4432</v>
      </c>
      <c r="B1936" s="2" t="s">
        <v>4433</v>
      </c>
      <c r="C1936" s="2">
        <v>9321040838</v>
      </c>
      <c r="D1936" s="2" t="s">
        <v>59</v>
      </c>
      <c r="E1936" s="2" t="s">
        <v>109</v>
      </c>
      <c r="F1936" s="2" t="s">
        <v>217</v>
      </c>
      <c r="G1936" s="2" t="s">
        <v>616</v>
      </c>
      <c r="H1936" s="2" t="s">
        <v>4391</v>
      </c>
      <c r="I1936" s="2" t="str">
        <f t="shared" si="150"/>
        <v>Oct</v>
      </c>
      <c r="J1936" s="2">
        <f t="shared" si="151"/>
        <v>10</v>
      </c>
      <c r="K1936" s="2">
        <f t="shared" si="152"/>
        <v>2025</v>
      </c>
      <c r="L1936" s="2">
        <f t="shared" si="153"/>
        <v>4</v>
      </c>
      <c r="M1936" s="2">
        <v>5</v>
      </c>
      <c r="N1936" s="2" t="s">
        <v>4312</v>
      </c>
      <c r="O1936" s="2" t="s">
        <v>45</v>
      </c>
      <c r="P1936" s="3">
        <v>361649</v>
      </c>
      <c r="Q1936" s="2"/>
      <c r="R1936" s="2"/>
      <c r="S1936" s="2" t="s">
        <v>5819</v>
      </c>
      <c r="T1936" s="2">
        <v>29.1</v>
      </c>
      <c r="U1936" s="2" t="s">
        <v>63</v>
      </c>
      <c r="V1936" s="2" t="s">
        <v>535</v>
      </c>
      <c r="W1936" s="67" t="str">
        <f t="shared" si="154"/>
        <v>-</v>
      </c>
    </row>
    <row r="1937" spans="1:23" x14ac:dyDescent="0.3">
      <c r="A1937" s="6" t="s">
        <v>4434</v>
      </c>
      <c r="B1937" s="6" t="s">
        <v>4435</v>
      </c>
      <c r="C1937" s="6">
        <v>9139665046</v>
      </c>
      <c r="D1937" s="6" t="s">
        <v>59</v>
      </c>
      <c r="E1937" s="6" t="s">
        <v>41</v>
      </c>
      <c r="F1937" s="6" t="s">
        <v>92</v>
      </c>
      <c r="G1937" s="6" t="s">
        <v>69</v>
      </c>
      <c r="H1937" s="6" t="s">
        <v>4301</v>
      </c>
      <c r="I1937" s="2" t="str">
        <f t="shared" si="150"/>
        <v>Oct</v>
      </c>
      <c r="J1937" s="2">
        <f t="shared" si="151"/>
        <v>10</v>
      </c>
      <c r="K1937" s="2">
        <f t="shared" si="152"/>
        <v>2025</v>
      </c>
      <c r="L1937" s="2">
        <f t="shared" si="153"/>
        <v>4</v>
      </c>
      <c r="M1937" s="6">
        <v>5</v>
      </c>
      <c r="N1937" s="6" t="s">
        <v>4307</v>
      </c>
      <c r="O1937" s="6" t="s">
        <v>97</v>
      </c>
      <c r="P1937" s="7">
        <v>178102</v>
      </c>
      <c r="Q1937" s="7">
        <v>162486</v>
      </c>
      <c r="R1937" s="6" t="s">
        <v>4381</v>
      </c>
      <c r="S1937" s="6" t="s">
        <v>5819</v>
      </c>
      <c r="T1937" s="6">
        <v>26.1</v>
      </c>
      <c r="U1937" s="6" t="s">
        <v>63</v>
      </c>
      <c r="V1937" s="6" t="s">
        <v>286</v>
      </c>
      <c r="W1937" s="67" t="str">
        <f t="shared" si="154"/>
        <v>Customer</v>
      </c>
    </row>
    <row r="1938" spans="1:23" x14ac:dyDescent="0.3">
      <c r="A1938" s="2" t="s">
        <v>4436</v>
      </c>
      <c r="B1938" s="2" t="s">
        <v>4437</v>
      </c>
      <c r="C1938" s="2">
        <v>9109744303</v>
      </c>
      <c r="D1938" s="2" t="s">
        <v>20</v>
      </c>
      <c r="E1938" s="2" t="s">
        <v>1632</v>
      </c>
      <c r="F1938" s="2" t="s">
        <v>1633</v>
      </c>
      <c r="G1938" s="2" t="s">
        <v>616</v>
      </c>
      <c r="H1938" s="2" t="s">
        <v>4301</v>
      </c>
      <c r="I1938" s="2" t="str">
        <f t="shared" si="150"/>
        <v>Oct</v>
      </c>
      <c r="J1938" s="2">
        <f t="shared" si="151"/>
        <v>10</v>
      </c>
      <c r="K1938" s="2">
        <f t="shared" si="152"/>
        <v>2025</v>
      </c>
      <c r="L1938" s="2">
        <f t="shared" si="153"/>
        <v>4</v>
      </c>
      <c r="M1938" s="2">
        <v>8</v>
      </c>
      <c r="N1938" s="2" t="s">
        <v>4438</v>
      </c>
      <c r="O1938" s="2" t="s">
        <v>27</v>
      </c>
      <c r="P1938" s="3">
        <v>148595</v>
      </c>
      <c r="Q1938" s="2"/>
      <c r="R1938" s="2"/>
      <c r="S1938" s="2" t="s">
        <v>5574</v>
      </c>
      <c r="T1938" s="2">
        <v>28.9</v>
      </c>
      <c r="U1938" s="2" t="s">
        <v>47</v>
      </c>
      <c r="V1938" s="2"/>
      <c r="W1938" s="67" t="str">
        <f t="shared" si="154"/>
        <v>-</v>
      </c>
    </row>
    <row r="1939" spans="1:23" x14ac:dyDescent="0.3">
      <c r="A1939" s="4" t="s">
        <v>4439</v>
      </c>
      <c r="B1939" s="4" t="s">
        <v>2580</v>
      </c>
      <c r="C1939" s="4">
        <v>9673344060</v>
      </c>
      <c r="D1939" s="4" t="s">
        <v>121</v>
      </c>
      <c r="E1939" s="4" t="s">
        <v>648</v>
      </c>
      <c r="F1939" s="4" t="s">
        <v>649</v>
      </c>
      <c r="G1939" s="4" t="s">
        <v>1623</v>
      </c>
      <c r="H1939" s="4" t="s">
        <v>4301</v>
      </c>
      <c r="I1939" s="2" t="str">
        <f t="shared" si="150"/>
        <v>Oct</v>
      </c>
      <c r="J1939" s="2">
        <f t="shared" si="151"/>
        <v>10</v>
      </c>
      <c r="K1939" s="2">
        <f t="shared" si="152"/>
        <v>2025</v>
      </c>
      <c r="L1939" s="2">
        <f t="shared" si="153"/>
        <v>4</v>
      </c>
      <c r="M1939" s="4">
        <v>10</v>
      </c>
      <c r="N1939" s="4" t="s">
        <v>4440</v>
      </c>
      <c r="O1939" s="4" t="s">
        <v>27</v>
      </c>
      <c r="P1939" s="5">
        <v>324164</v>
      </c>
      <c r="Q1939" s="4"/>
      <c r="R1939" s="4"/>
      <c r="S1939" s="4" t="s">
        <v>5819</v>
      </c>
      <c r="T1939" s="4">
        <v>29.8</v>
      </c>
      <c r="U1939" s="4" t="s">
        <v>29</v>
      </c>
      <c r="V1939" s="4" t="s">
        <v>163</v>
      </c>
      <c r="W1939" s="67" t="str">
        <f t="shared" si="154"/>
        <v>-</v>
      </c>
    </row>
    <row r="1940" spans="1:23" x14ac:dyDescent="0.3">
      <c r="A1940" s="2" t="s">
        <v>4441</v>
      </c>
      <c r="B1940" s="2" t="s">
        <v>4442</v>
      </c>
      <c r="C1940" s="2">
        <v>9341404158</v>
      </c>
      <c r="D1940" s="2" t="s">
        <v>59</v>
      </c>
      <c r="E1940" s="2" t="s">
        <v>1632</v>
      </c>
      <c r="F1940" s="2" t="s">
        <v>1682</v>
      </c>
      <c r="G1940" s="2" t="s">
        <v>616</v>
      </c>
      <c r="H1940" s="2" t="s">
        <v>4301</v>
      </c>
      <c r="I1940" s="2" t="str">
        <f t="shared" si="150"/>
        <v>Oct</v>
      </c>
      <c r="J1940" s="2">
        <f t="shared" si="151"/>
        <v>10</v>
      </c>
      <c r="K1940" s="2">
        <f t="shared" si="152"/>
        <v>2025</v>
      </c>
      <c r="L1940" s="2">
        <f t="shared" si="153"/>
        <v>4</v>
      </c>
      <c r="M1940" s="2">
        <v>11</v>
      </c>
      <c r="N1940" s="2" t="s">
        <v>4356</v>
      </c>
      <c r="O1940" s="2" t="s">
        <v>45</v>
      </c>
      <c r="P1940" s="3">
        <v>175747</v>
      </c>
      <c r="Q1940" s="2"/>
      <c r="R1940" s="2"/>
      <c r="S1940" s="2" t="s">
        <v>5573</v>
      </c>
      <c r="T1940" s="2">
        <v>28.5</v>
      </c>
      <c r="U1940" s="2" t="s">
        <v>47</v>
      </c>
      <c r="V1940" s="2" t="s">
        <v>256</v>
      </c>
      <c r="W1940" s="67" t="str">
        <f t="shared" si="154"/>
        <v>-</v>
      </c>
    </row>
    <row r="1941" spans="1:23" x14ac:dyDescent="0.3">
      <c r="A1941" s="4" t="s">
        <v>4443</v>
      </c>
      <c r="B1941" s="4" t="s">
        <v>726</v>
      </c>
      <c r="C1941" s="4"/>
      <c r="D1941" s="4" t="s">
        <v>121</v>
      </c>
      <c r="E1941" s="4" t="s">
        <v>648</v>
      </c>
      <c r="F1941" s="4" t="s">
        <v>649</v>
      </c>
      <c r="G1941" s="4" t="s">
        <v>69</v>
      </c>
      <c r="H1941" s="4" t="s">
        <v>4163</v>
      </c>
      <c r="I1941" s="2" t="str">
        <f t="shared" si="150"/>
        <v>Oct</v>
      </c>
      <c r="J1941" s="2">
        <f t="shared" si="151"/>
        <v>10</v>
      </c>
      <c r="K1941" s="2">
        <f t="shared" si="152"/>
        <v>2025</v>
      </c>
      <c r="L1941" s="2">
        <f t="shared" si="153"/>
        <v>4</v>
      </c>
      <c r="M1941" s="4">
        <v>5</v>
      </c>
      <c r="N1941" s="4" t="s">
        <v>4321</v>
      </c>
      <c r="O1941" s="4" t="s">
        <v>27</v>
      </c>
      <c r="P1941" s="5">
        <v>279147</v>
      </c>
      <c r="Q1941" s="4"/>
      <c r="R1941" s="4"/>
      <c r="S1941" s="4" t="s">
        <v>5819</v>
      </c>
      <c r="T1941" s="4">
        <v>18.8</v>
      </c>
      <c r="U1941" s="4" t="s">
        <v>29</v>
      </c>
      <c r="V1941" s="4" t="s">
        <v>2150</v>
      </c>
      <c r="W1941" s="67" t="str">
        <f t="shared" si="154"/>
        <v>-</v>
      </c>
    </row>
    <row r="1942" spans="1:23" x14ac:dyDescent="0.3">
      <c r="A1942" s="2" t="s">
        <v>4444</v>
      </c>
      <c r="B1942" s="2" t="s">
        <v>3017</v>
      </c>
      <c r="C1942" s="2">
        <v>9207167502</v>
      </c>
      <c r="D1942" s="2" t="s">
        <v>51</v>
      </c>
      <c r="E1942" s="2" t="s">
        <v>641</v>
      </c>
      <c r="F1942" s="2" t="s">
        <v>681</v>
      </c>
      <c r="G1942" s="2" t="s">
        <v>3302</v>
      </c>
      <c r="H1942" s="2" t="s">
        <v>4163</v>
      </c>
      <c r="I1942" s="2" t="str">
        <f t="shared" si="150"/>
        <v>Oct</v>
      </c>
      <c r="J1942" s="2">
        <f t="shared" si="151"/>
        <v>10</v>
      </c>
      <c r="K1942" s="2">
        <f t="shared" si="152"/>
        <v>2025</v>
      </c>
      <c r="L1942" s="2">
        <f t="shared" si="153"/>
        <v>4</v>
      </c>
      <c r="M1942" s="2">
        <v>10</v>
      </c>
      <c r="N1942" s="2" t="s">
        <v>4445</v>
      </c>
      <c r="O1942" s="2" t="s">
        <v>27</v>
      </c>
      <c r="P1942" s="3">
        <v>2059523</v>
      </c>
      <c r="Q1942" s="2"/>
      <c r="R1942" s="2"/>
      <c r="S1942" s="2" t="s">
        <v>5574</v>
      </c>
      <c r="T1942" s="2">
        <v>6.4</v>
      </c>
      <c r="U1942" s="2" t="s">
        <v>29</v>
      </c>
      <c r="V1942" s="2" t="s">
        <v>163</v>
      </c>
      <c r="W1942" s="67" t="str">
        <f t="shared" si="154"/>
        <v>-</v>
      </c>
    </row>
    <row r="1943" spans="1:23" x14ac:dyDescent="0.3">
      <c r="A1943" s="4" t="s">
        <v>4446</v>
      </c>
      <c r="B1943" s="4" t="s">
        <v>1391</v>
      </c>
      <c r="C1943" s="4">
        <v>9556395881</v>
      </c>
      <c r="D1943" s="4" t="s">
        <v>20</v>
      </c>
      <c r="E1943" s="4" t="s">
        <v>41</v>
      </c>
      <c r="F1943" s="4" t="s">
        <v>42</v>
      </c>
      <c r="G1943" s="4" t="s">
        <v>23</v>
      </c>
      <c r="H1943" s="4" t="s">
        <v>4163</v>
      </c>
      <c r="I1943" s="2" t="str">
        <f t="shared" si="150"/>
        <v>Oct</v>
      </c>
      <c r="J1943" s="2">
        <f t="shared" si="151"/>
        <v>10</v>
      </c>
      <c r="K1943" s="2">
        <f t="shared" si="152"/>
        <v>2025</v>
      </c>
      <c r="L1943" s="2">
        <f t="shared" si="153"/>
        <v>4</v>
      </c>
      <c r="M1943" s="4">
        <v>10</v>
      </c>
      <c r="N1943" s="4" t="s">
        <v>4429</v>
      </c>
      <c r="O1943" s="4" t="s">
        <v>45</v>
      </c>
      <c r="P1943" s="5">
        <v>444256</v>
      </c>
      <c r="Q1943" s="4"/>
      <c r="R1943" s="4"/>
      <c r="S1943" s="4" t="s">
        <v>5819</v>
      </c>
      <c r="T1943" s="4">
        <v>15</v>
      </c>
      <c r="U1943" s="4" t="s">
        <v>63</v>
      </c>
      <c r="V1943" s="4" t="s">
        <v>335</v>
      </c>
      <c r="W1943" s="67" t="str">
        <f t="shared" si="154"/>
        <v>-</v>
      </c>
    </row>
    <row r="1944" spans="1:23" x14ac:dyDescent="0.3">
      <c r="A1944" s="2" t="s">
        <v>4447</v>
      </c>
      <c r="B1944" s="2" t="s">
        <v>2137</v>
      </c>
      <c r="C1944" s="2">
        <v>9227313593</v>
      </c>
      <c r="D1944" s="2" t="s">
        <v>59</v>
      </c>
      <c r="E1944" s="2" t="s">
        <v>641</v>
      </c>
      <c r="F1944" s="2" t="s">
        <v>717</v>
      </c>
      <c r="G1944" s="2" t="s">
        <v>87</v>
      </c>
      <c r="H1944" s="2" t="s">
        <v>4163</v>
      </c>
      <c r="I1944" s="2" t="str">
        <f t="shared" si="150"/>
        <v>Oct</v>
      </c>
      <c r="J1944" s="2">
        <f t="shared" si="151"/>
        <v>10</v>
      </c>
      <c r="K1944" s="2">
        <f t="shared" si="152"/>
        <v>2025</v>
      </c>
      <c r="L1944" s="2">
        <f t="shared" si="153"/>
        <v>4</v>
      </c>
      <c r="M1944" s="2">
        <v>7</v>
      </c>
      <c r="N1944" s="2" t="s">
        <v>4289</v>
      </c>
      <c r="O1944" s="2" t="s">
        <v>62</v>
      </c>
      <c r="P1944" s="3">
        <v>262873</v>
      </c>
      <c r="Q1944" s="2"/>
      <c r="R1944" s="2"/>
      <c r="S1944" s="2" t="s">
        <v>5574</v>
      </c>
      <c r="T1944" s="2">
        <v>20.7</v>
      </c>
      <c r="U1944" s="2" t="s">
        <v>47</v>
      </c>
      <c r="V1944" s="2" t="s">
        <v>212</v>
      </c>
      <c r="W1944" s="67" t="str">
        <f t="shared" si="154"/>
        <v>-</v>
      </c>
    </row>
    <row r="1945" spans="1:23" x14ac:dyDescent="0.3">
      <c r="A1945" s="6" t="s">
        <v>4448</v>
      </c>
      <c r="B1945" s="6" t="s">
        <v>4449</v>
      </c>
      <c r="C1945" s="6">
        <v>9229641690</v>
      </c>
      <c r="D1945" s="6" t="s">
        <v>51</v>
      </c>
      <c r="E1945" s="6" t="s">
        <v>1632</v>
      </c>
      <c r="F1945" s="6" t="s">
        <v>1694</v>
      </c>
      <c r="G1945" s="6" t="s">
        <v>1621</v>
      </c>
      <c r="H1945" s="6" t="s">
        <v>4163</v>
      </c>
      <c r="I1945" s="2" t="str">
        <f t="shared" si="150"/>
        <v>Oct</v>
      </c>
      <c r="J1945" s="2">
        <f t="shared" si="151"/>
        <v>10</v>
      </c>
      <c r="K1945" s="2">
        <f t="shared" si="152"/>
        <v>2025</v>
      </c>
      <c r="L1945" s="2">
        <f t="shared" si="153"/>
        <v>4</v>
      </c>
      <c r="M1945" s="6">
        <v>9</v>
      </c>
      <c r="N1945" s="6" t="s">
        <v>4249</v>
      </c>
      <c r="O1945" s="6" t="s">
        <v>97</v>
      </c>
      <c r="P1945" s="7">
        <v>212169</v>
      </c>
      <c r="Q1945" s="7">
        <v>187106</v>
      </c>
      <c r="R1945" s="6" t="s">
        <v>4450</v>
      </c>
      <c r="S1945" s="6" t="s">
        <v>5574</v>
      </c>
      <c r="T1945" s="6">
        <v>19.7</v>
      </c>
      <c r="U1945" s="6" t="s">
        <v>63</v>
      </c>
      <c r="V1945" s="6"/>
      <c r="W1945" s="67" t="str">
        <f t="shared" si="154"/>
        <v>Customer</v>
      </c>
    </row>
    <row r="1946" spans="1:23" x14ac:dyDescent="0.3">
      <c r="A1946" s="6" t="s">
        <v>4451</v>
      </c>
      <c r="B1946" s="6" t="s">
        <v>362</v>
      </c>
      <c r="C1946" s="6">
        <v>9251545105</v>
      </c>
      <c r="D1946" s="6" t="s">
        <v>20</v>
      </c>
      <c r="E1946" s="6" t="s">
        <v>641</v>
      </c>
      <c r="F1946" s="6" t="s">
        <v>681</v>
      </c>
      <c r="G1946" s="6" t="s">
        <v>1677</v>
      </c>
      <c r="H1946" s="6" t="s">
        <v>4163</v>
      </c>
      <c r="I1946" s="2" t="str">
        <f t="shared" si="150"/>
        <v>Oct</v>
      </c>
      <c r="J1946" s="2">
        <f t="shared" si="151"/>
        <v>10</v>
      </c>
      <c r="K1946" s="2">
        <f t="shared" si="152"/>
        <v>2025</v>
      </c>
      <c r="L1946" s="2">
        <f t="shared" si="153"/>
        <v>4</v>
      </c>
      <c r="M1946" s="6">
        <v>5</v>
      </c>
      <c r="N1946" s="6" t="s">
        <v>4275</v>
      </c>
      <c r="O1946" s="6" t="s">
        <v>97</v>
      </c>
      <c r="P1946" s="7">
        <v>1410801</v>
      </c>
      <c r="Q1946" s="7">
        <v>1362695</v>
      </c>
      <c r="R1946" s="6" t="s">
        <v>4227</v>
      </c>
      <c r="S1946" s="6" t="s">
        <v>5574</v>
      </c>
      <c r="T1946" s="6">
        <v>24.8</v>
      </c>
      <c r="U1946" s="6" t="s">
        <v>63</v>
      </c>
      <c r="V1946" s="6" t="s">
        <v>99</v>
      </c>
      <c r="W1946" s="67" t="str">
        <f t="shared" si="154"/>
        <v>Customer</v>
      </c>
    </row>
    <row r="1947" spans="1:23" x14ac:dyDescent="0.3">
      <c r="A1947" s="4" t="s">
        <v>4452</v>
      </c>
      <c r="B1947" s="4" t="s">
        <v>4453</v>
      </c>
      <c r="C1947" s="4">
        <v>9522019748</v>
      </c>
      <c r="D1947" s="4" t="s">
        <v>121</v>
      </c>
      <c r="E1947" s="4" t="s">
        <v>67</v>
      </c>
      <c r="F1947" s="4" t="s">
        <v>80</v>
      </c>
      <c r="G1947" s="4" t="s">
        <v>1609</v>
      </c>
      <c r="H1947" s="4" t="s">
        <v>4163</v>
      </c>
      <c r="I1947" s="2" t="str">
        <f t="shared" si="150"/>
        <v>Oct</v>
      </c>
      <c r="J1947" s="2">
        <f t="shared" si="151"/>
        <v>10</v>
      </c>
      <c r="K1947" s="2">
        <f t="shared" si="152"/>
        <v>2025</v>
      </c>
      <c r="L1947" s="2">
        <f t="shared" si="153"/>
        <v>4</v>
      </c>
      <c r="M1947" s="4">
        <v>0</v>
      </c>
      <c r="N1947" s="4" t="s">
        <v>4277</v>
      </c>
      <c r="O1947" s="4" t="s">
        <v>62</v>
      </c>
      <c r="P1947" s="5">
        <v>380154</v>
      </c>
      <c r="Q1947" s="4"/>
      <c r="R1947" s="4"/>
      <c r="S1947" s="4" t="s">
        <v>5819</v>
      </c>
      <c r="T1947" s="4">
        <v>35.700000000000003</v>
      </c>
      <c r="U1947" s="4" t="s">
        <v>29</v>
      </c>
      <c r="V1947" s="4" t="s">
        <v>247</v>
      </c>
      <c r="W1947" s="67" t="str">
        <f t="shared" si="154"/>
        <v>-</v>
      </c>
    </row>
    <row r="1948" spans="1:23" x14ac:dyDescent="0.3">
      <c r="A1948" s="2" t="s">
        <v>4454</v>
      </c>
      <c r="B1948" s="2" t="s">
        <v>2059</v>
      </c>
      <c r="C1948" s="2">
        <v>9947407268</v>
      </c>
      <c r="D1948" s="2" t="s">
        <v>51</v>
      </c>
      <c r="E1948" s="2" t="s">
        <v>41</v>
      </c>
      <c r="F1948" s="2" t="s">
        <v>86</v>
      </c>
      <c r="G1948" s="2" t="s">
        <v>1735</v>
      </c>
      <c r="H1948" s="2" t="s">
        <v>4310</v>
      </c>
      <c r="I1948" s="2" t="str">
        <f t="shared" si="150"/>
        <v>Oct</v>
      </c>
      <c r="J1948" s="2">
        <f t="shared" si="151"/>
        <v>10</v>
      </c>
      <c r="K1948" s="2">
        <f t="shared" si="152"/>
        <v>2025</v>
      </c>
      <c r="L1948" s="2">
        <f t="shared" si="153"/>
        <v>4</v>
      </c>
      <c r="M1948" s="2">
        <v>0</v>
      </c>
      <c r="N1948" s="2" t="s">
        <v>4253</v>
      </c>
      <c r="O1948" s="2" t="s">
        <v>45</v>
      </c>
      <c r="P1948" s="3">
        <v>1811010</v>
      </c>
      <c r="Q1948" s="2"/>
      <c r="R1948" s="2"/>
      <c r="S1948" s="2" t="s">
        <v>5573</v>
      </c>
      <c r="T1948" s="2">
        <v>10.7</v>
      </c>
      <c r="U1948" s="2" t="s">
        <v>63</v>
      </c>
      <c r="V1948" s="2" t="s">
        <v>621</v>
      </c>
      <c r="W1948" s="67" t="str">
        <f t="shared" si="154"/>
        <v>-</v>
      </c>
    </row>
    <row r="1949" spans="1:23" x14ac:dyDescent="0.3">
      <c r="A1949" s="4" t="s">
        <v>4455</v>
      </c>
      <c r="B1949" s="4" t="s">
        <v>849</v>
      </c>
      <c r="C1949" s="4">
        <v>9856588608</v>
      </c>
      <c r="D1949" s="4" t="s">
        <v>20</v>
      </c>
      <c r="E1949" s="4" t="s">
        <v>1632</v>
      </c>
      <c r="F1949" s="4" t="s">
        <v>1633</v>
      </c>
      <c r="G1949" s="4" t="s">
        <v>52</v>
      </c>
      <c r="H1949" s="4" t="s">
        <v>4310</v>
      </c>
      <c r="I1949" s="2" t="str">
        <f t="shared" si="150"/>
        <v>Oct</v>
      </c>
      <c r="J1949" s="2">
        <f t="shared" si="151"/>
        <v>10</v>
      </c>
      <c r="K1949" s="2">
        <f t="shared" si="152"/>
        <v>2025</v>
      </c>
      <c r="L1949" s="2">
        <f t="shared" si="153"/>
        <v>4</v>
      </c>
      <c r="M1949" s="4">
        <v>1</v>
      </c>
      <c r="N1949" s="4" t="s">
        <v>4254</v>
      </c>
      <c r="O1949" s="4" t="s">
        <v>45</v>
      </c>
      <c r="P1949" s="5">
        <v>285548</v>
      </c>
      <c r="Q1949" s="4"/>
      <c r="R1949" s="4"/>
      <c r="S1949" s="4" t="s">
        <v>5819</v>
      </c>
      <c r="T1949" s="4">
        <v>14.1</v>
      </c>
      <c r="U1949" s="4" t="s">
        <v>47</v>
      </c>
      <c r="V1949" s="4" t="s">
        <v>487</v>
      </c>
      <c r="W1949" s="67" t="str">
        <f t="shared" si="154"/>
        <v>-</v>
      </c>
    </row>
    <row r="1950" spans="1:23" x14ac:dyDescent="0.3">
      <c r="A1950" s="2" t="s">
        <v>4456</v>
      </c>
      <c r="B1950" s="2" t="s">
        <v>2549</v>
      </c>
      <c r="C1950" s="2">
        <v>9150259551</v>
      </c>
      <c r="D1950" s="2" t="s">
        <v>20</v>
      </c>
      <c r="E1950" s="2" t="s">
        <v>33</v>
      </c>
      <c r="F1950" s="2" t="s">
        <v>201</v>
      </c>
      <c r="G1950" s="2" t="s">
        <v>60</v>
      </c>
      <c r="H1950" s="2" t="s">
        <v>4310</v>
      </c>
      <c r="I1950" s="2" t="str">
        <f t="shared" si="150"/>
        <v>Oct</v>
      </c>
      <c r="J1950" s="2">
        <f t="shared" si="151"/>
        <v>10</v>
      </c>
      <c r="K1950" s="2">
        <f t="shared" si="152"/>
        <v>2025</v>
      </c>
      <c r="L1950" s="2">
        <f t="shared" si="153"/>
        <v>4</v>
      </c>
      <c r="M1950" s="2">
        <v>10</v>
      </c>
      <c r="N1950" s="2" t="s">
        <v>4384</v>
      </c>
      <c r="O1950" s="2" t="s">
        <v>55</v>
      </c>
      <c r="P1950" s="3">
        <v>164725</v>
      </c>
      <c r="Q1950" s="2"/>
      <c r="R1950" s="2"/>
      <c r="S1950" s="2" t="s">
        <v>5574</v>
      </c>
      <c r="T1950" s="2">
        <v>10.7</v>
      </c>
      <c r="U1950" s="2" t="s">
        <v>29</v>
      </c>
      <c r="V1950" s="2" t="s">
        <v>805</v>
      </c>
      <c r="W1950" s="67" t="str">
        <f t="shared" si="154"/>
        <v>-</v>
      </c>
    </row>
    <row r="1951" spans="1:23" x14ac:dyDescent="0.3">
      <c r="A1951" s="6" t="s">
        <v>4457</v>
      </c>
      <c r="B1951" s="6" t="s">
        <v>663</v>
      </c>
      <c r="C1951" s="6">
        <v>9322663959</v>
      </c>
      <c r="D1951" s="6" t="s">
        <v>20</v>
      </c>
      <c r="E1951" s="6" t="s">
        <v>41</v>
      </c>
      <c r="F1951" s="6" t="s">
        <v>151</v>
      </c>
      <c r="G1951" s="6" t="s">
        <v>1735</v>
      </c>
      <c r="H1951" s="6" t="s">
        <v>4310</v>
      </c>
      <c r="I1951" s="2" t="str">
        <f t="shared" si="150"/>
        <v>Oct</v>
      </c>
      <c r="J1951" s="2">
        <f t="shared" si="151"/>
        <v>10</v>
      </c>
      <c r="K1951" s="2">
        <f t="shared" si="152"/>
        <v>2025</v>
      </c>
      <c r="L1951" s="2">
        <f t="shared" si="153"/>
        <v>4</v>
      </c>
      <c r="M1951" s="6">
        <v>7</v>
      </c>
      <c r="N1951" s="6" t="s">
        <v>4458</v>
      </c>
      <c r="O1951" s="6" t="s">
        <v>97</v>
      </c>
      <c r="P1951" s="7">
        <v>2004279</v>
      </c>
      <c r="Q1951" s="7">
        <v>1795006</v>
      </c>
      <c r="R1951" s="6" t="s">
        <v>4459</v>
      </c>
      <c r="S1951" s="6" t="s">
        <v>5819</v>
      </c>
      <c r="T1951" s="6">
        <v>28.1</v>
      </c>
      <c r="U1951" s="6" t="s">
        <v>63</v>
      </c>
      <c r="V1951" s="6" t="s">
        <v>99</v>
      </c>
      <c r="W1951" s="67" t="str">
        <f t="shared" si="154"/>
        <v>Architect</v>
      </c>
    </row>
    <row r="1952" spans="1:23" x14ac:dyDescent="0.3">
      <c r="A1952" s="2" t="s">
        <v>4460</v>
      </c>
      <c r="B1952" s="2" t="s">
        <v>4461</v>
      </c>
      <c r="C1952" s="2">
        <v>9342640759</v>
      </c>
      <c r="D1952" s="2" t="s">
        <v>108</v>
      </c>
      <c r="E1952" s="2" t="s">
        <v>641</v>
      </c>
      <c r="F1952" s="2" t="s">
        <v>727</v>
      </c>
      <c r="G1952" s="2" t="s">
        <v>616</v>
      </c>
      <c r="H1952" s="2" t="s">
        <v>4237</v>
      </c>
      <c r="I1952" s="2" t="str">
        <f t="shared" si="150"/>
        <v>Oct</v>
      </c>
      <c r="J1952" s="2">
        <f t="shared" si="151"/>
        <v>10</v>
      </c>
      <c r="K1952" s="2">
        <f t="shared" si="152"/>
        <v>2025</v>
      </c>
      <c r="L1952" s="2">
        <f t="shared" si="153"/>
        <v>4</v>
      </c>
      <c r="M1952" s="2">
        <v>2</v>
      </c>
      <c r="N1952" s="2" t="s">
        <v>4277</v>
      </c>
      <c r="O1952" s="2" t="s">
        <v>45</v>
      </c>
      <c r="P1952" s="3">
        <v>184840</v>
      </c>
      <c r="Q1952" s="2"/>
      <c r="R1952" s="2"/>
      <c r="S1952" s="2" t="s">
        <v>5819</v>
      </c>
      <c r="T1952" s="2">
        <v>27</v>
      </c>
      <c r="U1952" s="2" t="s">
        <v>29</v>
      </c>
      <c r="V1952" s="2" t="s">
        <v>187</v>
      </c>
      <c r="W1952" s="67" t="str">
        <f t="shared" si="154"/>
        <v>-</v>
      </c>
    </row>
    <row r="1953" spans="1:23" x14ac:dyDescent="0.3">
      <c r="A1953" s="4" t="s">
        <v>4462</v>
      </c>
      <c r="B1953" s="4" t="s">
        <v>4463</v>
      </c>
      <c r="C1953" s="4">
        <v>9961154235</v>
      </c>
      <c r="D1953" s="4" t="s">
        <v>20</v>
      </c>
      <c r="E1953" s="4" t="s">
        <v>1632</v>
      </c>
      <c r="F1953" s="4" t="s">
        <v>1659</v>
      </c>
      <c r="G1953" s="4" t="s">
        <v>52</v>
      </c>
      <c r="H1953" s="4" t="s">
        <v>4237</v>
      </c>
      <c r="I1953" s="2" t="str">
        <f t="shared" si="150"/>
        <v>Oct</v>
      </c>
      <c r="J1953" s="2">
        <f t="shared" si="151"/>
        <v>10</v>
      </c>
      <c r="K1953" s="2">
        <f t="shared" si="152"/>
        <v>2025</v>
      </c>
      <c r="L1953" s="2">
        <f t="shared" si="153"/>
        <v>4</v>
      </c>
      <c r="M1953" s="4">
        <v>11</v>
      </c>
      <c r="N1953" s="4" t="s">
        <v>4464</v>
      </c>
      <c r="O1953" s="4" t="s">
        <v>45</v>
      </c>
      <c r="P1953" s="5">
        <v>439276</v>
      </c>
      <c r="Q1953" s="4"/>
      <c r="R1953" s="4"/>
      <c r="S1953" s="4" t="s">
        <v>5819</v>
      </c>
      <c r="T1953" s="4">
        <v>8.4</v>
      </c>
      <c r="U1953" s="4" t="s">
        <v>29</v>
      </c>
      <c r="V1953" s="4" t="s">
        <v>83</v>
      </c>
      <c r="W1953" s="67" t="str">
        <f t="shared" si="154"/>
        <v>-</v>
      </c>
    </row>
    <row r="1954" spans="1:23" x14ac:dyDescent="0.3">
      <c r="A1954" s="6" t="s">
        <v>4465</v>
      </c>
      <c r="B1954" s="6" t="s">
        <v>4466</v>
      </c>
      <c r="C1954" s="6">
        <v>9926778447</v>
      </c>
      <c r="D1954" s="6" t="s">
        <v>20</v>
      </c>
      <c r="E1954" s="6" t="s">
        <v>67</v>
      </c>
      <c r="F1954" s="6" t="s">
        <v>68</v>
      </c>
      <c r="G1954" s="6" t="s">
        <v>1609</v>
      </c>
      <c r="H1954" s="6" t="s">
        <v>4237</v>
      </c>
      <c r="I1954" s="2" t="str">
        <f t="shared" si="150"/>
        <v>Oct</v>
      </c>
      <c r="J1954" s="2">
        <f t="shared" si="151"/>
        <v>10</v>
      </c>
      <c r="K1954" s="2">
        <f t="shared" si="152"/>
        <v>2025</v>
      </c>
      <c r="L1954" s="2">
        <f t="shared" si="153"/>
        <v>4</v>
      </c>
      <c r="M1954" s="6">
        <v>6</v>
      </c>
      <c r="N1954" s="6" t="s">
        <v>4345</v>
      </c>
      <c r="O1954" s="6" t="s">
        <v>97</v>
      </c>
      <c r="P1954" s="7">
        <v>548379</v>
      </c>
      <c r="Q1954" s="7">
        <v>548760</v>
      </c>
      <c r="R1954" s="6" t="s">
        <v>4321</v>
      </c>
      <c r="S1954" s="6" t="s">
        <v>5574</v>
      </c>
      <c r="T1954" s="6">
        <v>28</v>
      </c>
      <c r="U1954" s="6" t="s">
        <v>63</v>
      </c>
      <c r="V1954" s="6" t="s">
        <v>341</v>
      </c>
      <c r="W1954" s="67" t="str">
        <f t="shared" si="154"/>
        <v>Customer</v>
      </c>
    </row>
    <row r="1955" spans="1:23" x14ac:dyDescent="0.3">
      <c r="A1955" s="4" t="s">
        <v>4467</v>
      </c>
      <c r="B1955" s="4" t="s">
        <v>4151</v>
      </c>
      <c r="C1955" s="4">
        <v>9955232186</v>
      </c>
      <c r="D1955" s="4" t="s">
        <v>108</v>
      </c>
      <c r="E1955" s="4" t="s">
        <v>648</v>
      </c>
      <c r="F1955" s="4" t="s">
        <v>656</v>
      </c>
      <c r="G1955" s="4" t="s">
        <v>69</v>
      </c>
      <c r="H1955" s="4" t="s">
        <v>4237</v>
      </c>
      <c r="I1955" s="2" t="str">
        <f t="shared" si="150"/>
        <v>Oct</v>
      </c>
      <c r="J1955" s="2">
        <f t="shared" si="151"/>
        <v>10</v>
      </c>
      <c r="K1955" s="2">
        <f t="shared" si="152"/>
        <v>2025</v>
      </c>
      <c r="L1955" s="2">
        <f t="shared" si="153"/>
        <v>4</v>
      </c>
      <c r="M1955" s="4">
        <v>4</v>
      </c>
      <c r="N1955" s="4" t="s">
        <v>4293</v>
      </c>
      <c r="O1955" s="4" t="s">
        <v>27</v>
      </c>
      <c r="P1955" s="5">
        <v>376505</v>
      </c>
      <c r="Q1955" s="4"/>
      <c r="R1955" s="4"/>
      <c r="S1955" s="4" t="s">
        <v>5574</v>
      </c>
      <c r="T1955" s="4">
        <v>35.700000000000003</v>
      </c>
      <c r="U1955" s="4" t="s">
        <v>29</v>
      </c>
      <c r="V1955" s="4"/>
      <c r="W1955" s="67" t="str">
        <f t="shared" si="154"/>
        <v>-</v>
      </c>
    </row>
    <row r="1956" spans="1:23" x14ac:dyDescent="0.3">
      <c r="A1956" s="2" t="s">
        <v>4468</v>
      </c>
      <c r="B1956" s="2" t="s">
        <v>4139</v>
      </c>
      <c r="C1956" s="2">
        <v>9890212452</v>
      </c>
      <c r="D1956" s="2" t="s">
        <v>121</v>
      </c>
      <c r="E1956" s="2" t="s">
        <v>67</v>
      </c>
      <c r="F1956" s="2" t="s">
        <v>68</v>
      </c>
      <c r="G1956" s="2" t="s">
        <v>87</v>
      </c>
      <c r="H1956" s="2" t="s">
        <v>4237</v>
      </c>
      <c r="I1956" s="2" t="str">
        <f t="shared" si="150"/>
        <v>Oct</v>
      </c>
      <c r="J1956" s="2">
        <f t="shared" si="151"/>
        <v>10</v>
      </c>
      <c r="K1956" s="2">
        <f t="shared" si="152"/>
        <v>2025</v>
      </c>
      <c r="L1956" s="2">
        <f t="shared" si="153"/>
        <v>4</v>
      </c>
      <c r="M1956" s="2">
        <v>3</v>
      </c>
      <c r="N1956" s="2" t="s">
        <v>4295</v>
      </c>
      <c r="O1956" s="2" t="s">
        <v>62</v>
      </c>
      <c r="P1956" s="2"/>
      <c r="Q1956" s="2"/>
      <c r="R1956" s="2"/>
      <c r="S1956" s="2" t="s">
        <v>5819</v>
      </c>
      <c r="T1956" s="2">
        <v>29.2</v>
      </c>
      <c r="U1956" s="2" t="s">
        <v>29</v>
      </c>
      <c r="V1956" s="2" t="s">
        <v>589</v>
      </c>
      <c r="W1956" s="67" t="str">
        <f t="shared" si="154"/>
        <v>-</v>
      </c>
    </row>
    <row r="1957" spans="1:23" x14ac:dyDescent="0.3">
      <c r="A1957" s="4" t="s">
        <v>4469</v>
      </c>
      <c r="B1957" s="4" t="s">
        <v>1646</v>
      </c>
      <c r="C1957" s="4">
        <v>9908961357</v>
      </c>
      <c r="D1957" s="4" t="s">
        <v>20</v>
      </c>
      <c r="E1957" s="4" t="s">
        <v>641</v>
      </c>
      <c r="F1957" s="4" t="s">
        <v>642</v>
      </c>
      <c r="G1957" s="4" t="s">
        <v>643</v>
      </c>
      <c r="H1957" s="4" t="s">
        <v>4237</v>
      </c>
      <c r="I1957" s="2" t="str">
        <f t="shared" si="150"/>
        <v>Oct</v>
      </c>
      <c r="J1957" s="2">
        <f t="shared" si="151"/>
        <v>10</v>
      </c>
      <c r="K1957" s="2">
        <f t="shared" si="152"/>
        <v>2025</v>
      </c>
      <c r="L1957" s="2">
        <f t="shared" si="153"/>
        <v>4</v>
      </c>
      <c r="M1957" s="4">
        <v>5</v>
      </c>
      <c r="N1957" s="4" t="s">
        <v>4295</v>
      </c>
      <c r="O1957" s="4" t="s">
        <v>45</v>
      </c>
      <c r="P1957" s="5">
        <v>999072</v>
      </c>
      <c r="Q1957" s="4"/>
      <c r="R1957" s="4"/>
      <c r="S1957" s="4" t="s">
        <v>5819</v>
      </c>
      <c r="T1957" s="4">
        <v>33.700000000000003</v>
      </c>
      <c r="U1957" s="4" t="s">
        <v>47</v>
      </c>
      <c r="V1957" s="4" t="s">
        <v>77</v>
      </c>
      <c r="W1957" s="67" t="str">
        <f t="shared" si="154"/>
        <v>-</v>
      </c>
    </row>
    <row r="1958" spans="1:23" x14ac:dyDescent="0.3">
      <c r="A1958" s="6" t="s">
        <v>4470</v>
      </c>
      <c r="B1958" s="6" t="s">
        <v>2561</v>
      </c>
      <c r="C1958" s="6">
        <v>9453616276</v>
      </c>
      <c r="D1958" s="6" t="s">
        <v>108</v>
      </c>
      <c r="E1958" s="6" t="s">
        <v>648</v>
      </c>
      <c r="F1958" s="6" t="s">
        <v>899</v>
      </c>
      <c r="G1958" s="6" t="s">
        <v>3302</v>
      </c>
      <c r="H1958" s="6" t="s">
        <v>4235</v>
      </c>
      <c r="I1958" s="2" t="str">
        <f t="shared" si="150"/>
        <v>Oct</v>
      </c>
      <c r="J1958" s="2">
        <f t="shared" si="151"/>
        <v>10</v>
      </c>
      <c r="K1958" s="2">
        <f t="shared" si="152"/>
        <v>2025</v>
      </c>
      <c r="L1958" s="2">
        <f t="shared" si="153"/>
        <v>4</v>
      </c>
      <c r="M1958" s="6">
        <v>7</v>
      </c>
      <c r="N1958" s="6" t="s">
        <v>4267</v>
      </c>
      <c r="O1958" s="6" t="s">
        <v>97</v>
      </c>
      <c r="P1958" s="7">
        <v>2210476</v>
      </c>
      <c r="Q1958" s="7">
        <v>1962006</v>
      </c>
      <c r="R1958" s="6" t="s">
        <v>4458</v>
      </c>
      <c r="S1958" s="6" t="s">
        <v>5819</v>
      </c>
      <c r="T1958" s="6">
        <v>21.5</v>
      </c>
      <c r="U1958" s="6" t="s">
        <v>63</v>
      </c>
      <c r="V1958" s="6"/>
      <c r="W1958" s="67" t="str">
        <f t="shared" si="154"/>
        <v>Customer</v>
      </c>
    </row>
    <row r="1959" spans="1:23" x14ac:dyDescent="0.3">
      <c r="A1959" s="4" t="s">
        <v>4471</v>
      </c>
      <c r="B1959" s="4" t="s">
        <v>2357</v>
      </c>
      <c r="C1959" s="4">
        <v>9124660552</v>
      </c>
      <c r="D1959" s="4" t="s">
        <v>51</v>
      </c>
      <c r="E1959" s="4" t="s">
        <v>1632</v>
      </c>
      <c r="F1959" s="4" t="s">
        <v>1633</v>
      </c>
      <c r="G1959" s="4" t="s">
        <v>1735</v>
      </c>
      <c r="H1959" s="4" t="s">
        <v>4235</v>
      </c>
      <c r="I1959" s="2" t="str">
        <f t="shared" si="150"/>
        <v>Oct</v>
      </c>
      <c r="J1959" s="2">
        <f t="shared" si="151"/>
        <v>10</v>
      </c>
      <c r="K1959" s="2">
        <f t="shared" si="152"/>
        <v>2025</v>
      </c>
      <c r="L1959" s="2">
        <f t="shared" si="153"/>
        <v>4</v>
      </c>
      <c r="M1959" s="4">
        <v>5</v>
      </c>
      <c r="N1959" s="4" t="s">
        <v>4267</v>
      </c>
      <c r="O1959" s="4" t="s">
        <v>27</v>
      </c>
      <c r="P1959" s="5">
        <v>1911310</v>
      </c>
      <c r="Q1959" s="4"/>
      <c r="R1959" s="4"/>
      <c r="S1959" s="4" t="s">
        <v>5573</v>
      </c>
      <c r="T1959" s="4">
        <v>14.2</v>
      </c>
      <c r="U1959" s="4" t="s">
        <v>47</v>
      </c>
      <c r="V1959" s="4" t="s">
        <v>123</v>
      </c>
      <c r="W1959" s="67" t="str">
        <f t="shared" si="154"/>
        <v>-</v>
      </c>
    </row>
    <row r="1960" spans="1:23" x14ac:dyDescent="0.3">
      <c r="A1960" s="2" t="s">
        <v>4472</v>
      </c>
      <c r="B1960" s="2" t="s">
        <v>4473</v>
      </c>
      <c r="C1960" s="2">
        <v>9748044381</v>
      </c>
      <c r="D1960" s="2" t="s">
        <v>20</v>
      </c>
      <c r="E1960" s="2" t="s">
        <v>41</v>
      </c>
      <c r="F1960" s="2" t="s">
        <v>151</v>
      </c>
      <c r="G1960" s="2" t="s">
        <v>69</v>
      </c>
      <c r="H1960" s="2" t="s">
        <v>4235</v>
      </c>
      <c r="I1960" s="2" t="str">
        <f t="shared" si="150"/>
        <v>Oct</v>
      </c>
      <c r="J1960" s="2">
        <f t="shared" si="151"/>
        <v>10</v>
      </c>
      <c r="K1960" s="2">
        <f t="shared" si="152"/>
        <v>2025</v>
      </c>
      <c r="L1960" s="2">
        <f t="shared" si="153"/>
        <v>4</v>
      </c>
      <c r="M1960" s="2">
        <v>6</v>
      </c>
      <c r="N1960" s="2" t="s">
        <v>4404</v>
      </c>
      <c r="O1960" s="2" t="s">
        <v>45</v>
      </c>
      <c r="P1960" s="3">
        <v>142396</v>
      </c>
      <c r="Q1960" s="2"/>
      <c r="R1960" s="2"/>
      <c r="S1960" s="2" t="s">
        <v>5574</v>
      </c>
      <c r="T1960" s="2">
        <v>18.100000000000001</v>
      </c>
      <c r="U1960" s="2" t="s">
        <v>47</v>
      </c>
      <c r="V1960" s="2" t="s">
        <v>381</v>
      </c>
      <c r="W1960" s="67" t="str">
        <f t="shared" si="154"/>
        <v>-</v>
      </c>
    </row>
    <row r="1961" spans="1:23" x14ac:dyDescent="0.3">
      <c r="A1961" s="6" t="s">
        <v>4474</v>
      </c>
      <c r="B1961" s="6" t="s">
        <v>4475</v>
      </c>
      <c r="C1961" s="6">
        <v>9160651818</v>
      </c>
      <c r="D1961" s="6" t="s">
        <v>108</v>
      </c>
      <c r="E1961" s="6" t="s">
        <v>41</v>
      </c>
      <c r="F1961" s="6" t="s">
        <v>86</v>
      </c>
      <c r="G1961" s="6" t="s">
        <v>23</v>
      </c>
      <c r="H1961" s="6" t="s">
        <v>4235</v>
      </c>
      <c r="I1961" s="2" t="str">
        <f t="shared" si="150"/>
        <v>Oct</v>
      </c>
      <c r="J1961" s="2">
        <f t="shared" si="151"/>
        <v>10</v>
      </c>
      <c r="K1961" s="2">
        <f t="shared" si="152"/>
        <v>2025</v>
      </c>
      <c r="L1961" s="2">
        <f t="shared" si="153"/>
        <v>4</v>
      </c>
      <c r="M1961" s="6">
        <v>2</v>
      </c>
      <c r="N1961" s="6" t="s">
        <v>4275</v>
      </c>
      <c r="O1961" s="6" t="s">
        <v>97</v>
      </c>
      <c r="P1961" s="7">
        <v>817109</v>
      </c>
      <c r="Q1961" s="7">
        <v>764937</v>
      </c>
      <c r="R1961" s="6" t="s">
        <v>4423</v>
      </c>
      <c r="S1961" s="6" t="s">
        <v>5573</v>
      </c>
      <c r="T1961" s="6">
        <v>14.5</v>
      </c>
      <c r="U1961" s="6" t="s">
        <v>63</v>
      </c>
      <c r="V1961" s="6" t="s">
        <v>341</v>
      </c>
      <c r="W1961" s="67" t="str">
        <f t="shared" si="154"/>
        <v>Customer</v>
      </c>
    </row>
    <row r="1962" spans="1:23" x14ac:dyDescent="0.3">
      <c r="A1962" s="2" t="s">
        <v>4476</v>
      </c>
      <c r="B1962" s="2" t="s">
        <v>400</v>
      </c>
      <c r="C1962" s="2">
        <v>9550634895</v>
      </c>
      <c r="D1962" s="2" t="s">
        <v>51</v>
      </c>
      <c r="E1962" s="2" t="s">
        <v>1632</v>
      </c>
      <c r="F1962" s="2" t="s">
        <v>1694</v>
      </c>
      <c r="G1962" s="2" t="s">
        <v>1677</v>
      </c>
      <c r="H1962" s="2" t="s">
        <v>4235</v>
      </c>
      <c r="I1962" s="2" t="str">
        <f t="shared" si="150"/>
        <v>Oct</v>
      </c>
      <c r="J1962" s="2">
        <f t="shared" si="151"/>
        <v>10</v>
      </c>
      <c r="K1962" s="2">
        <f t="shared" si="152"/>
        <v>2025</v>
      </c>
      <c r="L1962" s="2">
        <f t="shared" si="153"/>
        <v>4</v>
      </c>
      <c r="M1962" s="2">
        <v>5</v>
      </c>
      <c r="N1962" s="2" t="s">
        <v>4267</v>
      </c>
      <c r="O1962" s="2" t="s">
        <v>45</v>
      </c>
      <c r="P1962" s="3">
        <v>1630772</v>
      </c>
      <c r="Q1962" s="2"/>
      <c r="R1962" s="2"/>
      <c r="S1962" s="2" t="s">
        <v>5574</v>
      </c>
      <c r="T1962" s="2">
        <v>23.2</v>
      </c>
      <c r="U1962" s="2" t="s">
        <v>63</v>
      </c>
      <c r="V1962" s="2"/>
      <c r="W1962" s="67" t="str">
        <f t="shared" si="154"/>
        <v>-</v>
      </c>
    </row>
    <row r="1963" spans="1:23" x14ac:dyDescent="0.3">
      <c r="A1963" s="4" t="s">
        <v>4477</v>
      </c>
      <c r="B1963" s="4" t="s">
        <v>4478</v>
      </c>
      <c r="C1963" s="4">
        <v>9837840430</v>
      </c>
      <c r="D1963" s="4" t="s">
        <v>121</v>
      </c>
      <c r="E1963" s="4" t="s">
        <v>41</v>
      </c>
      <c r="F1963" s="4" t="s">
        <v>42</v>
      </c>
      <c r="G1963" s="4" t="s">
        <v>643</v>
      </c>
      <c r="H1963" s="4" t="s">
        <v>4235</v>
      </c>
      <c r="I1963" s="2" t="str">
        <f t="shared" si="150"/>
        <v>Oct</v>
      </c>
      <c r="J1963" s="2">
        <f t="shared" si="151"/>
        <v>10</v>
      </c>
      <c r="K1963" s="2">
        <f t="shared" si="152"/>
        <v>2025</v>
      </c>
      <c r="L1963" s="2">
        <f t="shared" si="153"/>
        <v>4</v>
      </c>
      <c r="M1963" s="4">
        <v>12</v>
      </c>
      <c r="N1963" s="4" t="s">
        <v>4295</v>
      </c>
      <c r="O1963" s="4" t="s">
        <v>55</v>
      </c>
      <c r="P1963" s="5">
        <v>1411182</v>
      </c>
      <c r="Q1963" s="4"/>
      <c r="R1963" s="4"/>
      <c r="S1963" s="4" t="s">
        <v>5819</v>
      </c>
      <c r="T1963" s="4">
        <v>22.1</v>
      </c>
      <c r="U1963" s="4" t="s">
        <v>29</v>
      </c>
      <c r="V1963" s="4" t="s">
        <v>83</v>
      </c>
      <c r="W1963" s="67" t="str">
        <f t="shared" si="154"/>
        <v>-</v>
      </c>
    </row>
    <row r="1964" spans="1:23" x14ac:dyDescent="0.3">
      <c r="A1964" s="2" t="s">
        <v>4479</v>
      </c>
      <c r="B1964" s="2" t="s">
        <v>4480</v>
      </c>
      <c r="C1964" s="2">
        <v>9921660774</v>
      </c>
      <c r="D1964" s="2" t="s">
        <v>121</v>
      </c>
      <c r="E1964" s="2" t="s">
        <v>1632</v>
      </c>
      <c r="F1964" s="2" t="s">
        <v>1659</v>
      </c>
      <c r="G1964" s="2" t="s">
        <v>616</v>
      </c>
      <c r="H1964" s="2" t="s">
        <v>4235</v>
      </c>
      <c r="I1964" s="2" t="str">
        <f t="shared" si="150"/>
        <v>Oct</v>
      </c>
      <c r="J1964" s="2">
        <f t="shared" si="151"/>
        <v>10</v>
      </c>
      <c r="K1964" s="2">
        <f t="shared" si="152"/>
        <v>2025</v>
      </c>
      <c r="L1964" s="2">
        <f t="shared" si="153"/>
        <v>4</v>
      </c>
      <c r="M1964" s="2">
        <v>3</v>
      </c>
      <c r="N1964" s="2" t="s">
        <v>4275</v>
      </c>
      <c r="O1964" s="2" t="s">
        <v>55</v>
      </c>
      <c r="P1964" s="3">
        <v>209914</v>
      </c>
      <c r="Q1964" s="2"/>
      <c r="R1964" s="2"/>
      <c r="S1964" s="2" t="s">
        <v>5573</v>
      </c>
      <c r="T1964" s="2">
        <v>9.4</v>
      </c>
      <c r="U1964" s="2" t="s">
        <v>29</v>
      </c>
      <c r="V1964" s="2" t="s">
        <v>805</v>
      </c>
      <c r="W1964" s="67" t="str">
        <f t="shared" si="154"/>
        <v>-</v>
      </c>
    </row>
    <row r="1965" spans="1:23" x14ac:dyDescent="0.3">
      <c r="A1965" s="4" t="s">
        <v>4481</v>
      </c>
      <c r="B1965" s="4" t="s">
        <v>2578</v>
      </c>
      <c r="C1965" s="4"/>
      <c r="D1965" s="4" t="s">
        <v>121</v>
      </c>
      <c r="E1965" s="4" t="s">
        <v>648</v>
      </c>
      <c r="F1965" s="4" t="s">
        <v>822</v>
      </c>
      <c r="G1965" s="4" t="s">
        <v>1735</v>
      </c>
      <c r="H1965" s="4" t="s">
        <v>4235</v>
      </c>
      <c r="I1965" s="2" t="str">
        <f t="shared" si="150"/>
        <v>Oct</v>
      </c>
      <c r="J1965" s="2">
        <f t="shared" si="151"/>
        <v>10</v>
      </c>
      <c r="K1965" s="2">
        <f t="shared" si="152"/>
        <v>2025</v>
      </c>
      <c r="L1965" s="2">
        <f t="shared" si="153"/>
        <v>4</v>
      </c>
      <c r="M1965" s="4">
        <v>6</v>
      </c>
      <c r="N1965" s="4" t="s">
        <v>4228</v>
      </c>
      <c r="O1965" s="4" t="s">
        <v>27</v>
      </c>
      <c r="P1965" s="5">
        <v>1698567</v>
      </c>
      <c r="Q1965" s="4"/>
      <c r="R1965" s="4"/>
      <c r="S1965" s="4" t="s">
        <v>5819</v>
      </c>
      <c r="T1965" s="4">
        <v>17.7</v>
      </c>
      <c r="U1965" s="4" t="s">
        <v>29</v>
      </c>
      <c r="V1965" s="4" t="s">
        <v>2150</v>
      </c>
      <c r="W1965" s="67" t="str">
        <f t="shared" si="154"/>
        <v>-</v>
      </c>
    </row>
    <row r="1966" spans="1:23" x14ac:dyDescent="0.3">
      <c r="A1966" s="6" t="s">
        <v>4482</v>
      </c>
      <c r="B1966" s="6" t="s">
        <v>787</v>
      </c>
      <c r="C1966" s="6">
        <v>9547027951</v>
      </c>
      <c r="D1966" s="6" t="s">
        <v>20</v>
      </c>
      <c r="E1966" s="6" t="s">
        <v>641</v>
      </c>
      <c r="F1966" s="6" t="s">
        <v>642</v>
      </c>
      <c r="G1966" s="6" t="s">
        <v>23</v>
      </c>
      <c r="H1966" s="6" t="s">
        <v>4235</v>
      </c>
      <c r="I1966" s="2" t="str">
        <f t="shared" si="150"/>
        <v>Oct</v>
      </c>
      <c r="J1966" s="2">
        <f t="shared" si="151"/>
        <v>10</v>
      </c>
      <c r="K1966" s="2">
        <f t="shared" si="152"/>
        <v>2025</v>
      </c>
      <c r="L1966" s="2">
        <f t="shared" si="153"/>
        <v>4</v>
      </c>
      <c r="M1966" s="6">
        <v>7</v>
      </c>
      <c r="N1966" s="6" t="s">
        <v>4483</v>
      </c>
      <c r="O1966" s="6" t="s">
        <v>97</v>
      </c>
      <c r="P1966" s="7">
        <v>389466</v>
      </c>
      <c r="Q1966" s="7">
        <v>388058</v>
      </c>
      <c r="R1966" s="6" t="s">
        <v>4271</v>
      </c>
      <c r="S1966" s="6" t="s">
        <v>5573</v>
      </c>
      <c r="T1966" s="6">
        <v>31.6</v>
      </c>
      <c r="U1966" s="6" t="s">
        <v>63</v>
      </c>
      <c r="V1966" s="6" t="s">
        <v>483</v>
      </c>
      <c r="W1966" s="67" t="str">
        <f t="shared" si="154"/>
        <v>Customer</v>
      </c>
    </row>
    <row r="1967" spans="1:23" x14ac:dyDescent="0.3">
      <c r="A1967" s="4" t="s">
        <v>4484</v>
      </c>
      <c r="B1967" s="4" t="s">
        <v>240</v>
      </c>
      <c r="C1967" s="4">
        <v>9812306253</v>
      </c>
      <c r="D1967" s="4" t="s">
        <v>20</v>
      </c>
      <c r="E1967" s="4" t="s">
        <v>641</v>
      </c>
      <c r="F1967" s="4" t="s">
        <v>727</v>
      </c>
      <c r="G1967" s="4" t="s">
        <v>1677</v>
      </c>
      <c r="H1967" s="4" t="s">
        <v>4235</v>
      </c>
      <c r="I1967" s="2" t="str">
        <f t="shared" si="150"/>
        <v>Oct</v>
      </c>
      <c r="J1967" s="2">
        <f t="shared" si="151"/>
        <v>10</v>
      </c>
      <c r="K1967" s="2">
        <f t="shared" si="152"/>
        <v>2025</v>
      </c>
      <c r="L1967" s="2">
        <f t="shared" si="153"/>
        <v>4</v>
      </c>
      <c r="M1967" s="4">
        <v>7</v>
      </c>
      <c r="N1967" s="4" t="s">
        <v>4409</v>
      </c>
      <c r="O1967" s="4" t="s">
        <v>27</v>
      </c>
      <c r="P1967" s="5">
        <v>1108694</v>
      </c>
      <c r="Q1967" s="4"/>
      <c r="R1967" s="4"/>
      <c r="S1967" s="4" t="s">
        <v>5819</v>
      </c>
      <c r="T1967" s="4">
        <v>27.4</v>
      </c>
      <c r="U1967" s="4" t="s">
        <v>29</v>
      </c>
      <c r="V1967" s="4" t="s">
        <v>30</v>
      </c>
      <c r="W1967" s="67" t="str">
        <f t="shared" si="154"/>
        <v>-</v>
      </c>
    </row>
    <row r="1968" spans="1:23" x14ac:dyDescent="0.3">
      <c r="A1968" s="2" t="s">
        <v>4485</v>
      </c>
      <c r="B1968" s="2" t="s">
        <v>4486</v>
      </c>
      <c r="C1968" s="2"/>
      <c r="D1968" s="2" t="s">
        <v>121</v>
      </c>
      <c r="E1968" s="2" t="s">
        <v>648</v>
      </c>
      <c r="F1968" s="2" t="s">
        <v>899</v>
      </c>
      <c r="G1968" s="2" t="s">
        <v>52</v>
      </c>
      <c r="H1968" s="2" t="s">
        <v>4235</v>
      </c>
      <c r="I1968" s="2" t="str">
        <f t="shared" si="150"/>
        <v>Oct</v>
      </c>
      <c r="J1968" s="2">
        <f t="shared" si="151"/>
        <v>10</v>
      </c>
      <c r="K1968" s="2">
        <f t="shared" si="152"/>
        <v>2025</v>
      </c>
      <c r="L1968" s="2">
        <f t="shared" si="153"/>
        <v>4</v>
      </c>
      <c r="M1968" s="2">
        <v>4</v>
      </c>
      <c r="N1968" s="2" t="s">
        <v>4369</v>
      </c>
      <c r="O1968" s="2" t="s">
        <v>55</v>
      </c>
      <c r="P1968" s="3">
        <v>309671</v>
      </c>
      <c r="Q1968" s="2"/>
      <c r="R1968" s="2"/>
      <c r="S1968" s="2" t="s">
        <v>5574</v>
      </c>
      <c r="T1968" s="2">
        <v>8.6999999999999993</v>
      </c>
      <c r="U1968" s="2" t="s">
        <v>29</v>
      </c>
      <c r="V1968" s="2" t="s">
        <v>3513</v>
      </c>
      <c r="W1968" s="67" t="str">
        <f t="shared" si="154"/>
        <v>-</v>
      </c>
    </row>
    <row r="1969" spans="1:23" x14ac:dyDescent="0.3">
      <c r="A1969" s="6" t="s">
        <v>4487</v>
      </c>
      <c r="B1969" s="6" t="s">
        <v>2891</v>
      </c>
      <c r="C1969" s="6">
        <v>9507790010</v>
      </c>
      <c r="D1969" s="6" t="s">
        <v>108</v>
      </c>
      <c r="E1969" s="6" t="s">
        <v>1632</v>
      </c>
      <c r="F1969" s="6" t="s">
        <v>1694</v>
      </c>
      <c r="G1969" s="6" t="s">
        <v>1599</v>
      </c>
      <c r="H1969" s="6" t="s">
        <v>4235</v>
      </c>
      <c r="I1969" s="2" t="str">
        <f t="shared" si="150"/>
        <v>Oct</v>
      </c>
      <c r="J1969" s="2">
        <f t="shared" si="151"/>
        <v>10</v>
      </c>
      <c r="K1969" s="2">
        <f t="shared" si="152"/>
        <v>2025</v>
      </c>
      <c r="L1969" s="2">
        <f t="shared" si="153"/>
        <v>4</v>
      </c>
      <c r="M1969" s="6">
        <v>9</v>
      </c>
      <c r="N1969" s="6" t="s">
        <v>4267</v>
      </c>
      <c r="O1969" s="6" t="s">
        <v>97</v>
      </c>
      <c r="P1969" s="7">
        <v>822692</v>
      </c>
      <c r="Q1969" s="7">
        <v>750858</v>
      </c>
      <c r="R1969" s="6" t="s">
        <v>4381</v>
      </c>
      <c r="S1969" s="6" t="s">
        <v>5819</v>
      </c>
      <c r="T1969" s="6">
        <v>33.1</v>
      </c>
      <c r="U1969" s="6" t="s">
        <v>63</v>
      </c>
      <c r="V1969" s="6" t="s">
        <v>341</v>
      </c>
      <c r="W1969" s="67" t="str">
        <f t="shared" si="154"/>
        <v>Customer</v>
      </c>
    </row>
    <row r="1970" spans="1:23" x14ac:dyDescent="0.3">
      <c r="A1970" s="6" t="s">
        <v>4488</v>
      </c>
      <c r="B1970" s="6" t="s">
        <v>1197</v>
      </c>
      <c r="C1970" s="6">
        <v>9119037569</v>
      </c>
      <c r="D1970" s="6" t="s">
        <v>121</v>
      </c>
      <c r="E1970" s="6" t="s">
        <v>648</v>
      </c>
      <c r="F1970" s="6" t="s">
        <v>656</v>
      </c>
      <c r="G1970" s="6" t="s">
        <v>1621</v>
      </c>
      <c r="H1970" s="6" t="s">
        <v>4419</v>
      </c>
      <c r="I1970" s="2" t="str">
        <f t="shared" si="150"/>
        <v>Oct</v>
      </c>
      <c r="J1970" s="2">
        <f t="shared" si="151"/>
        <v>10</v>
      </c>
      <c r="K1970" s="2">
        <f t="shared" si="152"/>
        <v>2025</v>
      </c>
      <c r="L1970" s="2">
        <f t="shared" si="153"/>
        <v>4</v>
      </c>
      <c r="M1970" s="6">
        <v>1</v>
      </c>
      <c r="N1970" s="6" t="s">
        <v>4307</v>
      </c>
      <c r="O1970" s="6" t="s">
        <v>97</v>
      </c>
      <c r="P1970" s="7">
        <v>436096</v>
      </c>
      <c r="Q1970" s="7">
        <v>436888</v>
      </c>
      <c r="R1970" s="6" t="s">
        <v>4249</v>
      </c>
      <c r="S1970" s="6" t="s">
        <v>5574</v>
      </c>
      <c r="T1970" s="6">
        <v>31.1</v>
      </c>
      <c r="U1970" s="6" t="s">
        <v>63</v>
      </c>
      <c r="V1970" s="6" t="s">
        <v>295</v>
      </c>
      <c r="W1970" s="67" t="str">
        <f t="shared" si="154"/>
        <v>Customer</v>
      </c>
    </row>
    <row r="1971" spans="1:23" x14ac:dyDescent="0.3">
      <c r="A1971" s="6" t="s">
        <v>4489</v>
      </c>
      <c r="B1971" s="6" t="s">
        <v>4490</v>
      </c>
      <c r="C1971" s="6">
        <v>9295578761</v>
      </c>
      <c r="D1971" s="6" t="s">
        <v>20</v>
      </c>
      <c r="E1971" s="6" t="s">
        <v>109</v>
      </c>
      <c r="F1971" s="6" t="s">
        <v>331</v>
      </c>
      <c r="G1971" s="6" t="s">
        <v>1735</v>
      </c>
      <c r="H1971" s="6" t="s">
        <v>4419</v>
      </c>
      <c r="I1971" s="2" t="str">
        <f t="shared" si="150"/>
        <v>Oct</v>
      </c>
      <c r="J1971" s="2">
        <f t="shared" si="151"/>
        <v>10</v>
      </c>
      <c r="K1971" s="2">
        <f t="shared" si="152"/>
        <v>2025</v>
      </c>
      <c r="L1971" s="2">
        <f t="shared" si="153"/>
        <v>4</v>
      </c>
      <c r="M1971" s="6">
        <v>5</v>
      </c>
      <c r="N1971" s="6" t="s">
        <v>4321</v>
      </c>
      <c r="O1971" s="6" t="s">
        <v>97</v>
      </c>
      <c r="P1971" s="7">
        <v>1491158</v>
      </c>
      <c r="Q1971" s="7">
        <v>1526740</v>
      </c>
      <c r="R1971" s="6" t="s">
        <v>4228</v>
      </c>
      <c r="S1971" s="6" t="s">
        <v>5819</v>
      </c>
      <c r="T1971" s="6">
        <v>25.2</v>
      </c>
      <c r="U1971" s="6" t="s">
        <v>63</v>
      </c>
      <c r="V1971" s="6" t="s">
        <v>465</v>
      </c>
      <c r="W1971" s="67" t="str">
        <f t="shared" si="154"/>
        <v>Customer</v>
      </c>
    </row>
    <row r="1972" spans="1:23" x14ac:dyDescent="0.3">
      <c r="A1972" s="2" t="s">
        <v>4491</v>
      </c>
      <c r="B1972" s="2" t="s">
        <v>426</v>
      </c>
      <c r="C1972" s="2">
        <v>9898649496</v>
      </c>
      <c r="D1972" s="2" t="s">
        <v>20</v>
      </c>
      <c r="E1972" s="2" t="s">
        <v>648</v>
      </c>
      <c r="F1972" s="2" t="s">
        <v>649</v>
      </c>
      <c r="G1972" s="2" t="s">
        <v>23</v>
      </c>
      <c r="H1972" s="2" t="s">
        <v>4419</v>
      </c>
      <c r="I1972" s="2" t="str">
        <f t="shared" si="150"/>
        <v>Oct</v>
      </c>
      <c r="J1972" s="2">
        <f t="shared" si="151"/>
        <v>10</v>
      </c>
      <c r="K1972" s="2">
        <f t="shared" si="152"/>
        <v>2025</v>
      </c>
      <c r="L1972" s="2">
        <f t="shared" si="153"/>
        <v>4</v>
      </c>
      <c r="M1972" s="2">
        <v>4</v>
      </c>
      <c r="N1972" s="2" t="s">
        <v>4267</v>
      </c>
      <c r="O1972" s="2" t="s">
        <v>45</v>
      </c>
      <c r="P1972" s="3">
        <v>370838</v>
      </c>
      <c r="Q1972" s="2"/>
      <c r="R1972" s="2"/>
      <c r="S1972" s="2" t="s">
        <v>5819</v>
      </c>
      <c r="T1972" s="2">
        <v>17.8</v>
      </c>
      <c r="U1972" s="2" t="s">
        <v>47</v>
      </c>
      <c r="V1972" s="2" t="s">
        <v>212</v>
      </c>
      <c r="W1972" s="67" t="str">
        <f t="shared" si="154"/>
        <v>-</v>
      </c>
    </row>
    <row r="1973" spans="1:23" x14ac:dyDescent="0.3">
      <c r="A1973" s="4" t="s">
        <v>4492</v>
      </c>
      <c r="B1973" s="4" t="s">
        <v>2049</v>
      </c>
      <c r="C1973" s="4">
        <v>9987966276</v>
      </c>
      <c r="D1973" s="4" t="s">
        <v>20</v>
      </c>
      <c r="E1973" s="4" t="s">
        <v>41</v>
      </c>
      <c r="F1973" s="4" t="s">
        <v>92</v>
      </c>
      <c r="G1973" s="4" t="s">
        <v>69</v>
      </c>
      <c r="H1973" s="4" t="s">
        <v>4253</v>
      </c>
      <c r="I1973" s="2" t="str">
        <f t="shared" si="150"/>
        <v>Oct</v>
      </c>
      <c r="J1973" s="2">
        <f t="shared" si="151"/>
        <v>10</v>
      </c>
      <c r="K1973" s="2">
        <f t="shared" si="152"/>
        <v>2025</v>
      </c>
      <c r="L1973" s="2">
        <f t="shared" si="153"/>
        <v>4</v>
      </c>
      <c r="M1973" s="4">
        <v>2</v>
      </c>
      <c r="N1973" s="4" t="s">
        <v>4312</v>
      </c>
      <c r="O1973" s="4" t="s">
        <v>55</v>
      </c>
      <c r="P1973" s="5">
        <v>366386</v>
      </c>
      <c r="Q1973" s="4"/>
      <c r="R1973" s="4"/>
      <c r="S1973" s="4" t="s">
        <v>5574</v>
      </c>
      <c r="T1973" s="4">
        <v>1.6</v>
      </c>
      <c r="U1973" s="4" t="s">
        <v>29</v>
      </c>
      <c r="V1973" s="4" t="s">
        <v>442</v>
      </c>
      <c r="W1973" s="67" t="str">
        <f t="shared" si="154"/>
        <v>-</v>
      </c>
    </row>
    <row r="1974" spans="1:23" x14ac:dyDescent="0.3">
      <c r="A1974" s="2" t="s">
        <v>4493</v>
      </c>
      <c r="B1974" s="2" t="s">
        <v>4494</v>
      </c>
      <c r="C1974" s="2">
        <v>9152739714</v>
      </c>
      <c r="D1974" s="2" t="s">
        <v>59</v>
      </c>
      <c r="E1974" s="2" t="s">
        <v>21</v>
      </c>
      <c r="F1974" s="2" t="s">
        <v>230</v>
      </c>
      <c r="G1974" s="2" t="s">
        <v>35</v>
      </c>
      <c r="H1974" s="2" t="s">
        <v>4253</v>
      </c>
      <c r="I1974" s="2" t="str">
        <f t="shared" si="150"/>
        <v>Oct</v>
      </c>
      <c r="J1974" s="2">
        <f t="shared" si="151"/>
        <v>10</v>
      </c>
      <c r="K1974" s="2">
        <f t="shared" si="152"/>
        <v>2025</v>
      </c>
      <c r="L1974" s="2">
        <f t="shared" si="153"/>
        <v>4</v>
      </c>
      <c r="M1974" s="2">
        <v>8</v>
      </c>
      <c r="N1974" s="2" t="s">
        <v>4228</v>
      </c>
      <c r="O1974" s="2" t="s">
        <v>27</v>
      </c>
      <c r="P1974" s="3">
        <v>221858</v>
      </c>
      <c r="Q1974" s="2"/>
      <c r="R1974" s="2"/>
      <c r="S1974" s="2" t="s">
        <v>5574</v>
      </c>
      <c r="T1974" s="2">
        <v>33.299999999999997</v>
      </c>
      <c r="U1974" s="2" t="s">
        <v>29</v>
      </c>
      <c r="V1974" s="2" t="s">
        <v>118</v>
      </c>
      <c r="W1974" s="67" t="str">
        <f t="shared" si="154"/>
        <v>-</v>
      </c>
    </row>
    <row r="1975" spans="1:23" x14ac:dyDescent="0.3">
      <c r="A1975" s="4" t="s">
        <v>4495</v>
      </c>
      <c r="B1975" s="4" t="s">
        <v>1663</v>
      </c>
      <c r="C1975" s="4">
        <v>9573946809</v>
      </c>
      <c r="D1975" s="4" t="s">
        <v>20</v>
      </c>
      <c r="E1975" s="4" t="s">
        <v>641</v>
      </c>
      <c r="F1975" s="4" t="s">
        <v>642</v>
      </c>
      <c r="G1975" s="4" t="s">
        <v>52</v>
      </c>
      <c r="H1975" s="4" t="s">
        <v>4253</v>
      </c>
      <c r="I1975" s="2" t="str">
        <f t="shared" si="150"/>
        <v>Oct</v>
      </c>
      <c r="J1975" s="2">
        <f t="shared" si="151"/>
        <v>10</v>
      </c>
      <c r="K1975" s="2">
        <f t="shared" si="152"/>
        <v>2025</v>
      </c>
      <c r="L1975" s="2">
        <f t="shared" si="153"/>
        <v>4</v>
      </c>
      <c r="M1975" s="4">
        <v>1</v>
      </c>
      <c r="N1975" s="4" t="s">
        <v>4496</v>
      </c>
      <c r="O1975" s="4" t="s">
        <v>45</v>
      </c>
      <c r="P1975" s="5">
        <v>607586</v>
      </c>
      <c r="Q1975" s="4"/>
      <c r="R1975" s="4"/>
      <c r="S1975" s="4" t="s">
        <v>5573</v>
      </c>
      <c r="T1975" s="4">
        <v>24.3</v>
      </c>
      <c r="U1975" s="4" t="s">
        <v>47</v>
      </c>
      <c r="V1975" s="4" t="s">
        <v>174</v>
      </c>
      <c r="W1975" s="67" t="str">
        <f t="shared" si="154"/>
        <v>-</v>
      </c>
    </row>
    <row r="1976" spans="1:23" x14ac:dyDescent="0.3">
      <c r="A1976" s="2" t="s">
        <v>4497</v>
      </c>
      <c r="B1976" s="2" t="s">
        <v>2371</v>
      </c>
      <c r="C1976" s="2">
        <v>9519084745</v>
      </c>
      <c r="D1976" s="2" t="s">
        <v>108</v>
      </c>
      <c r="E1976" s="2" t="s">
        <v>1632</v>
      </c>
      <c r="F1976" s="2" t="s">
        <v>1659</v>
      </c>
      <c r="G1976" s="2" t="s">
        <v>643</v>
      </c>
      <c r="H1976" s="2" t="s">
        <v>4253</v>
      </c>
      <c r="I1976" s="2" t="str">
        <f t="shared" si="150"/>
        <v>Oct</v>
      </c>
      <c r="J1976" s="2">
        <f t="shared" si="151"/>
        <v>10</v>
      </c>
      <c r="K1976" s="2">
        <f t="shared" si="152"/>
        <v>2025</v>
      </c>
      <c r="L1976" s="2">
        <f t="shared" si="153"/>
        <v>4</v>
      </c>
      <c r="M1976" s="2">
        <v>4</v>
      </c>
      <c r="N1976" s="2" t="s">
        <v>4267</v>
      </c>
      <c r="O1976" s="2" t="s">
        <v>62</v>
      </c>
      <c r="P1976" s="3">
        <v>775924</v>
      </c>
      <c r="Q1976" s="2"/>
      <c r="R1976" s="2"/>
      <c r="S1976" s="2" t="s">
        <v>5819</v>
      </c>
      <c r="T1976" s="2">
        <v>22.2</v>
      </c>
      <c r="U1976" s="2" t="s">
        <v>47</v>
      </c>
      <c r="V1976" s="2" t="s">
        <v>77</v>
      </c>
      <c r="W1976" s="67" t="str">
        <f t="shared" si="154"/>
        <v>-</v>
      </c>
    </row>
    <row r="1977" spans="1:23" x14ac:dyDescent="0.3">
      <c r="A1977" s="4" t="s">
        <v>4498</v>
      </c>
      <c r="B1977" s="4" t="s">
        <v>4499</v>
      </c>
      <c r="C1977" s="4">
        <v>9569794395</v>
      </c>
      <c r="D1977" s="4" t="s">
        <v>59</v>
      </c>
      <c r="E1977" s="4" t="s">
        <v>1632</v>
      </c>
      <c r="F1977" s="4" t="s">
        <v>1682</v>
      </c>
      <c r="G1977" s="4" t="s">
        <v>1621</v>
      </c>
      <c r="H1977" s="4" t="s">
        <v>4331</v>
      </c>
      <c r="I1977" s="2" t="str">
        <f t="shared" si="150"/>
        <v>Oct</v>
      </c>
      <c r="J1977" s="2">
        <f t="shared" si="151"/>
        <v>10</v>
      </c>
      <c r="K1977" s="2">
        <f t="shared" si="152"/>
        <v>2025</v>
      </c>
      <c r="L1977" s="2">
        <f t="shared" si="153"/>
        <v>4</v>
      </c>
      <c r="M1977" s="4">
        <v>10</v>
      </c>
      <c r="N1977" s="4" t="s">
        <v>4440</v>
      </c>
      <c r="O1977" s="4" t="s">
        <v>62</v>
      </c>
      <c r="P1977" s="5">
        <v>597748</v>
      </c>
      <c r="Q1977" s="4"/>
      <c r="R1977" s="4"/>
      <c r="S1977" s="4" t="s">
        <v>5573</v>
      </c>
      <c r="T1977" s="4"/>
      <c r="U1977" s="4" t="s">
        <v>29</v>
      </c>
      <c r="V1977" s="4"/>
      <c r="W1977" s="67" t="str">
        <f t="shared" si="154"/>
        <v>-</v>
      </c>
    </row>
    <row r="1978" spans="1:23" x14ac:dyDescent="0.3">
      <c r="A1978" s="2" t="s">
        <v>4500</v>
      </c>
      <c r="B1978" s="2" t="s">
        <v>4501</v>
      </c>
      <c r="C1978" s="2">
        <v>9453855809</v>
      </c>
      <c r="D1978" s="2" t="s">
        <v>108</v>
      </c>
      <c r="E1978" s="2" t="s">
        <v>67</v>
      </c>
      <c r="F1978" s="2" t="s">
        <v>80</v>
      </c>
      <c r="G1978" s="2" t="s">
        <v>616</v>
      </c>
      <c r="H1978" s="2" t="s">
        <v>4331</v>
      </c>
      <c r="I1978" s="2" t="str">
        <f t="shared" si="150"/>
        <v>Oct</v>
      </c>
      <c r="J1978" s="2">
        <f t="shared" si="151"/>
        <v>10</v>
      </c>
      <c r="K1978" s="2">
        <f t="shared" si="152"/>
        <v>2025</v>
      </c>
      <c r="L1978" s="2">
        <f t="shared" si="153"/>
        <v>4</v>
      </c>
      <c r="M1978" s="2">
        <v>8</v>
      </c>
      <c r="N1978" s="2" t="s">
        <v>4377</v>
      </c>
      <c r="O1978" s="2" t="s">
        <v>27</v>
      </c>
      <c r="P1978" s="3">
        <v>141519</v>
      </c>
      <c r="Q1978" s="2"/>
      <c r="R1978" s="2"/>
      <c r="S1978" s="2" t="s">
        <v>5573</v>
      </c>
      <c r="T1978" s="2">
        <v>9.6</v>
      </c>
      <c r="U1978" s="2" t="s">
        <v>29</v>
      </c>
      <c r="V1978" s="2" t="s">
        <v>153</v>
      </c>
      <c r="W1978" s="67" t="str">
        <f t="shared" si="154"/>
        <v>-</v>
      </c>
    </row>
    <row r="1979" spans="1:23" x14ac:dyDescent="0.3">
      <c r="A1979" s="6" t="s">
        <v>4502</v>
      </c>
      <c r="B1979" s="6" t="s">
        <v>2827</v>
      </c>
      <c r="C1979" s="6">
        <v>9701446009</v>
      </c>
      <c r="D1979" s="6" t="s">
        <v>59</v>
      </c>
      <c r="E1979" s="6" t="s">
        <v>21</v>
      </c>
      <c r="F1979" s="6" t="s">
        <v>160</v>
      </c>
      <c r="G1979" s="6" t="s">
        <v>1609</v>
      </c>
      <c r="H1979" s="6" t="s">
        <v>4331</v>
      </c>
      <c r="I1979" s="2" t="str">
        <f t="shared" si="150"/>
        <v>Oct</v>
      </c>
      <c r="J1979" s="2">
        <f t="shared" si="151"/>
        <v>10</v>
      </c>
      <c r="K1979" s="2">
        <f t="shared" si="152"/>
        <v>2025</v>
      </c>
      <c r="L1979" s="2">
        <f t="shared" si="153"/>
        <v>4</v>
      </c>
      <c r="M1979" s="6">
        <v>8</v>
      </c>
      <c r="N1979" s="6" t="s">
        <v>4400</v>
      </c>
      <c r="O1979" s="6" t="s">
        <v>97</v>
      </c>
      <c r="P1979" s="7">
        <v>556603</v>
      </c>
      <c r="Q1979" s="7">
        <v>506614</v>
      </c>
      <c r="R1979" s="6" t="s">
        <v>4322</v>
      </c>
      <c r="S1979" s="6" t="s">
        <v>5574</v>
      </c>
      <c r="T1979" s="6">
        <v>35.9</v>
      </c>
      <c r="U1979" s="6" t="s">
        <v>63</v>
      </c>
      <c r="V1979" s="6" t="s">
        <v>465</v>
      </c>
      <c r="W1979" s="67" t="str">
        <f t="shared" si="154"/>
        <v>Customer</v>
      </c>
    </row>
    <row r="1980" spans="1:23" x14ac:dyDescent="0.3">
      <c r="A1980" s="2" t="s">
        <v>4503</v>
      </c>
      <c r="B1980" s="2" t="s">
        <v>2899</v>
      </c>
      <c r="C1980" s="2">
        <v>9927642026</v>
      </c>
      <c r="D1980" s="2" t="s">
        <v>59</v>
      </c>
      <c r="E1980" s="2" t="s">
        <v>21</v>
      </c>
      <c r="F1980" s="2" t="s">
        <v>22</v>
      </c>
      <c r="G1980" s="2" t="s">
        <v>23</v>
      </c>
      <c r="H1980" s="2" t="s">
        <v>4331</v>
      </c>
      <c r="I1980" s="2" t="str">
        <f t="shared" si="150"/>
        <v>Oct</v>
      </c>
      <c r="J1980" s="2">
        <f t="shared" si="151"/>
        <v>10</v>
      </c>
      <c r="K1980" s="2">
        <f t="shared" si="152"/>
        <v>2025</v>
      </c>
      <c r="L1980" s="2">
        <f t="shared" si="153"/>
        <v>4</v>
      </c>
      <c r="M1980" s="2">
        <v>3</v>
      </c>
      <c r="N1980" s="2" t="s">
        <v>4293</v>
      </c>
      <c r="O1980" s="2" t="s">
        <v>62</v>
      </c>
      <c r="P1980" s="3">
        <v>553899</v>
      </c>
      <c r="Q1980" s="2"/>
      <c r="R1980" s="2"/>
      <c r="S1980" s="2" t="s">
        <v>5574</v>
      </c>
      <c r="T1980" s="2">
        <v>22.6</v>
      </c>
      <c r="U1980" s="2" t="s">
        <v>63</v>
      </c>
      <c r="V1980" s="2" t="s">
        <v>668</v>
      </c>
      <c r="W1980" s="67" t="str">
        <f t="shared" si="154"/>
        <v>-</v>
      </c>
    </row>
    <row r="1981" spans="1:23" x14ac:dyDescent="0.3">
      <c r="A1981" s="4" t="s">
        <v>4504</v>
      </c>
      <c r="B1981" s="4" t="s">
        <v>4505</v>
      </c>
      <c r="C1981" s="4"/>
      <c r="D1981" s="4" t="s">
        <v>51</v>
      </c>
      <c r="E1981" s="4" t="s">
        <v>641</v>
      </c>
      <c r="F1981" s="4" t="s">
        <v>717</v>
      </c>
      <c r="G1981" s="4" t="s">
        <v>1621</v>
      </c>
      <c r="H1981" s="4" t="s">
        <v>4326</v>
      </c>
      <c r="I1981" s="2" t="str">
        <f t="shared" si="150"/>
        <v>Oct</v>
      </c>
      <c r="J1981" s="2">
        <f t="shared" si="151"/>
        <v>10</v>
      </c>
      <c r="K1981" s="2">
        <f t="shared" si="152"/>
        <v>2025</v>
      </c>
      <c r="L1981" s="2">
        <f t="shared" si="153"/>
        <v>4</v>
      </c>
      <c r="M1981" s="4">
        <v>1</v>
      </c>
      <c r="N1981" s="4" t="s">
        <v>4158</v>
      </c>
      <c r="O1981" s="4" t="s">
        <v>27</v>
      </c>
      <c r="P1981" s="5">
        <v>482149</v>
      </c>
      <c r="Q1981" s="4"/>
      <c r="R1981" s="4"/>
      <c r="S1981" s="4" t="s">
        <v>5819</v>
      </c>
      <c r="T1981" s="4">
        <v>11.4</v>
      </c>
      <c r="U1981" s="4" t="s">
        <v>29</v>
      </c>
      <c r="V1981" s="4" t="s">
        <v>2595</v>
      </c>
      <c r="W1981" s="67" t="str">
        <f t="shared" si="154"/>
        <v>-</v>
      </c>
    </row>
    <row r="1982" spans="1:23" x14ac:dyDescent="0.3">
      <c r="A1982" s="2" t="s">
        <v>4506</v>
      </c>
      <c r="B1982" s="2" t="s">
        <v>323</v>
      </c>
      <c r="C1982" s="2">
        <v>9406456153</v>
      </c>
      <c r="D1982" s="2" t="s">
        <v>121</v>
      </c>
      <c r="E1982" s="2" t="s">
        <v>641</v>
      </c>
      <c r="F1982" s="2" t="s">
        <v>727</v>
      </c>
      <c r="G1982" s="2" t="s">
        <v>643</v>
      </c>
      <c r="H1982" s="2" t="s">
        <v>4326</v>
      </c>
      <c r="I1982" s="2" t="str">
        <f t="shared" si="150"/>
        <v>Oct</v>
      </c>
      <c r="J1982" s="2">
        <f t="shared" si="151"/>
        <v>10</v>
      </c>
      <c r="K1982" s="2">
        <f t="shared" si="152"/>
        <v>2025</v>
      </c>
      <c r="L1982" s="2">
        <f t="shared" si="153"/>
        <v>4</v>
      </c>
      <c r="M1982" s="2">
        <v>5</v>
      </c>
      <c r="N1982" s="2" t="s">
        <v>4271</v>
      </c>
      <c r="O1982" s="2" t="s">
        <v>55</v>
      </c>
      <c r="P1982" s="3">
        <v>877949</v>
      </c>
      <c r="Q1982" s="2"/>
      <c r="R1982" s="2"/>
      <c r="S1982" s="2" t="s">
        <v>5573</v>
      </c>
      <c r="T1982" s="2">
        <v>27.4</v>
      </c>
      <c r="U1982" s="2" t="s">
        <v>29</v>
      </c>
      <c r="V1982" s="2" t="s">
        <v>454</v>
      </c>
      <c r="W1982" s="67" t="str">
        <f t="shared" si="154"/>
        <v>-</v>
      </c>
    </row>
    <row r="1983" spans="1:23" x14ac:dyDescent="0.3">
      <c r="A1983" s="4" t="s">
        <v>4507</v>
      </c>
      <c r="B1983" s="4" t="s">
        <v>2408</v>
      </c>
      <c r="C1983" s="4">
        <v>9273459843</v>
      </c>
      <c r="D1983" s="4" t="s">
        <v>20</v>
      </c>
      <c r="E1983" s="4" t="s">
        <v>1632</v>
      </c>
      <c r="F1983" s="4" t="s">
        <v>1717</v>
      </c>
      <c r="G1983" s="4" t="s">
        <v>52</v>
      </c>
      <c r="H1983" s="4" t="s">
        <v>4326</v>
      </c>
      <c r="I1983" s="2" t="str">
        <f t="shared" si="150"/>
        <v>Oct</v>
      </c>
      <c r="J1983" s="2">
        <f t="shared" si="151"/>
        <v>10</v>
      </c>
      <c r="K1983" s="2">
        <f t="shared" si="152"/>
        <v>2025</v>
      </c>
      <c r="L1983" s="2">
        <f t="shared" si="153"/>
        <v>4</v>
      </c>
      <c r="M1983" s="4">
        <v>6</v>
      </c>
      <c r="N1983" s="4" t="s">
        <v>4322</v>
      </c>
      <c r="O1983" s="4" t="s">
        <v>27</v>
      </c>
      <c r="P1983" s="5">
        <v>277827</v>
      </c>
      <c r="Q1983" s="4"/>
      <c r="R1983" s="4"/>
      <c r="S1983" s="4" t="s">
        <v>5819</v>
      </c>
      <c r="T1983" s="4">
        <v>18.100000000000001</v>
      </c>
      <c r="U1983" s="4" t="s">
        <v>29</v>
      </c>
      <c r="V1983" s="4"/>
      <c r="W1983" s="67" t="str">
        <f t="shared" si="154"/>
        <v>-</v>
      </c>
    </row>
    <row r="1984" spans="1:23" x14ac:dyDescent="0.3">
      <c r="A1984" s="2" t="s">
        <v>4508</v>
      </c>
      <c r="B1984" s="2" t="s">
        <v>4509</v>
      </c>
      <c r="C1984" s="2">
        <v>9254443361</v>
      </c>
      <c r="D1984" s="2" t="s">
        <v>20</v>
      </c>
      <c r="E1984" s="2" t="s">
        <v>1632</v>
      </c>
      <c r="F1984" s="2" t="s">
        <v>1659</v>
      </c>
      <c r="G1984" s="2" t="s">
        <v>23</v>
      </c>
      <c r="H1984" s="2" t="s">
        <v>4326</v>
      </c>
      <c r="I1984" s="2" t="str">
        <f t="shared" si="150"/>
        <v>Oct</v>
      </c>
      <c r="J1984" s="2">
        <f t="shared" si="151"/>
        <v>10</v>
      </c>
      <c r="K1984" s="2">
        <f t="shared" si="152"/>
        <v>2025</v>
      </c>
      <c r="L1984" s="2">
        <f t="shared" si="153"/>
        <v>4</v>
      </c>
      <c r="M1984" s="2">
        <v>6</v>
      </c>
      <c r="N1984" s="2" t="s">
        <v>4289</v>
      </c>
      <c r="O1984" s="2" t="s">
        <v>27</v>
      </c>
      <c r="P1984" s="3">
        <v>576491</v>
      </c>
      <c r="Q1984" s="2"/>
      <c r="R1984" s="2"/>
      <c r="S1984" s="2" t="s">
        <v>5573</v>
      </c>
      <c r="T1984" s="2">
        <v>26</v>
      </c>
      <c r="U1984" s="2" t="s">
        <v>29</v>
      </c>
      <c r="V1984" s="2" t="s">
        <v>123</v>
      </c>
      <c r="W1984" s="67" t="str">
        <f t="shared" si="154"/>
        <v>-</v>
      </c>
    </row>
    <row r="1985" spans="1:23" x14ac:dyDescent="0.3">
      <c r="A1985" s="6" t="s">
        <v>4510</v>
      </c>
      <c r="B1985" s="6" t="s">
        <v>4505</v>
      </c>
      <c r="C1985" s="6">
        <v>9538887667</v>
      </c>
      <c r="D1985" s="6" t="s">
        <v>20</v>
      </c>
      <c r="E1985" s="6" t="s">
        <v>641</v>
      </c>
      <c r="F1985" s="6" t="s">
        <v>727</v>
      </c>
      <c r="G1985" s="6" t="s">
        <v>35</v>
      </c>
      <c r="H1985" s="6" t="s">
        <v>4326</v>
      </c>
      <c r="I1985" s="2" t="str">
        <f t="shared" si="150"/>
        <v>Oct</v>
      </c>
      <c r="J1985" s="2">
        <f t="shared" si="151"/>
        <v>10</v>
      </c>
      <c r="K1985" s="2">
        <f t="shared" si="152"/>
        <v>2025</v>
      </c>
      <c r="L1985" s="2">
        <f t="shared" si="153"/>
        <v>4</v>
      </c>
      <c r="M1985" s="6">
        <v>11</v>
      </c>
      <c r="N1985" s="6" t="s">
        <v>4511</v>
      </c>
      <c r="O1985" s="6" t="s">
        <v>97</v>
      </c>
      <c r="P1985" s="7">
        <v>353818</v>
      </c>
      <c r="Q1985" s="7">
        <v>359719</v>
      </c>
      <c r="R1985" s="6" t="s">
        <v>4512</v>
      </c>
      <c r="S1985" s="6" t="s">
        <v>5574</v>
      </c>
      <c r="T1985" s="6">
        <v>1.7</v>
      </c>
      <c r="U1985" s="6" t="s">
        <v>47</v>
      </c>
      <c r="V1985" s="6" t="s">
        <v>99</v>
      </c>
      <c r="W1985" s="67" t="str">
        <f t="shared" si="154"/>
        <v>Customer</v>
      </c>
    </row>
    <row r="1986" spans="1:23" x14ac:dyDescent="0.3">
      <c r="A1986" s="2" t="s">
        <v>4513</v>
      </c>
      <c r="B1986" s="2" t="s">
        <v>4514</v>
      </c>
      <c r="C1986" s="2">
        <v>9595265233</v>
      </c>
      <c r="D1986" s="2" t="s">
        <v>51</v>
      </c>
      <c r="E1986" s="2" t="s">
        <v>641</v>
      </c>
      <c r="F1986" s="2" t="s">
        <v>681</v>
      </c>
      <c r="G1986" s="2" t="s">
        <v>1599</v>
      </c>
      <c r="H1986" s="2" t="s">
        <v>4326</v>
      </c>
      <c r="I1986" s="2" t="str">
        <f t="shared" ref="I1986:I2049" si="155">TEXT(H1986,"mmm")</f>
        <v>Oct</v>
      </c>
      <c r="J1986" s="2">
        <f t="shared" ref="J1986:J2049" si="156">MONTH(H1986)</f>
        <v>10</v>
      </c>
      <c r="K1986" s="2">
        <f t="shared" ref="K1986:K2049" si="157">YEAR(H1986)</f>
        <v>2025</v>
      </c>
      <c r="L1986" s="2">
        <f t="shared" ref="L1986:L2049" si="158">ROUNDUP(MONTH(H1986)/3,0)</f>
        <v>4</v>
      </c>
      <c r="M1986" s="2">
        <v>2</v>
      </c>
      <c r="N1986" s="2" t="s">
        <v>4289</v>
      </c>
      <c r="O1986" s="2" t="s">
        <v>27</v>
      </c>
      <c r="P1986" s="3">
        <v>824873</v>
      </c>
      <c r="Q1986" s="2"/>
      <c r="R1986" s="2"/>
      <c r="S1986" s="2" t="s">
        <v>5819</v>
      </c>
      <c r="T1986" s="2">
        <v>27</v>
      </c>
      <c r="U1986" s="2" t="s">
        <v>29</v>
      </c>
      <c r="V1986" s="2" t="s">
        <v>105</v>
      </c>
      <c r="W1986" s="67" t="str">
        <f t="shared" ref="W1986:W2049" si="159">IF($O1986&lt;&gt;"Converted","-",IF(ISNUMBER(SEARCH("Architect",$F1986)),"Architect","Customer"))</f>
        <v>-</v>
      </c>
    </row>
    <row r="1987" spans="1:23" x14ac:dyDescent="0.3">
      <c r="A1987" s="4" t="s">
        <v>4515</v>
      </c>
      <c r="B1987" s="4" t="s">
        <v>1526</v>
      </c>
      <c r="C1987" s="4">
        <v>9956677870</v>
      </c>
      <c r="D1987" s="4" t="s">
        <v>51</v>
      </c>
      <c r="E1987" s="4" t="s">
        <v>21</v>
      </c>
      <c r="F1987" s="4" t="s">
        <v>160</v>
      </c>
      <c r="G1987" s="4" t="s">
        <v>1623</v>
      </c>
      <c r="H1987" s="4" t="s">
        <v>4326</v>
      </c>
      <c r="I1987" s="2" t="str">
        <f t="shared" si="155"/>
        <v>Oct</v>
      </c>
      <c r="J1987" s="2">
        <f t="shared" si="156"/>
        <v>10</v>
      </c>
      <c r="K1987" s="2">
        <f t="shared" si="157"/>
        <v>2025</v>
      </c>
      <c r="L1987" s="2">
        <f t="shared" si="158"/>
        <v>4</v>
      </c>
      <c r="M1987" s="4">
        <v>8</v>
      </c>
      <c r="N1987" s="4" t="s">
        <v>4338</v>
      </c>
      <c r="O1987" s="4" t="s">
        <v>55</v>
      </c>
      <c r="P1987" s="5">
        <v>493916</v>
      </c>
      <c r="Q1987" s="4"/>
      <c r="R1987" s="4"/>
      <c r="S1987" s="4" t="s">
        <v>5573</v>
      </c>
      <c r="T1987" s="4">
        <v>34.1</v>
      </c>
      <c r="U1987" s="4" t="s">
        <v>47</v>
      </c>
      <c r="V1987" s="4" t="s">
        <v>137</v>
      </c>
      <c r="W1987" s="67" t="str">
        <f t="shared" si="159"/>
        <v>-</v>
      </c>
    </row>
    <row r="1988" spans="1:23" x14ac:dyDescent="0.3">
      <c r="A1988" s="2" t="s">
        <v>4516</v>
      </c>
      <c r="B1988" s="2" t="s">
        <v>985</v>
      </c>
      <c r="C1988" s="2">
        <v>9109954228</v>
      </c>
      <c r="D1988" s="2" t="s">
        <v>121</v>
      </c>
      <c r="E1988" s="2" t="s">
        <v>33</v>
      </c>
      <c r="F1988" s="2" t="s">
        <v>201</v>
      </c>
      <c r="G1988" s="2" t="s">
        <v>616</v>
      </c>
      <c r="H1988" s="2" t="s">
        <v>4254</v>
      </c>
      <c r="I1988" s="2" t="str">
        <f t="shared" si="155"/>
        <v>Oct</v>
      </c>
      <c r="J1988" s="2">
        <f t="shared" si="156"/>
        <v>10</v>
      </c>
      <c r="K1988" s="2">
        <f t="shared" si="157"/>
        <v>2025</v>
      </c>
      <c r="L1988" s="2">
        <f t="shared" si="158"/>
        <v>4</v>
      </c>
      <c r="M1988" s="2">
        <v>6</v>
      </c>
      <c r="N1988" s="2" t="s">
        <v>4381</v>
      </c>
      <c r="O1988" s="2" t="s">
        <v>55</v>
      </c>
      <c r="P1988" s="3">
        <v>359693</v>
      </c>
      <c r="Q1988" s="2"/>
      <c r="R1988" s="2"/>
      <c r="S1988" s="2" t="s">
        <v>5574</v>
      </c>
      <c r="T1988" s="2">
        <v>17.100000000000001</v>
      </c>
      <c r="U1988" s="2" t="s">
        <v>29</v>
      </c>
      <c r="V1988" s="2" t="s">
        <v>442</v>
      </c>
      <c r="W1988" s="67" t="str">
        <f t="shared" si="159"/>
        <v>-</v>
      </c>
    </row>
    <row r="1989" spans="1:23" x14ac:dyDescent="0.3">
      <c r="A1989" s="4" t="s">
        <v>4517</v>
      </c>
      <c r="B1989" s="4" t="s">
        <v>623</v>
      </c>
      <c r="C1989" s="4">
        <v>9754764917</v>
      </c>
      <c r="D1989" s="4" t="s">
        <v>121</v>
      </c>
      <c r="E1989" s="4" t="s">
        <v>41</v>
      </c>
      <c r="F1989" s="4" t="s">
        <v>92</v>
      </c>
      <c r="G1989" s="4" t="s">
        <v>35</v>
      </c>
      <c r="H1989" s="4" t="s">
        <v>4158</v>
      </c>
      <c r="I1989" s="2" t="str">
        <f t="shared" si="155"/>
        <v>Oct</v>
      </c>
      <c r="J1989" s="2">
        <f t="shared" si="156"/>
        <v>10</v>
      </c>
      <c r="K1989" s="2">
        <f t="shared" si="157"/>
        <v>2025</v>
      </c>
      <c r="L1989" s="2">
        <f t="shared" si="158"/>
        <v>4</v>
      </c>
      <c r="M1989" s="4">
        <v>7</v>
      </c>
      <c r="N1989" s="4" t="s">
        <v>4483</v>
      </c>
      <c r="O1989" s="4" t="s">
        <v>45</v>
      </c>
      <c r="P1989" s="5">
        <v>305809</v>
      </c>
      <c r="Q1989" s="4"/>
      <c r="R1989" s="4"/>
      <c r="S1989" s="4" t="s">
        <v>5573</v>
      </c>
      <c r="T1989" s="4">
        <v>13.4</v>
      </c>
      <c r="U1989" s="4" t="s">
        <v>63</v>
      </c>
      <c r="V1989" s="4" t="s">
        <v>260</v>
      </c>
      <c r="W1989" s="67" t="str">
        <f t="shared" si="159"/>
        <v>-</v>
      </c>
    </row>
    <row r="1990" spans="1:23" x14ac:dyDescent="0.3">
      <c r="A1990" s="2" t="s">
        <v>4518</v>
      </c>
      <c r="B1990" s="2" t="s">
        <v>825</v>
      </c>
      <c r="C1990" s="2"/>
      <c r="D1990" s="2" t="s">
        <v>59</v>
      </c>
      <c r="E1990" s="2" t="s">
        <v>1632</v>
      </c>
      <c r="F1990" s="2" t="s">
        <v>1659</v>
      </c>
      <c r="G1990" s="2" t="s">
        <v>52</v>
      </c>
      <c r="H1990" s="2" t="s">
        <v>4158</v>
      </c>
      <c r="I1990" s="2" t="str">
        <f t="shared" si="155"/>
        <v>Oct</v>
      </c>
      <c r="J1990" s="2">
        <f t="shared" si="156"/>
        <v>10</v>
      </c>
      <c r="K1990" s="2">
        <f t="shared" si="157"/>
        <v>2025</v>
      </c>
      <c r="L1990" s="2">
        <f t="shared" si="158"/>
        <v>4</v>
      </c>
      <c r="M1990" s="2">
        <v>10</v>
      </c>
      <c r="N1990" s="2" t="s">
        <v>4271</v>
      </c>
      <c r="O1990" s="2" t="s">
        <v>55</v>
      </c>
      <c r="P1990" s="3">
        <v>589877</v>
      </c>
      <c r="Q1990" s="2"/>
      <c r="R1990" s="2"/>
      <c r="S1990" s="2" t="s">
        <v>5819</v>
      </c>
      <c r="T1990" s="2">
        <v>6.6</v>
      </c>
      <c r="U1990" s="2" t="s">
        <v>29</v>
      </c>
      <c r="V1990" s="2" t="s">
        <v>1697</v>
      </c>
      <c r="W1990" s="67" t="str">
        <f t="shared" si="159"/>
        <v>-</v>
      </c>
    </row>
    <row r="1991" spans="1:23" x14ac:dyDescent="0.3">
      <c r="A1991" s="4" t="s">
        <v>4519</v>
      </c>
      <c r="B1991" s="4" t="s">
        <v>2516</v>
      </c>
      <c r="C1991" s="4"/>
      <c r="D1991" s="4" t="s">
        <v>59</v>
      </c>
      <c r="E1991" s="4" t="s">
        <v>1632</v>
      </c>
      <c r="F1991" s="4" t="s">
        <v>1849</v>
      </c>
      <c r="G1991" s="4" t="s">
        <v>643</v>
      </c>
      <c r="H1991" s="4" t="s">
        <v>4158</v>
      </c>
      <c r="I1991" s="2" t="str">
        <f t="shared" si="155"/>
        <v>Oct</v>
      </c>
      <c r="J1991" s="2">
        <f t="shared" si="156"/>
        <v>10</v>
      </c>
      <c r="K1991" s="2">
        <f t="shared" si="157"/>
        <v>2025</v>
      </c>
      <c r="L1991" s="2">
        <f t="shared" si="158"/>
        <v>4</v>
      </c>
      <c r="M1991" s="4">
        <v>8</v>
      </c>
      <c r="N1991" s="4" t="s">
        <v>4520</v>
      </c>
      <c r="O1991" s="4" t="s">
        <v>27</v>
      </c>
      <c r="P1991" s="5">
        <v>1245322</v>
      </c>
      <c r="Q1991" s="4"/>
      <c r="R1991" s="4"/>
      <c r="S1991" s="4" t="s">
        <v>5574</v>
      </c>
      <c r="T1991" s="4">
        <v>20.7</v>
      </c>
      <c r="U1991" s="4" t="s">
        <v>29</v>
      </c>
      <c r="V1991" s="4" t="s">
        <v>1776</v>
      </c>
      <c r="W1991" s="67" t="str">
        <f t="shared" si="159"/>
        <v>-</v>
      </c>
    </row>
    <row r="1992" spans="1:23" x14ac:dyDescent="0.3">
      <c r="A1992" s="2" t="s">
        <v>4521</v>
      </c>
      <c r="B1992" s="2" t="s">
        <v>2868</v>
      </c>
      <c r="C1992" s="2">
        <v>9741014837</v>
      </c>
      <c r="D1992" s="2" t="s">
        <v>121</v>
      </c>
      <c r="E1992" s="2" t="s">
        <v>1632</v>
      </c>
      <c r="F1992" s="2" t="s">
        <v>1717</v>
      </c>
      <c r="G1992" s="2" t="s">
        <v>1735</v>
      </c>
      <c r="H1992" s="2" t="s">
        <v>4158</v>
      </c>
      <c r="I1992" s="2" t="str">
        <f t="shared" si="155"/>
        <v>Oct</v>
      </c>
      <c r="J1992" s="2">
        <f t="shared" si="156"/>
        <v>10</v>
      </c>
      <c r="K1992" s="2">
        <f t="shared" si="157"/>
        <v>2025</v>
      </c>
      <c r="L1992" s="2">
        <f t="shared" si="158"/>
        <v>4</v>
      </c>
      <c r="M1992" s="2">
        <v>6</v>
      </c>
      <c r="N1992" s="2" t="s">
        <v>4289</v>
      </c>
      <c r="O1992" s="2" t="s">
        <v>27</v>
      </c>
      <c r="P1992" s="3">
        <v>1537660</v>
      </c>
      <c r="Q1992" s="2"/>
      <c r="R1992" s="2"/>
      <c r="S1992" s="2" t="s">
        <v>5573</v>
      </c>
      <c r="T1992" s="2">
        <v>0.9</v>
      </c>
      <c r="U1992" s="2" t="s">
        <v>29</v>
      </c>
      <c r="V1992" s="2"/>
      <c r="W1992" s="67" t="str">
        <f t="shared" si="159"/>
        <v>-</v>
      </c>
    </row>
    <row r="1993" spans="1:23" x14ac:dyDescent="0.3">
      <c r="A1993" s="4" t="s">
        <v>4522</v>
      </c>
      <c r="B1993" s="4" t="s">
        <v>4523</v>
      </c>
      <c r="C1993" s="4">
        <v>9391766357</v>
      </c>
      <c r="D1993" s="4" t="s">
        <v>121</v>
      </c>
      <c r="E1993" s="4" t="s">
        <v>109</v>
      </c>
      <c r="F1993" s="4" t="s">
        <v>331</v>
      </c>
      <c r="G1993" s="4" t="s">
        <v>643</v>
      </c>
      <c r="H1993" s="4" t="s">
        <v>4158</v>
      </c>
      <c r="I1993" s="2" t="str">
        <f t="shared" si="155"/>
        <v>Oct</v>
      </c>
      <c r="J1993" s="2">
        <f t="shared" si="156"/>
        <v>10</v>
      </c>
      <c r="K1993" s="2">
        <f t="shared" si="157"/>
        <v>2025</v>
      </c>
      <c r="L1993" s="2">
        <f t="shared" si="158"/>
        <v>4</v>
      </c>
      <c r="M1993" s="4">
        <v>0</v>
      </c>
      <c r="N1993" s="4" t="s">
        <v>4275</v>
      </c>
      <c r="O1993" s="4" t="s">
        <v>62</v>
      </c>
      <c r="P1993" s="5">
        <v>1182045</v>
      </c>
      <c r="Q1993" s="4"/>
      <c r="R1993" s="4"/>
      <c r="S1993" s="4" t="s">
        <v>5573</v>
      </c>
      <c r="T1993" s="4">
        <v>10.1</v>
      </c>
      <c r="U1993" s="4" t="s">
        <v>29</v>
      </c>
      <c r="V1993" s="4" t="s">
        <v>389</v>
      </c>
      <c r="W1993" s="67" t="str">
        <f t="shared" si="159"/>
        <v>-</v>
      </c>
    </row>
    <row r="1994" spans="1:23" x14ac:dyDescent="0.3">
      <c r="A1994" s="6" t="s">
        <v>4524</v>
      </c>
      <c r="B1994" s="6" t="s">
        <v>1693</v>
      </c>
      <c r="C1994" s="6">
        <v>9873841783</v>
      </c>
      <c r="D1994" s="6" t="s">
        <v>59</v>
      </c>
      <c r="E1994" s="6" t="s">
        <v>33</v>
      </c>
      <c r="F1994" s="6" t="s">
        <v>102</v>
      </c>
      <c r="G1994" s="6" t="s">
        <v>1623</v>
      </c>
      <c r="H1994" s="6" t="s">
        <v>4158</v>
      </c>
      <c r="I1994" s="2" t="str">
        <f t="shared" si="155"/>
        <v>Oct</v>
      </c>
      <c r="J1994" s="2">
        <f t="shared" si="156"/>
        <v>10</v>
      </c>
      <c r="K1994" s="2">
        <f t="shared" si="157"/>
        <v>2025</v>
      </c>
      <c r="L1994" s="2">
        <f t="shared" si="158"/>
        <v>4</v>
      </c>
      <c r="M1994" s="6">
        <v>4</v>
      </c>
      <c r="N1994" s="6" t="s">
        <v>4267</v>
      </c>
      <c r="O1994" s="6" t="s">
        <v>97</v>
      </c>
      <c r="P1994" s="7">
        <v>411683</v>
      </c>
      <c r="Q1994" s="7">
        <v>376366</v>
      </c>
      <c r="R1994" s="6" t="s">
        <v>4289</v>
      </c>
      <c r="S1994" s="6" t="s">
        <v>5819</v>
      </c>
      <c r="T1994" s="6">
        <v>25.2</v>
      </c>
      <c r="U1994" s="6" t="s">
        <v>63</v>
      </c>
      <c r="V1994" s="6" t="s">
        <v>483</v>
      </c>
      <c r="W1994" s="67" t="str">
        <f t="shared" si="159"/>
        <v>Customer</v>
      </c>
    </row>
    <row r="1995" spans="1:23" x14ac:dyDescent="0.3">
      <c r="A1995" s="4" t="s">
        <v>4525</v>
      </c>
      <c r="B1995" s="4" t="s">
        <v>4526</v>
      </c>
      <c r="C1995" s="4">
        <v>9752513351</v>
      </c>
      <c r="D1995" s="4" t="s">
        <v>59</v>
      </c>
      <c r="E1995" s="4" t="s">
        <v>109</v>
      </c>
      <c r="F1995" s="4" t="s">
        <v>331</v>
      </c>
      <c r="G1995" s="4" t="s">
        <v>1599</v>
      </c>
      <c r="H1995" s="4" t="s">
        <v>4277</v>
      </c>
      <c r="I1995" s="2" t="str">
        <f t="shared" si="155"/>
        <v>Oct</v>
      </c>
      <c r="J1995" s="2">
        <f t="shared" si="156"/>
        <v>10</v>
      </c>
      <c r="K1995" s="2">
        <f t="shared" si="157"/>
        <v>2025</v>
      </c>
      <c r="L1995" s="2">
        <f t="shared" si="158"/>
        <v>4</v>
      </c>
      <c r="M1995" s="4">
        <v>1</v>
      </c>
      <c r="N1995" s="4" t="s">
        <v>4249</v>
      </c>
      <c r="O1995" s="4" t="s">
        <v>55</v>
      </c>
      <c r="P1995" s="5">
        <v>706715</v>
      </c>
      <c r="Q1995" s="4"/>
      <c r="R1995" s="4"/>
      <c r="S1995" s="4" t="s">
        <v>5819</v>
      </c>
      <c r="T1995" s="4">
        <v>9.3000000000000007</v>
      </c>
      <c r="U1995" s="4" t="s">
        <v>29</v>
      </c>
      <c r="V1995" s="4" t="s">
        <v>389</v>
      </c>
      <c r="W1995" s="67" t="str">
        <f t="shared" si="159"/>
        <v>-</v>
      </c>
    </row>
    <row r="1996" spans="1:23" x14ac:dyDescent="0.3">
      <c r="A1996" s="2" t="s">
        <v>4527</v>
      </c>
      <c r="B1996" s="2" t="s">
        <v>290</v>
      </c>
      <c r="C1996" s="2"/>
      <c r="D1996" s="2" t="s">
        <v>59</v>
      </c>
      <c r="E1996" s="2" t="s">
        <v>1632</v>
      </c>
      <c r="F1996" s="2" t="s">
        <v>1682</v>
      </c>
      <c r="G1996" s="2" t="s">
        <v>1599</v>
      </c>
      <c r="H1996" s="2" t="s">
        <v>4277</v>
      </c>
      <c r="I1996" s="2" t="str">
        <f t="shared" si="155"/>
        <v>Oct</v>
      </c>
      <c r="J1996" s="2">
        <f t="shared" si="156"/>
        <v>10</v>
      </c>
      <c r="K1996" s="2">
        <f t="shared" si="157"/>
        <v>2025</v>
      </c>
      <c r="L1996" s="2">
        <f t="shared" si="158"/>
        <v>4</v>
      </c>
      <c r="M1996" s="2">
        <v>5</v>
      </c>
      <c r="N1996" s="2" t="s">
        <v>4271</v>
      </c>
      <c r="O1996" s="2" t="s">
        <v>27</v>
      </c>
      <c r="P1996" s="3">
        <v>889556</v>
      </c>
      <c r="Q1996" s="2"/>
      <c r="R1996" s="2"/>
      <c r="S1996" s="2" t="s">
        <v>5819</v>
      </c>
      <c r="T1996" s="2">
        <v>31.5</v>
      </c>
      <c r="U1996" s="2" t="s">
        <v>29</v>
      </c>
      <c r="V1996" s="2" t="s">
        <v>2847</v>
      </c>
      <c r="W1996" s="67" t="str">
        <f t="shared" si="159"/>
        <v>-</v>
      </c>
    </row>
    <row r="1997" spans="1:23" x14ac:dyDescent="0.3">
      <c r="A1997" s="4" t="s">
        <v>4528</v>
      </c>
      <c r="B1997" s="4" t="s">
        <v>4529</v>
      </c>
      <c r="C1997" s="4">
        <v>9820293268</v>
      </c>
      <c r="D1997" s="4" t="s">
        <v>59</v>
      </c>
      <c r="E1997" s="4" t="s">
        <v>1632</v>
      </c>
      <c r="F1997" s="4" t="s">
        <v>1849</v>
      </c>
      <c r="G1997" s="4" t="s">
        <v>23</v>
      </c>
      <c r="H1997" s="4" t="s">
        <v>4277</v>
      </c>
      <c r="I1997" s="2" t="str">
        <f t="shared" si="155"/>
        <v>Oct</v>
      </c>
      <c r="J1997" s="2">
        <f t="shared" si="156"/>
        <v>10</v>
      </c>
      <c r="K1997" s="2">
        <f t="shared" si="157"/>
        <v>2025</v>
      </c>
      <c r="L1997" s="2">
        <f t="shared" si="158"/>
        <v>4</v>
      </c>
      <c r="M1997" s="4">
        <v>11</v>
      </c>
      <c r="N1997" s="4" t="s">
        <v>4464</v>
      </c>
      <c r="O1997" s="4" t="s">
        <v>62</v>
      </c>
      <c r="P1997" s="5">
        <v>776875</v>
      </c>
      <c r="Q1997" s="4"/>
      <c r="R1997" s="4"/>
      <c r="S1997" s="4" t="s">
        <v>5574</v>
      </c>
      <c r="T1997" s="4">
        <v>13.4</v>
      </c>
      <c r="U1997" s="4" t="s">
        <v>47</v>
      </c>
      <c r="V1997" s="4" t="s">
        <v>89</v>
      </c>
      <c r="W1997" s="67" t="str">
        <f t="shared" si="159"/>
        <v>-</v>
      </c>
    </row>
    <row r="1998" spans="1:23" x14ac:dyDescent="0.3">
      <c r="A1998" s="2" t="s">
        <v>4530</v>
      </c>
      <c r="B1998" s="2" t="s">
        <v>615</v>
      </c>
      <c r="C1998" s="2"/>
      <c r="D1998" s="2" t="s">
        <v>121</v>
      </c>
      <c r="E1998" s="2" t="s">
        <v>67</v>
      </c>
      <c r="F1998" s="2" t="s">
        <v>80</v>
      </c>
      <c r="G1998" s="2" t="s">
        <v>87</v>
      </c>
      <c r="H1998" s="2" t="s">
        <v>4316</v>
      </c>
      <c r="I1998" s="2" t="str">
        <f t="shared" si="155"/>
        <v>Oct</v>
      </c>
      <c r="J1998" s="2">
        <f t="shared" si="156"/>
        <v>10</v>
      </c>
      <c r="K1998" s="2">
        <f t="shared" si="157"/>
        <v>2025</v>
      </c>
      <c r="L1998" s="2">
        <f t="shared" si="158"/>
        <v>4</v>
      </c>
      <c r="M1998" s="2">
        <v>8</v>
      </c>
      <c r="N1998" s="2" t="s">
        <v>4531</v>
      </c>
      <c r="O1998" s="2" t="s">
        <v>55</v>
      </c>
      <c r="P1998" s="3">
        <v>231577</v>
      </c>
      <c r="Q1998" s="2"/>
      <c r="R1998" s="2"/>
      <c r="S1998" s="2" t="s">
        <v>5574</v>
      </c>
      <c r="T1998" s="2">
        <v>28</v>
      </c>
      <c r="U1998" s="2" t="s">
        <v>29</v>
      </c>
      <c r="V1998" s="2" t="s">
        <v>439</v>
      </c>
      <c r="W1998" s="67" t="str">
        <f t="shared" si="159"/>
        <v>-</v>
      </c>
    </row>
    <row r="1999" spans="1:23" x14ac:dyDescent="0.3">
      <c r="A1999" s="4" t="s">
        <v>4532</v>
      </c>
      <c r="B1999" s="4" t="s">
        <v>1122</v>
      </c>
      <c r="C1999" s="4">
        <v>9646853354</v>
      </c>
      <c r="D1999" s="4" t="s">
        <v>59</v>
      </c>
      <c r="E1999" s="4" t="s">
        <v>641</v>
      </c>
      <c r="F1999" s="4" t="s">
        <v>727</v>
      </c>
      <c r="G1999" s="4" t="s">
        <v>643</v>
      </c>
      <c r="H1999" s="4" t="s">
        <v>4316</v>
      </c>
      <c r="I1999" s="2" t="str">
        <f t="shared" si="155"/>
        <v>Oct</v>
      </c>
      <c r="J1999" s="2">
        <f t="shared" si="156"/>
        <v>10</v>
      </c>
      <c r="K1999" s="2">
        <f t="shared" si="157"/>
        <v>2025</v>
      </c>
      <c r="L1999" s="2">
        <f t="shared" si="158"/>
        <v>4</v>
      </c>
      <c r="M1999" s="4">
        <v>1</v>
      </c>
      <c r="N1999" s="4" t="s">
        <v>4267</v>
      </c>
      <c r="O1999" s="4" t="s">
        <v>55</v>
      </c>
      <c r="P1999" s="5">
        <v>1315248</v>
      </c>
      <c r="Q1999" s="4"/>
      <c r="R1999" s="4"/>
      <c r="S1999" s="4" t="s">
        <v>5819</v>
      </c>
      <c r="T1999" s="4">
        <v>27.2</v>
      </c>
      <c r="U1999" s="4" t="s">
        <v>29</v>
      </c>
      <c r="V1999" s="4" t="s">
        <v>389</v>
      </c>
      <c r="W1999" s="67" t="str">
        <f t="shared" si="159"/>
        <v>-</v>
      </c>
    </row>
    <row r="2000" spans="1:23" x14ac:dyDescent="0.3">
      <c r="A2000" s="2" t="s">
        <v>4533</v>
      </c>
      <c r="B2000" s="2" t="s">
        <v>4534</v>
      </c>
      <c r="C2000" s="2">
        <v>9887378269</v>
      </c>
      <c r="D2000" s="2" t="s">
        <v>20</v>
      </c>
      <c r="E2000" s="2" t="s">
        <v>648</v>
      </c>
      <c r="F2000" s="2" t="s">
        <v>656</v>
      </c>
      <c r="G2000" s="2" t="s">
        <v>60</v>
      </c>
      <c r="H2000" s="2" t="s">
        <v>4316</v>
      </c>
      <c r="I2000" s="2" t="str">
        <f t="shared" si="155"/>
        <v>Oct</v>
      </c>
      <c r="J2000" s="2">
        <f t="shared" si="156"/>
        <v>10</v>
      </c>
      <c r="K2000" s="2">
        <f t="shared" si="157"/>
        <v>2025</v>
      </c>
      <c r="L2000" s="2">
        <f t="shared" si="158"/>
        <v>4</v>
      </c>
      <c r="M2000" s="2">
        <v>10</v>
      </c>
      <c r="N2000" s="2" t="s">
        <v>4531</v>
      </c>
      <c r="O2000" s="2" t="s">
        <v>27</v>
      </c>
      <c r="P2000" s="3">
        <v>244086</v>
      </c>
      <c r="Q2000" s="2"/>
      <c r="R2000" s="2"/>
      <c r="S2000" s="2" t="s">
        <v>5574</v>
      </c>
      <c r="T2000" s="2">
        <v>11.4</v>
      </c>
      <c r="U2000" s="2" t="s">
        <v>29</v>
      </c>
      <c r="V2000" s="2" t="s">
        <v>105</v>
      </c>
      <c r="W2000" s="67" t="str">
        <f t="shared" si="159"/>
        <v>-</v>
      </c>
    </row>
    <row r="2001" spans="1:23" x14ac:dyDescent="0.3">
      <c r="A2001" s="4" t="s">
        <v>4535</v>
      </c>
      <c r="B2001" s="4" t="s">
        <v>1178</v>
      </c>
      <c r="C2001" s="4">
        <v>9795275059</v>
      </c>
      <c r="D2001" s="4" t="s">
        <v>121</v>
      </c>
      <c r="E2001" s="4" t="s">
        <v>641</v>
      </c>
      <c r="F2001" s="4" t="s">
        <v>642</v>
      </c>
      <c r="G2001" s="4" t="s">
        <v>643</v>
      </c>
      <c r="H2001" s="4" t="s">
        <v>4275</v>
      </c>
      <c r="I2001" s="2" t="str">
        <f t="shared" si="155"/>
        <v>Oct</v>
      </c>
      <c r="J2001" s="2">
        <f t="shared" si="156"/>
        <v>10</v>
      </c>
      <c r="K2001" s="2">
        <f t="shared" si="157"/>
        <v>2025</v>
      </c>
      <c r="L2001" s="2">
        <f t="shared" si="158"/>
        <v>4</v>
      </c>
      <c r="M2001" s="4">
        <v>8</v>
      </c>
      <c r="N2001" s="4" t="s">
        <v>4384</v>
      </c>
      <c r="O2001" s="4" t="s">
        <v>55</v>
      </c>
      <c r="P2001" s="5">
        <v>1375195</v>
      </c>
      <c r="Q2001" s="4"/>
      <c r="R2001" s="4"/>
      <c r="S2001" s="4" t="s">
        <v>5573</v>
      </c>
      <c r="T2001" s="4">
        <v>7.5</v>
      </c>
      <c r="U2001" s="4" t="s">
        <v>47</v>
      </c>
      <c r="V2001" s="4" t="s">
        <v>89</v>
      </c>
      <c r="W2001" s="67" t="str">
        <f t="shared" si="159"/>
        <v>-</v>
      </c>
    </row>
    <row r="2002" spans="1:23" x14ac:dyDescent="0.3">
      <c r="A2002" s="2" t="s">
        <v>4536</v>
      </c>
      <c r="B2002" s="2" t="s">
        <v>632</v>
      </c>
      <c r="C2002" s="2">
        <v>9759587793</v>
      </c>
      <c r="D2002" s="2" t="s">
        <v>59</v>
      </c>
      <c r="E2002" s="2" t="s">
        <v>1632</v>
      </c>
      <c r="F2002" s="2" t="s">
        <v>1633</v>
      </c>
      <c r="G2002" s="2" t="s">
        <v>1599</v>
      </c>
      <c r="H2002" s="2" t="s">
        <v>4275</v>
      </c>
      <c r="I2002" s="2" t="str">
        <f t="shared" si="155"/>
        <v>Oct</v>
      </c>
      <c r="J2002" s="2">
        <f t="shared" si="156"/>
        <v>10</v>
      </c>
      <c r="K2002" s="2">
        <f t="shared" si="157"/>
        <v>2025</v>
      </c>
      <c r="L2002" s="2">
        <f t="shared" si="158"/>
        <v>4</v>
      </c>
      <c r="M2002" s="2">
        <v>7</v>
      </c>
      <c r="N2002" s="2" t="s">
        <v>4377</v>
      </c>
      <c r="O2002" s="2" t="s">
        <v>45</v>
      </c>
      <c r="P2002" s="3">
        <v>1031516</v>
      </c>
      <c r="Q2002" s="2"/>
      <c r="R2002" s="2"/>
      <c r="S2002" s="2" t="s">
        <v>5819</v>
      </c>
      <c r="T2002" s="2">
        <v>20.3</v>
      </c>
      <c r="U2002" s="2" t="s">
        <v>63</v>
      </c>
      <c r="V2002" s="2"/>
      <c r="W2002" s="67" t="str">
        <f t="shared" si="159"/>
        <v>-</v>
      </c>
    </row>
    <row r="2003" spans="1:23" x14ac:dyDescent="0.3">
      <c r="A2003" s="4" t="s">
        <v>4538</v>
      </c>
      <c r="B2003" s="4" t="s">
        <v>4539</v>
      </c>
      <c r="C2003" s="4">
        <v>9159209775</v>
      </c>
      <c r="D2003" s="4" t="s">
        <v>59</v>
      </c>
      <c r="E2003" s="4" t="s">
        <v>1632</v>
      </c>
      <c r="F2003" s="4" t="s">
        <v>1694</v>
      </c>
      <c r="G2003" s="4" t="s">
        <v>1735</v>
      </c>
      <c r="H2003" s="4" t="s">
        <v>4537</v>
      </c>
      <c r="I2003" s="2" t="str">
        <f t="shared" si="155"/>
        <v>Oct</v>
      </c>
      <c r="J2003" s="2">
        <f t="shared" si="156"/>
        <v>10</v>
      </c>
      <c r="K2003" s="2">
        <f t="shared" si="157"/>
        <v>2025</v>
      </c>
      <c r="L2003" s="2">
        <f t="shared" si="158"/>
        <v>4</v>
      </c>
      <c r="M2003" s="4">
        <v>11</v>
      </c>
      <c r="N2003" s="4" t="s">
        <v>4540</v>
      </c>
      <c r="O2003" s="4" t="s">
        <v>55</v>
      </c>
      <c r="P2003" s="5">
        <v>1647824</v>
      </c>
      <c r="Q2003" s="4"/>
      <c r="R2003" s="4"/>
      <c r="S2003" s="4" t="s">
        <v>5574</v>
      </c>
      <c r="T2003" s="4">
        <v>12</v>
      </c>
      <c r="U2003" s="4" t="s">
        <v>29</v>
      </c>
      <c r="V2003" s="4" t="s">
        <v>805</v>
      </c>
      <c r="W2003" s="67" t="str">
        <f t="shared" si="159"/>
        <v>-</v>
      </c>
    </row>
    <row r="2004" spans="1:23" x14ac:dyDescent="0.3">
      <c r="A2004" s="2" t="s">
        <v>4541</v>
      </c>
      <c r="B2004" s="2" t="s">
        <v>3660</v>
      </c>
      <c r="C2004" s="2">
        <v>9268200232</v>
      </c>
      <c r="D2004" s="2" t="s">
        <v>20</v>
      </c>
      <c r="E2004" s="2" t="s">
        <v>109</v>
      </c>
      <c r="F2004" s="2" t="s">
        <v>217</v>
      </c>
      <c r="G2004" s="2" t="s">
        <v>1599</v>
      </c>
      <c r="H2004" s="2" t="s">
        <v>4537</v>
      </c>
      <c r="I2004" s="2" t="str">
        <f t="shared" si="155"/>
        <v>Oct</v>
      </c>
      <c r="J2004" s="2">
        <f t="shared" si="156"/>
        <v>10</v>
      </c>
      <c r="K2004" s="2">
        <f t="shared" si="157"/>
        <v>2025</v>
      </c>
      <c r="L2004" s="2">
        <f t="shared" si="158"/>
        <v>4</v>
      </c>
      <c r="M2004" s="2">
        <v>10</v>
      </c>
      <c r="N2004" s="2" t="s">
        <v>4362</v>
      </c>
      <c r="O2004" s="2" t="s">
        <v>27</v>
      </c>
      <c r="P2004" s="3">
        <v>1043498</v>
      </c>
      <c r="Q2004" s="2"/>
      <c r="R2004" s="2"/>
      <c r="S2004" s="2" t="s">
        <v>5574</v>
      </c>
      <c r="T2004" s="2">
        <v>13</v>
      </c>
      <c r="U2004" s="2" t="s">
        <v>29</v>
      </c>
      <c r="V2004" s="2" t="s">
        <v>153</v>
      </c>
      <c r="W2004" s="67" t="str">
        <f t="shared" si="159"/>
        <v>-</v>
      </c>
    </row>
    <row r="2005" spans="1:23" x14ac:dyDescent="0.3">
      <c r="A2005" s="4" t="s">
        <v>4542</v>
      </c>
      <c r="B2005" s="4" t="s">
        <v>931</v>
      </c>
      <c r="C2005" s="4">
        <v>9569963145</v>
      </c>
      <c r="D2005" s="4" t="s">
        <v>20</v>
      </c>
      <c r="E2005" s="4" t="s">
        <v>67</v>
      </c>
      <c r="F2005" s="4" t="s">
        <v>80</v>
      </c>
      <c r="G2005" s="4" t="s">
        <v>1621</v>
      </c>
      <c r="H2005" s="4" t="s">
        <v>4345</v>
      </c>
      <c r="I2005" s="2" t="str">
        <f t="shared" si="155"/>
        <v>Nov</v>
      </c>
      <c r="J2005" s="2">
        <f t="shared" si="156"/>
        <v>11</v>
      </c>
      <c r="K2005" s="2">
        <f t="shared" si="157"/>
        <v>2025</v>
      </c>
      <c r="L2005" s="2">
        <f t="shared" si="158"/>
        <v>4</v>
      </c>
      <c r="M2005" s="4">
        <v>12</v>
      </c>
      <c r="N2005" s="4" t="s">
        <v>4543</v>
      </c>
      <c r="O2005" s="4" t="s">
        <v>45</v>
      </c>
      <c r="P2005" s="5">
        <v>585116</v>
      </c>
      <c r="Q2005" s="4"/>
      <c r="R2005" s="4"/>
      <c r="S2005" s="4" t="s">
        <v>5819</v>
      </c>
      <c r="T2005" s="4">
        <v>10.8</v>
      </c>
      <c r="U2005" s="4" t="s">
        <v>29</v>
      </c>
      <c r="V2005" s="4"/>
      <c r="W2005" s="67" t="str">
        <f t="shared" si="159"/>
        <v>-</v>
      </c>
    </row>
    <row r="2006" spans="1:23" x14ac:dyDescent="0.3">
      <c r="A2006" s="2" t="s">
        <v>4544</v>
      </c>
      <c r="B2006" s="2" t="s">
        <v>1154</v>
      </c>
      <c r="C2006" s="2"/>
      <c r="D2006" s="2" t="s">
        <v>121</v>
      </c>
      <c r="E2006" s="2" t="s">
        <v>1632</v>
      </c>
      <c r="F2006" s="2" t="s">
        <v>1633</v>
      </c>
      <c r="G2006" s="2" t="s">
        <v>60</v>
      </c>
      <c r="H2006" s="2" t="s">
        <v>4345</v>
      </c>
      <c r="I2006" s="2" t="str">
        <f t="shared" si="155"/>
        <v>Nov</v>
      </c>
      <c r="J2006" s="2">
        <f t="shared" si="156"/>
        <v>11</v>
      </c>
      <c r="K2006" s="2">
        <f t="shared" si="157"/>
        <v>2025</v>
      </c>
      <c r="L2006" s="2">
        <f t="shared" si="158"/>
        <v>4</v>
      </c>
      <c r="M2006" s="2">
        <v>3</v>
      </c>
      <c r="N2006" s="2" t="s">
        <v>4403</v>
      </c>
      <c r="O2006" s="2" t="s">
        <v>27</v>
      </c>
      <c r="P2006" s="3">
        <v>196719</v>
      </c>
      <c r="Q2006" s="2"/>
      <c r="R2006" s="2"/>
      <c r="S2006" s="2" t="s">
        <v>5819</v>
      </c>
      <c r="T2006" s="2">
        <v>27.8</v>
      </c>
      <c r="U2006" s="2" t="s">
        <v>29</v>
      </c>
      <c r="V2006" s="2" t="s">
        <v>2847</v>
      </c>
      <c r="W2006" s="67" t="str">
        <f t="shared" si="159"/>
        <v>-</v>
      </c>
    </row>
    <row r="2007" spans="1:23" x14ac:dyDescent="0.3">
      <c r="A2007" s="4" t="s">
        <v>4545</v>
      </c>
      <c r="B2007" s="4" t="s">
        <v>2616</v>
      </c>
      <c r="C2007" s="4">
        <v>9287334627</v>
      </c>
      <c r="D2007" s="4" t="s">
        <v>108</v>
      </c>
      <c r="E2007" s="4" t="s">
        <v>1632</v>
      </c>
      <c r="F2007" s="4" t="s">
        <v>1694</v>
      </c>
      <c r="G2007" s="4" t="s">
        <v>1677</v>
      </c>
      <c r="H2007" s="4" t="s">
        <v>4345</v>
      </c>
      <c r="I2007" s="2" t="str">
        <f t="shared" si="155"/>
        <v>Nov</v>
      </c>
      <c r="J2007" s="2">
        <f t="shared" si="156"/>
        <v>11</v>
      </c>
      <c r="K2007" s="2">
        <f t="shared" si="157"/>
        <v>2025</v>
      </c>
      <c r="L2007" s="2">
        <f t="shared" si="158"/>
        <v>4</v>
      </c>
      <c r="M2007" s="4">
        <v>11</v>
      </c>
      <c r="N2007" s="4" t="s">
        <v>4356</v>
      </c>
      <c r="O2007" s="4" t="s">
        <v>27</v>
      </c>
      <c r="P2007" s="5">
        <v>1145326</v>
      </c>
      <c r="Q2007" s="4"/>
      <c r="R2007" s="4"/>
      <c r="S2007" s="4" t="s">
        <v>5574</v>
      </c>
      <c r="T2007" s="4">
        <v>6.7</v>
      </c>
      <c r="U2007" s="4" t="s">
        <v>47</v>
      </c>
      <c r="V2007" s="4"/>
      <c r="W2007" s="67" t="str">
        <f t="shared" si="159"/>
        <v>-</v>
      </c>
    </row>
    <row r="2008" spans="1:23" x14ac:dyDescent="0.3">
      <c r="A2008" s="6" t="s">
        <v>4546</v>
      </c>
      <c r="B2008" s="6" t="s">
        <v>2903</v>
      </c>
      <c r="C2008" s="6">
        <v>9370496308</v>
      </c>
      <c r="D2008" s="6" t="s">
        <v>108</v>
      </c>
      <c r="E2008" s="6" t="s">
        <v>41</v>
      </c>
      <c r="F2008" s="6" t="s">
        <v>42</v>
      </c>
      <c r="G2008" s="6" t="s">
        <v>69</v>
      </c>
      <c r="H2008" s="6" t="s">
        <v>4312</v>
      </c>
      <c r="I2008" s="2" t="str">
        <f t="shared" si="155"/>
        <v>Nov</v>
      </c>
      <c r="J2008" s="2">
        <f t="shared" si="156"/>
        <v>11</v>
      </c>
      <c r="K2008" s="2">
        <f t="shared" si="157"/>
        <v>2025</v>
      </c>
      <c r="L2008" s="2">
        <f t="shared" si="158"/>
        <v>4</v>
      </c>
      <c r="M2008" s="6">
        <v>0</v>
      </c>
      <c r="N2008" s="6" t="s">
        <v>4496</v>
      </c>
      <c r="O2008" s="6" t="s">
        <v>97</v>
      </c>
      <c r="P2008" s="7">
        <v>321062</v>
      </c>
      <c r="Q2008" s="7">
        <v>307347</v>
      </c>
      <c r="R2008" s="6" t="s">
        <v>4289</v>
      </c>
      <c r="S2008" s="6" t="s">
        <v>5574</v>
      </c>
      <c r="T2008" s="6">
        <v>1.9</v>
      </c>
      <c r="U2008" s="6" t="s">
        <v>63</v>
      </c>
      <c r="V2008" s="6" t="s">
        <v>483</v>
      </c>
      <c r="W2008" s="67" t="str">
        <f t="shared" si="159"/>
        <v>Customer</v>
      </c>
    </row>
    <row r="2009" spans="1:23" x14ac:dyDescent="0.3">
      <c r="A2009" s="4" t="s">
        <v>4547</v>
      </c>
      <c r="B2009" s="4" t="s">
        <v>4205</v>
      </c>
      <c r="C2009" s="4">
        <v>9475749951</v>
      </c>
      <c r="D2009" s="4" t="s">
        <v>20</v>
      </c>
      <c r="E2009" s="4" t="s">
        <v>109</v>
      </c>
      <c r="F2009" s="4" t="s">
        <v>217</v>
      </c>
      <c r="G2009" s="4" t="s">
        <v>1609</v>
      </c>
      <c r="H2009" s="4" t="s">
        <v>4312</v>
      </c>
      <c r="I2009" s="2" t="str">
        <f t="shared" si="155"/>
        <v>Nov</v>
      </c>
      <c r="J2009" s="2">
        <f t="shared" si="156"/>
        <v>11</v>
      </c>
      <c r="K2009" s="2">
        <f t="shared" si="157"/>
        <v>2025</v>
      </c>
      <c r="L2009" s="2">
        <f t="shared" si="158"/>
        <v>4</v>
      </c>
      <c r="M2009" s="4">
        <v>6</v>
      </c>
      <c r="N2009" s="4" t="s">
        <v>4376</v>
      </c>
      <c r="O2009" s="4" t="s">
        <v>27</v>
      </c>
      <c r="P2009" s="5">
        <v>515414</v>
      </c>
      <c r="Q2009" s="4"/>
      <c r="R2009" s="4"/>
      <c r="S2009" s="4" t="s">
        <v>5819</v>
      </c>
      <c r="T2009" s="4">
        <v>21</v>
      </c>
      <c r="U2009" s="4" t="s">
        <v>29</v>
      </c>
      <c r="V2009" s="4" t="s">
        <v>105</v>
      </c>
      <c r="W2009" s="67" t="str">
        <f t="shared" si="159"/>
        <v>-</v>
      </c>
    </row>
    <row r="2010" spans="1:23" x14ac:dyDescent="0.3">
      <c r="A2010" s="6" t="s">
        <v>4548</v>
      </c>
      <c r="B2010" s="6" t="s">
        <v>3918</v>
      </c>
      <c r="C2010" s="6">
        <v>9272003278</v>
      </c>
      <c r="D2010" s="6" t="s">
        <v>59</v>
      </c>
      <c r="E2010" s="6" t="s">
        <v>641</v>
      </c>
      <c r="F2010" s="6" t="s">
        <v>681</v>
      </c>
      <c r="G2010" s="6" t="s">
        <v>1599</v>
      </c>
      <c r="H2010" s="6" t="s">
        <v>4312</v>
      </c>
      <c r="I2010" s="2" t="str">
        <f t="shared" si="155"/>
        <v>Nov</v>
      </c>
      <c r="J2010" s="2">
        <f t="shared" si="156"/>
        <v>11</v>
      </c>
      <c r="K2010" s="2">
        <f t="shared" si="157"/>
        <v>2025</v>
      </c>
      <c r="L2010" s="2">
        <f t="shared" si="158"/>
        <v>4</v>
      </c>
      <c r="M2010" s="6">
        <v>5</v>
      </c>
      <c r="N2010" s="6" t="s">
        <v>4404</v>
      </c>
      <c r="O2010" s="6" t="s">
        <v>97</v>
      </c>
      <c r="P2010" s="7">
        <v>610795</v>
      </c>
      <c r="Q2010" s="7">
        <v>583261</v>
      </c>
      <c r="R2010" s="6" t="s">
        <v>4549</v>
      </c>
      <c r="S2010" s="6" t="s">
        <v>5574</v>
      </c>
      <c r="T2010" s="6">
        <v>16.8</v>
      </c>
      <c r="U2010" s="6" t="s">
        <v>47</v>
      </c>
      <c r="V2010" s="6" t="s">
        <v>113</v>
      </c>
      <c r="W2010" s="67" t="str">
        <f t="shared" si="159"/>
        <v>Customer</v>
      </c>
    </row>
    <row r="2011" spans="1:23" x14ac:dyDescent="0.3">
      <c r="A2011" s="4" t="s">
        <v>4550</v>
      </c>
      <c r="B2011" s="4" t="s">
        <v>2109</v>
      </c>
      <c r="C2011" s="4"/>
      <c r="D2011" s="4" t="s">
        <v>51</v>
      </c>
      <c r="E2011" s="4" t="s">
        <v>641</v>
      </c>
      <c r="F2011" s="4" t="s">
        <v>681</v>
      </c>
      <c r="G2011" s="4" t="s">
        <v>87</v>
      </c>
      <c r="H2011" s="4" t="s">
        <v>4312</v>
      </c>
      <c r="I2011" s="2" t="str">
        <f t="shared" si="155"/>
        <v>Nov</v>
      </c>
      <c r="J2011" s="2">
        <f t="shared" si="156"/>
        <v>11</v>
      </c>
      <c r="K2011" s="2">
        <f t="shared" si="157"/>
        <v>2025</v>
      </c>
      <c r="L2011" s="2">
        <f t="shared" si="158"/>
        <v>4</v>
      </c>
      <c r="M2011" s="4">
        <v>12</v>
      </c>
      <c r="N2011" s="4" t="s">
        <v>4551</v>
      </c>
      <c r="O2011" s="4" t="s">
        <v>27</v>
      </c>
      <c r="P2011" s="5">
        <v>233380</v>
      </c>
      <c r="Q2011" s="4"/>
      <c r="R2011" s="4"/>
      <c r="S2011" s="4" t="s">
        <v>5573</v>
      </c>
      <c r="T2011" s="4">
        <v>31.1</v>
      </c>
      <c r="U2011" s="4" t="s">
        <v>29</v>
      </c>
      <c r="V2011" s="4" t="s">
        <v>2595</v>
      </c>
      <c r="W2011" s="67" t="str">
        <f t="shared" si="159"/>
        <v>-</v>
      </c>
    </row>
    <row r="2012" spans="1:23" x14ac:dyDescent="0.3">
      <c r="A2012" s="6" t="s">
        <v>4552</v>
      </c>
      <c r="B2012" s="6" t="s">
        <v>4092</v>
      </c>
      <c r="C2012" s="6">
        <v>9199124492</v>
      </c>
      <c r="D2012" s="6" t="s">
        <v>59</v>
      </c>
      <c r="E2012" s="6" t="s">
        <v>41</v>
      </c>
      <c r="F2012" s="6" t="s">
        <v>151</v>
      </c>
      <c r="G2012" s="6" t="s">
        <v>616</v>
      </c>
      <c r="H2012" s="6" t="s">
        <v>4312</v>
      </c>
      <c r="I2012" s="2" t="str">
        <f t="shared" si="155"/>
        <v>Nov</v>
      </c>
      <c r="J2012" s="2">
        <f t="shared" si="156"/>
        <v>11</v>
      </c>
      <c r="K2012" s="2">
        <f t="shared" si="157"/>
        <v>2025</v>
      </c>
      <c r="L2012" s="2">
        <f t="shared" si="158"/>
        <v>4</v>
      </c>
      <c r="M2012" s="6">
        <v>12</v>
      </c>
      <c r="N2012" s="6" t="s">
        <v>4464</v>
      </c>
      <c r="O2012" s="6" t="s">
        <v>97</v>
      </c>
      <c r="P2012" s="7">
        <v>181242</v>
      </c>
      <c r="Q2012" s="7">
        <v>186369</v>
      </c>
      <c r="R2012" s="6" t="s">
        <v>4553</v>
      </c>
      <c r="S2012" s="6" t="s">
        <v>5574</v>
      </c>
      <c r="T2012" s="6">
        <v>29.5</v>
      </c>
      <c r="U2012" s="6" t="s">
        <v>63</v>
      </c>
      <c r="V2012" s="6" t="s">
        <v>907</v>
      </c>
      <c r="W2012" s="67" t="str">
        <f t="shared" si="159"/>
        <v>Architect</v>
      </c>
    </row>
    <row r="2013" spans="1:23" x14ac:dyDescent="0.3">
      <c r="A2013" s="4" t="s">
        <v>4554</v>
      </c>
      <c r="B2013" s="4" t="s">
        <v>4555</v>
      </c>
      <c r="C2013" s="4">
        <v>9953799524</v>
      </c>
      <c r="D2013" s="4" t="s">
        <v>108</v>
      </c>
      <c r="E2013" s="4" t="s">
        <v>73</v>
      </c>
      <c r="F2013" s="4" t="s">
        <v>126</v>
      </c>
      <c r="G2013" s="4" t="s">
        <v>1623</v>
      </c>
      <c r="H2013" s="4" t="s">
        <v>4312</v>
      </c>
      <c r="I2013" s="2" t="str">
        <f t="shared" si="155"/>
        <v>Nov</v>
      </c>
      <c r="J2013" s="2">
        <f t="shared" si="156"/>
        <v>11</v>
      </c>
      <c r="K2013" s="2">
        <f t="shared" si="157"/>
        <v>2025</v>
      </c>
      <c r="L2013" s="2">
        <f t="shared" si="158"/>
        <v>4</v>
      </c>
      <c r="M2013" s="4">
        <v>12</v>
      </c>
      <c r="N2013" s="4" t="s">
        <v>4556</v>
      </c>
      <c r="O2013" s="4" t="s">
        <v>27</v>
      </c>
      <c r="P2013" s="5">
        <v>316459</v>
      </c>
      <c r="Q2013" s="4"/>
      <c r="R2013" s="4"/>
      <c r="S2013" s="4" t="s">
        <v>5573</v>
      </c>
      <c r="T2013" s="4">
        <v>9.1</v>
      </c>
      <c r="U2013" s="4" t="s">
        <v>29</v>
      </c>
      <c r="V2013" s="4"/>
      <c r="W2013" s="67" t="str">
        <f t="shared" si="159"/>
        <v>-</v>
      </c>
    </row>
    <row r="2014" spans="1:23" x14ac:dyDescent="0.3">
      <c r="A2014" s="2" t="s">
        <v>4557</v>
      </c>
      <c r="B2014" s="2" t="s">
        <v>2205</v>
      </c>
      <c r="C2014" s="2">
        <v>9450146178</v>
      </c>
      <c r="D2014" s="2" t="s">
        <v>121</v>
      </c>
      <c r="E2014" s="2" t="s">
        <v>1632</v>
      </c>
      <c r="F2014" s="2" t="s">
        <v>1659</v>
      </c>
      <c r="G2014" s="2" t="s">
        <v>1599</v>
      </c>
      <c r="H2014" s="2" t="s">
        <v>4312</v>
      </c>
      <c r="I2014" s="2" t="str">
        <f t="shared" si="155"/>
        <v>Nov</v>
      </c>
      <c r="J2014" s="2">
        <f t="shared" si="156"/>
        <v>11</v>
      </c>
      <c r="K2014" s="2">
        <f t="shared" si="157"/>
        <v>2025</v>
      </c>
      <c r="L2014" s="2">
        <f t="shared" si="158"/>
        <v>4</v>
      </c>
      <c r="M2014" s="2">
        <v>11</v>
      </c>
      <c r="N2014" s="2" t="s">
        <v>4558</v>
      </c>
      <c r="O2014" s="2" t="s">
        <v>45</v>
      </c>
      <c r="P2014" s="3">
        <v>812251</v>
      </c>
      <c r="Q2014" s="2"/>
      <c r="R2014" s="2"/>
      <c r="S2014" s="2" t="s">
        <v>5573</v>
      </c>
      <c r="T2014" s="2">
        <v>6.5</v>
      </c>
      <c r="U2014" s="2" t="s">
        <v>63</v>
      </c>
      <c r="V2014" s="2" t="s">
        <v>64</v>
      </c>
      <c r="W2014" s="67" t="str">
        <f t="shared" si="159"/>
        <v>-</v>
      </c>
    </row>
    <row r="2015" spans="1:23" x14ac:dyDescent="0.3">
      <c r="A2015" s="4" t="s">
        <v>4559</v>
      </c>
      <c r="B2015" s="4" t="s">
        <v>4560</v>
      </c>
      <c r="C2015" s="4">
        <v>9840285525</v>
      </c>
      <c r="D2015" s="4" t="s">
        <v>20</v>
      </c>
      <c r="E2015" s="4" t="s">
        <v>73</v>
      </c>
      <c r="F2015" s="4" t="s">
        <v>126</v>
      </c>
      <c r="G2015" s="4" t="s">
        <v>643</v>
      </c>
      <c r="H2015" s="4" t="s">
        <v>4312</v>
      </c>
      <c r="I2015" s="2" t="str">
        <f t="shared" si="155"/>
        <v>Nov</v>
      </c>
      <c r="J2015" s="2">
        <f t="shared" si="156"/>
        <v>11</v>
      </c>
      <c r="K2015" s="2">
        <f t="shared" si="157"/>
        <v>2025</v>
      </c>
      <c r="L2015" s="2">
        <f t="shared" si="158"/>
        <v>4</v>
      </c>
      <c r="M2015" s="4">
        <v>10</v>
      </c>
      <c r="N2015" s="4" t="s">
        <v>4363</v>
      </c>
      <c r="O2015" s="4" t="s">
        <v>27</v>
      </c>
      <c r="P2015" s="5">
        <v>1320578</v>
      </c>
      <c r="Q2015" s="4"/>
      <c r="R2015" s="4"/>
      <c r="S2015" s="4" t="s">
        <v>5574</v>
      </c>
      <c r="T2015" s="4">
        <v>29.2</v>
      </c>
      <c r="U2015" s="4" t="s">
        <v>29</v>
      </c>
      <c r="V2015" s="4" t="s">
        <v>238</v>
      </c>
      <c r="W2015" s="67" t="str">
        <f t="shared" si="159"/>
        <v>-</v>
      </c>
    </row>
    <row r="2016" spans="1:23" x14ac:dyDescent="0.3">
      <c r="A2016" s="6" t="s">
        <v>4561</v>
      </c>
      <c r="B2016" s="6" t="s">
        <v>1219</v>
      </c>
      <c r="C2016" s="6">
        <v>9861386885</v>
      </c>
      <c r="D2016" s="6" t="s">
        <v>20</v>
      </c>
      <c r="E2016" s="6" t="s">
        <v>1632</v>
      </c>
      <c r="F2016" s="6" t="s">
        <v>1849</v>
      </c>
      <c r="G2016" s="6" t="s">
        <v>87</v>
      </c>
      <c r="H2016" s="6" t="s">
        <v>4293</v>
      </c>
      <c r="I2016" s="2" t="str">
        <f t="shared" si="155"/>
        <v>Nov</v>
      </c>
      <c r="J2016" s="2">
        <f t="shared" si="156"/>
        <v>11</v>
      </c>
      <c r="K2016" s="2">
        <f t="shared" si="157"/>
        <v>2025</v>
      </c>
      <c r="L2016" s="2">
        <f t="shared" si="158"/>
        <v>4</v>
      </c>
      <c r="M2016" s="6">
        <v>7</v>
      </c>
      <c r="N2016" s="6" t="s">
        <v>4562</v>
      </c>
      <c r="O2016" s="6" t="s">
        <v>97</v>
      </c>
      <c r="P2016" s="7">
        <v>312304</v>
      </c>
      <c r="Q2016" s="7">
        <v>315772</v>
      </c>
      <c r="R2016" s="6" t="s">
        <v>4563</v>
      </c>
      <c r="S2016" s="6" t="s">
        <v>5574</v>
      </c>
      <c r="T2016" s="6">
        <v>1.7</v>
      </c>
      <c r="U2016" s="6" t="s">
        <v>63</v>
      </c>
      <c r="V2016" s="6" t="s">
        <v>465</v>
      </c>
      <c r="W2016" s="67" t="str">
        <f t="shared" si="159"/>
        <v>Customer</v>
      </c>
    </row>
    <row r="2017" spans="1:23" x14ac:dyDescent="0.3">
      <c r="A2017" s="4" t="s">
        <v>4564</v>
      </c>
      <c r="B2017" s="4" t="s">
        <v>366</v>
      </c>
      <c r="C2017" s="4">
        <v>9207041853</v>
      </c>
      <c r="D2017" s="4" t="s">
        <v>108</v>
      </c>
      <c r="E2017" s="4" t="s">
        <v>1632</v>
      </c>
      <c r="F2017" s="4" t="s">
        <v>1694</v>
      </c>
      <c r="G2017" s="4" t="s">
        <v>23</v>
      </c>
      <c r="H2017" s="4" t="s">
        <v>4293</v>
      </c>
      <c r="I2017" s="2" t="str">
        <f t="shared" si="155"/>
        <v>Nov</v>
      </c>
      <c r="J2017" s="2">
        <f t="shared" si="156"/>
        <v>11</v>
      </c>
      <c r="K2017" s="2">
        <f t="shared" si="157"/>
        <v>2025</v>
      </c>
      <c r="L2017" s="2">
        <f t="shared" si="158"/>
        <v>4</v>
      </c>
      <c r="M2017" s="4">
        <v>6</v>
      </c>
      <c r="N2017" s="4" t="s">
        <v>4565</v>
      </c>
      <c r="O2017" s="4" t="s">
        <v>45</v>
      </c>
      <c r="P2017" s="5">
        <v>747707</v>
      </c>
      <c r="Q2017" s="4"/>
      <c r="R2017" s="4"/>
      <c r="S2017" s="4" t="s">
        <v>5819</v>
      </c>
      <c r="T2017" s="4">
        <v>2.5</v>
      </c>
      <c r="U2017" s="4" t="s">
        <v>63</v>
      </c>
      <c r="V2017" s="4" t="s">
        <v>559</v>
      </c>
      <c r="W2017" s="67" t="str">
        <f t="shared" si="159"/>
        <v>-</v>
      </c>
    </row>
    <row r="2018" spans="1:23" x14ac:dyDescent="0.3">
      <c r="A2018" s="2" t="s">
        <v>4566</v>
      </c>
      <c r="B2018" s="2" t="s">
        <v>947</v>
      </c>
      <c r="C2018" s="2">
        <v>9502404000</v>
      </c>
      <c r="D2018" s="2" t="s">
        <v>108</v>
      </c>
      <c r="E2018" s="2" t="s">
        <v>641</v>
      </c>
      <c r="F2018" s="2" t="s">
        <v>727</v>
      </c>
      <c r="G2018" s="2" t="s">
        <v>643</v>
      </c>
      <c r="H2018" s="2" t="s">
        <v>4293</v>
      </c>
      <c r="I2018" s="2" t="str">
        <f t="shared" si="155"/>
        <v>Nov</v>
      </c>
      <c r="J2018" s="2">
        <f t="shared" si="156"/>
        <v>11</v>
      </c>
      <c r="K2018" s="2">
        <f t="shared" si="157"/>
        <v>2025</v>
      </c>
      <c r="L2018" s="2">
        <f t="shared" si="158"/>
        <v>4</v>
      </c>
      <c r="M2018" s="2">
        <v>5</v>
      </c>
      <c r="N2018" s="2" t="s">
        <v>4376</v>
      </c>
      <c r="O2018" s="2" t="s">
        <v>62</v>
      </c>
      <c r="P2018" s="3">
        <v>1378748</v>
      </c>
      <c r="Q2018" s="2"/>
      <c r="R2018" s="2"/>
      <c r="S2018" s="2" t="s">
        <v>5573</v>
      </c>
      <c r="T2018" s="2">
        <v>27.2</v>
      </c>
      <c r="U2018" s="2" t="s">
        <v>47</v>
      </c>
      <c r="V2018" s="2"/>
      <c r="W2018" s="67" t="str">
        <f t="shared" si="159"/>
        <v>-</v>
      </c>
    </row>
    <row r="2019" spans="1:23" x14ac:dyDescent="0.3">
      <c r="A2019" s="4" t="s">
        <v>4567</v>
      </c>
      <c r="B2019" s="4" t="s">
        <v>1679</v>
      </c>
      <c r="C2019" s="4">
        <v>9497063326</v>
      </c>
      <c r="D2019" s="4" t="s">
        <v>108</v>
      </c>
      <c r="E2019" s="4" t="s">
        <v>648</v>
      </c>
      <c r="F2019" s="4" t="s">
        <v>822</v>
      </c>
      <c r="G2019" s="4" t="s">
        <v>60</v>
      </c>
      <c r="H2019" s="4" t="s">
        <v>4496</v>
      </c>
      <c r="I2019" s="2" t="str">
        <f t="shared" si="155"/>
        <v>Nov</v>
      </c>
      <c r="J2019" s="2">
        <f t="shared" si="156"/>
        <v>11</v>
      </c>
      <c r="K2019" s="2">
        <f t="shared" si="157"/>
        <v>2025</v>
      </c>
      <c r="L2019" s="2">
        <f t="shared" si="158"/>
        <v>4</v>
      </c>
      <c r="M2019" s="4">
        <v>8</v>
      </c>
      <c r="N2019" s="4" t="s">
        <v>4568</v>
      </c>
      <c r="O2019" s="4" t="s">
        <v>45</v>
      </c>
      <c r="P2019" s="5">
        <v>239204</v>
      </c>
      <c r="Q2019" s="4"/>
      <c r="R2019" s="4"/>
      <c r="S2019" s="4" t="s">
        <v>5574</v>
      </c>
      <c r="T2019" s="4">
        <v>1</v>
      </c>
      <c r="U2019" s="4" t="s">
        <v>63</v>
      </c>
      <c r="V2019" s="4" t="s">
        <v>621</v>
      </c>
      <c r="W2019" s="67" t="str">
        <f t="shared" si="159"/>
        <v>-</v>
      </c>
    </row>
    <row r="2020" spans="1:23" x14ac:dyDescent="0.3">
      <c r="A2020" s="2" t="s">
        <v>4569</v>
      </c>
      <c r="B2020" s="2" t="s">
        <v>4570</v>
      </c>
      <c r="C2020" s="2">
        <v>9232338378</v>
      </c>
      <c r="D2020" s="2" t="s">
        <v>59</v>
      </c>
      <c r="E2020" s="2" t="s">
        <v>1632</v>
      </c>
      <c r="F2020" s="2" t="s">
        <v>1659</v>
      </c>
      <c r="G2020" s="2" t="s">
        <v>23</v>
      </c>
      <c r="H2020" s="2" t="s">
        <v>4496</v>
      </c>
      <c r="I2020" s="2" t="str">
        <f t="shared" si="155"/>
        <v>Nov</v>
      </c>
      <c r="J2020" s="2">
        <f t="shared" si="156"/>
        <v>11</v>
      </c>
      <c r="K2020" s="2">
        <f t="shared" si="157"/>
        <v>2025</v>
      </c>
      <c r="L2020" s="2">
        <f t="shared" si="158"/>
        <v>4</v>
      </c>
      <c r="M2020" s="2">
        <v>5</v>
      </c>
      <c r="N2020" s="2" t="s">
        <v>4440</v>
      </c>
      <c r="O2020" s="2" t="s">
        <v>45</v>
      </c>
      <c r="P2020" s="3">
        <v>369426</v>
      </c>
      <c r="Q2020" s="2"/>
      <c r="R2020" s="2"/>
      <c r="S2020" s="2" t="s">
        <v>5573</v>
      </c>
      <c r="T2020" s="2">
        <v>33.4</v>
      </c>
      <c r="U2020" s="2" t="s">
        <v>29</v>
      </c>
      <c r="V2020" s="2"/>
      <c r="W2020" s="67" t="str">
        <f t="shared" si="159"/>
        <v>-</v>
      </c>
    </row>
    <row r="2021" spans="1:23" x14ac:dyDescent="0.3">
      <c r="A2021" s="6" t="s">
        <v>4571</v>
      </c>
      <c r="B2021" s="6" t="s">
        <v>3148</v>
      </c>
      <c r="C2021" s="6">
        <v>9431046214</v>
      </c>
      <c r="D2021" s="6" t="s">
        <v>108</v>
      </c>
      <c r="E2021" s="6" t="s">
        <v>21</v>
      </c>
      <c r="F2021" s="6" t="s">
        <v>160</v>
      </c>
      <c r="G2021" s="6" t="s">
        <v>35</v>
      </c>
      <c r="H2021" s="6" t="s">
        <v>4496</v>
      </c>
      <c r="I2021" s="2" t="str">
        <f t="shared" si="155"/>
        <v>Nov</v>
      </c>
      <c r="J2021" s="2">
        <f t="shared" si="156"/>
        <v>11</v>
      </c>
      <c r="K2021" s="2">
        <f t="shared" si="157"/>
        <v>2025</v>
      </c>
      <c r="L2021" s="2">
        <f t="shared" si="158"/>
        <v>4</v>
      </c>
      <c r="M2021" s="6">
        <v>5</v>
      </c>
      <c r="N2021" s="6" t="s">
        <v>4549</v>
      </c>
      <c r="O2021" s="6" t="s">
        <v>97</v>
      </c>
      <c r="P2021" s="7">
        <v>375404</v>
      </c>
      <c r="Q2021" s="7">
        <v>332060</v>
      </c>
      <c r="R2021" s="6" t="s">
        <v>4572</v>
      </c>
      <c r="S2021" s="6" t="s">
        <v>5819</v>
      </c>
      <c r="T2021" s="6">
        <v>21.6</v>
      </c>
      <c r="U2021" s="6" t="s">
        <v>63</v>
      </c>
      <c r="V2021" s="6" t="s">
        <v>113</v>
      </c>
      <c r="W2021" s="67" t="str">
        <f t="shared" si="159"/>
        <v>Customer</v>
      </c>
    </row>
    <row r="2022" spans="1:23" x14ac:dyDescent="0.3">
      <c r="A2022" s="2" t="s">
        <v>4573</v>
      </c>
      <c r="B2022" s="2" t="s">
        <v>2290</v>
      </c>
      <c r="C2022" s="2">
        <v>9672250107</v>
      </c>
      <c r="D2022" s="2" t="s">
        <v>59</v>
      </c>
      <c r="E2022" s="2" t="s">
        <v>1632</v>
      </c>
      <c r="F2022" s="2" t="s">
        <v>1633</v>
      </c>
      <c r="G2022" s="2" t="s">
        <v>69</v>
      </c>
      <c r="H2022" s="2" t="s">
        <v>4496</v>
      </c>
      <c r="I2022" s="2" t="str">
        <f t="shared" si="155"/>
        <v>Nov</v>
      </c>
      <c r="J2022" s="2">
        <f t="shared" si="156"/>
        <v>11</v>
      </c>
      <c r="K2022" s="2">
        <f t="shared" si="157"/>
        <v>2025</v>
      </c>
      <c r="L2022" s="2">
        <f t="shared" si="158"/>
        <v>4</v>
      </c>
      <c r="M2022" s="2">
        <v>9</v>
      </c>
      <c r="N2022" s="2" t="s">
        <v>4445</v>
      </c>
      <c r="O2022" s="2" t="s">
        <v>27</v>
      </c>
      <c r="P2022" s="3">
        <v>269822</v>
      </c>
      <c r="Q2022" s="2"/>
      <c r="R2022" s="2"/>
      <c r="S2022" s="2" t="s">
        <v>5573</v>
      </c>
      <c r="T2022" s="2">
        <v>19.5</v>
      </c>
      <c r="U2022" s="2" t="s">
        <v>29</v>
      </c>
      <c r="V2022" s="2" t="s">
        <v>38</v>
      </c>
      <c r="W2022" s="67" t="str">
        <f t="shared" si="159"/>
        <v>-</v>
      </c>
    </row>
    <row r="2023" spans="1:23" x14ac:dyDescent="0.3">
      <c r="A2023" s="6" t="s">
        <v>4574</v>
      </c>
      <c r="B2023" s="6" t="s">
        <v>4167</v>
      </c>
      <c r="C2023" s="6">
        <v>9653455076</v>
      </c>
      <c r="D2023" s="6" t="s">
        <v>59</v>
      </c>
      <c r="E2023" s="6" t="s">
        <v>1632</v>
      </c>
      <c r="F2023" s="6" t="s">
        <v>1659</v>
      </c>
      <c r="G2023" s="6" t="s">
        <v>1623</v>
      </c>
      <c r="H2023" s="6" t="s">
        <v>4496</v>
      </c>
      <c r="I2023" s="2" t="str">
        <f t="shared" si="155"/>
        <v>Nov</v>
      </c>
      <c r="J2023" s="2">
        <f t="shared" si="156"/>
        <v>11</v>
      </c>
      <c r="K2023" s="2">
        <f t="shared" si="157"/>
        <v>2025</v>
      </c>
      <c r="L2023" s="2">
        <f t="shared" si="158"/>
        <v>4</v>
      </c>
      <c r="M2023" s="6">
        <v>7</v>
      </c>
      <c r="N2023" s="6" t="s">
        <v>4543</v>
      </c>
      <c r="O2023" s="6" t="s">
        <v>97</v>
      </c>
      <c r="P2023" s="7">
        <v>339521</v>
      </c>
      <c r="Q2023" s="7">
        <v>347051</v>
      </c>
      <c r="R2023" s="6" t="s">
        <v>4575</v>
      </c>
      <c r="S2023" s="6" t="s">
        <v>5574</v>
      </c>
      <c r="T2023" s="6">
        <v>32.799999999999997</v>
      </c>
      <c r="U2023" s="6" t="s">
        <v>63</v>
      </c>
      <c r="V2023" s="6" t="s">
        <v>113</v>
      </c>
      <c r="W2023" s="67" t="str">
        <f t="shared" si="159"/>
        <v>Customer</v>
      </c>
    </row>
    <row r="2024" spans="1:23" x14ac:dyDescent="0.3">
      <c r="A2024" s="2" t="s">
        <v>4576</v>
      </c>
      <c r="B2024" s="2" t="s">
        <v>185</v>
      </c>
      <c r="C2024" s="2">
        <v>9682092538</v>
      </c>
      <c r="D2024" s="2" t="s">
        <v>51</v>
      </c>
      <c r="E2024" s="2" t="s">
        <v>33</v>
      </c>
      <c r="F2024" s="2" t="s">
        <v>201</v>
      </c>
      <c r="G2024" s="2" t="s">
        <v>1677</v>
      </c>
      <c r="H2024" s="2" t="s">
        <v>4249</v>
      </c>
      <c r="I2024" s="2" t="str">
        <f t="shared" si="155"/>
        <v>Nov</v>
      </c>
      <c r="J2024" s="2">
        <f t="shared" si="156"/>
        <v>11</v>
      </c>
      <c r="K2024" s="2">
        <f t="shared" si="157"/>
        <v>2025</v>
      </c>
      <c r="L2024" s="2">
        <f t="shared" si="158"/>
        <v>4</v>
      </c>
      <c r="M2024" s="2">
        <v>5</v>
      </c>
      <c r="N2024" s="2" t="s">
        <v>4228</v>
      </c>
      <c r="O2024" s="2" t="s">
        <v>27</v>
      </c>
      <c r="P2024" s="3">
        <v>1471478</v>
      </c>
      <c r="Q2024" s="2"/>
      <c r="R2024" s="2"/>
      <c r="S2024" s="2" t="s">
        <v>5574</v>
      </c>
      <c r="T2024" s="2">
        <v>34.299999999999997</v>
      </c>
      <c r="U2024" s="2" t="s">
        <v>29</v>
      </c>
      <c r="V2024" s="2" t="s">
        <v>157</v>
      </c>
      <c r="W2024" s="67" t="str">
        <f t="shared" si="159"/>
        <v>-</v>
      </c>
    </row>
    <row r="2025" spans="1:23" x14ac:dyDescent="0.3">
      <c r="A2025" s="6" t="s">
        <v>4577</v>
      </c>
      <c r="B2025" s="6" t="s">
        <v>226</v>
      </c>
      <c r="C2025" s="6">
        <v>9868613905</v>
      </c>
      <c r="D2025" s="6" t="s">
        <v>108</v>
      </c>
      <c r="E2025" s="6" t="s">
        <v>67</v>
      </c>
      <c r="F2025" s="6" t="s">
        <v>80</v>
      </c>
      <c r="G2025" s="6" t="s">
        <v>1623</v>
      </c>
      <c r="H2025" s="6" t="s">
        <v>4249</v>
      </c>
      <c r="I2025" s="2" t="str">
        <f t="shared" si="155"/>
        <v>Nov</v>
      </c>
      <c r="J2025" s="2">
        <f t="shared" si="156"/>
        <v>11</v>
      </c>
      <c r="K2025" s="2">
        <f t="shared" si="157"/>
        <v>2025</v>
      </c>
      <c r="L2025" s="2">
        <f t="shared" si="158"/>
        <v>4</v>
      </c>
      <c r="M2025" s="6">
        <v>1</v>
      </c>
      <c r="N2025" s="6" t="s">
        <v>4384</v>
      </c>
      <c r="O2025" s="6" t="s">
        <v>97</v>
      </c>
      <c r="P2025" s="7">
        <v>375623</v>
      </c>
      <c r="Q2025" s="7">
        <v>372772</v>
      </c>
      <c r="R2025" s="6" t="s">
        <v>4356</v>
      </c>
      <c r="S2025" s="6" t="s">
        <v>5573</v>
      </c>
      <c r="T2025" s="6">
        <v>14.5</v>
      </c>
      <c r="U2025" s="6" t="s">
        <v>63</v>
      </c>
      <c r="V2025" s="6" t="s">
        <v>465</v>
      </c>
      <c r="W2025" s="67" t="str">
        <f t="shared" si="159"/>
        <v>Customer</v>
      </c>
    </row>
    <row r="2026" spans="1:23" x14ac:dyDescent="0.3">
      <c r="A2026" s="2" t="s">
        <v>4578</v>
      </c>
      <c r="B2026" s="2" t="s">
        <v>4113</v>
      </c>
      <c r="C2026" s="2">
        <v>9699524746</v>
      </c>
      <c r="D2026" s="2" t="s">
        <v>121</v>
      </c>
      <c r="E2026" s="2" t="s">
        <v>109</v>
      </c>
      <c r="F2026" s="2" t="s">
        <v>217</v>
      </c>
      <c r="G2026" s="2" t="s">
        <v>643</v>
      </c>
      <c r="H2026" s="2" t="s">
        <v>4249</v>
      </c>
      <c r="I2026" s="2" t="str">
        <f t="shared" si="155"/>
        <v>Nov</v>
      </c>
      <c r="J2026" s="2">
        <f t="shared" si="156"/>
        <v>11</v>
      </c>
      <c r="K2026" s="2">
        <f t="shared" si="157"/>
        <v>2025</v>
      </c>
      <c r="L2026" s="2">
        <f t="shared" si="158"/>
        <v>4</v>
      </c>
      <c r="M2026" s="2">
        <v>3</v>
      </c>
      <c r="N2026" s="2" t="s">
        <v>4429</v>
      </c>
      <c r="O2026" s="2" t="s">
        <v>45</v>
      </c>
      <c r="P2026" s="3">
        <v>1486884</v>
      </c>
      <c r="Q2026" s="2"/>
      <c r="R2026" s="2"/>
      <c r="S2026" s="2" t="s">
        <v>5819</v>
      </c>
      <c r="T2026" s="2">
        <v>11.3</v>
      </c>
      <c r="U2026" s="2" t="s">
        <v>47</v>
      </c>
      <c r="V2026" s="2" t="s">
        <v>89</v>
      </c>
      <c r="W2026" s="67" t="str">
        <f t="shared" si="159"/>
        <v>-</v>
      </c>
    </row>
    <row r="2027" spans="1:23" x14ac:dyDescent="0.3">
      <c r="A2027" s="4" t="s">
        <v>4579</v>
      </c>
      <c r="B2027" s="4" t="s">
        <v>4580</v>
      </c>
      <c r="C2027" s="4">
        <v>9186923306</v>
      </c>
      <c r="D2027" s="4" t="s">
        <v>20</v>
      </c>
      <c r="E2027" s="4" t="s">
        <v>67</v>
      </c>
      <c r="F2027" s="4" t="s">
        <v>80</v>
      </c>
      <c r="G2027" s="4" t="s">
        <v>1621</v>
      </c>
      <c r="H2027" s="4" t="s">
        <v>4249</v>
      </c>
      <c r="I2027" s="2" t="str">
        <f t="shared" si="155"/>
        <v>Nov</v>
      </c>
      <c r="J2027" s="2">
        <f t="shared" si="156"/>
        <v>11</v>
      </c>
      <c r="K2027" s="2">
        <f t="shared" si="157"/>
        <v>2025</v>
      </c>
      <c r="L2027" s="2">
        <f t="shared" si="158"/>
        <v>4</v>
      </c>
      <c r="M2027" s="4">
        <v>3</v>
      </c>
      <c r="N2027" s="4" t="s">
        <v>4228</v>
      </c>
      <c r="O2027" s="4" t="s">
        <v>45</v>
      </c>
      <c r="P2027" s="5">
        <v>299835</v>
      </c>
      <c r="Q2027" s="4"/>
      <c r="R2027" s="4"/>
      <c r="S2027" s="4" t="s">
        <v>5573</v>
      </c>
      <c r="T2027" s="4">
        <v>2.2999999999999998</v>
      </c>
      <c r="U2027" s="4" t="s">
        <v>47</v>
      </c>
      <c r="V2027" s="4"/>
      <c r="W2027" s="67" t="str">
        <f t="shared" si="159"/>
        <v>-</v>
      </c>
    </row>
    <row r="2028" spans="1:23" x14ac:dyDescent="0.3">
      <c r="A2028" s="6" t="s">
        <v>4581</v>
      </c>
      <c r="B2028" s="6" t="s">
        <v>4582</v>
      </c>
      <c r="C2028" s="6">
        <v>9941199569</v>
      </c>
      <c r="D2028" s="6" t="s">
        <v>20</v>
      </c>
      <c r="E2028" s="6" t="s">
        <v>641</v>
      </c>
      <c r="F2028" s="6" t="s">
        <v>727</v>
      </c>
      <c r="G2028" s="6" t="s">
        <v>643</v>
      </c>
      <c r="H2028" s="6" t="s">
        <v>4366</v>
      </c>
      <c r="I2028" s="2" t="str">
        <f t="shared" si="155"/>
        <v>Nov</v>
      </c>
      <c r="J2028" s="2">
        <f t="shared" si="156"/>
        <v>11</v>
      </c>
      <c r="K2028" s="2">
        <f t="shared" si="157"/>
        <v>2025</v>
      </c>
      <c r="L2028" s="2">
        <f t="shared" si="158"/>
        <v>4</v>
      </c>
      <c r="M2028" s="6">
        <v>11</v>
      </c>
      <c r="N2028" s="6" t="s">
        <v>4429</v>
      </c>
      <c r="O2028" s="6" t="s">
        <v>97</v>
      </c>
      <c r="P2028" s="7">
        <v>1004593</v>
      </c>
      <c r="Q2028" s="7">
        <v>1026364</v>
      </c>
      <c r="R2028" s="6" t="s">
        <v>4549</v>
      </c>
      <c r="S2028" s="6" t="s">
        <v>5574</v>
      </c>
      <c r="T2028" s="6">
        <v>17.100000000000001</v>
      </c>
      <c r="U2028" s="6" t="s">
        <v>63</v>
      </c>
      <c r="V2028" s="6" t="s">
        <v>341</v>
      </c>
      <c r="W2028" s="67" t="str">
        <f t="shared" si="159"/>
        <v>Customer</v>
      </c>
    </row>
    <row r="2029" spans="1:23" x14ac:dyDescent="0.3">
      <c r="A2029" s="6" t="s">
        <v>4583</v>
      </c>
      <c r="B2029" s="6" t="s">
        <v>4584</v>
      </c>
      <c r="C2029" s="6">
        <v>9717889979</v>
      </c>
      <c r="D2029" s="6" t="s">
        <v>121</v>
      </c>
      <c r="E2029" s="6" t="s">
        <v>648</v>
      </c>
      <c r="F2029" s="6" t="s">
        <v>899</v>
      </c>
      <c r="G2029" s="6" t="s">
        <v>1677</v>
      </c>
      <c r="H2029" s="6" t="s">
        <v>4366</v>
      </c>
      <c r="I2029" s="2" t="str">
        <f t="shared" si="155"/>
        <v>Nov</v>
      </c>
      <c r="J2029" s="2">
        <f t="shared" si="156"/>
        <v>11</v>
      </c>
      <c r="K2029" s="2">
        <f t="shared" si="157"/>
        <v>2025</v>
      </c>
      <c r="L2029" s="2">
        <f t="shared" si="158"/>
        <v>4</v>
      </c>
      <c r="M2029" s="6">
        <v>7</v>
      </c>
      <c r="N2029" s="6" t="s">
        <v>4339</v>
      </c>
      <c r="O2029" s="6" t="s">
        <v>97</v>
      </c>
      <c r="P2029" s="7">
        <v>1783508</v>
      </c>
      <c r="Q2029" s="7">
        <v>1641921</v>
      </c>
      <c r="R2029" s="6" t="s">
        <v>4572</v>
      </c>
      <c r="S2029" s="6" t="s">
        <v>5819</v>
      </c>
      <c r="T2029" s="6">
        <v>9.1</v>
      </c>
      <c r="U2029" s="6" t="s">
        <v>63</v>
      </c>
      <c r="V2029" s="6" t="s">
        <v>341</v>
      </c>
      <c r="W2029" s="67" t="str">
        <f t="shared" si="159"/>
        <v>Customer</v>
      </c>
    </row>
    <row r="2030" spans="1:23" x14ac:dyDescent="0.3">
      <c r="A2030" s="6" t="s">
        <v>4585</v>
      </c>
      <c r="B2030" s="6" t="s">
        <v>4586</v>
      </c>
      <c r="C2030" s="6">
        <v>9712029978</v>
      </c>
      <c r="D2030" s="6" t="s">
        <v>51</v>
      </c>
      <c r="E2030" s="6" t="s">
        <v>1632</v>
      </c>
      <c r="F2030" s="6" t="s">
        <v>1717</v>
      </c>
      <c r="G2030" s="6" t="s">
        <v>1735</v>
      </c>
      <c r="H2030" s="6" t="s">
        <v>4366</v>
      </c>
      <c r="I2030" s="2" t="str">
        <f t="shared" si="155"/>
        <v>Nov</v>
      </c>
      <c r="J2030" s="2">
        <f t="shared" si="156"/>
        <v>11</v>
      </c>
      <c r="K2030" s="2">
        <f t="shared" si="157"/>
        <v>2025</v>
      </c>
      <c r="L2030" s="2">
        <f t="shared" si="158"/>
        <v>4</v>
      </c>
      <c r="M2030" s="6">
        <v>11</v>
      </c>
      <c r="N2030" s="6" t="s">
        <v>4464</v>
      </c>
      <c r="O2030" s="6" t="s">
        <v>97</v>
      </c>
      <c r="P2030" s="7">
        <v>1663711</v>
      </c>
      <c r="Q2030" s="7">
        <v>1670715</v>
      </c>
      <c r="R2030" s="6" t="s">
        <v>4587</v>
      </c>
      <c r="S2030" s="6" t="s">
        <v>5573</v>
      </c>
      <c r="T2030" s="6">
        <v>9</v>
      </c>
      <c r="U2030" s="6" t="s">
        <v>47</v>
      </c>
      <c r="V2030" s="6"/>
      <c r="W2030" s="67" t="str">
        <f t="shared" si="159"/>
        <v>Customer</v>
      </c>
    </row>
    <row r="2031" spans="1:23" x14ac:dyDescent="0.3">
      <c r="A2031" s="6" t="s">
        <v>4588</v>
      </c>
      <c r="B2031" s="6" t="s">
        <v>4475</v>
      </c>
      <c r="C2031" s="6">
        <v>9496872075</v>
      </c>
      <c r="D2031" s="6" t="s">
        <v>59</v>
      </c>
      <c r="E2031" s="6" t="s">
        <v>1632</v>
      </c>
      <c r="F2031" s="6" t="s">
        <v>1849</v>
      </c>
      <c r="G2031" s="6" t="s">
        <v>1599</v>
      </c>
      <c r="H2031" s="6" t="s">
        <v>4366</v>
      </c>
      <c r="I2031" s="2" t="str">
        <f t="shared" si="155"/>
        <v>Nov</v>
      </c>
      <c r="J2031" s="2">
        <f t="shared" si="156"/>
        <v>11</v>
      </c>
      <c r="K2031" s="2">
        <f t="shared" si="157"/>
        <v>2025</v>
      </c>
      <c r="L2031" s="2">
        <f t="shared" si="158"/>
        <v>4</v>
      </c>
      <c r="M2031" s="6">
        <v>2</v>
      </c>
      <c r="N2031" s="6" t="s">
        <v>4295</v>
      </c>
      <c r="O2031" s="6" t="s">
        <v>97</v>
      </c>
      <c r="P2031" s="7">
        <v>476072</v>
      </c>
      <c r="Q2031" s="7">
        <v>484506</v>
      </c>
      <c r="R2031" s="6" t="s">
        <v>4403</v>
      </c>
      <c r="S2031" s="6" t="s">
        <v>5573</v>
      </c>
      <c r="T2031" s="6">
        <v>0.9</v>
      </c>
      <c r="U2031" s="6" t="s">
        <v>63</v>
      </c>
      <c r="V2031" s="6" t="s">
        <v>286</v>
      </c>
      <c r="W2031" s="67" t="str">
        <f t="shared" si="159"/>
        <v>Customer</v>
      </c>
    </row>
    <row r="2032" spans="1:23" x14ac:dyDescent="0.3">
      <c r="A2032" s="6" t="s">
        <v>4589</v>
      </c>
      <c r="B2032" s="6" t="s">
        <v>3056</v>
      </c>
      <c r="C2032" s="6">
        <v>9476224478</v>
      </c>
      <c r="D2032" s="6" t="s">
        <v>59</v>
      </c>
      <c r="E2032" s="6" t="s">
        <v>648</v>
      </c>
      <c r="F2032" s="6" t="s">
        <v>656</v>
      </c>
      <c r="G2032" s="6" t="s">
        <v>1599</v>
      </c>
      <c r="H2032" s="6" t="s">
        <v>4267</v>
      </c>
      <c r="I2032" s="2" t="str">
        <f t="shared" si="155"/>
        <v>Nov</v>
      </c>
      <c r="J2032" s="2">
        <f t="shared" si="156"/>
        <v>11</v>
      </c>
      <c r="K2032" s="2">
        <f t="shared" si="157"/>
        <v>2025</v>
      </c>
      <c r="L2032" s="2">
        <f t="shared" si="158"/>
        <v>4</v>
      </c>
      <c r="M2032" s="6">
        <v>6</v>
      </c>
      <c r="N2032" s="6" t="s">
        <v>4459</v>
      </c>
      <c r="O2032" s="6" t="s">
        <v>97</v>
      </c>
      <c r="P2032" s="7">
        <v>912104</v>
      </c>
      <c r="Q2032" s="7">
        <v>909564</v>
      </c>
      <c r="R2032" s="6" t="s">
        <v>4540</v>
      </c>
      <c r="S2032" s="6" t="s">
        <v>5819</v>
      </c>
      <c r="T2032" s="6">
        <v>27.3</v>
      </c>
      <c r="U2032" s="6" t="s">
        <v>47</v>
      </c>
      <c r="V2032" s="6" t="s">
        <v>99</v>
      </c>
      <c r="W2032" s="67" t="str">
        <f t="shared" si="159"/>
        <v>Customer</v>
      </c>
    </row>
    <row r="2033" spans="1:23" x14ac:dyDescent="0.3">
      <c r="A2033" s="6" t="s">
        <v>4590</v>
      </c>
      <c r="B2033" s="6" t="s">
        <v>602</v>
      </c>
      <c r="C2033" s="6">
        <v>9782730453</v>
      </c>
      <c r="D2033" s="6" t="s">
        <v>59</v>
      </c>
      <c r="E2033" s="6" t="s">
        <v>41</v>
      </c>
      <c r="F2033" s="6" t="s">
        <v>42</v>
      </c>
      <c r="G2033" s="6" t="s">
        <v>35</v>
      </c>
      <c r="H2033" s="6" t="s">
        <v>4267</v>
      </c>
      <c r="I2033" s="2" t="str">
        <f t="shared" si="155"/>
        <v>Nov</v>
      </c>
      <c r="J2033" s="2">
        <f t="shared" si="156"/>
        <v>11</v>
      </c>
      <c r="K2033" s="2">
        <f t="shared" si="157"/>
        <v>2025</v>
      </c>
      <c r="L2033" s="2">
        <f t="shared" si="158"/>
        <v>4</v>
      </c>
      <c r="M2033" s="6">
        <v>4</v>
      </c>
      <c r="N2033" s="6" t="s">
        <v>4403</v>
      </c>
      <c r="O2033" s="6" t="s">
        <v>97</v>
      </c>
      <c r="P2033" s="7">
        <v>365655</v>
      </c>
      <c r="Q2033" s="7">
        <v>324245</v>
      </c>
      <c r="R2033" s="6" t="s">
        <v>4445</v>
      </c>
      <c r="S2033" s="6" t="s">
        <v>5573</v>
      </c>
      <c r="T2033" s="6">
        <v>3.3</v>
      </c>
      <c r="U2033" s="6" t="s">
        <v>63</v>
      </c>
      <c r="V2033" s="6" t="s">
        <v>907</v>
      </c>
      <c r="W2033" s="67" t="str">
        <f t="shared" si="159"/>
        <v>Customer</v>
      </c>
    </row>
    <row r="2034" spans="1:23" x14ac:dyDescent="0.3">
      <c r="A2034" s="2" t="s">
        <v>4591</v>
      </c>
      <c r="B2034" s="2" t="s">
        <v>3301</v>
      </c>
      <c r="C2034" s="2">
        <v>9775078650</v>
      </c>
      <c r="D2034" s="2" t="s">
        <v>108</v>
      </c>
      <c r="E2034" s="2" t="s">
        <v>41</v>
      </c>
      <c r="F2034" s="2" t="s">
        <v>151</v>
      </c>
      <c r="G2034" s="2" t="s">
        <v>1677</v>
      </c>
      <c r="H2034" s="2" t="s">
        <v>4267</v>
      </c>
      <c r="I2034" s="2" t="str">
        <f t="shared" si="155"/>
        <v>Nov</v>
      </c>
      <c r="J2034" s="2">
        <f t="shared" si="156"/>
        <v>11</v>
      </c>
      <c r="K2034" s="2">
        <f t="shared" si="157"/>
        <v>2025</v>
      </c>
      <c r="L2034" s="2">
        <f t="shared" si="158"/>
        <v>4</v>
      </c>
      <c r="M2034" s="2">
        <v>0</v>
      </c>
      <c r="N2034" s="2" t="s">
        <v>4381</v>
      </c>
      <c r="O2034" s="2" t="s">
        <v>55</v>
      </c>
      <c r="P2034" s="3">
        <v>1614721</v>
      </c>
      <c r="Q2034" s="2"/>
      <c r="R2034" s="2"/>
      <c r="S2034" s="2" t="s">
        <v>5819</v>
      </c>
      <c r="T2034" s="2">
        <v>29.3</v>
      </c>
      <c r="U2034" s="2" t="s">
        <v>29</v>
      </c>
      <c r="V2034" s="2" t="s">
        <v>56</v>
      </c>
      <c r="W2034" s="67" t="str">
        <f t="shared" si="159"/>
        <v>-</v>
      </c>
    </row>
    <row r="2035" spans="1:23" x14ac:dyDescent="0.3">
      <c r="A2035" s="4" t="s">
        <v>4592</v>
      </c>
      <c r="B2035" s="4" t="s">
        <v>2097</v>
      </c>
      <c r="C2035" s="4">
        <v>9410522047</v>
      </c>
      <c r="D2035" s="4" t="s">
        <v>20</v>
      </c>
      <c r="E2035" s="4" t="s">
        <v>33</v>
      </c>
      <c r="F2035" s="4" t="s">
        <v>102</v>
      </c>
      <c r="G2035" s="4" t="s">
        <v>23</v>
      </c>
      <c r="H2035" s="4" t="s">
        <v>4267</v>
      </c>
      <c r="I2035" s="2" t="str">
        <f t="shared" si="155"/>
        <v>Nov</v>
      </c>
      <c r="J2035" s="2">
        <f t="shared" si="156"/>
        <v>11</v>
      </c>
      <c r="K2035" s="2">
        <f t="shared" si="157"/>
        <v>2025</v>
      </c>
      <c r="L2035" s="2">
        <f t="shared" si="158"/>
        <v>4</v>
      </c>
      <c r="M2035" s="4">
        <v>3</v>
      </c>
      <c r="N2035" s="4" t="s">
        <v>4445</v>
      </c>
      <c r="O2035" s="4" t="s">
        <v>45</v>
      </c>
      <c r="P2035" s="5">
        <v>468015</v>
      </c>
      <c r="Q2035" s="4"/>
      <c r="R2035" s="4"/>
      <c r="S2035" s="4" t="s">
        <v>5819</v>
      </c>
      <c r="T2035" s="4">
        <v>9.6</v>
      </c>
      <c r="U2035" s="4" t="s">
        <v>29</v>
      </c>
      <c r="V2035" s="4" t="s">
        <v>805</v>
      </c>
      <c r="W2035" s="67" t="str">
        <f t="shared" si="159"/>
        <v>-</v>
      </c>
    </row>
    <row r="2036" spans="1:23" x14ac:dyDescent="0.3">
      <c r="A2036" s="2" t="s">
        <v>4593</v>
      </c>
      <c r="B2036" s="2" t="s">
        <v>4594</v>
      </c>
      <c r="C2036" s="2">
        <v>9703180271</v>
      </c>
      <c r="D2036" s="2" t="s">
        <v>108</v>
      </c>
      <c r="E2036" s="2" t="s">
        <v>1632</v>
      </c>
      <c r="F2036" s="2" t="s">
        <v>1717</v>
      </c>
      <c r="G2036" s="2" t="s">
        <v>643</v>
      </c>
      <c r="H2036" s="2" t="s">
        <v>4267</v>
      </c>
      <c r="I2036" s="2" t="str">
        <f t="shared" si="155"/>
        <v>Nov</v>
      </c>
      <c r="J2036" s="2">
        <f t="shared" si="156"/>
        <v>11</v>
      </c>
      <c r="K2036" s="2">
        <f t="shared" si="157"/>
        <v>2025</v>
      </c>
      <c r="L2036" s="2">
        <f t="shared" si="158"/>
        <v>4</v>
      </c>
      <c r="M2036" s="2">
        <v>7</v>
      </c>
      <c r="N2036" s="2" t="s">
        <v>4543</v>
      </c>
      <c r="O2036" s="2" t="s">
        <v>27</v>
      </c>
      <c r="P2036" s="3">
        <v>796177</v>
      </c>
      <c r="Q2036" s="2"/>
      <c r="R2036" s="2"/>
      <c r="S2036" s="2" t="s">
        <v>5819</v>
      </c>
      <c r="T2036" s="2">
        <v>29</v>
      </c>
      <c r="U2036" s="2" t="s">
        <v>29</v>
      </c>
      <c r="V2036" s="2" t="s">
        <v>30</v>
      </c>
      <c r="W2036" s="67" t="str">
        <f t="shared" si="159"/>
        <v>-</v>
      </c>
    </row>
    <row r="2037" spans="1:23" x14ac:dyDescent="0.3">
      <c r="A2037" s="4" t="s">
        <v>4595</v>
      </c>
      <c r="B2037" s="4" t="s">
        <v>2456</v>
      </c>
      <c r="C2037" s="4">
        <v>9332432465</v>
      </c>
      <c r="D2037" s="4" t="s">
        <v>121</v>
      </c>
      <c r="E2037" s="4" t="s">
        <v>1632</v>
      </c>
      <c r="F2037" s="4" t="s">
        <v>1717</v>
      </c>
      <c r="G2037" s="4" t="s">
        <v>69</v>
      </c>
      <c r="H2037" s="4" t="s">
        <v>4267</v>
      </c>
      <c r="I2037" s="2" t="str">
        <f t="shared" si="155"/>
        <v>Nov</v>
      </c>
      <c r="J2037" s="2">
        <f t="shared" si="156"/>
        <v>11</v>
      </c>
      <c r="K2037" s="2">
        <f t="shared" si="157"/>
        <v>2025</v>
      </c>
      <c r="L2037" s="2">
        <f t="shared" si="158"/>
        <v>4</v>
      </c>
      <c r="M2037" s="4">
        <v>2</v>
      </c>
      <c r="N2037" s="4" t="s">
        <v>4596</v>
      </c>
      <c r="O2037" s="4" t="s">
        <v>45</v>
      </c>
      <c r="P2037" s="5">
        <v>179125</v>
      </c>
      <c r="Q2037" s="4"/>
      <c r="R2037" s="4"/>
      <c r="S2037" s="4" t="s">
        <v>5819</v>
      </c>
      <c r="T2037" s="4">
        <v>16.8</v>
      </c>
      <c r="U2037" s="4" t="s">
        <v>47</v>
      </c>
      <c r="V2037" s="4" t="s">
        <v>276</v>
      </c>
      <c r="W2037" s="67" t="str">
        <f t="shared" si="159"/>
        <v>-</v>
      </c>
    </row>
    <row r="2038" spans="1:23" x14ac:dyDescent="0.3">
      <c r="A2038" s="2" t="s">
        <v>4597</v>
      </c>
      <c r="B2038" s="2" t="s">
        <v>1582</v>
      </c>
      <c r="C2038" s="2">
        <v>9324267288</v>
      </c>
      <c r="D2038" s="2" t="s">
        <v>20</v>
      </c>
      <c r="E2038" s="2" t="s">
        <v>41</v>
      </c>
      <c r="F2038" s="2" t="s">
        <v>151</v>
      </c>
      <c r="G2038" s="2" t="s">
        <v>1677</v>
      </c>
      <c r="H2038" s="2" t="s">
        <v>4267</v>
      </c>
      <c r="I2038" s="2" t="str">
        <f t="shared" si="155"/>
        <v>Nov</v>
      </c>
      <c r="J2038" s="2">
        <f t="shared" si="156"/>
        <v>11</v>
      </c>
      <c r="K2038" s="2">
        <f t="shared" si="157"/>
        <v>2025</v>
      </c>
      <c r="L2038" s="2">
        <f t="shared" si="158"/>
        <v>4</v>
      </c>
      <c r="M2038" s="2">
        <v>8</v>
      </c>
      <c r="N2038" s="2" t="s">
        <v>4338</v>
      </c>
      <c r="O2038" s="2" t="s">
        <v>27</v>
      </c>
      <c r="P2038" s="3">
        <v>1413637</v>
      </c>
      <c r="Q2038" s="2"/>
      <c r="R2038" s="2"/>
      <c r="S2038" s="2" t="s">
        <v>5573</v>
      </c>
      <c r="T2038" s="2">
        <v>16</v>
      </c>
      <c r="U2038" s="2" t="s">
        <v>29</v>
      </c>
      <c r="V2038" s="2" t="s">
        <v>38</v>
      </c>
      <c r="W2038" s="67" t="str">
        <f t="shared" si="159"/>
        <v>-</v>
      </c>
    </row>
    <row r="2039" spans="1:23" x14ac:dyDescent="0.3">
      <c r="A2039" s="4" t="s">
        <v>4598</v>
      </c>
      <c r="B2039" s="4" t="s">
        <v>2899</v>
      </c>
      <c r="C2039" s="4">
        <v>9667117479</v>
      </c>
      <c r="D2039" s="4" t="s">
        <v>59</v>
      </c>
      <c r="E2039" s="4" t="s">
        <v>1632</v>
      </c>
      <c r="F2039" s="4" t="s">
        <v>1694</v>
      </c>
      <c r="G2039" s="4" t="s">
        <v>1677</v>
      </c>
      <c r="H2039" s="4" t="s">
        <v>4267</v>
      </c>
      <c r="I2039" s="2" t="str">
        <f t="shared" si="155"/>
        <v>Nov</v>
      </c>
      <c r="J2039" s="2">
        <f t="shared" si="156"/>
        <v>11</v>
      </c>
      <c r="K2039" s="2">
        <f t="shared" si="157"/>
        <v>2025</v>
      </c>
      <c r="L2039" s="2">
        <f t="shared" si="158"/>
        <v>4</v>
      </c>
      <c r="M2039" s="4">
        <v>10</v>
      </c>
      <c r="N2039" s="4" t="s">
        <v>4562</v>
      </c>
      <c r="O2039" s="4" t="s">
        <v>27</v>
      </c>
      <c r="P2039" s="5">
        <v>945803</v>
      </c>
      <c r="Q2039" s="4"/>
      <c r="R2039" s="4"/>
      <c r="S2039" s="4" t="s">
        <v>5573</v>
      </c>
      <c r="T2039" s="4">
        <v>11.8</v>
      </c>
      <c r="U2039" s="4" t="s">
        <v>29</v>
      </c>
      <c r="V2039" s="4" t="s">
        <v>202</v>
      </c>
      <c r="W2039" s="67" t="str">
        <f t="shared" si="159"/>
        <v>-</v>
      </c>
    </row>
    <row r="2040" spans="1:23" x14ac:dyDescent="0.3">
      <c r="A2040" s="2" t="s">
        <v>4599</v>
      </c>
      <c r="B2040" s="2" t="s">
        <v>2833</v>
      </c>
      <c r="C2040" s="2">
        <v>9785808003</v>
      </c>
      <c r="D2040" s="2" t="s">
        <v>59</v>
      </c>
      <c r="E2040" s="2" t="s">
        <v>41</v>
      </c>
      <c r="F2040" s="2" t="s">
        <v>42</v>
      </c>
      <c r="G2040" s="2" t="s">
        <v>60</v>
      </c>
      <c r="H2040" s="2" t="s">
        <v>4267</v>
      </c>
      <c r="I2040" s="2" t="str">
        <f t="shared" si="155"/>
        <v>Nov</v>
      </c>
      <c r="J2040" s="2">
        <f t="shared" si="156"/>
        <v>11</v>
      </c>
      <c r="K2040" s="2">
        <f t="shared" si="157"/>
        <v>2025</v>
      </c>
      <c r="L2040" s="2">
        <f t="shared" si="158"/>
        <v>4</v>
      </c>
      <c r="M2040" s="2">
        <v>0</v>
      </c>
      <c r="N2040" s="2" t="s">
        <v>4289</v>
      </c>
      <c r="O2040" s="2" t="s">
        <v>27</v>
      </c>
      <c r="P2040" s="3">
        <v>262795</v>
      </c>
      <c r="Q2040" s="2"/>
      <c r="R2040" s="2"/>
      <c r="S2040" s="2" t="s">
        <v>5574</v>
      </c>
      <c r="T2040" s="2">
        <v>10.5</v>
      </c>
      <c r="U2040" s="2" t="s">
        <v>29</v>
      </c>
      <c r="V2040" s="2" t="s">
        <v>202</v>
      </c>
      <c r="W2040" s="67" t="str">
        <f t="shared" si="159"/>
        <v>-</v>
      </c>
    </row>
    <row r="2041" spans="1:23" x14ac:dyDescent="0.3">
      <c r="A2041" s="4" t="s">
        <v>4600</v>
      </c>
      <c r="B2041" s="4" t="s">
        <v>983</v>
      </c>
      <c r="C2041" s="4">
        <v>9801247280</v>
      </c>
      <c r="D2041" s="4" t="s">
        <v>20</v>
      </c>
      <c r="E2041" s="4" t="s">
        <v>1632</v>
      </c>
      <c r="F2041" s="4" t="s">
        <v>1849</v>
      </c>
      <c r="G2041" s="4" t="s">
        <v>1621</v>
      </c>
      <c r="H2041" s="4" t="s">
        <v>4321</v>
      </c>
      <c r="I2041" s="2" t="str">
        <f t="shared" si="155"/>
        <v>Nov</v>
      </c>
      <c r="J2041" s="2">
        <f t="shared" si="156"/>
        <v>11</v>
      </c>
      <c r="K2041" s="2">
        <f t="shared" si="157"/>
        <v>2025</v>
      </c>
      <c r="L2041" s="2">
        <f t="shared" si="158"/>
        <v>4</v>
      </c>
      <c r="M2041" s="4">
        <v>5</v>
      </c>
      <c r="N2041" s="4" t="s">
        <v>4458</v>
      </c>
      <c r="O2041" s="4" t="s">
        <v>27</v>
      </c>
      <c r="P2041" s="5">
        <v>328607</v>
      </c>
      <c r="Q2041" s="4"/>
      <c r="R2041" s="4"/>
      <c r="S2041" s="4" t="s">
        <v>5819</v>
      </c>
      <c r="T2041" s="4">
        <v>27.3</v>
      </c>
      <c r="U2041" s="4" t="s">
        <v>29</v>
      </c>
      <c r="V2041" s="4" t="s">
        <v>153</v>
      </c>
      <c r="W2041" s="67" t="str">
        <f t="shared" si="159"/>
        <v>-</v>
      </c>
    </row>
    <row r="2042" spans="1:23" x14ac:dyDescent="0.3">
      <c r="A2042" s="6" t="s">
        <v>4601</v>
      </c>
      <c r="B2042" s="6" t="s">
        <v>4602</v>
      </c>
      <c r="C2042" s="6">
        <v>9822408035</v>
      </c>
      <c r="D2042" s="6" t="s">
        <v>5357</v>
      </c>
      <c r="E2042" s="6" t="s">
        <v>109</v>
      </c>
      <c r="F2042" s="6" t="s">
        <v>110</v>
      </c>
      <c r="G2042" s="6" t="s">
        <v>52</v>
      </c>
      <c r="H2042" s="6" t="s">
        <v>4321</v>
      </c>
      <c r="I2042" s="2" t="str">
        <f t="shared" si="155"/>
        <v>Nov</v>
      </c>
      <c r="J2042" s="2">
        <f t="shared" si="156"/>
        <v>11</v>
      </c>
      <c r="K2042" s="2">
        <f t="shared" si="157"/>
        <v>2025</v>
      </c>
      <c r="L2042" s="2">
        <f t="shared" si="158"/>
        <v>4</v>
      </c>
      <c r="M2042" s="6">
        <v>5</v>
      </c>
      <c r="N2042" s="6" t="s">
        <v>4543</v>
      </c>
      <c r="O2042" s="6" t="s">
        <v>97</v>
      </c>
      <c r="P2042" s="7">
        <v>570211</v>
      </c>
      <c r="Q2042" s="7">
        <v>549326</v>
      </c>
      <c r="R2042" s="6" t="s">
        <v>4558</v>
      </c>
      <c r="S2042" s="6" t="s">
        <v>5574</v>
      </c>
      <c r="T2042" s="6">
        <v>29.1</v>
      </c>
      <c r="U2042" s="6" t="s">
        <v>63</v>
      </c>
      <c r="V2042" s="6" t="s">
        <v>286</v>
      </c>
      <c r="W2042" s="67" t="str">
        <f t="shared" si="159"/>
        <v>Customer</v>
      </c>
    </row>
    <row r="2043" spans="1:23" x14ac:dyDescent="0.3">
      <c r="A2043" s="4" t="s">
        <v>4603</v>
      </c>
      <c r="B2043" s="4" t="s">
        <v>2215</v>
      </c>
      <c r="C2043" s="4">
        <v>9938011648</v>
      </c>
      <c r="D2043" s="4" t="s">
        <v>108</v>
      </c>
      <c r="E2043" s="4" t="s">
        <v>1632</v>
      </c>
      <c r="F2043" s="4" t="s">
        <v>1717</v>
      </c>
      <c r="G2043" s="4" t="s">
        <v>87</v>
      </c>
      <c r="H2043" s="4" t="s">
        <v>4321</v>
      </c>
      <c r="I2043" s="2" t="str">
        <f t="shared" si="155"/>
        <v>Nov</v>
      </c>
      <c r="J2043" s="2">
        <f t="shared" si="156"/>
        <v>11</v>
      </c>
      <c r="K2043" s="2">
        <f t="shared" si="157"/>
        <v>2025</v>
      </c>
      <c r="L2043" s="2">
        <f t="shared" si="158"/>
        <v>4</v>
      </c>
      <c r="M2043" s="4">
        <v>0</v>
      </c>
      <c r="N2043" s="4" t="s">
        <v>4289</v>
      </c>
      <c r="O2043" s="4" t="s">
        <v>45</v>
      </c>
      <c r="P2043" s="5">
        <v>308145</v>
      </c>
      <c r="Q2043" s="4"/>
      <c r="R2043" s="4"/>
      <c r="S2043" s="4" t="s">
        <v>5574</v>
      </c>
      <c r="T2043" s="4">
        <v>33.200000000000003</v>
      </c>
      <c r="U2043" s="4" t="s">
        <v>29</v>
      </c>
      <c r="V2043" s="4" t="s">
        <v>206</v>
      </c>
      <c r="W2043" s="67" t="str">
        <f t="shared" si="159"/>
        <v>-</v>
      </c>
    </row>
    <row r="2044" spans="1:23" x14ac:dyDescent="0.3">
      <c r="A2044" s="2" t="s">
        <v>4604</v>
      </c>
      <c r="B2044" s="2" t="s">
        <v>373</v>
      </c>
      <c r="C2044" s="2"/>
      <c r="D2044" s="2" t="s">
        <v>51</v>
      </c>
      <c r="E2044" s="2" t="s">
        <v>67</v>
      </c>
      <c r="F2044" s="2" t="s">
        <v>68</v>
      </c>
      <c r="G2044" s="2" t="s">
        <v>1623</v>
      </c>
      <c r="H2044" s="2" t="s">
        <v>4321</v>
      </c>
      <c r="I2044" s="2" t="str">
        <f t="shared" si="155"/>
        <v>Nov</v>
      </c>
      <c r="J2044" s="2">
        <f t="shared" si="156"/>
        <v>11</v>
      </c>
      <c r="K2044" s="2">
        <f t="shared" si="157"/>
        <v>2025</v>
      </c>
      <c r="L2044" s="2">
        <f t="shared" si="158"/>
        <v>4</v>
      </c>
      <c r="M2044" s="2">
        <v>12</v>
      </c>
      <c r="N2044" s="2" t="s">
        <v>4551</v>
      </c>
      <c r="O2044" s="2" t="s">
        <v>55</v>
      </c>
      <c r="P2044" s="3">
        <v>471197</v>
      </c>
      <c r="Q2044" s="2"/>
      <c r="R2044" s="2"/>
      <c r="S2044" s="2" t="s">
        <v>5573</v>
      </c>
      <c r="T2044" s="2">
        <v>8.5</v>
      </c>
      <c r="U2044" s="2" t="s">
        <v>29</v>
      </c>
      <c r="V2044" s="2" t="s">
        <v>328</v>
      </c>
      <c r="W2044" s="67" t="str">
        <f t="shared" si="159"/>
        <v>-</v>
      </c>
    </row>
    <row r="2045" spans="1:23" x14ac:dyDescent="0.3">
      <c r="A2045" s="6" t="s">
        <v>4605</v>
      </c>
      <c r="B2045" s="6" t="s">
        <v>4606</v>
      </c>
      <c r="C2045" s="6">
        <v>9635126833</v>
      </c>
      <c r="D2045" s="6" t="s">
        <v>20</v>
      </c>
      <c r="E2045" s="6" t="s">
        <v>1632</v>
      </c>
      <c r="F2045" s="6" t="s">
        <v>1717</v>
      </c>
      <c r="G2045" s="6" t="s">
        <v>643</v>
      </c>
      <c r="H2045" s="6" t="s">
        <v>4321</v>
      </c>
      <c r="I2045" s="2" t="str">
        <f t="shared" si="155"/>
        <v>Nov</v>
      </c>
      <c r="J2045" s="2">
        <f t="shared" si="156"/>
        <v>11</v>
      </c>
      <c r="K2045" s="2">
        <f t="shared" si="157"/>
        <v>2025</v>
      </c>
      <c r="L2045" s="2">
        <f t="shared" si="158"/>
        <v>4</v>
      </c>
      <c r="M2045" s="6">
        <v>4</v>
      </c>
      <c r="N2045" s="6" t="s">
        <v>4384</v>
      </c>
      <c r="O2045" s="6" t="s">
        <v>97</v>
      </c>
      <c r="P2045" s="7">
        <v>1385145</v>
      </c>
      <c r="Q2045" s="7">
        <v>1402543</v>
      </c>
      <c r="R2045" s="6" t="s">
        <v>4376</v>
      </c>
      <c r="S2045" s="6" t="s">
        <v>5573</v>
      </c>
      <c r="T2045" s="6">
        <v>16.3</v>
      </c>
      <c r="U2045" s="6" t="s">
        <v>63</v>
      </c>
      <c r="V2045" s="6" t="s">
        <v>907</v>
      </c>
      <c r="W2045" s="67" t="str">
        <f t="shared" si="159"/>
        <v>Customer</v>
      </c>
    </row>
    <row r="2046" spans="1:23" x14ac:dyDescent="0.3">
      <c r="A2046" s="2" t="s">
        <v>4607</v>
      </c>
      <c r="B2046" s="2" t="s">
        <v>757</v>
      </c>
      <c r="C2046" s="2">
        <v>9712588308</v>
      </c>
      <c r="D2046" s="2" t="s">
        <v>59</v>
      </c>
      <c r="E2046" s="2" t="s">
        <v>1632</v>
      </c>
      <c r="F2046" s="2" t="s">
        <v>1682</v>
      </c>
      <c r="G2046" s="2" t="s">
        <v>643</v>
      </c>
      <c r="H2046" s="2" t="s">
        <v>4321</v>
      </c>
      <c r="I2046" s="2" t="str">
        <f t="shared" si="155"/>
        <v>Nov</v>
      </c>
      <c r="J2046" s="2">
        <f t="shared" si="156"/>
        <v>11</v>
      </c>
      <c r="K2046" s="2">
        <f t="shared" si="157"/>
        <v>2025</v>
      </c>
      <c r="L2046" s="2">
        <f t="shared" si="158"/>
        <v>4</v>
      </c>
      <c r="M2046" s="2">
        <v>0</v>
      </c>
      <c r="N2046" s="2" t="s">
        <v>4271</v>
      </c>
      <c r="O2046" s="2" t="s">
        <v>27</v>
      </c>
      <c r="P2046" s="3">
        <v>1194598</v>
      </c>
      <c r="Q2046" s="2"/>
      <c r="R2046" s="2"/>
      <c r="S2046" s="2" t="s">
        <v>5573</v>
      </c>
      <c r="T2046" s="2">
        <v>13.2</v>
      </c>
      <c r="U2046" s="2" t="s">
        <v>29</v>
      </c>
      <c r="V2046" s="2"/>
      <c r="W2046" s="67" t="str">
        <f t="shared" si="159"/>
        <v>-</v>
      </c>
    </row>
    <row r="2047" spans="1:23" x14ac:dyDescent="0.3">
      <c r="A2047" s="4" t="s">
        <v>4608</v>
      </c>
      <c r="B2047" s="4" t="s">
        <v>3049</v>
      </c>
      <c r="C2047" s="4">
        <v>9319541750</v>
      </c>
      <c r="D2047" s="4" t="s">
        <v>108</v>
      </c>
      <c r="E2047" s="4" t="s">
        <v>41</v>
      </c>
      <c r="F2047" s="4" t="s">
        <v>92</v>
      </c>
      <c r="G2047" s="4" t="s">
        <v>35</v>
      </c>
      <c r="H2047" s="4" t="s">
        <v>4334</v>
      </c>
      <c r="I2047" s="2" t="str">
        <f t="shared" si="155"/>
        <v>Nov</v>
      </c>
      <c r="J2047" s="2">
        <f t="shared" si="156"/>
        <v>11</v>
      </c>
      <c r="K2047" s="2">
        <f t="shared" si="157"/>
        <v>2025</v>
      </c>
      <c r="L2047" s="2">
        <f t="shared" si="158"/>
        <v>4</v>
      </c>
      <c r="M2047" s="4">
        <v>10</v>
      </c>
      <c r="N2047" s="4" t="s">
        <v>4464</v>
      </c>
      <c r="O2047" s="4" t="s">
        <v>27</v>
      </c>
      <c r="P2047" s="5">
        <v>311851</v>
      </c>
      <c r="Q2047" s="4"/>
      <c r="R2047" s="4"/>
      <c r="S2047" s="4" t="s">
        <v>5573</v>
      </c>
      <c r="T2047" s="4">
        <v>33.1</v>
      </c>
      <c r="U2047" s="4" t="s">
        <v>29</v>
      </c>
      <c r="V2047" s="4" t="s">
        <v>163</v>
      </c>
      <c r="W2047" s="67" t="str">
        <f t="shared" si="159"/>
        <v>-</v>
      </c>
    </row>
    <row r="2048" spans="1:23" x14ac:dyDescent="0.3">
      <c r="A2048" s="2" t="s">
        <v>4609</v>
      </c>
      <c r="B2048" s="2" t="s">
        <v>387</v>
      </c>
      <c r="C2048" s="2">
        <v>9483590806</v>
      </c>
      <c r="D2048" s="2" t="s">
        <v>20</v>
      </c>
      <c r="E2048" s="2" t="s">
        <v>1632</v>
      </c>
      <c r="F2048" s="2" t="s">
        <v>1633</v>
      </c>
      <c r="G2048" s="2" t="s">
        <v>643</v>
      </c>
      <c r="H2048" s="2" t="s">
        <v>4334</v>
      </c>
      <c r="I2048" s="2" t="str">
        <f t="shared" si="155"/>
        <v>Nov</v>
      </c>
      <c r="J2048" s="2">
        <f t="shared" si="156"/>
        <v>11</v>
      </c>
      <c r="K2048" s="2">
        <f t="shared" si="157"/>
        <v>2025</v>
      </c>
      <c r="L2048" s="2">
        <f t="shared" si="158"/>
        <v>4</v>
      </c>
      <c r="M2048" s="2">
        <v>3</v>
      </c>
      <c r="N2048" s="2" t="s">
        <v>4445</v>
      </c>
      <c r="O2048" s="2" t="s">
        <v>45</v>
      </c>
      <c r="P2048" s="3">
        <v>1281583</v>
      </c>
      <c r="Q2048" s="2"/>
      <c r="R2048" s="2"/>
      <c r="S2048" s="2" t="s">
        <v>5574</v>
      </c>
      <c r="T2048" s="2">
        <v>34.1</v>
      </c>
      <c r="U2048" s="2" t="s">
        <v>63</v>
      </c>
      <c r="V2048" s="2" t="s">
        <v>335</v>
      </c>
      <c r="W2048" s="67" t="str">
        <f t="shared" si="159"/>
        <v>-</v>
      </c>
    </row>
    <row r="2049" spans="1:23" x14ac:dyDescent="0.3">
      <c r="A2049" s="4" t="s">
        <v>4610</v>
      </c>
      <c r="B2049" s="4" t="s">
        <v>519</v>
      </c>
      <c r="C2049" s="4">
        <v>9823291043</v>
      </c>
      <c r="D2049" s="4" t="s">
        <v>20</v>
      </c>
      <c r="E2049" s="4" t="s">
        <v>109</v>
      </c>
      <c r="F2049" s="4" t="s">
        <v>331</v>
      </c>
      <c r="G2049" s="4" t="s">
        <v>643</v>
      </c>
      <c r="H2049" s="4" t="s">
        <v>4334</v>
      </c>
      <c r="I2049" s="2" t="str">
        <f t="shared" si="155"/>
        <v>Nov</v>
      </c>
      <c r="J2049" s="2">
        <f t="shared" si="156"/>
        <v>11</v>
      </c>
      <c r="K2049" s="2">
        <f t="shared" si="157"/>
        <v>2025</v>
      </c>
      <c r="L2049" s="2">
        <f t="shared" si="158"/>
        <v>4</v>
      </c>
      <c r="M2049" s="4">
        <v>12</v>
      </c>
      <c r="N2049" s="4" t="s">
        <v>4611</v>
      </c>
      <c r="O2049" s="4" t="s">
        <v>27</v>
      </c>
      <c r="P2049" s="5">
        <v>1069618</v>
      </c>
      <c r="Q2049" s="4"/>
      <c r="R2049" s="4"/>
      <c r="S2049" s="4" t="s">
        <v>5819</v>
      </c>
      <c r="T2049" s="4">
        <v>15.4</v>
      </c>
      <c r="U2049" s="4" t="s">
        <v>29</v>
      </c>
      <c r="V2049" s="4" t="s">
        <v>163</v>
      </c>
      <c r="W2049" s="67" t="str">
        <f t="shared" si="159"/>
        <v>-</v>
      </c>
    </row>
    <row r="2050" spans="1:23" x14ac:dyDescent="0.3">
      <c r="A2050" s="6" t="s">
        <v>4612</v>
      </c>
      <c r="B2050" s="6" t="s">
        <v>134</v>
      </c>
      <c r="C2050" s="6">
        <v>9939473316</v>
      </c>
      <c r="D2050" s="6" t="s">
        <v>121</v>
      </c>
      <c r="E2050" s="6" t="s">
        <v>67</v>
      </c>
      <c r="F2050" s="6" t="s">
        <v>68</v>
      </c>
      <c r="G2050" s="6" t="s">
        <v>69</v>
      </c>
      <c r="H2050" s="6" t="s">
        <v>4334</v>
      </c>
      <c r="I2050" s="2" t="str">
        <f t="shared" ref="I2050:I2113" si="160">TEXT(H2050,"mmm")</f>
        <v>Nov</v>
      </c>
      <c r="J2050" s="2">
        <f t="shared" ref="J2050:J2113" si="161">MONTH(H2050)</f>
        <v>11</v>
      </c>
      <c r="K2050" s="2">
        <f t="shared" ref="K2050:K2113" si="162">YEAR(H2050)</f>
        <v>2025</v>
      </c>
      <c r="L2050" s="2">
        <f t="shared" ref="L2050:L2113" si="163">ROUNDUP(MONTH(H2050)/3,0)</f>
        <v>4</v>
      </c>
      <c r="M2050" s="6">
        <v>7</v>
      </c>
      <c r="N2050" s="6" t="s">
        <v>4558</v>
      </c>
      <c r="O2050" s="6" t="s">
        <v>97</v>
      </c>
      <c r="P2050" s="7">
        <v>275055</v>
      </c>
      <c r="Q2050" s="7">
        <v>245773</v>
      </c>
      <c r="R2050" s="6" t="s">
        <v>4587</v>
      </c>
      <c r="S2050" s="6" t="s">
        <v>5574</v>
      </c>
      <c r="T2050" s="6">
        <v>29.2</v>
      </c>
      <c r="U2050" s="6" t="s">
        <v>63</v>
      </c>
      <c r="V2050" s="6"/>
      <c r="W2050" s="67" t="str">
        <f t="shared" ref="W2050:W2113" si="164">IF($O2050&lt;&gt;"Converted","-",IF(ISNUMBER(SEARCH("Architect",$F2050)),"Architect","Customer"))</f>
        <v>Customer</v>
      </c>
    </row>
    <row r="2051" spans="1:23" x14ac:dyDescent="0.3">
      <c r="A2051" s="6" t="s">
        <v>4613</v>
      </c>
      <c r="B2051" s="6" t="s">
        <v>4614</v>
      </c>
      <c r="C2051" s="6">
        <v>9441343581</v>
      </c>
      <c r="D2051" s="6" t="s">
        <v>108</v>
      </c>
      <c r="E2051" s="6" t="s">
        <v>73</v>
      </c>
      <c r="F2051" s="6" t="s">
        <v>74</v>
      </c>
      <c r="G2051" s="6" t="s">
        <v>87</v>
      </c>
      <c r="H2051" s="6" t="s">
        <v>4369</v>
      </c>
      <c r="I2051" s="2" t="str">
        <f t="shared" si="160"/>
        <v>Nov</v>
      </c>
      <c r="J2051" s="2">
        <f t="shared" si="161"/>
        <v>11</v>
      </c>
      <c r="K2051" s="2">
        <f t="shared" si="162"/>
        <v>2025</v>
      </c>
      <c r="L2051" s="2">
        <f t="shared" si="163"/>
        <v>4</v>
      </c>
      <c r="M2051" s="6">
        <v>10</v>
      </c>
      <c r="N2051" s="6" t="s">
        <v>4615</v>
      </c>
      <c r="O2051" s="6" t="s">
        <v>97</v>
      </c>
      <c r="P2051" s="7">
        <v>293686</v>
      </c>
      <c r="Q2051" s="7">
        <v>284489</v>
      </c>
      <c r="R2051" s="6" t="s">
        <v>4553</v>
      </c>
      <c r="S2051" s="6" t="s">
        <v>5574</v>
      </c>
      <c r="T2051" s="6">
        <v>3.7</v>
      </c>
      <c r="U2051" s="6" t="s">
        <v>63</v>
      </c>
      <c r="V2051" s="6" t="s">
        <v>465</v>
      </c>
      <c r="W2051" s="67" t="str">
        <f t="shared" si="164"/>
        <v>Customer</v>
      </c>
    </row>
    <row r="2052" spans="1:23" x14ac:dyDescent="0.3">
      <c r="A2052" s="2" t="s">
        <v>4616</v>
      </c>
      <c r="B2052" s="2" t="s">
        <v>1354</v>
      </c>
      <c r="C2052" s="2">
        <v>9909831520</v>
      </c>
      <c r="D2052" s="2" t="s">
        <v>51</v>
      </c>
      <c r="E2052" s="2" t="s">
        <v>1632</v>
      </c>
      <c r="F2052" s="2" t="s">
        <v>1849</v>
      </c>
      <c r="G2052" s="2" t="s">
        <v>23</v>
      </c>
      <c r="H2052" s="2" t="s">
        <v>4369</v>
      </c>
      <c r="I2052" s="2" t="str">
        <f t="shared" si="160"/>
        <v>Nov</v>
      </c>
      <c r="J2052" s="2">
        <f t="shared" si="161"/>
        <v>11</v>
      </c>
      <c r="K2052" s="2">
        <f t="shared" si="162"/>
        <v>2025</v>
      </c>
      <c r="L2052" s="2">
        <f t="shared" si="163"/>
        <v>4</v>
      </c>
      <c r="M2052" s="2">
        <v>7</v>
      </c>
      <c r="N2052" s="2" t="s">
        <v>4228</v>
      </c>
      <c r="O2052" s="2" t="s">
        <v>27</v>
      </c>
      <c r="P2052" s="3">
        <v>664099</v>
      </c>
      <c r="Q2052" s="2"/>
      <c r="R2052" s="2"/>
      <c r="S2052" s="2" t="s">
        <v>5573</v>
      </c>
      <c r="T2052" s="2">
        <v>5.5</v>
      </c>
      <c r="U2052" s="2" t="s">
        <v>29</v>
      </c>
      <c r="V2052" s="2" t="s">
        <v>118</v>
      </c>
      <c r="W2052" s="67" t="str">
        <f t="shared" si="164"/>
        <v>-</v>
      </c>
    </row>
    <row r="2053" spans="1:23" x14ac:dyDescent="0.3">
      <c r="A2053" s="4" t="s">
        <v>4617</v>
      </c>
      <c r="B2053" s="4" t="s">
        <v>4618</v>
      </c>
      <c r="C2053" s="4">
        <v>9191340295</v>
      </c>
      <c r="D2053" s="4" t="s">
        <v>59</v>
      </c>
      <c r="E2053" s="4" t="s">
        <v>41</v>
      </c>
      <c r="F2053" s="4" t="s">
        <v>151</v>
      </c>
      <c r="G2053" s="4" t="s">
        <v>1623</v>
      </c>
      <c r="H2053" s="4" t="s">
        <v>4369</v>
      </c>
      <c r="I2053" s="2" t="str">
        <f t="shared" si="160"/>
        <v>Nov</v>
      </c>
      <c r="J2053" s="2">
        <f t="shared" si="161"/>
        <v>11</v>
      </c>
      <c r="K2053" s="2">
        <f t="shared" si="162"/>
        <v>2025</v>
      </c>
      <c r="L2053" s="2">
        <f t="shared" si="163"/>
        <v>4</v>
      </c>
      <c r="M2053" s="4">
        <v>6</v>
      </c>
      <c r="N2053" s="4" t="s">
        <v>4228</v>
      </c>
      <c r="O2053" s="4" t="s">
        <v>27</v>
      </c>
      <c r="P2053" s="5">
        <v>396844</v>
      </c>
      <c r="Q2053" s="4"/>
      <c r="R2053" s="4"/>
      <c r="S2053" s="4" t="s">
        <v>5819</v>
      </c>
      <c r="T2053" s="4">
        <v>19</v>
      </c>
      <c r="U2053" s="4" t="s">
        <v>47</v>
      </c>
      <c r="V2053" s="4" t="s">
        <v>123</v>
      </c>
      <c r="W2053" s="67" t="str">
        <f t="shared" si="164"/>
        <v>-</v>
      </c>
    </row>
    <row r="2054" spans="1:23" x14ac:dyDescent="0.3">
      <c r="A2054" s="2" t="s">
        <v>4619</v>
      </c>
      <c r="B2054" s="2" t="s">
        <v>4620</v>
      </c>
      <c r="C2054" s="2">
        <v>9793180063</v>
      </c>
      <c r="D2054" s="2" t="s">
        <v>59</v>
      </c>
      <c r="E2054" s="2" t="s">
        <v>41</v>
      </c>
      <c r="F2054" s="2" t="s">
        <v>151</v>
      </c>
      <c r="G2054" s="2" t="s">
        <v>35</v>
      </c>
      <c r="H2054" s="2" t="s">
        <v>4227</v>
      </c>
      <c r="I2054" s="2" t="str">
        <f t="shared" si="160"/>
        <v>Nov</v>
      </c>
      <c r="J2054" s="2">
        <f t="shared" si="161"/>
        <v>11</v>
      </c>
      <c r="K2054" s="2">
        <f t="shared" si="162"/>
        <v>2025</v>
      </c>
      <c r="L2054" s="2">
        <f t="shared" si="163"/>
        <v>4</v>
      </c>
      <c r="M2054" s="2">
        <v>0</v>
      </c>
      <c r="N2054" s="2" t="s">
        <v>4384</v>
      </c>
      <c r="O2054" s="2" t="s">
        <v>45</v>
      </c>
      <c r="P2054" s="3">
        <v>137248</v>
      </c>
      <c r="Q2054" s="2"/>
      <c r="R2054" s="2"/>
      <c r="S2054" s="2" t="s">
        <v>5574</v>
      </c>
      <c r="T2054" s="2">
        <v>10.1</v>
      </c>
      <c r="U2054" s="2" t="s">
        <v>47</v>
      </c>
      <c r="V2054" s="2" t="s">
        <v>302</v>
      </c>
      <c r="W2054" s="67" t="str">
        <f t="shared" si="164"/>
        <v>-</v>
      </c>
    </row>
    <row r="2055" spans="1:23" x14ac:dyDescent="0.3">
      <c r="A2055" s="6" t="s">
        <v>4621</v>
      </c>
      <c r="B2055" s="6" t="s">
        <v>892</v>
      </c>
      <c r="C2055" s="6">
        <v>9573689053</v>
      </c>
      <c r="D2055" s="6" t="s">
        <v>20</v>
      </c>
      <c r="E2055" s="6" t="s">
        <v>648</v>
      </c>
      <c r="F2055" s="6" t="s">
        <v>899</v>
      </c>
      <c r="G2055" s="6" t="s">
        <v>69</v>
      </c>
      <c r="H2055" s="6" t="s">
        <v>4227</v>
      </c>
      <c r="I2055" s="2" t="str">
        <f t="shared" si="160"/>
        <v>Nov</v>
      </c>
      <c r="J2055" s="2">
        <f t="shared" si="161"/>
        <v>11</v>
      </c>
      <c r="K2055" s="2">
        <f t="shared" si="162"/>
        <v>2025</v>
      </c>
      <c r="L2055" s="2">
        <f t="shared" si="163"/>
        <v>4</v>
      </c>
      <c r="M2055" s="6">
        <v>2</v>
      </c>
      <c r="N2055" s="6" t="s">
        <v>4429</v>
      </c>
      <c r="O2055" s="6" t="s">
        <v>97</v>
      </c>
      <c r="P2055" s="7">
        <v>327691</v>
      </c>
      <c r="Q2055" s="7">
        <v>296204</v>
      </c>
      <c r="R2055" s="6" t="s">
        <v>4572</v>
      </c>
      <c r="S2055" s="6" t="s">
        <v>5573</v>
      </c>
      <c r="T2055" s="6">
        <v>15.6</v>
      </c>
      <c r="U2055" s="6" t="s">
        <v>63</v>
      </c>
      <c r="V2055" s="6" t="s">
        <v>99</v>
      </c>
      <c r="W2055" s="67" t="str">
        <f t="shared" si="164"/>
        <v>Customer</v>
      </c>
    </row>
    <row r="2056" spans="1:23" x14ac:dyDescent="0.3">
      <c r="A2056" s="6" t="s">
        <v>4622</v>
      </c>
      <c r="B2056" s="6" t="s">
        <v>782</v>
      </c>
      <c r="C2056" s="6">
        <v>9184391981</v>
      </c>
      <c r="D2056" s="6" t="s">
        <v>59</v>
      </c>
      <c r="E2056" s="6" t="s">
        <v>648</v>
      </c>
      <c r="F2056" s="6" t="s">
        <v>899</v>
      </c>
      <c r="G2056" s="6" t="s">
        <v>87</v>
      </c>
      <c r="H2056" s="6" t="s">
        <v>4227</v>
      </c>
      <c r="I2056" s="2" t="str">
        <f t="shared" si="160"/>
        <v>Nov</v>
      </c>
      <c r="J2056" s="2">
        <f t="shared" si="161"/>
        <v>11</v>
      </c>
      <c r="K2056" s="2">
        <f t="shared" si="162"/>
        <v>2025</v>
      </c>
      <c r="L2056" s="2">
        <f t="shared" si="163"/>
        <v>4</v>
      </c>
      <c r="M2056" s="6">
        <v>4</v>
      </c>
      <c r="N2056" s="6" t="s">
        <v>4409</v>
      </c>
      <c r="O2056" s="6" t="s">
        <v>97</v>
      </c>
      <c r="P2056" s="7">
        <v>303402</v>
      </c>
      <c r="Q2056" s="7">
        <v>312473</v>
      </c>
      <c r="R2056" s="6" t="s">
        <v>4458</v>
      </c>
      <c r="S2056" s="6" t="s">
        <v>5573</v>
      </c>
      <c r="T2056" s="6">
        <v>24.1</v>
      </c>
      <c r="U2056" s="6" t="s">
        <v>63</v>
      </c>
      <c r="V2056" s="6" t="s">
        <v>243</v>
      </c>
      <c r="W2056" s="67" t="str">
        <f t="shared" si="164"/>
        <v>Customer</v>
      </c>
    </row>
    <row r="2057" spans="1:23" x14ac:dyDescent="0.3">
      <c r="A2057" s="4" t="s">
        <v>4623</v>
      </c>
      <c r="B2057" s="4" t="s">
        <v>4624</v>
      </c>
      <c r="C2057" s="4">
        <v>9739482694</v>
      </c>
      <c r="D2057" s="4" t="s">
        <v>51</v>
      </c>
      <c r="E2057" s="4" t="s">
        <v>21</v>
      </c>
      <c r="F2057" s="4" t="s">
        <v>230</v>
      </c>
      <c r="G2057" s="4" t="s">
        <v>643</v>
      </c>
      <c r="H2057" s="4" t="s">
        <v>4295</v>
      </c>
      <c r="I2057" s="2" t="str">
        <f t="shared" si="160"/>
        <v>Nov</v>
      </c>
      <c r="J2057" s="2">
        <f t="shared" si="161"/>
        <v>11</v>
      </c>
      <c r="K2057" s="2">
        <f t="shared" si="162"/>
        <v>2025</v>
      </c>
      <c r="L2057" s="2">
        <f t="shared" si="163"/>
        <v>4</v>
      </c>
      <c r="M2057" s="4">
        <v>3</v>
      </c>
      <c r="N2057" s="4" t="s">
        <v>4445</v>
      </c>
      <c r="O2057" s="4" t="s">
        <v>62</v>
      </c>
      <c r="P2057" s="5">
        <v>888701</v>
      </c>
      <c r="Q2057" s="4"/>
      <c r="R2057" s="4"/>
      <c r="S2057" s="4" t="s">
        <v>5819</v>
      </c>
      <c r="T2057" s="4"/>
      <c r="U2057" s="4" t="s">
        <v>63</v>
      </c>
      <c r="V2057" s="4" t="s">
        <v>335</v>
      </c>
      <c r="W2057" s="67" t="str">
        <f t="shared" si="164"/>
        <v>-</v>
      </c>
    </row>
    <row r="2058" spans="1:23" x14ac:dyDescent="0.3">
      <c r="A2058" s="6" t="s">
        <v>4625</v>
      </c>
      <c r="B2058" s="6" t="s">
        <v>4626</v>
      </c>
      <c r="C2058" s="6">
        <v>9123307572</v>
      </c>
      <c r="D2058" s="6" t="s">
        <v>20</v>
      </c>
      <c r="E2058" s="6" t="s">
        <v>1632</v>
      </c>
      <c r="F2058" s="6" t="s">
        <v>1849</v>
      </c>
      <c r="G2058" s="6" t="s">
        <v>1599</v>
      </c>
      <c r="H2058" s="6" t="s">
        <v>4295</v>
      </c>
      <c r="I2058" s="2" t="str">
        <f t="shared" si="160"/>
        <v>Nov</v>
      </c>
      <c r="J2058" s="2">
        <f t="shared" si="161"/>
        <v>11</v>
      </c>
      <c r="K2058" s="2">
        <f t="shared" si="162"/>
        <v>2025</v>
      </c>
      <c r="L2058" s="2">
        <f t="shared" si="163"/>
        <v>4</v>
      </c>
      <c r="M2058" s="6">
        <v>1</v>
      </c>
      <c r="N2058" s="6" t="s">
        <v>4596</v>
      </c>
      <c r="O2058" s="6" t="s">
        <v>97</v>
      </c>
      <c r="P2058" s="7">
        <v>578298</v>
      </c>
      <c r="Q2058" s="7">
        <v>580986</v>
      </c>
      <c r="R2058" s="6" t="s">
        <v>4376</v>
      </c>
      <c r="S2058" s="6" t="s">
        <v>5574</v>
      </c>
      <c r="T2058" s="6">
        <v>35.799999999999997</v>
      </c>
      <c r="U2058" s="6" t="s">
        <v>63</v>
      </c>
      <c r="V2058" s="6" t="s">
        <v>243</v>
      </c>
      <c r="W2058" s="67" t="str">
        <f t="shared" si="164"/>
        <v>Customer</v>
      </c>
    </row>
    <row r="2059" spans="1:23" x14ac:dyDescent="0.3">
      <c r="A2059" s="4" t="s">
        <v>4627</v>
      </c>
      <c r="B2059" s="4" t="s">
        <v>4177</v>
      </c>
      <c r="C2059" s="4">
        <v>9489327608</v>
      </c>
      <c r="D2059" s="4" t="s">
        <v>59</v>
      </c>
      <c r="E2059" s="4" t="s">
        <v>21</v>
      </c>
      <c r="F2059" s="4" t="s">
        <v>230</v>
      </c>
      <c r="G2059" s="4" t="s">
        <v>1735</v>
      </c>
      <c r="H2059" s="4" t="s">
        <v>4295</v>
      </c>
      <c r="I2059" s="2" t="str">
        <f t="shared" si="160"/>
        <v>Nov</v>
      </c>
      <c r="J2059" s="2">
        <f t="shared" si="161"/>
        <v>11</v>
      </c>
      <c r="K2059" s="2">
        <f t="shared" si="162"/>
        <v>2025</v>
      </c>
      <c r="L2059" s="2">
        <f t="shared" si="163"/>
        <v>4</v>
      </c>
      <c r="M2059" s="4">
        <v>2</v>
      </c>
      <c r="N2059" s="4" t="s">
        <v>4445</v>
      </c>
      <c r="O2059" s="4" t="s">
        <v>45</v>
      </c>
      <c r="P2059" s="5">
        <v>1529582</v>
      </c>
      <c r="Q2059" s="4"/>
      <c r="R2059" s="4"/>
      <c r="S2059" s="4" t="s">
        <v>5819</v>
      </c>
      <c r="T2059" s="4">
        <v>17.3</v>
      </c>
      <c r="U2059" s="4" t="s">
        <v>47</v>
      </c>
      <c r="V2059" s="4" t="s">
        <v>381</v>
      </c>
      <c r="W2059" s="67" t="str">
        <f t="shared" si="164"/>
        <v>-</v>
      </c>
    </row>
    <row r="2060" spans="1:23" x14ac:dyDescent="0.3">
      <c r="A2060" s="6" t="s">
        <v>4628</v>
      </c>
      <c r="B2060" s="6" t="s">
        <v>4629</v>
      </c>
      <c r="C2060" s="6">
        <v>9432446887</v>
      </c>
      <c r="D2060" s="6" t="s">
        <v>20</v>
      </c>
      <c r="E2060" s="6" t="s">
        <v>1632</v>
      </c>
      <c r="F2060" s="6" t="s">
        <v>1633</v>
      </c>
      <c r="G2060" s="6" t="s">
        <v>643</v>
      </c>
      <c r="H2060" s="6" t="s">
        <v>4289</v>
      </c>
      <c r="I2060" s="2" t="str">
        <f t="shared" si="160"/>
        <v>Nov</v>
      </c>
      <c r="J2060" s="2">
        <f t="shared" si="161"/>
        <v>11</v>
      </c>
      <c r="K2060" s="2">
        <f t="shared" si="162"/>
        <v>2025</v>
      </c>
      <c r="L2060" s="2">
        <f t="shared" si="163"/>
        <v>4</v>
      </c>
      <c r="M2060" s="6">
        <v>5</v>
      </c>
      <c r="N2060" s="6" t="s">
        <v>4630</v>
      </c>
      <c r="O2060" s="6" t="s">
        <v>97</v>
      </c>
      <c r="P2060" s="7">
        <v>943444</v>
      </c>
      <c r="Q2060" s="7">
        <v>897209</v>
      </c>
      <c r="R2060" s="6" t="s">
        <v>4427</v>
      </c>
      <c r="S2060" s="6" t="s">
        <v>5819</v>
      </c>
      <c r="T2060" s="6">
        <v>12.3</v>
      </c>
      <c r="U2060" s="6" t="s">
        <v>47</v>
      </c>
      <c r="V2060" s="6" t="s">
        <v>483</v>
      </c>
      <c r="W2060" s="67" t="str">
        <f t="shared" si="164"/>
        <v>Customer</v>
      </c>
    </row>
    <row r="2061" spans="1:23" x14ac:dyDescent="0.3">
      <c r="A2061" s="4" t="s">
        <v>4631</v>
      </c>
      <c r="B2061" s="4" t="s">
        <v>4632</v>
      </c>
      <c r="C2061" s="4">
        <v>9893421672</v>
      </c>
      <c r="D2061" s="4" t="s">
        <v>51</v>
      </c>
      <c r="E2061" s="4" t="s">
        <v>1632</v>
      </c>
      <c r="F2061" s="4" t="s">
        <v>1717</v>
      </c>
      <c r="G2061" s="4" t="s">
        <v>616</v>
      </c>
      <c r="H2061" s="4" t="s">
        <v>4289</v>
      </c>
      <c r="I2061" s="2" t="str">
        <f t="shared" si="160"/>
        <v>Nov</v>
      </c>
      <c r="J2061" s="2">
        <f t="shared" si="161"/>
        <v>11</v>
      </c>
      <c r="K2061" s="2">
        <f t="shared" si="162"/>
        <v>2025</v>
      </c>
      <c r="L2061" s="2">
        <f t="shared" si="163"/>
        <v>4</v>
      </c>
      <c r="M2061" s="4">
        <v>0</v>
      </c>
      <c r="N2061" s="4" t="s">
        <v>4450</v>
      </c>
      <c r="O2061" s="4" t="s">
        <v>62</v>
      </c>
      <c r="P2061" s="5">
        <v>327350</v>
      </c>
      <c r="Q2061" s="4"/>
      <c r="R2061" s="4"/>
      <c r="S2061" s="4" t="s">
        <v>5819</v>
      </c>
      <c r="T2061" s="4"/>
      <c r="U2061" s="4" t="s">
        <v>47</v>
      </c>
      <c r="V2061" s="4" t="s">
        <v>212</v>
      </c>
      <c r="W2061" s="67" t="str">
        <f t="shared" si="164"/>
        <v>-</v>
      </c>
    </row>
    <row r="2062" spans="1:23" x14ac:dyDescent="0.3">
      <c r="A2062" s="6" t="s">
        <v>4633</v>
      </c>
      <c r="B2062" s="6" t="s">
        <v>1018</v>
      </c>
      <c r="C2062" s="6">
        <v>9172591678</v>
      </c>
      <c r="D2062" s="6" t="s">
        <v>20</v>
      </c>
      <c r="E2062" s="6" t="s">
        <v>41</v>
      </c>
      <c r="F2062" s="6" t="s">
        <v>151</v>
      </c>
      <c r="G2062" s="6" t="s">
        <v>616</v>
      </c>
      <c r="H2062" s="6" t="s">
        <v>4289</v>
      </c>
      <c r="I2062" s="2" t="str">
        <f t="shared" si="160"/>
        <v>Nov</v>
      </c>
      <c r="J2062" s="2">
        <f t="shared" si="161"/>
        <v>11</v>
      </c>
      <c r="K2062" s="2">
        <f t="shared" si="162"/>
        <v>2025</v>
      </c>
      <c r="L2062" s="2">
        <f t="shared" si="163"/>
        <v>4</v>
      </c>
      <c r="M2062" s="6">
        <v>10</v>
      </c>
      <c r="N2062" s="6" t="s">
        <v>4630</v>
      </c>
      <c r="O2062" s="6" t="s">
        <v>97</v>
      </c>
      <c r="P2062" s="7">
        <v>389250</v>
      </c>
      <c r="Q2062" s="7">
        <v>374477</v>
      </c>
      <c r="R2062" s="6" t="s">
        <v>4611</v>
      </c>
      <c r="S2062" s="6" t="s">
        <v>5574</v>
      </c>
      <c r="T2062" s="6">
        <v>7.1</v>
      </c>
      <c r="U2062" s="6" t="s">
        <v>63</v>
      </c>
      <c r="V2062" s="6" t="s">
        <v>295</v>
      </c>
      <c r="W2062" s="67" t="str">
        <f t="shared" si="164"/>
        <v>Architect</v>
      </c>
    </row>
    <row r="2063" spans="1:23" x14ac:dyDescent="0.3">
      <c r="A2063" s="6" t="s">
        <v>4634</v>
      </c>
      <c r="B2063" s="6" t="s">
        <v>4186</v>
      </c>
      <c r="C2063" s="6">
        <v>9668833786</v>
      </c>
      <c r="D2063" s="6" t="s">
        <v>51</v>
      </c>
      <c r="E2063" s="6" t="s">
        <v>21</v>
      </c>
      <c r="F2063" s="6" t="s">
        <v>230</v>
      </c>
      <c r="G2063" s="6" t="s">
        <v>1609</v>
      </c>
      <c r="H2063" s="6" t="s">
        <v>4289</v>
      </c>
      <c r="I2063" s="2" t="str">
        <f t="shared" si="160"/>
        <v>Nov</v>
      </c>
      <c r="J2063" s="2">
        <f t="shared" si="161"/>
        <v>11</v>
      </c>
      <c r="K2063" s="2">
        <f t="shared" si="162"/>
        <v>2025</v>
      </c>
      <c r="L2063" s="2">
        <f t="shared" si="163"/>
        <v>4</v>
      </c>
      <c r="M2063" s="6">
        <v>3</v>
      </c>
      <c r="N2063" s="6" t="s">
        <v>4458</v>
      </c>
      <c r="O2063" s="6" t="s">
        <v>97</v>
      </c>
      <c r="P2063" s="7">
        <v>526258</v>
      </c>
      <c r="Q2063" s="7">
        <v>469861</v>
      </c>
      <c r="R2063" s="6" t="s">
        <v>4445</v>
      </c>
      <c r="S2063" s="6" t="s">
        <v>5573</v>
      </c>
      <c r="T2063" s="6">
        <v>34.1</v>
      </c>
      <c r="U2063" s="6" t="s">
        <v>63</v>
      </c>
      <c r="V2063" s="6" t="s">
        <v>113</v>
      </c>
      <c r="W2063" s="67" t="str">
        <f t="shared" si="164"/>
        <v>Customer</v>
      </c>
    </row>
    <row r="2064" spans="1:23" x14ac:dyDescent="0.3">
      <c r="A2064" s="2" t="s">
        <v>4635</v>
      </c>
      <c r="B2064" s="2" t="s">
        <v>612</v>
      </c>
      <c r="C2064" s="2">
        <v>9211226342</v>
      </c>
      <c r="D2064" s="2" t="s">
        <v>20</v>
      </c>
      <c r="E2064" s="2" t="s">
        <v>41</v>
      </c>
      <c r="F2064" s="2" t="s">
        <v>86</v>
      </c>
      <c r="G2064" s="2" t="s">
        <v>60</v>
      </c>
      <c r="H2064" s="2" t="s">
        <v>4289</v>
      </c>
      <c r="I2064" s="2" t="str">
        <f t="shared" si="160"/>
        <v>Nov</v>
      </c>
      <c r="J2064" s="2">
        <f t="shared" si="161"/>
        <v>11</v>
      </c>
      <c r="K2064" s="2">
        <f t="shared" si="162"/>
        <v>2025</v>
      </c>
      <c r="L2064" s="2">
        <f t="shared" si="163"/>
        <v>4</v>
      </c>
      <c r="M2064" s="2">
        <v>8</v>
      </c>
      <c r="N2064" s="2" t="s">
        <v>4636</v>
      </c>
      <c r="O2064" s="2" t="s">
        <v>55</v>
      </c>
      <c r="P2064" s="3">
        <v>231751</v>
      </c>
      <c r="Q2064" s="2"/>
      <c r="R2064" s="2"/>
      <c r="S2064" s="2" t="s">
        <v>5819</v>
      </c>
      <c r="T2064" s="2">
        <v>35.1</v>
      </c>
      <c r="U2064" s="2" t="s">
        <v>29</v>
      </c>
      <c r="V2064" s="2" t="s">
        <v>442</v>
      </c>
      <c r="W2064" s="67" t="str">
        <f t="shared" si="164"/>
        <v>-</v>
      </c>
    </row>
    <row r="2065" spans="1:23" x14ac:dyDescent="0.3">
      <c r="A2065" s="4" t="s">
        <v>4637</v>
      </c>
      <c r="B2065" s="4" t="s">
        <v>459</v>
      </c>
      <c r="C2065" s="4">
        <v>9345564188</v>
      </c>
      <c r="D2065" s="4" t="s">
        <v>59</v>
      </c>
      <c r="E2065" s="4" t="s">
        <v>41</v>
      </c>
      <c r="F2065" s="4" t="s">
        <v>42</v>
      </c>
      <c r="G2065" s="4" t="s">
        <v>23</v>
      </c>
      <c r="H2065" s="4" t="s">
        <v>4289</v>
      </c>
      <c r="I2065" s="2" t="str">
        <f t="shared" si="160"/>
        <v>Nov</v>
      </c>
      <c r="J2065" s="2">
        <f t="shared" si="161"/>
        <v>11</v>
      </c>
      <c r="K2065" s="2">
        <f t="shared" si="162"/>
        <v>2025</v>
      </c>
      <c r="L2065" s="2">
        <f t="shared" si="163"/>
        <v>4</v>
      </c>
      <c r="M2065" s="4">
        <v>3</v>
      </c>
      <c r="N2065" s="4" t="s">
        <v>4228</v>
      </c>
      <c r="O2065" s="4" t="s">
        <v>45</v>
      </c>
      <c r="P2065" s="5">
        <v>876365</v>
      </c>
      <c r="Q2065" s="4"/>
      <c r="R2065" s="4"/>
      <c r="S2065" s="4" t="s">
        <v>5819</v>
      </c>
      <c r="T2065" s="4">
        <v>26.1</v>
      </c>
      <c r="U2065" s="4" t="s">
        <v>47</v>
      </c>
      <c r="V2065" s="4"/>
      <c r="W2065" s="67" t="str">
        <f t="shared" si="164"/>
        <v>-</v>
      </c>
    </row>
    <row r="2066" spans="1:23" x14ac:dyDescent="0.3">
      <c r="A2066" s="2" t="s">
        <v>4638</v>
      </c>
      <c r="B2066" s="2" t="s">
        <v>1613</v>
      </c>
      <c r="C2066" s="2">
        <v>9431008341</v>
      </c>
      <c r="D2066" s="2" t="s">
        <v>51</v>
      </c>
      <c r="E2066" s="2" t="s">
        <v>109</v>
      </c>
      <c r="F2066" s="2" t="s">
        <v>331</v>
      </c>
      <c r="G2066" s="2" t="s">
        <v>60</v>
      </c>
      <c r="H2066" s="2" t="s">
        <v>4289</v>
      </c>
      <c r="I2066" s="2" t="str">
        <f t="shared" si="160"/>
        <v>Nov</v>
      </c>
      <c r="J2066" s="2">
        <f t="shared" si="161"/>
        <v>11</v>
      </c>
      <c r="K2066" s="2">
        <f t="shared" si="162"/>
        <v>2025</v>
      </c>
      <c r="L2066" s="2">
        <f t="shared" si="163"/>
        <v>4</v>
      </c>
      <c r="M2066" s="2">
        <v>5</v>
      </c>
      <c r="N2066" s="2" t="s">
        <v>4377</v>
      </c>
      <c r="O2066" s="2" t="s">
        <v>62</v>
      </c>
      <c r="P2066" s="3">
        <v>259803</v>
      </c>
      <c r="Q2066" s="2"/>
      <c r="R2066" s="2"/>
      <c r="S2066" s="2" t="s">
        <v>5574</v>
      </c>
      <c r="T2066" s="2">
        <v>2.6</v>
      </c>
      <c r="U2066" s="2" t="s">
        <v>47</v>
      </c>
      <c r="V2066" s="2" t="s">
        <v>212</v>
      </c>
      <c r="W2066" s="67" t="str">
        <f t="shared" si="164"/>
        <v>-</v>
      </c>
    </row>
    <row r="2067" spans="1:23" x14ac:dyDescent="0.3">
      <c r="A2067" s="4" t="s">
        <v>4639</v>
      </c>
      <c r="B2067" s="4" t="s">
        <v>1870</v>
      </c>
      <c r="C2067" s="4">
        <v>9366880480</v>
      </c>
      <c r="D2067" s="4" t="s">
        <v>59</v>
      </c>
      <c r="E2067" s="4" t="s">
        <v>648</v>
      </c>
      <c r="F2067" s="4" t="s">
        <v>822</v>
      </c>
      <c r="G2067" s="4" t="s">
        <v>87</v>
      </c>
      <c r="H2067" s="4" t="s">
        <v>4483</v>
      </c>
      <c r="I2067" s="2" t="str">
        <f t="shared" si="160"/>
        <v>Nov</v>
      </c>
      <c r="J2067" s="2">
        <f t="shared" si="161"/>
        <v>11</v>
      </c>
      <c r="K2067" s="2">
        <f t="shared" si="162"/>
        <v>2025</v>
      </c>
      <c r="L2067" s="2">
        <f t="shared" si="163"/>
        <v>4</v>
      </c>
      <c r="M2067" s="4">
        <v>3</v>
      </c>
      <c r="N2067" s="4" t="s">
        <v>4377</v>
      </c>
      <c r="O2067" s="4" t="s">
        <v>62</v>
      </c>
      <c r="P2067" s="5">
        <v>143269</v>
      </c>
      <c r="Q2067" s="4"/>
      <c r="R2067" s="4"/>
      <c r="S2067" s="4" t="s">
        <v>5574</v>
      </c>
      <c r="T2067" s="4">
        <v>26</v>
      </c>
      <c r="U2067" s="4" t="s">
        <v>47</v>
      </c>
      <c r="V2067" s="4" t="s">
        <v>597</v>
      </c>
      <c r="W2067" s="67" t="str">
        <f t="shared" si="164"/>
        <v>-</v>
      </c>
    </row>
    <row r="2068" spans="1:23" x14ac:dyDescent="0.3">
      <c r="A2068" s="6" t="s">
        <v>4640</v>
      </c>
      <c r="B2068" s="6" t="s">
        <v>4641</v>
      </c>
      <c r="C2068" s="6">
        <v>9199415709</v>
      </c>
      <c r="D2068" s="6" t="s">
        <v>108</v>
      </c>
      <c r="E2068" s="6" t="s">
        <v>648</v>
      </c>
      <c r="F2068" s="6" t="s">
        <v>822</v>
      </c>
      <c r="G2068" s="6" t="s">
        <v>616</v>
      </c>
      <c r="H2068" s="6" t="s">
        <v>4483</v>
      </c>
      <c r="I2068" s="2" t="str">
        <f t="shared" si="160"/>
        <v>Nov</v>
      </c>
      <c r="J2068" s="2">
        <f t="shared" si="161"/>
        <v>11</v>
      </c>
      <c r="K2068" s="2">
        <f t="shared" si="162"/>
        <v>2025</v>
      </c>
      <c r="L2068" s="2">
        <f t="shared" si="163"/>
        <v>4</v>
      </c>
      <c r="M2068" s="6">
        <v>8</v>
      </c>
      <c r="N2068" s="6" t="s">
        <v>4563</v>
      </c>
      <c r="O2068" s="6" t="s">
        <v>97</v>
      </c>
      <c r="P2068" s="7">
        <v>178760</v>
      </c>
      <c r="Q2068" s="7">
        <v>179832</v>
      </c>
      <c r="R2068" s="6" t="s">
        <v>4587</v>
      </c>
      <c r="S2068" s="6" t="s">
        <v>5573</v>
      </c>
      <c r="T2068" s="6">
        <v>27</v>
      </c>
      <c r="U2068" s="6" t="s">
        <v>47</v>
      </c>
      <c r="V2068" s="6" t="s">
        <v>465</v>
      </c>
      <c r="W2068" s="67" t="str">
        <f t="shared" si="164"/>
        <v>Customer</v>
      </c>
    </row>
    <row r="2069" spans="1:23" x14ac:dyDescent="0.3">
      <c r="A2069" s="6" t="s">
        <v>4642</v>
      </c>
      <c r="B2069" s="6" t="s">
        <v>2747</v>
      </c>
      <c r="C2069" s="6">
        <v>9183540398</v>
      </c>
      <c r="D2069" s="6" t="s">
        <v>108</v>
      </c>
      <c r="E2069" s="6" t="s">
        <v>41</v>
      </c>
      <c r="F2069" s="6" t="s">
        <v>42</v>
      </c>
      <c r="G2069" s="6" t="s">
        <v>1599</v>
      </c>
      <c r="H2069" s="6" t="s">
        <v>4483</v>
      </c>
      <c r="I2069" s="2" t="str">
        <f t="shared" si="160"/>
        <v>Nov</v>
      </c>
      <c r="J2069" s="2">
        <f t="shared" si="161"/>
        <v>11</v>
      </c>
      <c r="K2069" s="2">
        <f t="shared" si="162"/>
        <v>2025</v>
      </c>
      <c r="L2069" s="2">
        <f t="shared" si="163"/>
        <v>4</v>
      </c>
      <c r="M2069" s="6"/>
      <c r="N2069" s="6" t="s">
        <v>4409</v>
      </c>
      <c r="O2069" s="6" t="s">
        <v>97</v>
      </c>
      <c r="P2069" s="7">
        <v>601889</v>
      </c>
      <c r="Q2069" s="7">
        <v>554754</v>
      </c>
      <c r="R2069" s="6" t="s">
        <v>4403</v>
      </c>
      <c r="S2069" s="6" t="s">
        <v>5573</v>
      </c>
      <c r="T2069" s="6">
        <v>1.6</v>
      </c>
      <c r="U2069" s="6" t="s">
        <v>63</v>
      </c>
      <c r="V2069" s="6"/>
      <c r="W2069" s="67" t="str">
        <f t="shared" si="164"/>
        <v>Customer</v>
      </c>
    </row>
    <row r="2070" spans="1:23" x14ac:dyDescent="0.3">
      <c r="A2070" s="2" t="s">
        <v>4643</v>
      </c>
      <c r="B2070" s="2" t="s">
        <v>914</v>
      </c>
      <c r="C2070" s="2">
        <v>9189287583</v>
      </c>
      <c r="D2070" s="2" t="s">
        <v>20</v>
      </c>
      <c r="E2070" s="2" t="s">
        <v>641</v>
      </c>
      <c r="F2070" s="2" t="s">
        <v>681</v>
      </c>
      <c r="G2070" s="2" t="s">
        <v>643</v>
      </c>
      <c r="H2070" s="2" t="s">
        <v>4483</v>
      </c>
      <c r="I2070" s="2" t="str">
        <f t="shared" si="160"/>
        <v>Nov</v>
      </c>
      <c r="J2070" s="2">
        <f t="shared" si="161"/>
        <v>11</v>
      </c>
      <c r="K2070" s="2">
        <f t="shared" si="162"/>
        <v>2025</v>
      </c>
      <c r="L2070" s="2">
        <f t="shared" si="163"/>
        <v>4</v>
      </c>
      <c r="M2070" s="2">
        <v>6</v>
      </c>
      <c r="N2070" s="2" t="s">
        <v>4531</v>
      </c>
      <c r="O2070" s="2" t="s">
        <v>27</v>
      </c>
      <c r="P2070" s="3">
        <v>1479517</v>
      </c>
      <c r="Q2070" s="2"/>
      <c r="R2070" s="2"/>
      <c r="S2070" s="2" t="s">
        <v>5819</v>
      </c>
      <c r="T2070" s="2">
        <v>22</v>
      </c>
      <c r="U2070" s="2" t="s">
        <v>29</v>
      </c>
      <c r="V2070" s="2" t="s">
        <v>123</v>
      </c>
      <c r="W2070" s="67" t="str">
        <f t="shared" si="164"/>
        <v>-</v>
      </c>
    </row>
    <row r="2071" spans="1:23" x14ac:dyDescent="0.3">
      <c r="A2071" s="4" t="s">
        <v>4644</v>
      </c>
      <c r="B2071" s="4" t="s">
        <v>4505</v>
      </c>
      <c r="C2071" s="4">
        <v>9862089754</v>
      </c>
      <c r="D2071" s="4" t="s">
        <v>20</v>
      </c>
      <c r="E2071" s="4" t="s">
        <v>41</v>
      </c>
      <c r="F2071" s="4" t="s">
        <v>42</v>
      </c>
      <c r="G2071" s="4" t="s">
        <v>35</v>
      </c>
      <c r="H2071" s="4" t="s">
        <v>4450</v>
      </c>
      <c r="I2071" s="2" t="str">
        <f t="shared" si="160"/>
        <v>Nov</v>
      </c>
      <c r="J2071" s="2">
        <f t="shared" si="161"/>
        <v>11</v>
      </c>
      <c r="K2071" s="2">
        <f t="shared" si="162"/>
        <v>2025</v>
      </c>
      <c r="L2071" s="2">
        <f t="shared" si="163"/>
        <v>4</v>
      </c>
      <c r="M2071" s="4">
        <v>5</v>
      </c>
      <c r="N2071" s="4" t="s">
        <v>4338</v>
      </c>
      <c r="O2071" s="4" t="s">
        <v>62</v>
      </c>
      <c r="P2071" s="5">
        <v>348541</v>
      </c>
      <c r="Q2071" s="4"/>
      <c r="R2071" s="4"/>
      <c r="S2071" s="4" t="s">
        <v>5819</v>
      </c>
      <c r="T2071" s="4">
        <v>24.1</v>
      </c>
      <c r="U2071" s="4" t="s">
        <v>63</v>
      </c>
      <c r="V2071" s="4"/>
      <c r="W2071" s="67" t="str">
        <f t="shared" si="164"/>
        <v>-</v>
      </c>
    </row>
    <row r="2072" spans="1:23" x14ac:dyDescent="0.3">
      <c r="A2072" s="2" t="s">
        <v>4645</v>
      </c>
      <c r="B2072" s="2" t="s">
        <v>4646</v>
      </c>
      <c r="C2072" s="2">
        <v>9352033465</v>
      </c>
      <c r="D2072" s="2" t="s">
        <v>20</v>
      </c>
      <c r="E2072" s="2" t="s">
        <v>648</v>
      </c>
      <c r="F2072" s="2" t="s">
        <v>649</v>
      </c>
      <c r="G2072" s="2" t="s">
        <v>1623</v>
      </c>
      <c r="H2072" s="2" t="s">
        <v>4450</v>
      </c>
      <c r="I2072" s="2" t="str">
        <f t="shared" si="160"/>
        <v>Nov</v>
      </c>
      <c r="J2072" s="2">
        <f t="shared" si="161"/>
        <v>11</v>
      </c>
      <c r="K2072" s="2">
        <f t="shared" si="162"/>
        <v>2025</v>
      </c>
      <c r="L2072" s="2">
        <f t="shared" si="163"/>
        <v>4</v>
      </c>
      <c r="M2072" s="2">
        <v>8</v>
      </c>
      <c r="N2072" s="2" t="s">
        <v>4339</v>
      </c>
      <c r="O2072" s="2" t="s">
        <v>55</v>
      </c>
      <c r="P2072" s="3">
        <v>167583</v>
      </c>
      <c r="Q2072" s="2"/>
      <c r="R2072" s="2"/>
      <c r="S2072" s="2" t="s">
        <v>5574</v>
      </c>
      <c r="T2072" s="2">
        <v>24.3</v>
      </c>
      <c r="U2072" s="2" t="s">
        <v>29</v>
      </c>
      <c r="V2072" s="2" t="s">
        <v>206</v>
      </c>
      <c r="W2072" s="67" t="str">
        <f t="shared" si="164"/>
        <v>-</v>
      </c>
    </row>
    <row r="2073" spans="1:23" x14ac:dyDescent="0.3">
      <c r="A2073" s="4" t="s">
        <v>4647</v>
      </c>
      <c r="B2073" s="4" t="s">
        <v>2738</v>
      </c>
      <c r="C2073" s="4">
        <v>9231260651</v>
      </c>
      <c r="D2073" s="4" t="s">
        <v>59</v>
      </c>
      <c r="E2073" s="4" t="s">
        <v>33</v>
      </c>
      <c r="F2073" s="4" t="s">
        <v>34</v>
      </c>
      <c r="G2073" s="4" t="s">
        <v>1677</v>
      </c>
      <c r="H2073" s="4" t="s">
        <v>4450</v>
      </c>
      <c r="I2073" s="2" t="str">
        <f t="shared" si="160"/>
        <v>Nov</v>
      </c>
      <c r="J2073" s="2">
        <f t="shared" si="161"/>
        <v>11</v>
      </c>
      <c r="K2073" s="2">
        <f t="shared" si="162"/>
        <v>2025</v>
      </c>
      <c r="L2073" s="2">
        <f t="shared" si="163"/>
        <v>4</v>
      </c>
      <c r="M2073" s="4">
        <v>7</v>
      </c>
      <c r="N2073" s="4" t="s">
        <v>4376</v>
      </c>
      <c r="O2073" s="4" t="s">
        <v>27</v>
      </c>
      <c r="P2073" s="5">
        <v>1576327</v>
      </c>
      <c r="Q2073" s="4"/>
      <c r="R2073" s="4"/>
      <c r="S2073" s="4" t="s">
        <v>5819</v>
      </c>
      <c r="T2073" s="4">
        <v>2.4</v>
      </c>
      <c r="U2073" s="4" t="s">
        <v>29</v>
      </c>
      <c r="V2073" s="4" t="s">
        <v>105</v>
      </c>
      <c r="W2073" s="67" t="str">
        <f t="shared" si="164"/>
        <v>-</v>
      </c>
    </row>
    <row r="2074" spans="1:23" x14ac:dyDescent="0.3">
      <c r="A2074" s="2" t="s">
        <v>4648</v>
      </c>
      <c r="B2074" s="2" t="s">
        <v>956</v>
      </c>
      <c r="C2074" s="2">
        <v>9254933856</v>
      </c>
      <c r="D2074" s="2" t="s">
        <v>121</v>
      </c>
      <c r="E2074" s="2" t="s">
        <v>641</v>
      </c>
      <c r="F2074" s="2" t="s">
        <v>727</v>
      </c>
      <c r="G2074" s="2" t="s">
        <v>643</v>
      </c>
      <c r="H2074" s="2" t="s">
        <v>4450</v>
      </c>
      <c r="I2074" s="2" t="str">
        <f t="shared" si="160"/>
        <v>Nov</v>
      </c>
      <c r="J2074" s="2">
        <f t="shared" si="161"/>
        <v>11</v>
      </c>
      <c r="K2074" s="2">
        <f t="shared" si="162"/>
        <v>2025</v>
      </c>
      <c r="L2074" s="2">
        <f t="shared" si="163"/>
        <v>4</v>
      </c>
      <c r="M2074" s="2">
        <v>3</v>
      </c>
      <c r="N2074" s="2" t="s">
        <v>4429</v>
      </c>
      <c r="O2074" s="2" t="s">
        <v>62</v>
      </c>
      <c r="P2074" s="3">
        <v>1344149</v>
      </c>
      <c r="Q2074" s="2"/>
      <c r="R2074" s="2"/>
      <c r="S2074" s="2" t="s">
        <v>5574</v>
      </c>
      <c r="T2074" s="2">
        <v>5.2</v>
      </c>
      <c r="U2074" s="2" t="s">
        <v>29</v>
      </c>
      <c r="V2074" s="2" t="s">
        <v>454</v>
      </c>
      <c r="W2074" s="67" t="str">
        <f t="shared" si="164"/>
        <v>-</v>
      </c>
    </row>
    <row r="2075" spans="1:23" x14ac:dyDescent="0.3">
      <c r="A2075" s="6" t="s">
        <v>4649</v>
      </c>
      <c r="B2075" s="6" t="s">
        <v>2143</v>
      </c>
      <c r="C2075" s="6">
        <v>9698195045</v>
      </c>
      <c r="D2075" s="6" t="s">
        <v>108</v>
      </c>
      <c r="E2075" s="6" t="s">
        <v>641</v>
      </c>
      <c r="F2075" s="6" t="s">
        <v>717</v>
      </c>
      <c r="G2075" s="6" t="s">
        <v>643</v>
      </c>
      <c r="H2075" s="6" t="s">
        <v>4450</v>
      </c>
      <c r="I2075" s="2" t="str">
        <f t="shared" si="160"/>
        <v>Nov</v>
      </c>
      <c r="J2075" s="2">
        <f t="shared" si="161"/>
        <v>11</v>
      </c>
      <c r="K2075" s="2">
        <f t="shared" si="162"/>
        <v>2025</v>
      </c>
      <c r="L2075" s="2">
        <f t="shared" si="163"/>
        <v>4</v>
      </c>
      <c r="M2075" s="6">
        <v>8</v>
      </c>
      <c r="N2075" s="6" t="s">
        <v>4429</v>
      </c>
      <c r="O2075" s="6" t="s">
        <v>97</v>
      </c>
      <c r="P2075" s="7">
        <v>1012105</v>
      </c>
      <c r="Q2075" s="7">
        <v>922424</v>
      </c>
      <c r="R2075" s="6" t="s">
        <v>4459</v>
      </c>
      <c r="S2075" s="6" t="s">
        <v>5819</v>
      </c>
      <c r="T2075" s="6">
        <v>10.1</v>
      </c>
      <c r="U2075" s="6" t="s">
        <v>47</v>
      </c>
      <c r="V2075" s="6"/>
      <c r="W2075" s="67" t="str">
        <f t="shared" si="164"/>
        <v>Customer</v>
      </c>
    </row>
    <row r="2076" spans="1:23" x14ac:dyDescent="0.3">
      <c r="A2076" s="2" t="s">
        <v>4650</v>
      </c>
      <c r="B2076" s="2" t="s">
        <v>101</v>
      </c>
      <c r="C2076" s="2">
        <v>9100092658</v>
      </c>
      <c r="D2076" s="2" t="s">
        <v>121</v>
      </c>
      <c r="E2076" s="2" t="s">
        <v>41</v>
      </c>
      <c r="F2076" s="2" t="s">
        <v>151</v>
      </c>
      <c r="G2076" s="2" t="s">
        <v>1621</v>
      </c>
      <c r="H2076" s="2" t="s">
        <v>4381</v>
      </c>
      <c r="I2076" s="2" t="str">
        <f t="shared" si="160"/>
        <v>Nov</v>
      </c>
      <c r="J2076" s="2">
        <f t="shared" si="161"/>
        <v>11</v>
      </c>
      <c r="K2076" s="2">
        <f t="shared" si="162"/>
        <v>2025</v>
      </c>
      <c r="L2076" s="2">
        <f t="shared" si="163"/>
        <v>4</v>
      </c>
      <c r="M2076" s="2">
        <v>11</v>
      </c>
      <c r="N2076" s="2" t="s">
        <v>4651</v>
      </c>
      <c r="O2076" s="2" t="s">
        <v>27</v>
      </c>
      <c r="P2076" s="3">
        <v>319282</v>
      </c>
      <c r="Q2076" s="2"/>
      <c r="R2076" s="2"/>
      <c r="S2076" s="2" t="s">
        <v>5574</v>
      </c>
      <c r="T2076" s="2">
        <v>6.1</v>
      </c>
      <c r="U2076" s="2" t="s">
        <v>29</v>
      </c>
      <c r="V2076" s="2"/>
      <c r="W2076" s="67" t="str">
        <f t="shared" si="164"/>
        <v>-</v>
      </c>
    </row>
    <row r="2077" spans="1:23" x14ac:dyDescent="0.3">
      <c r="A2077" s="4" t="s">
        <v>4652</v>
      </c>
      <c r="B2077" s="4" t="s">
        <v>1504</v>
      </c>
      <c r="C2077" s="4">
        <v>9267679327</v>
      </c>
      <c r="D2077" s="4" t="s">
        <v>121</v>
      </c>
      <c r="E2077" s="4" t="s">
        <v>1632</v>
      </c>
      <c r="F2077" s="4" t="s">
        <v>1717</v>
      </c>
      <c r="G2077" s="4" t="s">
        <v>87</v>
      </c>
      <c r="H2077" s="4" t="s">
        <v>4381</v>
      </c>
      <c r="I2077" s="2" t="str">
        <f t="shared" si="160"/>
        <v>Nov</v>
      </c>
      <c r="J2077" s="2">
        <f t="shared" si="161"/>
        <v>11</v>
      </c>
      <c r="K2077" s="2">
        <f t="shared" si="162"/>
        <v>2025</v>
      </c>
      <c r="L2077" s="2">
        <f t="shared" si="163"/>
        <v>4</v>
      </c>
      <c r="M2077" s="4">
        <v>1</v>
      </c>
      <c r="N2077" s="4" t="s">
        <v>4438</v>
      </c>
      <c r="O2077" s="4" t="s">
        <v>55</v>
      </c>
      <c r="P2077" s="5">
        <v>108704</v>
      </c>
      <c r="Q2077" s="4"/>
      <c r="R2077" s="4"/>
      <c r="S2077" s="4" t="s">
        <v>5819</v>
      </c>
      <c r="T2077" s="4">
        <v>33.799999999999997</v>
      </c>
      <c r="U2077" s="4" t="s">
        <v>29</v>
      </c>
      <c r="V2077" s="4" t="s">
        <v>697</v>
      </c>
      <c r="W2077" s="67" t="str">
        <f t="shared" si="164"/>
        <v>-</v>
      </c>
    </row>
    <row r="2078" spans="1:23" x14ac:dyDescent="0.3">
      <c r="A2078" s="2" t="s">
        <v>4653</v>
      </c>
      <c r="B2078" s="2" t="s">
        <v>379</v>
      </c>
      <c r="C2078" s="2">
        <v>9946594624</v>
      </c>
      <c r="D2078" s="2" t="s">
        <v>20</v>
      </c>
      <c r="E2078" s="2" t="s">
        <v>648</v>
      </c>
      <c r="F2078" s="2" t="s">
        <v>822</v>
      </c>
      <c r="G2078" s="2" t="s">
        <v>1621</v>
      </c>
      <c r="H2078" s="2" t="s">
        <v>4381</v>
      </c>
      <c r="I2078" s="2" t="str">
        <f t="shared" si="160"/>
        <v>Nov</v>
      </c>
      <c r="J2078" s="2">
        <f t="shared" si="161"/>
        <v>11</v>
      </c>
      <c r="K2078" s="2">
        <f t="shared" si="162"/>
        <v>2025</v>
      </c>
      <c r="L2078" s="2">
        <f t="shared" si="163"/>
        <v>4</v>
      </c>
      <c r="M2078" s="2">
        <v>8</v>
      </c>
      <c r="N2078" s="2" t="s">
        <v>4551</v>
      </c>
      <c r="O2078" s="2" t="s">
        <v>62</v>
      </c>
      <c r="P2078" s="3">
        <v>592014</v>
      </c>
      <c r="Q2078" s="2"/>
      <c r="R2078" s="2"/>
      <c r="S2078" s="2" t="s">
        <v>5819</v>
      </c>
      <c r="T2078" s="2">
        <v>16</v>
      </c>
      <c r="U2078" s="2" t="s">
        <v>47</v>
      </c>
      <c r="V2078" s="2" t="s">
        <v>89</v>
      </c>
      <c r="W2078" s="67" t="str">
        <f t="shared" si="164"/>
        <v>-</v>
      </c>
    </row>
    <row r="2079" spans="1:23" x14ac:dyDescent="0.3">
      <c r="A2079" s="4" t="s">
        <v>4654</v>
      </c>
      <c r="B2079" s="4" t="s">
        <v>4655</v>
      </c>
      <c r="C2079" s="4"/>
      <c r="D2079" s="4" t="s">
        <v>59</v>
      </c>
      <c r="E2079" s="4" t="s">
        <v>1632</v>
      </c>
      <c r="F2079" s="4" t="s">
        <v>1694</v>
      </c>
      <c r="G2079" s="4" t="s">
        <v>3302</v>
      </c>
      <c r="H2079" s="4" t="s">
        <v>4384</v>
      </c>
      <c r="I2079" s="2" t="str">
        <f t="shared" si="160"/>
        <v>Nov</v>
      </c>
      <c r="J2079" s="2">
        <f t="shared" si="161"/>
        <v>11</v>
      </c>
      <c r="K2079" s="2">
        <f t="shared" si="162"/>
        <v>2025</v>
      </c>
      <c r="L2079" s="2">
        <f t="shared" si="163"/>
        <v>4</v>
      </c>
      <c r="M2079" s="4">
        <v>9</v>
      </c>
      <c r="N2079" s="4" t="s">
        <v>4558</v>
      </c>
      <c r="O2079" s="4" t="s">
        <v>27</v>
      </c>
      <c r="P2079" s="5">
        <v>2435231</v>
      </c>
      <c r="Q2079" s="4"/>
      <c r="R2079" s="4"/>
      <c r="S2079" s="4" t="s">
        <v>5819</v>
      </c>
      <c r="T2079" s="4">
        <v>18.2</v>
      </c>
      <c r="U2079" s="4" t="s">
        <v>29</v>
      </c>
      <c r="V2079" s="4" t="s">
        <v>1685</v>
      </c>
      <c r="W2079" s="67" t="str">
        <f t="shared" si="164"/>
        <v>-</v>
      </c>
    </row>
    <row r="2080" spans="1:23" x14ac:dyDescent="0.3">
      <c r="A2080" s="2" t="s">
        <v>4656</v>
      </c>
      <c r="B2080" s="2" t="s">
        <v>1065</v>
      </c>
      <c r="C2080" s="2">
        <v>9452623423</v>
      </c>
      <c r="D2080" s="2" t="s">
        <v>121</v>
      </c>
      <c r="E2080" s="2" t="s">
        <v>109</v>
      </c>
      <c r="F2080" s="2" t="s">
        <v>217</v>
      </c>
      <c r="G2080" s="2" t="s">
        <v>1609</v>
      </c>
      <c r="H2080" s="2" t="s">
        <v>4384</v>
      </c>
      <c r="I2080" s="2" t="str">
        <f t="shared" si="160"/>
        <v>Nov</v>
      </c>
      <c r="J2080" s="2">
        <f t="shared" si="161"/>
        <v>11</v>
      </c>
      <c r="K2080" s="2">
        <f t="shared" si="162"/>
        <v>2025</v>
      </c>
      <c r="L2080" s="2">
        <f t="shared" si="163"/>
        <v>4</v>
      </c>
      <c r="M2080" s="2">
        <v>11</v>
      </c>
      <c r="N2080" s="2" t="s">
        <v>4657</v>
      </c>
      <c r="O2080" s="2" t="s">
        <v>45</v>
      </c>
      <c r="P2080" s="3">
        <v>484827</v>
      </c>
      <c r="Q2080" s="2"/>
      <c r="R2080" s="2"/>
      <c r="S2080" s="2" t="s">
        <v>5573</v>
      </c>
      <c r="T2080" s="2">
        <v>19.3</v>
      </c>
      <c r="U2080" s="2" t="s">
        <v>47</v>
      </c>
      <c r="V2080" s="2"/>
      <c r="W2080" s="67" t="str">
        <f t="shared" si="164"/>
        <v>-</v>
      </c>
    </row>
    <row r="2081" spans="1:23" x14ac:dyDescent="0.3">
      <c r="A2081" s="4" t="s">
        <v>4658</v>
      </c>
      <c r="B2081" s="4" t="s">
        <v>4354</v>
      </c>
      <c r="C2081" s="4">
        <v>9927167684</v>
      </c>
      <c r="D2081" s="4" t="s">
        <v>121</v>
      </c>
      <c r="E2081" s="4" t="s">
        <v>21</v>
      </c>
      <c r="F2081" s="4" t="s">
        <v>160</v>
      </c>
      <c r="G2081" s="4" t="s">
        <v>1609</v>
      </c>
      <c r="H2081" s="4" t="s">
        <v>4384</v>
      </c>
      <c r="I2081" s="2" t="str">
        <f t="shared" si="160"/>
        <v>Nov</v>
      </c>
      <c r="J2081" s="2">
        <f t="shared" si="161"/>
        <v>11</v>
      </c>
      <c r="K2081" s="2">
        <f t="shared" si="162"/>
        <v>2025</v>
      </c>
      <c r="L2081" s="2">
        <f t="shared" si="163"/>
        <v>4</v>
      </c>
      <c r="M2081" s="4">
        <v>8</v>
      </c>
      <c r="N2081" s="4" t="s">
        <v>4659</v>
      </c>
      <c r="O2081" s="4" t="s">
        <v>27</v>
      </c>
      <c r="P2081" s="5">
        <v>400505</v>
      </c>
      <c r="Q2081" s="4"/>
      <c r="R2081" s="4"/>
      <c r="S2081" s="4" t="s">
        <v>5819</v>
      </c>
      <c r="T2081" s="4">
        <v>35</v>
      </c>
      <c r="U2081" s="4" t="s">
        <v>29</v>
      </c>
      <c r="V2081" s="4" t="s">
        <v>38</v>
      </c>
      <c r="W2081" s="67" t="str">
        <f t="shared" si="164"/>
        <v>-</v>
      </c>
    </row>
    <row r="2082" spans="1:23" x14ac:dyDescent="0.3">
      <c r="A2082" s="2" t="s">
        <v>4660</v>
      </c>
      <c r="B2082" s="2" t="s">
        <v>4661</v>
      </c>
      <c r="C2082" s="2">
        <v>9153897115</v>
      </c>
      <c r="D2082" s="2" t="s">
        <v>20</v>
      </c>
      <c r="E2082" s="2" t="s">
        <v>109</v>
      </c>
      <c r="F2082" s="2" t="s">
        <v>217</v>
      </c>
      <c r="G2082" s="2" t="s">
        <v>1621</v>
      </c>
      <c r="H2082" s="2" t="s">
        <v>4384</v>
      </c>
      <c r="I2082" s="2" t="str">
        <f t="shared" si="160"/>
        <v>Nov</v>
      </c>
      <c r="J2082" s="2">
        <f t="shared" si="161"/>
        <v>11</v>
      </c>
      <c r="K2082" s="2">
        <f t="shared" si="162"/>
        <v>2025</v>
      </c>
      <c r="L2082" s="2">
        <f t="shared" si="163"/>
        <v>4</v>
      </c>
      <c r="M2082" s="2">
        <v>7</v>
      </c>
      <c r="N2082" s="2" t="s">
        <v>4339</v>
      </c>
      <c r="O2082" s="2" t="s">
        <v>62</v>
      </c>
      <c r="P2082" s="3">
        <v>215777</v>
      </c>
      <c r="Q2082" s="2"/>
      <c r="R2082" s="2"/>
      <c r="S2082" s="2" t="s">
        <v>5819</v>
      </c>
      <c r="T2082" s="2">
        <v>10.5</v>
      </c>
      <c r="U2082" s="2" t="s">
        <v>29</v>
      </c>
      <c r="V2082" s="2" t="s">
        <v>697</v>
      </c>
      <c r="W2082" s="67" t="str">
        <f t="shared" si="164"/>
        <v>-</v>
      </c>
    </row>
    <row r="2083" spans="1:23" x14ac:dyDescent="0.3">
      <c r="A2083" s="6" t="s">
        <v>4662</v>
      </c>
      <c r="B2083" s="6" t="s">
        <v>4663</v>
      </c>
      <c r="C2083" s="6">
        <v>9937891167</v>
      </c>
      <c r="D2083" s="6" t="s">
        <v>20</v>
      </c>
      <c r="E2083" s="6" t="s">
        <v>41</v>
      </c>
      <c r="F2083" s="6" t="s">
        <v>42</v>
      </c>
      <c r="G2083" s="6" t="s">
        <v>1677</v>
      </c>
      <c r="H2083" s="6" t="s">
        <v>4384</v>
      </c>
      <c r="I2083" s="2" t="str">
        <f t="shared" si="160"/>
        <v>Nov</v>
      </c>
      <c r="J2083" s="2">
        <f t="shared" si="161"/>
        <v>11</v>
      </c>
      <c r="K2083" s="2">
        <f t="shared" si="162"/>
        <v>2025</v>
      </c>
      <c r="L2083" s="2">
        <f t="shared" si="163"/>
        <v>4</v>
      </c>
      <c r="M2083" s="6">
        <v>0</v>
      </c>
      <c r="N2083" s="6" t="s">
        <v>4403</v>
      </c>
      <c r="O2083" s="6" t="s">
        <v>97</v>
      </c>
      <c r="P2083" s="7">
        <v>1424853</v>
      </c>
      <c r="Q2083" s="7">
        <v>1363197</v>
      </c>
      <c r="R2083" s="6" t="s">
        <v>4356</v>
      </c>
      <c r="S2083" s="6" t="s">
        <v>5573</v>
      </c>
      <c r="T2083" s="6">
        <v>10.1</v>
      </c>
      <c r="U2083" s="6" t="s">
        <v>63</v>
      </c>
      <c r="V2083" s="6" t="s">
        <v>907</v>
      </c>
      <c r="W2083" s="67" t="str">
        <f t="shared" si="164"/>
        <v>Customer</v>
      </c>
    </row>
    <row r="2084" spans="1:23" x14ac:dyDescent="0.3">
      <c r="A2084" s="2" t="s">
        <v>4664</v>
      </c>
      <c r="B2084" s="2" t="s">
        <v>2010</v>
      </c>
      <c r="C2084" s="2">
        <v>9224348893</v>
      </c>
      <c r="D2084" s="2" t="s">
        <v>20</v>
      </c>
      <c r="E2084" s="2" t="s">
        <v>648</v>
      </c>
      <c r="F2084" s="2" t="s">
        <v>656</v>
      </c>
      <c r="G2084" s="2" t="s">
        <v>643</v>
      </c>
      <c r="H2084" s="2" t="s">
        <v>4384</v>
      </c>
      <c r="I2084" s="2" t="str">
        <f t="shared" si="160"/>
        <v>Nov</v>
      </c>
      <c r="J2084" s="2">
        <f t="shared" si="161"/>
        <v>11</v>
      </c>
      <c r="K2084" s="2">
        <f t="shared" si="162"/>
        <v>2025</v>
      </c>
      <c r="L2084" s="2">
        <f t="shared" si="163"/>
        <v>4</v>
      </c>
      <c r="M2084" s="2">
        <v>2</v>
      </c>
      <c r="N2084" s="2" t="s">
        <v>4393</v>
      </c>
      <c r="O2084" s="2" t="s">
        <v>45</v>
      </c>
      <c r="P2084" s="3">
        <v>1049622</v>
      </c>
      <c r="Q2084" s="2"/>
      <c r="R2084" s="2"/>
      <c r="S2084" s="2" t="s">
        <v>5573</v>
      </c>
      <c r="T2084" s="2">
        <v>4.3</v>
      </c>
      <c r="U2084" s="2" t="s">
        <v>63</v>
      </c>
      <c r="V2084" s="2"/>
      <c r="W2084" s="67" t="str">
        <f t="shared" si="164"/>
        <v>-</v>
      </c>
    </row>
    <row r="2085" spans="1:23" x14ac:dyDescent="0.3">
      <c r="A2085" s="4" t="s">
        <v>4665</v>
      </c>
      <c r="B2085" s="4" t="s">
        <v>1380</v>
      </c>
      <c r="C2085" s="4">
        <v>9394404938</v>
      </c>
      <c r="D2085" s="4" t="s">
        <v>59</v>
      </c>
      <c r="E2085" s="4" t="s">
        <v>41</v>
      </c>
      <c r="F2085" s="4" t="s">
        <v>42</v>
      </c>
      <c r="G2085" s="4" t="s">
        <v>616</v>
      </c>
      <c r="H2085" s="4" t="s">
        <v>4322</v>
      </c>
      <c r="I2085" s="2" t="str">
        <f t="shared" si="160"/>
        <v>Nov</v>
      </c>
      <c r="J2085" s="2">
        <f t="shared" si="161"/>
        <v>11</v>
      </c>
      <c r="K2085" s="2">
        <f t="shared" si="162"/>
        <v>2025</v>
      </c>
      <c r="L2085" s="2">
        <f t="shared" si="163"/>
        <v>4</v>
      </c>
      <c r="M2085" s="4">
        <v>7</v>
      </c>
      <c r="N2085" s="4" t="s">
        <v>4666</v>
      </c>
      <c r="O2085" s="4" t="s">
        <v>45</v>
      </c>
      <c r="P2085" s="5">
        <v>208930</v>
      </c>
      <c r="Q2085" s="4"/>
      <c r="R2085" s="4"/>
      <c r="S2085" s="4" t="s">
        <v>5819</v>
      </c>
      <c r="T2085" s="4">
        <v>17.2</v>
      </c>
      <c r="U2085" s="4" t="s">
        <v>29</v>
      </c>
      <c r="V2085" s="4" t="s">
        <v>389</v>
      </c>
      <c r="W2085" s="67" t="str">
        <f t="shared" si="164"/>
        <v>-</v>
      </c>
    </row>
    <row r="2086" spans="1:23" x14ac:dyDescent="0.3">
      <c r="A2086" s="6" t="s">
        <v>4667</v>
      </c>
      <c r="B2086" s="6" t="s">
        <v>4668</v>
      </c>
      <c r="C2086" s="6">
        <v>9203616476</v>
      </c>
      <c r="D2086" s="6" t="s">
        <v>108</v>
      </c>
      <c r="E2086" s="6" t="s">
        <v>41</v>
      </c>
      <c r="F2086" s="6" t="s">
        <v>151</v>
      </c>
      <c r="G2086" s="6" t="s">
        <v>1599</v>
      </c>
      <c r="H2086" s="6" t="s">
        <v>4322</v>
      </c>
      <c r="I2086" s="2" t="str">
        <f t="shared" si="160"/>
        <v>Nov</v>
      </c>
      <c r="J2086" s="2">
        <f t="shared" si="161"/>
        <v>11</v>
      </c>
      <c r="K2086" s="2">
        <f t="shared" si="162"/>
        <v>2025</v>
      </c>
      <c r="L2086" s="2">
        <f t="shared" si="163"/>
        <v>4</v>
      </c>
      <c r="M2086" s="6">
        <v>4</v>
      </c>
      <c r="N2086" s="6" t="s">
        <v>4377</v>
      </c>
      <c r="O2086" s="6" t="s">
        <v>97</v>
      </c>
      <c r="P2086" s="7">
        <v>471913</v>
      </c>
      <c r="Q2086" s="7">
        <v>469972</v>
      </c>
      <c r="R2086" s="6" t="s">
        <v>4558</v>
      </c>
      <c r="S2086" s="6" t="s">
        <v>5574</v>
      </c>
      <c r="T2086" s="6">
        <v>2.2999999999999998</v>
      </c>
      <c r="U2086" s="6" t="s">
        <v>63</v>
      </c>
      <c r="V2086" s="6" t="s">
        <v>286</v>
      </c>
      <c r="W2086" s="67" t="str">
        <f t="shared" si="164"/>
        <v>Architect</v>
      </c>
    </row>
    <row r="2087" spans="1:23" x14ac:dyDescent="0.3">
      <c r="A2087" s="6" t="s">
        <v>4669</v>
      </c>
      <c r="B2087" s="6" t="s">
        <v>595</v>
      </c>
      <c r="C2087" s="6">
        <v>9679516769</v>
      </c>
      <c r="D2087" s="6" t="s">
        <v>59</v>
      </c>
      <c r="E2087" s="6" t="s">
        <v>641</v>
      </c>
      <c r="F2087" s="6" t="s">
        <v>717</v>
      </c>
      <c r="G2087" s="6" t="s">
        <v>1621</v>
      </c>
      <c r="H2087" s="6" t="s">
        <v>4322</v>
      </c>
      <c r="I2087" s="2" t="str">
        <f t="shared" si="160"/>
        <v>Nov</v>
      </c>
      <c r="J2087" s="2">
        <f t="shared" si="161"/>
        <v>11</v>
      </c>
      <c r="K2087" s="2">
        <f t="shared" si="162"/>
        <v>2025</v>
      </c>
      <c r="L2087" s="2">
        <f t="shared" si="163"/>
        <v>4</v>
      </c>
      <c r="M2087" s="6">
        <v>8</v>
      </c>
      <c r="N2087" s="6" t="s">
        <v>4339</v>
      </c>
      <c r="O2087" s="6" t="s">
        <v>97</v>
      </c>
      <c r="P2087" s="7">
        <v>507141</v>
      </c>
      <c r="Q2087" s="7">
        <v>490084</v>
      </c>
      <c r="R2087" s="6" t="s">
        <v>4670</v>
      </c>
      <c r="S2087" s="6" t="s">
        <v>5819</v>
      </c>
      <c r="T2087" s="6">
        <v>28.8</v>
      </c>
      <c r="U2087" s="6" t="s">
        <v>63</v>
      </c>
      <c r="V2087" s="6" t="s">
        <v>465</v>
      </c>
      <c r="W2087" s="67" t="str">
        <f t="shared" si="164"/>
        <v>Customer</v>
      </c>
    </row>
    <row r="2088" spans="1:23" x14ac:dyDescent="0.3">
      <c r="A2088" s="2" t="s">
        <v>4671</v>
      </c>
      <c r="B2088" s="2" t="s">
        <v>2057</v>
      </c>
      <c r="C2088" s="2">
        <v>9811355142</v>
      </c>
      <c r="D2088" s="2" t="s">
        <v>20</v>
      </c>
      <c r="E2088" s="2" t="s">
        <v>41</v>
      </c>
      <c r="F2088" s="2" t="s">
        <v>86</v>
      </c>
      <c r="G2088" s="2" t="s">
        <v>52</v>
      </c>
      <c r="H2088" s="2" t="s">
        <v>4322</v>
      </c>
      <c r="I2088" s="2" t="str">
        <f t="shared" si="160"/>
        <v>Nov</v>
      </c>
      <c r="J2088" s="2">
        <f t="shared" si="161"/>
        <v>11</v>
      </c>
      <c r="K2088" s="2">
        <f t="shared" si="162"/>
        <v>2025</v>
      </c>
      <c r="L2088" s="2">
        <f t="shared" si="163"/>
        <v>4</v>
      </c>
      <c r="M2088" s="2">
        <v>6</v>
      </c>
      <c r="N2088" s="2" t="s">
        <v>4551</v>
      </c>
      <c r="O2088" s="2" t="s">
        <v>62</v>
      </c>
      <c r="P2088" s="3">
        <v>603209</v>
      </c>
      <c r="Q2088" s="2"/>
      <c r="R2088" s="2"/>
      <c r="S2088" s="2" t="s">
        <v>5574</v>
      </c>
      <c r="T2088" s="2">
        <v>1.1000000000000001</v>
      </c>
      <c r="U2088" s="2" t="s">
        <v>47</v>
      </c>
      <c r="V2088" s="2" t="s">
        <v>302</v>
      </c>
      <c r="W2088" s="67" t="str">
        <f t="shared" si="164"/>
        <v>-</v>
      </c>
    </row>
    <row r="2089" spans="1:23" x14ac:dyDescent="0.3">
      <c r="A2089" s="6" t="s">
        <v>4672</v>
      </c>
      <c r="B2089" s="6" t="s">
        <v>4673</v>
      </c>
      <c r="C2089" s="6">
        <v>9184222479</v>
      </c>
      <c r="D2089" s="6" t="s">
        <v>51</v>
      </c>
      <c r="E2089" s="6" t="s">
        <v>41</v>
      </c>
      <c r="F2089" s="6" t="s">
        <v>151</v>
      </c>
      <c r="G2089" s="6" t="s">
        <v>23</v>
      </c>
      <c r="H2089" s="6" t="s">
        <v>4409</v>
      </c>
      <c r="I2089" s="2" t="str">
        <f t="shared" si="160"/>
        <v>Nov</v>
      </c>
      <c r="J2089" s="2">
        <f t="shared" si="161"/>
        <v>11</v>
      </c>
      <c r="K2089" s="2">
        <f t="shared" si="162"/>
        <v>2025</v>
      </c>
      <c r="L2089" s="2">
        <f t="shared" si="163"/>
        <v>4</v>
      </c>
      <c r="M2089" s="6">
        <v>0</v>
      </c>
      <c r="N2089" s="6" t="s">
        <v>4458</v>
      </c>
      <c r="O2089" s="6" t="s">
        <v>97</v>
      </c>
      <c r="P2089" s="7">
        <v>837587</v>
      </c>
      <c r="Q2089" s="7">
        <v>834692</v>
      </c>
      <c r="R2089" s="6" t="s">
        <v>4438</v>
      </c>
      <c r="S2089" s="6" t="s">
        <v>5819</v>
      </c>
      <c r="T2089" s="6">
        <v>26.6</v>
      </c>
      <c r="U2089" s="6" t="s">
        <v>63</v>
      </c>
      <c r="V2089" s="6" t="s">
        <v>483</v>
      </c>
      <c r="W2089" s="67" t="str">
        <f t="shared" si="164"/>
        <v>Architect</v>
      </c>
    </row>
    <row r="2090" spans="1:23" x14ac:dyDescent="0.3">
      <c r="A2090" s="2" t="s">
        <v>4674</v>
      </c>
      <c r="B2090" s="2" t="s">
        <v>2878</v>
      </c>
      <c r="C2090" s="2"/>
      <c r="D2090" s="2" t="s">
        <v>20</v>
      </c>
      <c r="E2090" s="2" t="s">
        <v>67</v>
      </c>
      <c r="F2090" s="2" t="s">
        <v>68</v>
      </c>
      <c r="G2090" s="2" t="s">
        <v>643</v>
      </c>
      <c r="H2090" s="2" t="s">
        <v>4409</v>
      </c>
      <c r="I2090" s="2" t="str">
        <f t="shared" si="160"/>
        <v>Nov</v>
      </c>
      <c r="J2090" s="2">
        <f t="shared" si="161"/>
        <v>11</v>
      </c>
      <c r="K2090" s="2">
        <f t="shared" si="162"/>
        <v>2025</v>
      </c>
      <c r="L2090" s="2">
        <f t="shared" si="163"/>
        <v>4</v>
      </c>
      <c r="M2090" s="2">
        <v>12</v>
      </c>
      <c r="N2090" s="2" t="s">
        <v>4670</v>
      </c>
      <c r="O2090" s="2" t="s">
        <v>27</v>
      </c>
      <c r="P2090" s="3">
        <v>1402936</v>
      </c>
      <c r="Q2090" s="2"/>
      <c r="R2090" s="2"/>
      <c r="S2090" s="2" t="s">
        <v>5574</v>
      </c>
      <c r="T2090" s="2">
        <v>29.9</v>
      </c>
      <c r="U2090" s="2" t="s">
        <v>47</v>
      </c>
      <c r="V2090" s="2" t="s">
        <v>1363</v>
      </c>
      <c r="W2090" s="67" t="str">
        <f t="shared" si="164"/>
        <v>-</v>
      </c>
    </row>
    <row r="2091" spans="1:23" x14ac:dyDescent="0.3">
      <c r="A2091" s="4" t="s">
        <v>4675</v>
      </c>
      <c r="B2091" s="4" t="s">
        <v>1790</v>
      </c>
      <c r="C2091" s="4">
        <v>9355677171</v>
      </c>
      <c r="D2091" s="4" t="s">
        <v>20</v>
      </c>
      <c r="E2091" s="4" t="s">
        <v>1632</v>
      </c>
      <c r="F2091" s="4" t="s">
        <v>1694</v>
      </c>
      <c r="G2091" s="4" t="s">
        <v>1599</v>
      </c>
      <c r="H2091" s="4" t="s">
        <v>4409</v>
      </c>
      <c r="I2091" s="2" t="str">
        <f t="shared" si="160"/>
        <v>Nov</v>
      </c>
      <c r="J2091" s="2">
        <f t="shared" si="161"/>
        <v>11</v>
      </c>
      <c r="K2091" s="2">
        <f t="shared" si="162"/>
        <v>2025</v>
      </c>
      <c r="L2091" s="2">
        <f t="shared" si="163"/>
        <v>4</v>
      </c>
      <c r="M2091" s="4">
        <v>10</v>
      </c>
      <c r="N2091" s="4" t="s">
        <v>4464</v>
      </c>
      <c r="O2091" s="4" t="s">
        <v>55</v>
      </c>
      <c r="P2091" s="5">
        <v>801676</v>
      </c>
      <c r="Q2091" s="4"/>
      <c r="R2091" s="4"/>
      <c r="S2091" s="4" t="s">
        <v>5819</v>
      </c>
      <c r="T2091" s="4">
        <v>31</v>
      </c>
      <c r="U2091" s="4" t="s">
        <v>29</v>
      </c>
      <c r="V2091" s="4" t="s">
        <v>206</v>
      </c>
      <c r="W2091" s="67" t="str">
        <f t="shared" si="164"/>
        <v>-</v>
      </c>
    </row>
    <row r="2092" spans="1:23" x14ac:dyDescent="0.3">
      <c r="A2092" s="2" t="s">
        <v>4676</v>
      </c>
      <c r="B2092" s="2" t="s">
        <v>4677</v>
      </c>
      <c r="C2092" s="2">
        <v>9299415106</v>
      </c>
      <c r="D2092" s="2" t="s">
        <v>59</v>
      </c>
      <c r="E2092" s="2" t="s">
        <v>641</v>
      </c>
      <c r="F2092" s="2" t="s">
        <v>642</v>
      </c>
      <c r="G2092" s="2" t="s">
        <v>87</v>
      </c>
      <c r="H2092" s="2" t="s">
        <v>4409</v>
      </c>
      <c r="I2092" s="2" t="str">
        <f t="shared" si="160"/>
        <v>Nov</v>
      </c>
      <c r="J2092" s="2">
        <f t="shared" si="161"/>
        <v>11</v>
      </c>
      <c r="K2092" s="2">
        <f t="shared" si="162"/>
        <v>2025</v>
      </c>
      <c r="L2092" s="2">
        <f t="shared" si="163"/>
        <v>4</v>
      </c>
      <c r="M2092" s="2">
        <v>3</v>
      </c>
      <c r="N2092" s="2" t="s">
        <v>4543</v>
      </c>
      <c r="O2092" s="2" t="s">
        <v>45</v>
      </c>
      <c r="P2092" s="3">
        <v>271123</v>
      </c>
      <c r="Q2092" s="2"/>
      <c r="R2092" s="2"/>
      <c r="S2092" s="2" t="s">
        <v>5573</v>
      </c>
      <c r="T2092" s="2">
        <v>7</v>
      </c>
      <c r="U2092" s="2" t="s">
        <v>63</v>
      </c>
      <c r="V2092" s="2" t="s">
        <v>195</v>
      </c>
      <c r="W2092" s="67" t="str">
        <f t="shared" si="164"/>
        <v>-</v>
      </c>
    </row>
    <row r="2093" spans="1:23" x14ac:dyDescent="0.3">
      <c r="A2093" s="4" t="s">
        <v>4678</v>
      </c>
      <c r="B2093" s="4" t="s">
        <v>1429</v>
      </c>
      <c r="C2093" s="4">
        <v>9324198509</v>
      </c>
      <c r="D2093" s="4" t="s">
        <v>59</v>
      </c>
      <c r="E2093" s="4" t="s">
        <v>1632</v>
      </c>
      <c r="F2093" s="4" t="s">
        <v>1659</v>
      </c>
      <c r="G2093" s="4" t="s">
        <v>643</v>
      </c>
      <c r="H2093" s="4" t="s">
        <v>4409</v>
      </c>
      <c r="I2093" s="2" t="str">
        <f t="shared" si="160"/>
        <v>Nov</v>
      </c>
      <c r="J2093" s="2">
        <f t="shared" si="161"/>
        <v>11</v>
      </c>
      <c r="K2093" s="2">
        <f t="shared" si="162"/>
        <v>2025</v>
      </c>
      <c r="L2093" s="2">
        <f t="shared" si="163"/>
        <v>4</v>
      </c>
      <c r="M2093" s="4">
        <v>1</v>
      </c>
      <c r="N2093" s="4" t="s">
        <v>4549</v>
      </c>
      <c r="O2093" s="4" t="s">
        <v>27</v>
      </c>
      <c r="P2093" s="5">
        <v>968359</v>
      </c>
      <c r="Q2093" s="4"/>
      <c r="R2093" s="4"/>
      <c r="S2093" s="4" t="s">
        <v>5574</v>
      </c>
      <c r="T2093" s="4">
        <v>11.6</v>
      </c>
      <c r="U2093" s="4" t="s">
        <v>47</v>
      </c>
      <c r="V2093" s="4" t="s">
        <v>30</v>
      </c>
      <c r="W2093" s="67" t="str">
        <f t="shared" si="164"/>
        <v>-</v>
      </c>
    </row>
    <row r="2094" spans="1:23" x14ac:dyDescent="0.3">
      <c r="A2094" s="2" t="s">
        <v>4679</v>
      </c>
      <c r="B2094" s="2" t="s">
        <v>4680</v>
      </c>
      <c r="C2094" s="2">
        <v>9304346964</v>
      </c>
      <c r="D2094" s="2" t="s">
        <v>121</v>
      </c>
      <c r="E2094" s="2" t="s">
        <v>67</v>
      </c>
      <c r="F2094" s="2" t="s">
        <v>68</v>
      </c>
      <c r="G2094" s="2" t="s">
        <v>1677</v>
      </c>
      <c r="H2094" s="2" t="s">
        <v>4409</v>
      </c>
      <c r="I2094" s="2" t="str">
        <f t="shared" si="160"/>
        <v>Nov</v>
      </c>
      <c r="J2094" s="2">
        <f t="shared" si="161"/>
        <v>11</v>
      </c>
      <c r="K2094" s="2">
        <f t="shared" si="162"/>
        <v>2025</v>
      </c>
      <c r="L2094" s="2">
        <f t="shared" si="163"/>
        <v>4</v>
      </c>
      <c r="M2094" s="2">
        <v>7</v>
      </c>
      <c r="N2094" s="2" t="s">
        <v>4339</v>
      </c>
      <c r="O2094" s="2" t="s">
        <v>45</v>
      </c>
      <c r="P2094" s="3">
        <v>944359</v>
      </c>
      <c r="Q2094" s="2"/>
      <c r="R2094" s="2"/>
      <c r="S2094" s="2" t="s">
        <v>5819</v>
      </c>
      <c r="T2094" s="2">
        <v>1.4</v>
      </c>
      <c r="U2094" s="2" t="s">
        <v>47</v>
      </c>
      <c r="V2094" s="2" t="s">
        <v>256</v>
      </c>
      <c r="W2094" s="67" t="str">
        <f t="shared" si="164"/>
        <v>-</v>
      </c>
    </row>
    <row r="2095" spans="1:23" x14ac:dyDescent="0.3">
      <c r="A2095" s="4" t="s">
        <v>4681</v>
      </c>
      <c r="B2095" s="4" t="s">
        <v>4682</v>
      </c>
      <c r="C2095" s="4">
        <v>9602586713</v>
      </c>
      <c r="D2095" s="4" t="s">
        <v>121</v>
      </c>
      <c r="E2095" s="4" t="s">
        <v>641</v>
      </c>
      <c r="F2095" s="4" t="s">
        <v>717</v>
      </c>
      <c r="G2095" s="4" t="s">
        <v>1599</v>
      </c>
      <c r="H2095" s="4" t="s">
        <v>4596</v>
      </c>
      <c r="I2095" s="2" t="str">
        <f t="shared" si="160"/>
        <v>Nov</v>
      </c>
      <c r="J2095" s="2">
        <f t="shared" si="161"/>
        <v>11</v>
      </c>
      <c r="K2095" s="2">
        <f t="shared" si="162"/>
        <v>2025</v>
      </c>
      <c r="L2095" s="2">
        <f t="shared" si="163"/>
        <v>4</v>
      </c>
      <c r="M2095" s="4">
        <v>4</v>
      </c>
      <c r="N2095" s="4" t="s">
        <v>4404</v>
      </c>
      <c r="O2095" s="4" t="s">
        <v>45</v>
      </c>
      <c r="P2095" s="5">
        <v>1070462</v>
      </c>
      <c r="Q2095" s="4"/>
      <c r="R2095" s="4"/>
      <c r="S2095" s="4" t="s">
        <v>5819</v>
      </c>
      <c r="T2095" s="4">
        <v>33</v>
      </c>
      <c r="U2095" s="4" t="s">
        <v>29</v>
      </c>
      <c r="V2095" s="4" t="s">
        <v>187</v>
      </c>
      <c r="W2095" s="67" t="str">
        <f t="shared" si="164"/>
        <v>-</v>
      </c>
    </row>
    <row r="2096" spans="1:23" x14ac:dyDescent="0.3">
      <c r="A2096" s="2" t="s">
        <v>4683</v>
      </c>
      <c r="B2096" s="2" t="s">
        <v>2614</v>
      </c>
      <c r="C2096" s="2">
        <v>9491680520</v>
      </c>
      <c r="D2096" s="2" t="s">
        <v>108</v>
      </c>
      <c r="E2096" s="2" t="s">
        <v>648</v>
      </c>
      <c r="F2096" s="2" t="s">
        <v>899</v>
      </c>
      <c r="G2096" s="2" t="s">
        <v>1621</v>
      </c>
      <c r="H2096" s="2" t="s">
        <v>4458</v>
      </c>
      <c r="I2096" s="2" t="str">
        <f t="shared" si="160"/>
        <v>Nov</v>
      </c>
      <c r="J2096" s="2">
        <f t="shared" si="161"/>
        <v>11</v>
      </c>
      <c r="K2096" s="2">
        <f t="shared" si="162"/>
        <v>2025</v>
      </c>
      <c r="L2096" s="2">
        <f t="shared" si="163"/>
        <v>4</v>
      </c>
      <c r="M2096" s="2">
        <v>11</v>
      </c>
      <c r="N2096" s="2" t="s">
        <v>4651</v>
      </c>
      <c r="O2096" s="2" t="s">
        <v>27</v>
      </c>
      <c r="P2096" s="3">
        <v>583585</v>
      </c>
      <c r="Q2096" s="2"/>
      <c r="R2096" s="2"/>
      <c r="S2096" s="2" t="s">
        <v>5573</v>
      </c>
      <c r="T2096" s="2">
        <v>34.200000000000003</v>
      </c>
      <c r="U2096" s="2" t="s">
        <v>29</v>
      </c>
      <c r="V2096" s="2" t="s">
        <v>38</v>
      </c>
      <c r="W2096" s="67" t="str">
        <f t="shared" si="164"/>
        <v>-</v>
      </c>
    </row>
    <row r="2097" spans="1:23" x14ac:dyDescent="0.3">
      <c r="A2097" s="6" t="s">
        <v>4684</v>
      </c>
      <c r="B2097" s="6" t="s">
        <v>4685</v>
      </c>
      <c r="C2097" s="6">
        <v>9801716508</v>
      </c>
      <c r="D2097" s="6" t="s">
        <v>59</v>
      </c>
      <c r="E2097" s="6" t="s">
        <v>41</v>
      </c>
      <c r="F2097" s="6" t="s">
        <v>86</v>
      </c>
      <c r="G2097" s="6" t="s">
        <v>643</v>
      </c>
      <c r="H2097" s="6" t="s">
        <v>4458</v>
      </c>
      <c r="I2097" s="2" t="str">
        <f t="shared" si="160"/>
        <v>Nov</v>
      </c>
      <c r="J2097" s="2">
        <f t="shared" si="161"/>
        <v>11</v>
      </c>
      <c r="K2097" s="2">
        <f t="shared" si="162"/>
        <v>2025</v>
      </c>
      <c r="L2097" s="2">
        <f t="shared" si="163"/>
        <v>4</v>
      </c>
      <c r="M2097" s="6">
        <v>4</v>
      </c>
      <c r="N2097" s="6" t="s">
        <v>4459</v>
      </c>
      <c r="O2097" s="6" t="s">
        <v>97</v>
      </c>
      <c r="P2097" s="7">
        <v>1195736</v>
      </c>
      <c r="Q2097" s="7">
        <v>1225841</v>
      </c>
      <c r="R2097" s="6" t="s">
        <v>4511</v>
      </c>
      <c r="S2097" s="6" t="s">
        <v>5574</v>
      </c>
      <c r="T2097" s="6">
        <v>35.799999999999997</v>
      </c>
      <c r="U2097" s="6" t="s">
        <v>63</v>
      </c>
      <c r="V2097" s="6" t="s">
        <v>341</v>
      </c>
      <c r="W2097" s="67" t="str">
        <f t="shared" si="164"/>
        <v>Customer</v>
      </c>
    </row>
    <row r="2098" spans="1:23" x14ac:dyDescent="0.3">
      <c r="A2098" s="2" t="s">
        <v>4686</v>
      </c>
      <c r="B2098" s="2" t="s">
        <v>3866</v>
      </c>
      <c r="C2098" s="2">
        <v>9675019578</v>
      </c>
      <c r="D2098" s="2" t="s">
        <v>59</v>
      </c>
      <c r="E2098" s="2" t="s">
        <v>41</v>
      </c>
      <c r="F2098" s="2" t="s">
        <v>86</v>
      </c>
      <c r="G2098" s="2" t="s">
        <v>1609</v>
      </c>
      <c r="H2098" s="2" t="s">
        <v>4403</v>
      </c>
      <c r="I2098" s="2" t="str">
        <f t="shared" si="160"/>
        <v>Dec</v>
      </c>
      <c r="J2098" s="2">
        <f t="shared" si="161"/>
        <v>12</v>
      </c>
      <c r="K2098" s="2">
        <f t="shared" si="162"/>
        <v>2025</v>
      </c>
      <c r="L2098" s="2">
        <f t="shared" si="163"/>
        <v>4</v>
      </c>
      <c r="M2098" s="2">
        <v>8</v>
      </c>
      <c r="N2098" s="2" t="s">
        <v>4687</v>
      </c>
      <c r="O2098" s="2" t="s">
        <v>45</v>
      </c>
      <c r="P2098" s="3">
        <v>427567</v>
      </c>
      <c r="Q2098" s="2"/>
      <c r="R2098" s="2"/>
      <c r="S2098" s="2" t="s">
        <v>5574</v>
      </c>
      <c r="T2098" s="2">
        <v>24.8</v>
      </c>
      <c r="U2098" s="2" t="s">
        <v>63</v>
      </c>
      <c r="V2098" s="2" t="s">
        <v>195</v>
      </c>
      <c r="W2098" s="67" t="str">
        <f t="shared" si="164"/>
        <v>-</v>
      </c>
    </row>
    <row r="2099" spans="1:23" x14ac:dyDescent="0.3">
      <c r="A2099" s="4" t="s">
        <v>4688</v>
      </c>
      <c r="B2099" s="4" t="s">
        <v>456</v>
      </c>
      <c r="C2099" s="4">
        <v>9332941578</v>
      </c>
      <c r="D2099" s="4" t="s">
        <v>20</v>
      </c>
      <c r="E2099" s="4" t="s">
        <v>641</v>
      </c>
      <c r="F2099" s="4" t="s">
        <v>717</v>
      </c>
      <c r="G2099" s="4" t="s">
        <v>1599</v>
      </c>
      <c r="H2099" s="4" t="s">
        <v>4403</v>
      </c>
      <c r="I2099" s="2" t="str">
        <f t="shared" si="160"/>
        <v>Dec</v>
      </c>
      <c r="J2099" s="2">
        <f t="shared" si="161"/>
        <v>12</v>
      </c>
      <c r="K2099" s="2">
        <f t="shared" si="162"/>
        <v>2025</v>
      </c>
      <c r="L2099" s="2">
        <f t="shared" si="163"/>
        <v>4</v>
      </c>
      <c r="M2099" s="4">
        <v>12</v>
      </c>
      <c r="N2099" s="4" t="s">
        <v>4687</v>
      </c>
      <c r="O2099" s="4" t="s">
        <v>45</v>
      </c>
      <c r="P2099" s="5">
        <v>934643</v>
      </c>
      <c r="Q2099" s="4"/>
      <c r="R2099" s="4"/>
      <c r="S2099" s="4" t="s">
        <v>5574</v>
      </c>
      <c r="T2099" s="4"/>
      <c r="U2099" s="4" t="s">
        <v>63</v>
      </c>
      <c r="V2099" s="4" t="s">
        <v>260</v>
      </c>
      <c r="W2099" s="67" t="str">
        <f t="shared" si="164"/>
        <v>-</v>
      </c>
    </row>
    <row r="2100" spans="1:23" x14ac:dyDescent="0.3">
      <c r="A2100" s="2" t="s">
        <v>4689</v>
      </c>
      <c r="B2100" s="2" t="s">
        <v>2109</v>
      </c>
      <c r="C2100" s="2">
        <v>9544524798</v>
      </c>
      <c r="D2100" s="2" t="s">
        <v>20</v>
      </c>
      <c r="E2100" s="2" t="s">
        <v>648</v>
      </c>
      <c r="F2100" s="2" t="s">
        <v>656</v>
      </c>
      <c r="G2100" s="2" t="s">
        <v>23</v>
      </c>
      <c r="H2100" s="2" t="s">
        <v>4403</v>
      </c>
      <c r="I2100" s="2" t="str">
        <f t="shared" si="160"/>
        <v>Dec</v>
      </c>
      <c r="J2100" s="2">
        <f t="shared" si="161"/>
        <v>12</v>
      </c>
      <c r="K2100" s="2">
        <f t="shared" si="162"/>
        <v>2025</v>
      </c>
      <c r="L2100" s="2">
        <f t="shared" si="163"/>
        <v>4</v>
      </c>
      <c r="M2100" s="2">
        <v>11</v>
      </c>
      <c r="N2100" s="2" t="s">
        <v>4690</v>
      </c>
      <c r="O2100" s="2" t="s">
        <v>62</v>
      </c>
      <c r="P2100" s="3">
        <v>752056</v>
      </c>
      <c r="Q2100" s="2"/>
      <c r="R2100" s="2"/>
      <c r="S2100" s="2" t="s">
        <v>5573</v>
      </c>
      <c r="T2100" s="2">
        <v>6.7</v>
      </c>
      <c r="U2100" s="2" t="s">
        <v>47</v>
      </c>
      <c r="V2100" s="2" t="s">
        <v>302</v>
      </c>
      <c r="W2100" s="67" t="str">
        <f t="shared" si="164"/>
        <v>-</v>
      </c>
    </row>
    <row r="2101" spans="1:23" x14ac:dyDescent="0.3">
      <c r="A2101" s="4" t="s">
        <v>4691</v>
      </c>
      <c r="B2101" s="4" t="s">
        <v>1128</v>
      </c>
      <c r="C2101" s="4">
        <v>9620257377</v>
      </c>
      <c r="D2101" s="4" t="s">
        <v>59</v>
      </c>
      <c r="E2101" s="4" t="s">
        <v>641</v>
      </c>
      <c r="F2101" s="4" t="s">
        <v>717</v>
      </c>
      <c r="G2101" s="4" t="s">
        <v>616</v>
      </c>
      <c r="H2101" s="4" t="s">
        <v>4403</v>
      </c>
      <c r="I2101" s="2" t="str">
        <f t="shared" si="160"/>
        <v>Dec</v>
      </c>
      <c r="J2101" s="2">
        <f t="shared" si="161"/>
        <v>12</v>
      </c>
      <c r="K2101" s="2">
        <f t="shared" si="162"/>
        <v>2025</v>
      </c>
      <c r="L2101" s="2">
        <f t="shared" si="163"/>
        <v>4</v>
      </c>
      <c r="M2101" s="4">
        <v>4</v>
      </c>
      <c r="N2101" s="4" t="s">
        <v>4611</v>
      </c>
      <c r="O2101" s="4" t="s">
        <v>27</v>
      </c>
      <c r="P2101" s="5">
        <v>294945</v>
      </c>
      <c r="Q2101" s="4"/>
      <c r="R2101" s="4"/>
      <c r="S2101" s="4" t="s">
        <v>5574</v>
      </c>
      <c r="T2101" s="4">
        <v>12.7</v>
      </c>
      <c r="U2101" s="4" t="s">
        <v>29</v>
      </c>
      <c r="V2101" s="4" t="s">
        <v>118</v>
      </c>
      <c r="W2101" s="67" t="str">
        <f t="shared" si="164"/>
        <v>-</v>
      </c>
    </row>
    <row r="2102" spans="1:23" x14ac:dyDescent="0.3">
      <c r="A2102" s="2" t="s">
        <v>4692</v>
      </c>
      <c r="B2102" s="2" t="s">
        <v>2792</v>
      </c>
      <c r="C2102" s="2">
        <v>9173266731</v>
      </c>
      <c r="D2102" s="2" t="s">
        <v>108</v>
      </c>
      <c r="E2102" s="2" t="s">
        <v>641</v>
      </c>
      <c r="F2102" s="2" t="s">
        <v>681</v>
      </c>
      <c r="G2102" s="2" t="s">
        <v>1735</v>
      </c>
      <c r="H2102" s="2" t="s">
        <v>4403</v>
      </c>
      <c r="I2102" s="2" t="str">
        <f t="shared" si="160"/>
        <v>Dec</v>
      </c>
      <c r="J2102" s="2">
        <f t="shared" si="161"/>
        <v>12</v>
      </c>
      <c r="K2102" s="2">
        <f t="shared" si="162"/>
        <v>2025</v>
      </c>
      <c r="L2102" s="2">
        <f t="shared" si="163"/>
        <v>4</v>
      </c>
      <c r="M2102" s="2">
        <v>6</v>
      </c>
      <c r="N2102" s="2" t="s">
        <v>4339</v>
      </c>
      <c r="O2102" s="2" t="s">
        <v>45</v>
      </c>
      <c r="P2102" s="3">
        <v>1750028</v>
      </c>
      <c r="Q2102" s="2"/>
      <c r="R2102" s="2"/>
      <c r="S2102" s="2" t="s">
        <v>5574</v>
      </c>
      <c r="T2102" s="2">
        <v>13.4</v>
      </c>
      <c r="U2102" s="2" t="s">
        <v>29</v>
      </c>
      <c r="V2102" s="2" t="s">
        <v>589</v>
      </c>
      <c r="W2102" s="67" t="str">
        <f t="shared" si="164"/>
        <v>-</v>
      </c>
    </row>
    <row r="2103" spans="1:23" x14ac:dyDescent="0.3">
      <c r="A2103" s="6" t="s">
        <v>4693</v>
      </c>
      <c r="B2103" s="6" t="s">
        <v>4694</v>
      </c>
      <c r="C2103" s="6">
        <v>9910319888</v>
      </c>
      <c r="D2103" s="6" t="s">
        <v>20</v>
      </c>
      <c r="E2103" s="6" t="s">
        <v>33</v>
      </c>
      <c r="F2103" s="6" t="s">
        <v>102</v>
      </c>
      <c r="G2103" s="6" t="s">
        <v>643</v>
      </c>
      <c r="H2103" s="6" t="s">
        <v>4403</v>
      </c>
      <c r="I2103" s="2" t="str">
        <f t="shared" si="160"/>
        <v>Dec</v>
      </c>
      <c r="J2103" s="2">
        <f t="shared" si="161"/>
        <v>12</v>
      </c>
      <c r="K2103" s="2">
        <f t="shared" si="162"/>
        <v>2025</v>
      </c>
      <c r="L2103" s="2">
        <f t="shared" si="163"/>
        <v>4</v>
      </c>
      <c r="M2103" s="6">
        <v>7</v>
      </c>
      <c r="N2103" s="6" t="s">
        <v>4520</v>
      </c>
      <c r="O2103" s="6" t="s">
        <v>97</v>
      </c>
      <c r="P2103" s="7">
        <v>1240704</v>
      </c>
      <c r="Q2103" s="7">
        <v>1184073</v>
      </c>
      <c r="R2103" s="6" t="s">
        <v>4563</v>
      </c>
      <c r="S2103" s="6" t="s">
        <v>5819</v>
      </c>
      <c r="T2103" s="6">
        <v>29.6</v>
      </c>
      <c r="U2103" s="6" t="s">
        <v>47</v>
      </c>
      <c r="V2103" s="6" t="s">
        <v>483</v>
      </c>
      <c r="W2103" s="67" t="str">
        <f t="shared" si="164"/>
        <v>Customer</v>
      </c>
    </row>
    <row r="2104" spans="1:23" x14ac:dyDescent="0.3">
      <c r="A2104" s="2" t="s">
        <v>4695</v>
      </c>
      <c r="B2104" s="2" t="s">
        <v>2851</v>
      </c>
      <c r="C2104" s="2">
        <v>9866869008</v>
      </c>
      <c r="D2104" s="2" t="s">
        <v>108</v>
      </c>
      <c r="E2104" s="2" t="s">
        <v>1632</v>
      </c>
      <c r="F2104" s="2" t="s">
        <v>1659</v>
      </c>
      <c r="G2104" s="2" t="s">
        <v>1599</v>
      </c>
      <c r="H2104" s="2" t="s">
        <v>4403</v>
      </c>
      <c r="I2104" s="2" t="str">
        <f t="shared" si="160"/>
        <v>Dec</v>
      </c>
      <c r="J2104" s="2">
        <f t="shared" si="161"/>
        <v>12</v>
      </c>
      <c r="K2104" s="2">
        <f t="shared" si="162"/>
        <v>2025</v>
      </c>
      <c r="L2104" s="2">
        <f t="shared" si="163"/>
        <v>4</v>
      </c>
      <c r="M2104" s="2">
        <v>9</v>
      </c>
      <c r="N2104" s="2" t="s">
        <v>4696</v>
      </c>
      <c r="O2104" s="2" t="s">
        <v>62</v>
      </c>
      <c r="P2104" s="3">
        <v>683770</v>
      </c>
      <c r="Q2104" s="2"/>
      <c r="R2104" s="2"/>
      <c r="S2104" s="2" t="s">
        <v>5819</v>
      </c>
      <c r="T2104" s="2">
        <v>19.2</v>
      </c>
      <c r="U2104" s="2" t="s">
        <v>63</v>
      </c>
      <c r="V2104" s="2" t="s">
        <v>221</v>
      </c>
      <c r="W2104" s="67" t="str">
        <f t="shared" si="164"/>
        <v>-</v>
      </c>
    </row>
    <row r="2105" spans="1:23" x14ac:dyDescent="0.3">
      <c r="A2105" s="4" t="s">
        <v>4697</v>
      </c>
      <c r="B2105" s="4" t="s">
        <v>1058</v>
      </c>
      <c r="C2105" s="4">
        <v>9275482180</v>
      </c>
      <c r="D2105" s="4" t="s">
        <v>51</v>
      </c>
      <c r="E2105" s="4" t="s">
        <v>33</v>
      </c>
      <c r="F2105" s="4" t="s">
        <v>34</v>
      </c>
      <c r="G2105" s="4" t="s">
        <v>643</v>
      </c>
      <c r="H2105" s="4" t="s">
        <v>4403</v>
      </c>
      <c r="I2105" s="2" t="str">
        <f t="shared" si="160"/>
        <v>Dec</v>
      </c>
      <c r="J2105" s="2">
        <f t="shared" si="161"/>
        <v>12</v>
      </c>
      <c r="K2105" s="2">
        <f t="shared" si="162"/>
        <v>2025</v>
      </c>
      <c r="L2105" s="2">
        <f t="shared" si="163"/>
        <v>4</v>
      </c>
      <c r="M2105" s="4">
        <v>9</v>
      </c>
      <c r="N2105" s="4" t="s">
        <v>4520</v>
      </c>
      <c r="O2105" s="4" t="s">
        <v>62</v>
      </c>
      <c r="P2105" s="5">
        <v>926389</v>
      </c>
      <c r="Q2105" s="4"/>
      <c r="R2105" s="4"/>
      <c r="S2105" s="4" t="s">
        <v>5573</v>
      </c>
      <c r="T2105" s="4">
        <v>32.700000000000003</v>
      </c>
      <c r="U2105" s="4" t="s">
        <v>63</v>
      </c>
      <c r="V2105" s="4" t="s">
        <v>535</v>
      </c>
      <c r="W2105" s="67" t="str">
        <f t="shared" si="164"/>
        <v>-</v>
      </c>
    </row>
    <row r="2106" spans="1:23" x14ac:dyDescent="0.3">
      <c r="A2106" s="2" t="s">
        <v>4698</v>
      </c>
      <c r="B2106" s="2" t="s">
        <v>2792</v>
      </c>
      <c r="C2106" s="2">
        <v>9173266731</v>
      </c>
      <c r="D2106" s="2" t="s">
        <v>121</v>
      </c>
      <c r="E2106" s="2" t="s">
        <v>641</v>
      </c>
      <c r="F2106" s="2" t="s">
        <v>681</v>
      </c>
      <c r="G2106" s="2" t="s">
        <v>1735</v>
      </c>
      <c r="H2106" s="2" t="s">
        <v>4403</v>
      </c>
      <c r="I2106" s="2" t="str">
        <f t="shared" si="160"/>
        <v>Dec</v>
      </c>
      <c r="J2106" s="2">
        <f t="shared" si="161"/>
        <v>12</v>
      </c>
      <c r="K2106" s="2">
        <f t="shared" si="162"/>
        <v>2025</v>
      </c>
      <c r="L2106" s="2">
        <f t="shared" si="163"/>
        <v>4</v>
      </c>
      <c r="M2106" s="2">
        <v>6</v>
      </c>
      <c r="N2106" s="2" t="s">
        <v>4339</v>
      </c>
      <c r="O2106" s="2" t="s">
        <v>45</v>
      </c>
      <c r="P2106" s="3">
        <v>1567258</v>
      </c>
      <c r="Q2106" s="2"/>
      <c r="R2106" s="2"/>
      <c r="S2106" s="2" t="s">
        <v>5574</v>
      </c>
      <c r="T2106" s="2">
        <v>13.4</v>
      </c>
      <c r="U2106" s="2" t="s">
        <v>29</v>
      </c>
      <c r="V2106" s="2" t="s">
        <v>589</v>
      </c>
      <c r="W2106" s="67" t="str">
        <f t="shared" si="164"/>
        <v>-</v>
      </c>
    </row>
    <row r="2107" spans="1:23" x14ac:dyDescent="0.3">
      <c r="A2107" s="4" t="s">
        <v>4699</v>
      </c>
      <c r="B2107" s="4" t="s">
        <v>3215</v>
      </c>
      <c r="C2107" s="4">
        <v>9676716969</v>
      </c>
      <c r="D2107" s="4" t="s">
        <v>108</v>
      </c>
      <c r="E2107" s="4" t="s">
        <v>1632</v>
      </c>
      <c r="F2107" s="4" t="s">
        <v>1717</v>
      </c>
      <c r="G2107" s="4" t="s">
        <v>1735</v>
      </c>
      <c r="H2107" s="4" t="s">
        <v>4403</v>
      </c>
      <c r="I2107" s="2" t="str">
        <f t="shared" si="160"/>
        <v>Dec</v>
      </c>
      <c r="J2107" s="2">
        <f t="shared" si="161"/>
        <v>12</v>
      </c>
      <c r="K2107" s="2">
        <f t="shared" si="162"/>
        <v>2025</v>
      </c>
      <c r="L2107" s="2">
        <f t="shared" si="163"/>
        <v>4</v>
      </c>
      <c r="M2107" s="4">
        <v>5</v>
      </c>
      <c r="N2107" s="4" t="s">
        <v>4512</v>
      </c>
      <c r="O2107" s="4" t="s">
        <v>45</v>
      </c>
      <c r="P2107" s="5">
        <v>1750717</v>
      </c>
      <c r="Q2107" s="4"/>
      <c r="R2107" s="4"/>
      <c r="S2107" s="4" t="s">
        <v>5819</v>
      </c>
      <c r="T2107" s="4">
        <v>1.3</v>
      </c>
      <c r="U2107" s="4" t="s">
        <v>29</v>
      </c>
      <c r="V2107" s="4" t="s">
        <v>442</v>
      </c>
      <c r="W2107" s="67" t="str">
        <f t="shared" si="164"/>
        <v>-</v>
      </c>
    </row>
    <row r="2108" spans="1:23" x14ac:dyDescent="0.3">
      <c r="A2108" s="6" t="s">
        <v>4700</v>
      </c>
      <c r="B2108" s="6" t="s">
        <v>2053</v>
      </c>
      <c r="C2108" s="6">
        <v>9953718745</v>
      </c>
      <c r="D2108" s="6" t="s">
        <v>20</v>
      </c>
      <c r="E2108" s="6" t="s">
        <v>41</v>
      </c>
      <c r="F2108" s="6" t="s">
        <v>42</v>
      </c>
      <c r="G2108" s="6" t="s">
        <v>616</v>
      </c>
      <c r="H2108" s="6" t="s">
        <v>4438</v>
      </c>
      <c r="I2108" s="2" t="str">
        <f t="shared" si="160"/>
        <v>Dec</v>
      </c>
      <c r="J2108" s="2">
        <f t="shared" si="161"/>
        <v>12</v>
      </c>
      <c r="K2108" s="2">
        <f t="shared" si="162"/>
        <v>2025</v>
      </c>
      <c r="L2108" s="2">
        <f t="shared" si="163"/>
        <v>4</v>
      </c>
      <c r="M2108" s="6">
        <v>2</v>
      </c>
      <c r="N2108" s="6" t="s">
        <v>4520</v>
      </c>
      <c r="O2108" s="6" t="s">
        <v>97</v>
      </c>
      <c r="P2108" s="7">
        <v>125806</v>
      </c>
      <c r="Q2108" s="7">
        <v>118207</v>
      </c>
      <c r="R2108" s="6" t="s">
        <v>4558</v>
      </c>
      <c r="S2108" s="6" t="s">
        <v>5573</v>
      </c>
      <c r="T2108" s="6">
        <v>32.9</v>
      </c>
      <c r="U2108" s="6" t="s">
        <v>63</v>
      </c>
      <c r="V2108" s="6"/>
      <c r="W2108" s="67" t="str">
        <f t="shared" si="164"/>
        <v>Customer</v>
      </c>
    </row>
    <row r="2109" spans="1:23" x14ac:dyDescent="0.3">
      <c r="A2109" s="4" t="s">
        <v>4701</v>
      </c>
      <c r="B2109" s="4" t="s">
        <v>2408</v>
      </c>
      <c r="C2109" s="4">
        <v>9704715527</v>
      </c>
      <c r="D2109" s="4" t="s">
        <v>20</v>
      </c>
      <c r="E2109" s="4" t="s">
        <v>109</v>
      </c>
      <c r="F2109" s="4" t="s">
        <v>331</v>
      </c>
      <c r="G2109" s="4" t="s">
        <v>52</v>
      </c>
      <c r="H2109" s="4" t="s">
        <v>4356</v>
      </c>
      <c r="I2109" s="2" t="str">
        <f t="shared" si="160"/>
        <v>Dec</v>
      </c>
      <c r="J2109" s="2">
        <f t="shared" si="161"/>
        <v>12</v>
      </c>
      <c r="K2109" s="2">
        <f t="shared" si="162"/>
        <v>2025</v>
      </c>
      <c r="L2109" s="2">
        <f t="shared" si="163"/>
        <v>4</v>
      </c>
      <c r="M2109" s="4">
        <v>4</v>
      </c>
      <c r="N2109" s="4" t="s">
        <v>4657</v>
      </c>
      <c r="O2109" s="4" t="s">
        <v>62</v>
      </c>
      <c r="P2109" s="5">
        <v>525171</v>
      </c>
      <c r="Q2109" s="4"/>
      <c r="R2109" s="4"/>
      <c r="S2109" s="4" t="s">
        <v>5574</v>
      </c>
      <c r="T2109" s="4">
        <v>17.899999999999999</v>
      </c>
      <c r="U2109" s="4" t="s">
        <v>47</v>
      </c>
      <c r="V2109" s="4" t="s">
        <v>89</v>
      </c>
      <c r="W2109" s="67" t="str">
        <f t="shared" si="164"/>
        <v>-</v>
      </c>
    </row>
    <row r="2110" spans="1:23" x14ac:dyDescent="0.3">
      <c r="A2110" s="2" t="s">
        <v>4702</v>
      </c>
      <c r="B2110" s="2" t="s">
        <v>4523</v>
      </c>
      <c r="C2110" s="2">
        <v>9989779280</v>
      </c>
      <c r="D2110" s="2" t="s">
        <v>108</v>
      </c>
      <c r="E2110" s="2" t="s">
        <v>1632</v>
      </c>
      <c r="F2110" s="2" t="s">
        <v>1717</v>
      </c>
      <c r="G2110" s="2" t="s">
        <v>52</v>
      </c>
      <c r="H2110" s="2" t="s">
        <v>4356</v>
      </c>
      <c r="I2110" s="2" t="str">
        <f t="shared" si="160"/>
        <v>Dec</v>
      </c>
      <c r="J2110" s="2">
        <f t="shared" si="161"/>
        <v>12</v>
      </c>
      <c r="K2110" s="2">
        <f t="shared" si="162"/>
        <v>2025</v>
      </c>
      <c r="L2110" s="2">
        <f t="shared" si="163"/>
        <v>4</v>
      </c>
      <c r="M2110" s="2">
        <v>5</v>
      </c>
      <c r="N2110" s="2" t="s">
        <v>4512</v>
      </c>
      <c r="O2110" s="2" t="s">
        <v>62</v>
      </c>
      <c r="P2110" s="3">
        <v>529200</v>
      </c>
      <c r="Q2110" s="2"/>
      <c r="R2110" s="2"/>
      <c r="S2110" s="2" t="s">
        <v>5573</v>
      </c>
      <c r="T2110" s="2">
        <v>35.9</v>
      </c>
      <c r="U2110" s="2" t="s">
        <v>47</v>
      </c>
      <c r="V2110" s="2" t="s">
        <v>48</v>
      </c>
      <c r="W2110" s="67" t="str">
        <f t="shared" si="164"/>
        <v>-</v>
      </c>
    </row>
    <row r="2111" spans="1:23" x14ac:dyDescent="0.3">
      <c r="A2111" s="6" t="s">
        <v>4703</v>
      </c>
      <c r="B2111" s="6" t="s">
        <v>4704</v>
      </c>
      <c r="C2111" s="6">
        <v>9486862871</v>
      </c>
      <c r="D2111" s="6" t="s">
        <v>121</v>
      </c>
      <c r="E2111" s="6" t="s">
        <v>641</v>
      </c>
      <c r="F2111" s="6" t="s">
        <v>727</v>
      </c>
      <c r="G2111" s="6" t="s">
        <v>52</v>
      </c>
      <c r="H2111" s="6" t="s">
        <v>4356</v>
      </c>
      <c r="I2111" s="2" t="str">
        <f t="shared" si="160"/>
        <v>Dec</v>
      </c>
      <c r="J2111" s="2">
        <f t="shared" si="161"/>
        <v>12</v>
      </c>
      <c r="K2111" s="2">
        <f t="shared" si="162"/>
        <v>2025</v>
      </c>
      <c r="L2111" s="2">
        <f t="shared" si="163"/>
        <v>4</v>
      </c>
      <c r="M2111" s="6">
        <v>12</v>
      </c>
      <c r="N2111" s="6" t="s">
        <v>4572</v>
      </c>
      <c r="O2111" s="6" t="s">
        <v>97</v>
      </c>
      <c r="P2111" s="7">
        <v>382734</v>
      </c>
      <c r="Q2111" s="7">
        <v>387184</v>
      </c>
      <c r="R2111" s="6" t="s">
        <v>4670</v>
      </c>
      <c r="S2111" s="6" t="s">
        <v>5574</v>
      </c>
      <c r="T2111" s="6">
        <v>18.100000000000001</v>
      </c>
      <c r="U2111" s="6" t="s">
        <v>63</v>
      </c>
      <c r="V2111" s="6" t="s">
        <v>99</v>
      </c>
      <c r="W2111" s="67" t="str">
        <f t="shared" si="164"/>
        <v>Customer</v>
      </c>
    </row>
    <row r="2112" spans="1:23" x14ac:dyDescent="0.3">
      <c r="A2112" s="2" t="s">
        <v>4705</v>
      </c>
      <c r="B2112" s="2" t="s">
        <v>4629</v>
      </c>
      <c r="C2112" s="2">
        <v>9887761106</v>
      </c>
      <c r="D2112" s="2" t="s">
        <v>59</v>
      </c>
      <c r="E2112" s="2" t="s">
        <v>1632</v>
      </c>
      <c r="F2112" s="2" t="s">
        <v>1717</v>
      </c>
      <c r="G2112" s="2" t="s">
        <v>1609</v>
      </c>
      <c r="H2112" s="2" t="s">
        <v>4338</v>
      </c>
      <c r="I2112" s="2" t="str">
        <f t="shared" si="160"/>
        <v>Dec</v>
      </c>
      <c r="J2112" s="2">
        <f t="shared" si="161"/>
        <v>12</v>
      </c>
      <c r="K2112" s="2">
        <f t="shared" si="162"/>
        <v>2025</v>
      </c>
      <c r="L2112" s="2">
        <f t="shared" si="163"/>
        <v>4</v>
      </c>
      <c r="M2112" s="2">
        <v>0</v>
      </c>
      <c r="N2112" s="2" t="s">
        <v>4429</v>
      </c>
      <c r="O2112" s="2" t="s">
        <v>27</v>
      </c>
      <c r="P2112" s="3">
        <v>185579</v>
      </c>
      <c r="Q2112" s="2"/>
      <c r="R2112" s="2"/>
      <c r="S2112" s="2" t="s">
        <v>5819</v>
      </c>
      <c r="T2112" s="2">
        <v>29.2</v>
      </c>
      <c r="U2112" s="2" t="s">
        <v>29</v>
      </c>
      <c r="V2112" s="2" t="s">
        <v>157</v>
      </c>
      <c r="W2112" s="67" t="str">
        <f t="shared" si="164"/>
        <v>-</v>
      </c>
    </row>
    <row r="2113" spans="1:23" x14ac:dyDescent="0.3">
      <c r="A2113" s="4" t="s">
        <v>4706</v>
      </c>
      <c r="B2113" s="4" t="s">
        <v>369</v>
      </c>
      <c r="C2113" s="4">
        <v>9807295914</v>
      </c>
      <c r="D2113" s="4" t="s">
        <v>20</v>
      </c>
      <c r="E2113" s="4" t="s">
        <v>641</v>
      </c>
      <c r="F2113" s="4" t="s">
        <v>727</v>
      </c>
      <c r="G2113" s="4" t="s">
        <v>1735</v>
      </c>
      <c r="H2113" s="4" t="s">
        <v>4376</v>
      </c>
      <c r="I2113" s="2" t="str">
        <f t="shared" si="160"/>
        <v>Dec</v>
      </c>
      <c r="J2113" s="2">
        <f t="shared" si="161"/>
        <v>12</v>
      </c>
      <c r="K2113" s="2">
        <f t="shared" si="162"/>
        <v>2025</v>
      </c>
      <c r="L2113" s="2">
        <f t="shared" si="163"/>
        <v>4</v>
      </c>
      <c r="M2113" s="4">
        <v>6</v>
      </c>
      <c r="N2113" s="4" t="s">
        <v>4690</v>
      </c>
      <c r="O2113" s="4" t="s">
        <v>45</v>
      </c>
      <c r="P2113" s="5">
        <v>1413599</v>
      </c>
      <c r="Q2113" s="4"/>
      <c r="R2113" s="4"/>
      <c r="S2113" s="4" t="s">
        <v>5574</v>
      </c>
      <c r="T2113" s="4">
        <v>30.7</v>
      </c>
      <c r="U2113" s="4" t="s">
        <v>47</v>
      </c>
      <c r="V2113" s="4" t="s">
        <v>183</v>
      </c>
      <c r="W2113" s="67" t="str">
        <f t="shared" si="164"/>
        <v>-</v>
      </c>
    </row>
    <row r="2114" spans="1:23" x14ac:dyDescent="0.3">
      <c r="A2114" s="2" t="s">
        <v>4707</v>
      </c>
      <c r="B2114" s="2" t="s">
        <v>273</v>
      </c>
      <c r="C2114" s="2">
        <v>9341751856</v>
      </c>
      <c r="D2114" s="2" t="s">
        <v>59</v>
      </c>
      <c r="E2114" s="2" t="s">
        <v>1632</v>
      </c>
      <c r="F2114" s="2" t="s">
        <v>1633</v>
      </c>
      <c r="G2114" s="2" t="s">
        <v>643</v>
      </c>
      <c r="H2114" s="2" t="s">
        <v>4376</v>
      </c>
      <c r="I2114" s="2" t="str">
        <f t="shared" ref="I2114:I2177" si="165">TEXT(H2114,"mmm")</f>
        <v>Dec</v>
      </c>
      <c r="J2114" s="2">
        <f t="shared" ref="J2114:J2177" si="166">MONTH(H2114)</f>
        <v>12</v>
      </c>
      <c r="K2114" s="2">
        <f t="shared" ref="K2114:K2177" si="167">YEAR(H2114)</f>
        <v>2025</v>
      </c>
      <c r="L2114" s="2">
        <f t="shared" ref="L2114:L2177" si="168">ROUNDUP(MONTH(H2114)/3,0)</f>
        <v>4</v>
      </c>
      <c r="M2114" s="2">
        <v>6</v>
      </c>
      <c r="N2114" s="2" t="s">
        <v>4666</v>
      </c>
      <c r="O2114" s="2" t="s">
        <v>27</v>
      </c>
      <c r="P2114" s="3">
        <v>911146</v>
      </c>
      <c r="Q2114" s="2"/>
      <c r="R2114" s="2"/>
      <c r="S2114" s="2" t="s">
        <v>5574</v>
      </c>
      <c r="T2114" s="2">
        <v>23.5</v>
      </c>
      <c r="U2114" s="2" t="s">
        <v>29</v>
      </c>
      <c r="V2114" s="2" t="s">
        <v>118</v>
      </c>
      <c r="W2114" s="67" t="str">
        <f t="shared" ref="W2114:W2177" si="169">IF($O2114&lt;&gt;"Converted","-",IF(ISNUMBER(SEARCH("Architect",$F2114)),"Architect","Customer"))</f>
        <v>-</v>
      </c>
    </row>
    <row r="2115" spans="1:23" x14ac:dyDescent="0.3">
      <c r="A2115" s="6" t="s">
        <v>4708</v>
      </c>
      <c r="B2115" s="6" t="s">
        <v>2931</v>
      </c>
      <c r="C2115" s="6">
        <v>9582364498</v>
      </c>
      <c r="D2115" s="6" t="s">
        <v>59</v>
      </c>
      <c r="E2115" s="6" t="s">
        <v>1632</v>
      </c>
      <c r="F2115" s="6" t="s">
        <v>1633</v>
      </c>
      <c r="G2115" s="6" t="s">
        <v>52</v>
      </c>
      <c r="H2115" s="6" t="s">
        <v>4376</v>
      </c>
      <c r="I2115" s="2" t="str">
        <f t="shared" si="165"/>
        <v>Dec</v>
      </c>
      <c r="J2115" s="2">
        <f t="shared" si="166"/>
        <v>12</v>
      </c>
      <c r="K2115" s="2">
        <f t="shared" si="167"/>
        <v>2025</v>
      </c>
      <c r="L2115" s="2">
        <f t="shared" si="168"/>
        <v>4</v>
      </c>
      <c r="M2115" s="6">
        <v>0</v>
      </c>
      <c r="N2115" s="6" t="s">
        <v>4565</v>
      </c>
      <c r="O2115" s="6" t="s">
        <v>97</v>
      </c>
      <c r="P2115" s="7">
        <v>473450</v>
      </c>
      <c r="Q2115" s="7">
        <v>464432</v>
      </c>
      <c r="R2115" s="6" t="s">
        <v>4385</v>
      </c>
      <c r="S2115" s="6" t="s">
        <v>5574</v>
      </c>
      <c r="T2115" s="6">
        <v>35.799999999999997</v>
      </c>
      <c r="U2115" s="6" t="s">
        <v>47</v>
      </c>
      <c r="V2115" s="6" t="s">
        <v>113</v>
      </c>
      <c r="W2115" s="67" t="str">
        <f t="shared" si="169"/>
        <v>Customer</v>
      </c>
    </row>
    <row r="2116" spans="1:23" x14ac:dyDescent="0.3">
      <c r="A2116" s="2" t="s">
        <v>4709</v>
      </c>
      <c r="B2116" s="2" t="s">
        <v>3231</v>
      </c>
      <c r="C2116" s="2">
        <v>9590215966</v>
      </c>
      <c r="D2116" s="2" t="s">
        <v>20</v>
      </c>
      <c r="E2116" s="2" t="s">
        <v>1632</v>
      </c>
      <c r="F2116" s="2" t="s">
        <v>1633</v>
      </c>
      <c r="G2116" s="2" t="s">
        <v>1599</v>
      </c>
      <c r="H2116" s="2" t="s">
        <v>4376</v>
      </c>
      <c r="I2116" s="2" t="str">
        <f t="shared" si="165"/>
        <v>Dec</v>
      </c>
      <c r="J2116" s="2">
        <f t="shared" si="166"/>
        <v>12</v>
      </c>
      <c r="K2116" s="2">
        <f t="shared" si="167"/>
        <v>2025</v>
      </c>
      <c r="L2116" s="2">
        <f t="shared" si="168"/>
        <v>4</v>
      </c>
      <c r="M2116" s="2">
        <v>9</v>
      </c>
      <c r="N2116" s="2" t="s">
        <v>4696</v>
      </c>
      <c r="O2116" s="2" t="s">
        <v>45</v>
      </c>
      <c r="P2116" s="3">
        <v>939791</v>
      </c>
      <c r="Q2116" s="2"/>
      <c r="R2116" s="2"/>
      <c r="S2116" s="2" t="s">
        <v>5574</v>
      </c>
      <c r="T2116" s="2">
        <v>28</v>
      </c>
      <c r="U2116" s="2" t="s">
        <v>63</v>
      </c>
      <c r="V2116" s="2" t="s">
        <v>535</v>
      </c>
      <c r="W2116" s="67" t="str">
        <f t="shared" si="169"/>
        <v>-</v>
      </c>
    </row>
    <row r="2117" spans="1:23" x14ac:dyDescent="0.3">
      <c r="A2117" s="4" t="s">
        <v>4710</v>
      </c>
      <c r="B2117" s="4" t="s">
        <v>1985</v>
      </c>
      <c r="C2117" s="4">
        <v>9911038241</v>
      </c>
      <c r="D2117" s="4" t="s">
        <v>59</v>
      </c>
      <c r="E2117" s="4" t="s">
        <v>109</v>
      </c>
      <c r="F2117" s="4" t="s">
        <v>110</v>
      </c>
      <c r="G2117" s="4" t="s">
        <v>23</v>
      </c>
      <c r="H2117" s="4" t="s">
        <v>4376</v>
      </c>
      <c r="I2117" s="2" t="str">
        <f t="shared" si="165"/>
        <v>Dec</v>
      </c>
      <c r="J2117" s="2">
        <f t="shared" si="166"/>
        <v>12</v>
      </c>
      <c r="K2117" s="2">
        <f t="shared" si="167"/>
        <v>2025</v>
      </c>
      <c r="L2117" s="2">
        <f t="shared" si="168"/>
        <v>4</v>
      </c>
      <c r="M2117" s="4">
        <v>5</v>
      </c>
      <c r="N2117" s="4" t="s">
        <v>4711</v>
      </c>
      <c r="O2117" s="4" t="s">
        <v>45</v>
      </c>
      <c r="P2117" s="5">
        <v>655346</v>
      </c>
      <c r="Q2117" s="4"/>
      <c r="R2117" s="4"/>
      <c r="S2117" s="4" t="s">
        <v>5573</v>
      </c>
      <c r="T2117" s="4">
        <v>22.2</v>
      </c>
      <c r="U2117" s="4" t="s">
        <v>63</v>
      </c>
      <c r="V2117" s="4" t="s">
        <v>221</v>
      </c>
      <c r="W2117" s="67" t="str">
        <f t="shared" si="169"/>
        <v>-</v>
      </c>
    </row>
    <row r="2118" spans="1:23" x14ac:dyDescent="0.3">
      <c r="A2118" s="2" t="s">
        <v>4712</v>
      </c>
      <c r="B2118" s="2" t="s">
        <v>3493</v>
      </c>
      <c r="C2118" s="2">
        <v>9952118216</v>
      </c>
      <c r="D2118" s="2" t="s">
        <v>121</v>
      </c>
      <c r="E2118" s="2" t="s">
        <v>41</v>
      </c>
      <c r="F2118" s="2" t="s">
        <v>92</v>
      </c>
      <c r="G2118" s="2" t="s">
        <v>1609</v>
      </c>
      <c r="H2118" s="2" t="s">
        <v>4404</v>
      </c>
      <c r="I2118" s="2" t="str">
        <f t="shared" si="165"/>
        <v>Dec</v>
      </c>
      <c r="J2118" s="2">
        <f t="shared" si="166"/>
        <v>12</v>
      </c>
      <c r="K2118" s="2">
        <f t="shared" si="167"/>
        <v>2025</v>
      </c>
      <c r="L2118" s="2">
        <f t="shared" si="168"/>
        <v>4</v>
      </c>
      <c r="M2118" s="2">
        <v>8</v>
      </c>
      <c r="N2118" s="2" t="s">
        <v>4713</v>
      </c>
      <c r="O2118" s="2" t="s">
        <v>45</v>
      </c>
      <c r="P2118" s="3">
        <v>509322</v>
      </c>
      <c r="Q2118" s="2"/>
      <c r="R2118" s="2"/>
      <c r="S2118" s="2" t="s">
        <v>5574</v>
      </c>
      <c r="T2118" s="2">
        <v>11.8</v>
      </c>
      <c r="U2118" s="2" t="s">
        <v>63</v>
      </c>
      <c r="V2118" s="2" t="s">
        <v>260</v>
      </c>
      <c r="W2118" s="67" t="str">
        <f t="shared" si="169"/>
        <v>-</v>
      </c>
    </row>
    <row r="2119" spans="1:23" x14ac:dyDescent="0.3">
      <c r="A2119" s="4" t="s">
        <v>4714</v>
      </c>
      <c r="B2119" s="4" t="s">
        <v>3588</v>
      </c>
      <c r="C2119" s="4">
        <v>9186216758</v>
      </c>
      <c r="D2119" s="4" t="s">
        <v>59</v>
      </c>
      <c r="E2119" s="4" t="s">
        <v>1632</v>
      </c>
      <c r="F2119" s="4" t="s">
        <v>1849</v>
      </c>
      <c r="G2119" s="4" t="s">
        <v>3302</v>
      </c>
      <c r="H2119" s="4" t="s">
        <v>4404</v>
      </c>
      <c r="I2119" s="2" t="str">
        <f t="shared" si="165"/>
        <v>Dec</v>
      </c>
      <c r="J2119" s="2">
        <f t="shared" si="166"/>
        <v>12</v>
      </c>
      <c r="K2119" s="2">
        <f t="shared" si="167"/>
        <v>2025</v>
      </c>
      <c r="L2119" s="2">
        <f t="shared" si="168"/>
        <v>4</v>
      </c>
      <c r="M2119" s="4">
        <v>8</v>
      </c>
      <c r="N2119" s="4" t="s">
        <v>4715</v>
      </c>
      <c r="O2119" s="4" t="s">
        <v>45</v>
      </c>
      <c r="P2119" s="5">
        <v>2178789</v>
      </c>
      <c r="Q2119" s="4"/>
      <c r="R2119" s="4"/>
      <c r="S2119" s="4" t="s">
        <v>5573</v>
      </c>
      <c r="T2119" s="4">
        <v>31.6</v>
      </c>
      <c r="U2119" s="4" t="s">
        <v>47</v>
      </c>
      <c r="V2119" s="4" t="s">
        <v>302</v>
      </c>
      <c r="W2119" s="67" t="str">
        <f t="shared" si="169"/>
        <v>-</v>
      </c>
    </row>
    <row r="2120" spans="1:23" x14ac:dyDescent="0.3">
      <c r="A2120" s="2" t="s">
        <v>4716</v>
      </c>
      <c r="B2120" s="2" t="s">
        <v>4717</v>
      </c>
      <c r="C2120" s="2">
        <v>9675205157</v>
      </c>
      <c r="D2120" s="2" t="s">
        <v>108</v>
      </c>
      <c r="E2120" s="2" t="s">
        <v>1632</v>
      </c>
      <c r="F2120" s="2" t="s">
        <v>1633</v>
      </c>
      <c r="G2120" s="2" t="s">
        <v>87</v>
      </c>
      <c r="H2120" s="2" t="s">
        <v>4445</v>
      </c>
      <c r="I2120" s="2" t="str">
        <f t="shared" si="165"/>
        <v>Dec</v>
      </c>
      <c r="J2120" s="2">
        <f t="shared" si="166"/>
        <v>12</v>
      </c>
      <c r="K2120" s="2">
        <f t="shared" si="167"/>
        <v>2025</v>
      </c>
      <c r="L2120" s="2">
        <f t="shared" si="168"/>
        <v>4</v>
      </c>
      <c r="M2120" s="2">
        <v>12</v>
      </c>
      <c r="N2120" s="2" t="s">
        <v>4719</v>
      </c>
      <c r="O2120" s="2" t="s">
        <v>27</v>
      </c>
      <c r="P2120" s="3">
        <v>234917</v>
      </c>
      <c r="Q2120" s="2"/>
      <c r="R2120" s="2"/>
      <c r="S2120" s="2" t="s">
        <v>5574</v>
      </c>
      <c r="T2120" s="2">
        <v>12.1</v>
      </c>
      <c r="U2120" s="2" t="s">
        <v>47</v>
      </c>
      <c r="V2120" s="2" t="s">
        <v>163</v>
      </c>
      <c r="W2120" s="67" t="str">
        <f t="shared" si="169"/>
        <v>-</v>
      </c>
    </row>
    <row r="2121" spans="1:23" x14ac:dyDescent="0.3">
      <c r="A2121" s="4" t="s">
        <v>4720</v>
      </c>
      <c r="B2121" s="4" t="s">
        <v>4721</v>
      </c>
      <c r="C2121" s="4">
        <v>9800447749</v>
      </c>
      <c r="D2121" s="4" t="s">
        <v>20</v>
      </c>
      <c r="E2121" s="4" t="s">
        <v>73</v>
      </c>
      <c r="F2121" s="4" t="s">
        <v>74</v>
      </c>
      <c r="G2121" s="4" t="s">
        <v>23</v>
      </c>
      <c r="H2121" s="4" t="s">
        <v>4445</v>
      </c>
      <c r="I2121" s="2" t="str">
        <f t="shared" si="165"/>
        <v>Dec</v>
      </c>
      <c r="J2121" s="2">
        <f t="shared" si="166"/>
        <v>12</v>
      </c>
      <c r="K2121" s="2">
        <f t="shared" si="167"/>
        <v>2025</v>
      </c>
      <c r="L2121" s="2">
        <f t="shared" si="168"/>
        <v>4</v>
      </c>
      <c r="M2121" s="4">
        <v>3</v>
      </c>
      <c r="N2121" s="4" t="s">
        <v>4427</v>
      </c>
      <c r="O2121" s="4" t="s">
        <v>55</v>
      </c>
      <c r="P2121" s="5">
        <v>625220</v>
      </c>
      <c r="Q2121" s="4"/>
      <c r="R2121" s="4"/>
      <c r="S2121" s="4" t="s">
        <v>5574</v>
      </c>
      <c r="T2121" s="4">
        <v>27.4</v>
      </c>
      <c r="U2121" s="4" t="s">
        <v>29</v>
      </c>
      <c r="V2121" s="4" t="s">
        <v>83</v>
      </c>
      <c r="W2121" s="67" t="str">
        <f t="shared" si="169"/>
        <v>-</v>
      </c>
    </row>
    <row r="2122" spans="1:23" x14ac:dyDescent="0.3">
      <c r="A2122" s="2" t="s">
        <v>4722</v>
      </c>
      <c r="B2122" s="2" t="s">
        <v>4177</v>
      </c>
      <c r="C2122" s="2">
        <v>9511160252</v>
      </c>
      <c r="D2122" s="2" t="s">
        <v>121</v>
      </c>
      <c r="E2122" s="2" t="s">
        <v>41</v>
      </c>
      <c r="F2122" s="2" t="s">
        <v>92</v>
      </c>
      <c r="G2122" s="2" t="s">
        <v>87</v>
      </c>
      <c r="H2122" s="2" t="s">
        <v>4445</v>
      </c>
      <c r="I2122" s="2" t="str">
        <f t="shared" si="165"/>
        <v>Dec</v>
      </c>
      <c r="J2122" s="2">
        <f t="shared" si="166"/>
        <v>12</v>
      </c>
      <c r="K2122" s="2">
        <f t="shared" si="167"/>
        <v>2025</v>
      </c>
      <c r="L2122" s="2">
        <f t="shared" si="168"/>
        <v>4</v>
      </c>
      <c r="M2122" s="2">
        <v>10</v>
      </c>
      <c r="N2122" s="2" t="s">
        <v>4615</v>
      </c>
      <c r="O2122" s="2" t="s">
        <v>55</v>
      </c>
      <c r="P2122" s="3">
        <v>265005</v>
      </c>
      <c r="Q2122" s="2"/>
      <c r="R2122" s="2"/>
      <c r="S2122" s="2" t="s">
        <v>5573</v>
      </c>
      <c r="T2122" s="2">
        <v>28.7</v>
      </c>
      <c r="U2122" s="2" t="s">
        <v>29</v>
      </c>
      <c r="V2122" s="2" t="s">
        <v>206</v>
      </c>
      <c r="W2122" s="67" t="str">
        <f t="shared" si="169"/>
        <v>-</v>
      </c>
    </row>
    <row r="2123" spans="1:23" x14ac:dyDescent="0.3">
      <c r="A2123" s="4" t="s">
        <v>4723</v>
      </c>
      <c r="B2123" s="4" t="s">
        <v>1090</v>
      </c>
      <c r="C2123" s="4">
        <v>9949485495</v>
      </c>
      <c r="D2123" s="4" t="s">
        <v>20</v>
      </c>
      <c r="E2123" s="4" t="s">
        <v>109</v>
      </c>
      <c r="F2123" s="4" t="s">
        <v>217</v>
      </c>
      <c r="G2123" s="4" t="s">
        <v>643</v>
      </c>
      <c r="H2123" s="4" t="s">
        <v>4445</v>
      </c>
      <c r="I2123" s="2" t="str">
        <f t="shared" si="165"/>
        <v>Dec</v>
      </c>
      <c r="J2123" s="2">
        <f t="shared" si="166"/>
        <v>12</v>
      </c>
      <c r="K2123" s="2">
        <f t="shared" si="167"/>
        <v>2025</v>
      </c>
      <c r="L2123" s="2">
        <f t="shared" si="168"/>
        <v>4</v>
      </c>
      <c r="M2123" s="4">
        <v>0</v>
      </c>
      <c r="N2123" s="4" t="s">
        <v>4459</v>
      </c>
      <c r="O2123" s="4" t="s">
        <v>27</v>
      </c>
      <c r="P2123" s="5">
        <v>942721</v>
      </c>
      <c r="Q2123" s="4"/>
      <c r="R2123" s="4"/>
      <c r="S2123" s="4" t="s">
        <v>5819</v>
      </c>
      <c r="T2123" s="4">
        <v>9.6</v>
      </c>
      <c r="U2123" s="4" t="s">
        <v>29</v>
      </c>
      <c r="V2123" s="4" t="s">
        <v>163</v>
      </c>
      <c r="W2123" s="67" t="str">
        <f t="shared" si="169"/>
        <v>-</v>
      </c>
    </row>
    <row r="2124" spans="1:23" x14ac:dyDescent="0.3">
      <c r="A2124" s="6" t="s">
        <v>4724</v>
      </c>
      <c r="B2124" s="6" t="s">
        <v>3493</v>
      </c>
      <c r="C2124" s="6">
        <v>9374907459</v>
      </c>
      <c r="D2124" s="6" t="s">
        <v>108</v>
      </c>
      <c r="E2124" s="6" t="s">
        <v>1632</v>
      </c>
      <c r="F2124" s="6" t="s">
        <v>1717</v>
      </c>
      <c r="G2124" s="6" t="s">
        <v>1735</v>
      </c>
      <c r="H2124" s="6" t="s">
        <v>4445</v>
      </c>
      <c r="I2124" s="2" t="str">
        <f t="shared" si="165"/>
        <v>Dec</v>
      </c>
      <c r="J2124" s="2">
        <f t="shared" si="166"/>
        <v>12</v>
      </c>
      <c r="K2124" s="2">
        <f t="shared" si="167"/>
        <v>2025</v>
      </c>
      <c r="L2124" s="2">
        <f t="shared" si="168"/>
        <v>4</v>
      </c>
      <c r="M2124" s="6">
        <v>10</v>
      </c>
      <c r="N2124" s="6" t="s">
        <v>4670</v>
      </c>
      <c r="O2124" s="6" t="s">
        <v>97</v>
      </c>
      <c r="P2124" s="7">
        <v>1993542</v>
      </c>
      <c r="Q2124" s="7">
        <v>1963462</v>
      </c>
      <c r="R2124" s="6" t="s">
        <v>4563</v>
      </c>
      <c r="S2124" s="6" t="s">
        <v>5819</v>
      </c>
      <c r="T2124" s="6">
        <v>7</v>
      </c>
      <c r="U2124" s="6" t="s">
        <v>63</v>
      </c>
      <c r="V2124" s="6"/>
      <c r="W2124" s="67" t="str">
        <f t="shared" si="169"/>
        <v>Customer</v>
      </c>
    </row>
    <row r="2125" spans="1:23" x14ac:dyDescent="0.3">
      <c r="A2125" s="6" t="s">
        <v>4725</v>
      </c>
      <c r="B2125" s="6" t="s">
        <v>4602</v>
      </c>
      <c r="C2125" s="6">
        <v>9135376739</v>
      </c>
      <c r="D2125" s="6" t="s">
        <v>20</v>
      </c>
      <c r="E2125" s="6" t="s">
        <v>648</v>
      </c>
      <c r="F2125" s="6" t="s">
        <v>649</v>
      </c>
      <c r="G2125" s="6" t="s">
        <v>69</v>
      </c>
      <c r="H2125" s="6" t="s">
        <v>4445</v>
      </c>
      <c r="I2125" s="2" t="str">
        <f t="shared" si="165"/>
        <v>Dec</v>
      </c>
      <c r="J2125" s="2">
        <f t="shared" si="166"/>
        <v>12</v>
      </c>
      <c r="K2125" s="2">
        <f t="shared" si="167"/>
        <v>2025</v>
      </c>
      <c r="L2125" s="2">
        <f t="shared" si="168"/>
        <v>4</v>
      </c>
      <c r="M2125" s="6">
        <v>8</v>
      </c>
      <c r="N2125" s="6" t="s">
        <v>4666</v>
      </c>
      <c r="O2125" s="6" t="s">
        <v>97</v>
      </c>
      <c r="P2125" s="7">
        <v>325741</v>
      </c>
      <c r="Q2125" s="7">
        <v>307677</v>
      </c>
      <c r="R2125" s="6" t="s">
        <v>4690</v>
      </c>
      <c r="S2125" s="6" t="s">
        <v>5573</v>
      </c>
      <c r="T2125" s="6">
        <v>34.5</v>
      </c>
      <c r="U2125" s="6" t="s">
        <v>63</v>
      </c>
      <c r="V2125" s="6" t="s">
        <v>341</v>
      </c>
      <c r="W2125" s="67" t="str">
        <f t="shared" si="169"/>
        <v>Customer</v>
      </c>
    </row>
    <row r="2126" spans="1:23" x14ac:dyDescent="0.3">
      <c r="A2126" s="2" t="s">
        <v>4726</v>
      </c>
      <c r="B2126" s="2" t="s">
        <v>473</v>
      </c>
      <c r="C2126" s="2">
        <v>9884029682</v>
      </c>
      <c r="D2126" s="2" t="s">
        <v>108</v>
      </c>
      <c r="E2126" s="2" t="s">
        <v>648</v>
      </c>
      <c r="F2126" s="2" t="s">
        <v>656</v>
      </c>
      <c r="G2126" s="2" t="s">
        <v>1623</v>
      </c>
      <c r="H2126" s="2" t="s">
        <v>4445</v>
      </c>
      <c r="I2126" s="2" t="str">
        <f t="shared" si="165"/>
        <v>Dec</v>
      </c>
      <c r="J2126" s="2">
        <f t="shared" si="166"/>
        <v>12</v>
      </c>
      <c r="K2126" s="2">
        <f t="shared" si="167"/>
        <v>2025</v>
      </c>
      <c r="L2126" s="2">
        <f t="shared" si="168"/>
        <v>4</v>
      </c>
      <c r="M2126" s="2">
        <v>7</v>
      </c>
      <c r="N2126" s="2" t="s">
        <v>4711</v>
      </c>
      <c r="O2126" s="2" t="s">
        <v>62</v>
      </c>
      <c r="P2126" s="3">
        <v>324405</v>
      </c>
      <c r="Q2126" s="2"/>
      <c r="R2126" s="2"/>
      <c r="S2126" s="2" t="s">
        <v>5574</v>
      </c>
      <c r="T2126" s="2">
        <v>12.2</v>
      </c>
      <c r="U2126" s="2" t="s">
        <v>47</v>
      </c>
      <c r="V2126" s="2" t="s">
        <v>174</v>
      </c>
      <c r="W2126" s="67" t="str">
        <f t="shared" si="169"/>
        <v>-</v>
      </c>
    </row>
    <row r="2127" spans="1:23" x14ac:dyDescent="0.3">
      <c r="A2127" s="4" t="s">
        <v>4727</v>
      </c>
      <c r="B2127" s="4" t="s">
        <v>4728</v>
      </c>
      <c r="C2127" s="4">
        <v>9455852271</v>
      </c>
      <c r="D2127" s="4" t="s">
        <v>59</v>
      </c>
      <c r="E2127" s="4" t="s">
        <v>33</v>
      </c>
      <c r="F2127" s="4" t="s">
        <v>102</v>
      </c>
      <c r="G2127" s="4" t="s">
        <v>1621</v>
      </c>
      <c r="H2127" s="4" t="s">
        <v>4429</v>
      </c>
      <c r="I2127" s="2" t="str">
        <f t="shared" si="165"/>
        <v>Dec</v>
      </c>
      <c r="J2127" s="2">
        <f t="shared" si="166"/>
        <v>12</v>
      </c>
      <c r="K2127" s="2">
        <f t="shared" si="167"/>
        <v>2025</v>
      </c>
      <c r="L2127" s="2">
        <f t="shared" si="168"/>
        <v>4</v>
      </c>
      <c r="M2127" s="4">
        <v>3</v>
      </c>
      <c r="N2127" s="4" t="s">
        <v>4670</v>
      </c>
      <c r="O2127" s="4" t="s">
        <v>62</v>
      </c>
      <c r="P2127" s="5">
        <v>602457</v>
      </c>
      <c r="Q2127" s="4"/>
      <c r="R2127" s="4"/>
      <c r="S2127" s="4" t="s">
        <v>5819</v>
      </c>
      <c r="T2127" s="4">
        <v>30.5</v>
      </c>
      <c r="U2127" s="4" t="s">
        <v>47</v>
      </c>
      <c r="V2127" s="4" t="s">
        <v>487</v>
      </c>
      <c r="W2127" s="67" t="str">
        <f t="shared" si="169"/>
        <v>-</v>
      </c>
    </row>
    <row r="2128" spans="1:23" x14ac:dyDescent="0.3">
      <c r="A2128" s="6" t="s">
        <v>4729</v>
      </c>
      <c r="B2128" s="6" t="s">
        <v>777</v>
      </c>
      <c r="C2128" s="6">
        <v>9178014472</v>
      </c>
      <c r="D2128" s="6" t="s">
        <v>59</v>
      </c>
      <c r="E2128" s="6" t="s">
        <v>41</v>
      </c>
      <c r="F2128" s="6" t="s">
        <v>86</v>
      </c>
      <c r="G2128" s="6" t="s">
        <v>3302</v>
      </c>
      <c r="H2128" s="6" t="s">
        <v>4565</v>
      </c>
      <c r="I2128" s="2" t="str">
        <f t="shared" si="165"/>
        <v>Dec</v>
      </c>
      <c r="J2128" s="2">
        <f t="shared" si="166"/>
        <v>12</v>
      </c>
      <c r="K2128" s="2">
        <f t="shared" si="167"/>
        <v>2025</v>
      </c>
      <c r="L2128" s="2">
        <f t="shared" si="168"/>
        <v>4</v>
      </c>
      <c r="M2128" s="6">
        <v>7</v>
      </c>
      <c r="N2128" s="6" t="s">
        <v>4730</v>
      </c>
      <c r="O2128" s="6" t="s">
        <v>97</v>
      </c>
      <c r="P2128" s="7">
        <v>2333741</v>
      </c>
      <c r="Q2128" s="7">
        <v>2386112</v>
      </c>
      <c r="R2128" s="6" t="s">
        <v>4731</v>
      </c>
      <c r="S2128" s="6" t="s">
        <v>5574</v>
      </c>
      <c r="T2128" s="6">
        <v>6.7</v>
      </c>
      <c r="U2128" s="6" t="s">
        <v>47</v>
      </c>
      <c r="V2128" s="6" t="s">
        <v>99</v>
      </c>
      <c r="W2128" s="67" t="str">
        <f t="shared" si="169"/>
        <v>Customer</v>
      </c>
    </row>
    <row r="2129" spans="1:23" x14ac:dyDescent="0.3">
      <c r="A2129" s="6" t="s">
        <v>4732</v>
      </c>
      <c r="B2129" s="6" t="s">
        <v>1618</v>
      </c>
      <c r="C2129" s="6">
        <v>9263564080</v>
      </c>
      <c r="D2129" s="6" t="s">
        <v>51</v>
      </c>
      <c r="E2129" s="6" t="s">
        <v>33</v>
      </c>
      <c r="F2129" s="6" t="s">
        <v>201</v>
      </c>
      <c r="G2129" s="6" t="s">
        <v>23</v>
      </c>
      <c r="H2129" s="6" t="s">
        <v>4565</v>
      </c>
      <c r="I2129" s="2" t="str">
        <f t="shared" si="165"/>
        <v>Dec</v>
      </c>
      <c r="J2129" s="2">
        <f t="shared" si="166"/>
        <v>12</v>
      </c>
      <c r="K2129" s="2">
        <f t="shared" si="167"/>
        <v>2025</v>
      </c>
      <c r="L2129" s="2">
        <f t="shared" si="168"/>
        <v>4</v>
      </c>
      <c r="M2129" s="6">
        <v>7</v>
      </c>
      <c r="N2129" s="6" t="s">
        <v>4659</v>
      </c>
      <c r="O2129" s="6" t="s">
        <v>97</v>
      </c>
      <c r="P2129" s="7">
        <v>473891</v>
      </c>
      <c r="Q2129" s="7">
        <v>425974</v>
      </c>
      <c r="R2129" s="6" t="s">
        <v>4733</v>
      </c>
      <c r="S2129" s="6" t="s">
        <v>5573</v>
      </c>
      <c r="T2129" s="6">
        <v>31.2</v>
      </c>
      <c r="U2129" s="6" t="s">
        <v>63</v>
      </c>
      <c r="V2129" s="6" t="s">
        <v>243</v>
      </c>
      <c r="W2129" s="67" t="str">
        <f t="shared" si="169"/>
        <v>Customer</v>
      </c>
    </row>
    <row r="2130" spans="1:23" x14ac:dyDescent="0.3">
      <c r="A2130" s="2" t="s">
        <v>4734</v>
      </c>
      <c r="B2130" s="2" t="s">
        <v>2788</v>
      </c>
      <c r="C2130" s="2">
        <v>9749016943</v>
      </c>
      <c r="D2130" s="2" t="s">
        <v>108</v>
      </c>
      <c r="E2130" s="2" t="s">
        <v>41</v>
      </c>
      <c r="F2130" s="2" t="s">
        <v>151</v>
      </c>
      <c r="G2130" s="2" t="s">
        <v>60</v>
      </c>
      <c r="H2130" s="2" t="s">
        <v>4565</v>
      </c>
      <c r="I2130" s="2" t="str">
        <f t="shared" si="165"/>
        <v>Dec</v>
      </c>
      <c r="J2130" s="2">
        <f t="shared" si="166"/>
        <v>12</v>
      </c>
      <c r="K2130" s="2">
        <f t="shared" si="167"/>
        <v>2025</v>
      </c>
      <c r="L2130" s="2">
        <f t="shared" si="168"/>
        <v>4</v>
      </c>
      <c r="M2130" s="2">
        <v>2</v>
      </c>
      <c r="N2130" s="2" t="s">
        <v>4511</v>
      </c>
      <c r="O2130" s="2" t="s">
        <v>27</v>
      </c>
      <c r="P2130" s="3">
        <v>124895</v>
      </c>
      <c r="Q2130" s="2"/>
      <c r="R2130" s="2"/>
      <c r="S2130" s="2" t="s">
        <v>5573</v>
      </c>
      <c r="T2130" s="2"/>
      <c r="U2130" s="2" t="s">
        <v>29</v>
      </c>
      <c r="V2130" s="2" t="s">
        <v>238</v>
      </c>
      <c r="W2130" s="67" t="str">
        <f t="shared" si="169"/>
        <v>-</v>
      </c>
    </row>
    <row r="2131" spans="1:23" x14ac:dyDescent="0.3">
      <c r="A2131" s="4" t="s">
        <v>4735</v>
      </c>
      <c r="B2131" s="4" t="s">
        <v>4736</v>
      </c>
      <c r="C2131" s="4">
        <v>9182838282</v>
      </c>
      <c r="D2131" s="4" t="s">
        <v>20</v>
      </c>
      <c r="E2131" s="4" t="s">
        <v>41</v>
      </c>
      <c r="F2131" s="4" t="s">
        <v>92</v>
      </c>
      <c r="G2131" s="4" t="s">
        <v>1599</v>
      </c>
      <c r="H2131" s="4" t="s">
        <v>4565</v>
      </c>
      <c r="I2131" s="2" t="str">
        <f t="shared" si="165"/>
        <v>Dec</v>
      </c>
      <c r="J2131" s="2">
        <f t="shared" si="166"/>
        <v>12</v>
      </c>
      <c r="K2131" s="2">
        <f t="shared" si="167"/>
        <v>2025</v>
      </c>
      <c r="L2131" s="2">
        <f t="shared" si="168"/>
        <v>4</v>
      </c>
      <c r="M2131" s="4">
        <v>10</v>
      </c>
      <c r="N2131" s="4" t="s">
        <v>4556</v>
      </c>
      <c r="O2131" s="4" t="s">
        <v>45</v>
      </c>
      <c r="P2131" s="5">
        <v>898408</v>
      </c>
      <c r="Q2131" s="4"/>
      <c r="R2131" s="4"/>
      <c r="S2131" s="4" t="s">
        <v>5819</v>
      </c>
      <c r="T2131" s="4">
        <v>22.8</v>
      </c>
      <c r="U2131" s="4" t="s">
        <v>47</v>
      </c>
      <c r="V2131" s="4"/>
      <c r="W2131" s="67" t="str">
        <f t="shared" si="169"/>
        <v>-</v>
      </c>
    </row>
    <row r="2132" spans="1:23" x14ac:dyDescent="0.3">
      <c r="A2132" s="2" t="s">
        <v>4737</v>
      </c>
      <c r="B2132" s="2" t="s">
        <v>3550</v>
      </c>
      <c r="C2132" s="2">
        <v>9674349885</v>
      </c>
      <c r="D2132" s="2" t="s">
        <v>20</v>
      </c>
      <c r="E2132" s="2" t="s">
        <v>73</v>
      </c>
      <c r="F2132" s="2" t="s">
        <v>74</v>
      </c>
      <c r="G2132" s="2" t="s">
        <v>1609</v>
      </c>
      <c r="H2132" s="2" t="s">
        <v>4718</v>
      </c>
      <c r="I2132" s="2" t="str">
        <f t="shared" si="165"/>
        <v>Dec</v>
      </c>
      <c r="J2132" s="2">
        <f t="shared" si="166"/>
        <v>12</v>
      </c>
      <c r="K2132" s="2">
        <f t="shared" si="167"/>
        <v>2025</v>
      </c>
      <c r="L2132" s="2">
        <f t="shared" si="168"/>
        <v>4</v>
      </c>
      <c r="M2132" s="2">
        <v>9</v>
      </c>
      <c r="N2132" s="2" t="s">
        <v>4738</v>
      </c>
      <c r="O2132" s="2" t="s">
        <v>45</v>
      </c>
      <c r="P2132" s="3">
        <v>502827</v>
      </c>
      <c r="Q2132" s="2"/>
      <c r="R2132" s="2"/>
      <c r="S2132" s="2" t="s">
        <v>5819</v>
      </c>
      <c r="T2132" s="2">
        <v>36</v>
      </c>
      <c r="U2132" s="2" t="s">
        <v>29</v>
      </c>
      <c r="V2132" s="2" t="s">
        <v>805</v>
      </c>
      <c r="W2132" s="67" t="str">
        <f t="shared" si="169"/>
        <v>-</v>
      </c>
    </row>
    <row r="2133" spans="1:23" x14ac:dyDescent="0.3">
      <c r="A2133" s="6" t="s">
        <v>4739</v>
      </c>
      <c r="B2133" s="6" t="s">
        <v>4032</v>
      </c>
      <c r="C2133" s="6">
        <v>9689950582</v>
      </c>
      <c r="D2133" s="6" t="s">
        <v>121</v>
      </c>
      <c r="E2133" s="6" t="s">
        <v>67</v>
      </c>
      <c r="F2133" s="6" t="s">
        <v>80</v>
      </c>
      <c r="G2133" s="6" t="s">
        <v>35</v>
      </c>
      <c r="H2133" s="6" t="s">
        <v>4549</v>
      </c>
      <c r="I2133" s="2" t="str">
        <f t="shared" si="165"/>
        <v>Dec</v>
      </c>
      <c r="J2133" s="2">
        <f t="shared" si="166"/>
        <v>12</v>
      </c>
      <c r="K2133" s="2">
        <f t="shared" si="167"/>
        <v>2025</v>
      </c>
      <c r="L2133" s="2">
        <f t="shared" si="168"/>
        <v>4</v>
      </c>
      <c r="M2133" s="6">
        <v>2</v>
      </c>
      <c r="N2133" s="6" t="s">
        <v>4511</v>
      </c>
      <c r="O2133" s="6" t="s">
        <v>97</v>
      </c>
      <c r="P2133" s="7">
        <v>108672</v>
      </c>
      <c r="Q2133" s="7">
        <v>106478</v>
      </c>
      <c r="R2133" s="6" t="s">
        <v>4740</v>
      </c>
      <c r="S2133" s="6" t="s">
        <v>5574</v>
      </c>
      <c r="T2133" s="6">
        <v>35.9</v>
      </c>
      <c r="U2133" s="6" t="s">
        <v>63</v>
      </c>
      <c r="V2133" s="6" t="s">
        <v>907</v>
      </c>
      <c r="W2133" s="67" t="str">
        <f t="shared" si="169"/>
        <v>Customer</v>
      </c>
    </row>
    <row r="2134" spans="1:23" x14ac:dyDescent="0.3">
      <c r="A2134" s="6" t="s">
        <v>4741</v>
      </c>
      <c r="B2134" s="6" t="s">
        <v>3519</v>
      </c>
      <c r="C2134" s="6">
        <v>9401253001</v>
      </c>
      <c r="D2134" s="6" t="s">
        <v>59</v>
      </c>
      <c r="E2134" s="6" t="s">
        <v>1632</v>
      </c>
      <c r="F2134" s="6" t="s">
        <v>1682</v>
      </c>
      <c r="G2134" s="6" t="s">
        <v>23</v>
      </c>
      <c r="H2134" s="6" t="s">
        <v>4630</v>
      </c>
      <c r="I2134" s="2" t="str">
        <f t="shared" si="165"/>
        <v>Dec</v>
      </c>
      <c r="J2134" s="2">
        <f t="shared" si="166"/>
        <v>12</v>
      </c>
      <c r="K2134" s="2">
        <f t="shared" si="167"/>
        <v>2025</v>
      </c>
      <c r="L2134" s="2">
        <f t="shared" si="168"/>
        <v>4</v>
      </c>
      <c r="M2134" s="6">
        <v>2</v>
      </c>
      <c r="N2134" s="6" t="s">
        <v>4558</v>
      </c>
      <c r="O2134" s="6" t="s">
        <v>97</v>
      </c>
      <c r="P2134" s="7">
        <v>559512</v>
      </c>
      <c r="Q2134" s="7">
        <v>526610</v>
      </c>
      <c r="R2134" s="6" t="s">
        <v>4742</v>
      </c>
      <c r="S2134" s="6" t="s">
        <v>5819</v>
      </c>
      <c r="T2134" s="6">
        <v>12.7</v>
      </c>
      <c r="U2134" s="6" t="s">
        <v>63</v>
      </c>
      <c r="V2134" s="6" t="s">
        <v>907</v>
      </c>
      <c r="W2134" s="67" t="str">
        <f t="shared" si="169"/>
        <v>Customer</v>
      </c>
    </row>
    <row r="2135" spans="1:23" x14ac:dyDescent="0.3">
      <c r="A2135" s="4" t="s">
        <v>4743</v>
      </c>
      <c r="B2135" s="4" t="s">
        <v>4744</v>
      </c>
      <c r="C2135" s="4">
        <v>9422872613</v>
      </c>
      <c r="D2135" s="4" t="s">
        <v>59</v>
      </c>
      <c r="E2135" s="4" t="s">
        <v>109</v>
      </c>
      <c r="F2135" s="4" t="s">
        <v>331</v>
      </c>
      <c r="G2135" s="4" t="s">
        <v>52</v>
      </c>
      <c r="H2135" s="4" t="s">
        <v>4630</v>
      </c>
      <c r="I2135" s="2" t="str">
        <f t="shared" si="165"/>
        <v>Dec</v>
      </c>
      <c r="J2135" s="2">
        <f t="shared" si="166"/>
        <v>12</v>
      </c>
      <c r="K2135" s="2">
        <f t="shared" si="167"/>
        <v>2025</v>
      </c>
      <c r="L2135" s="2">
        <f t="shared" si="168"/>
        <v>4</v>
      </c>
      <c r="M2135" s="4">
        <v>5</v>
      </c>
      <c r="N2135" s="4" t="s">
        <v>4730</v>
      </c>
      <c r="O2135" s="4" t="s">
        <v>45</v>
      </c>
      <c r="P2135" s="5">
        <v>427418</v>
      </c>
      <c r="Q2135" s="4"/>
      <c r="R2135" s="4"/>
      <c r="S2135" s="4" t="s">
        <v>5573</v>
      </c>
      <c r="T2135" s="4">
        <v>12.7</v>
      </c>
      <c r="U2135" s="4" t="s">
        <v>29</v>
      </c>
      <c r="V2135" s="4" t="s">
        <v>187</v>
      </c>
      <c r="W2135" s="67" t="str">
        <f t="shared" si="169"/>
        <v>-</v>
      </c>
    </row>
    <row r="2136" spans="1:23" x14ac:dyDescent="0.3">
      <c r="A2136" s="2" t="s">
        <v>4745</v>
      </c>
      <c r="B2136" s="2" t="s">
        <v>924</v>
      </c>
      <c r="C2136" s="2">
        <v>9576510258</v>
      </c>
      <c r="D2136" s="2" t="s">
        <v>59</v>
      </c>
      <c r="E2136" s="2" t="s">
        <v>67</v>
      </c>
      <c r="F2136" s="2" t="s">
        <v>80</v>
      </c>
      <c r="G2136" s="2" t="s">
        <v>1599</v>
      </c>
      <c r="H2136" s="2" t="s">
        <v>4377</v>
      </c>
      <c r="I2136" s="2" t="str">
        <f t="shared" si="165"/>
        <v>Dec</v>
      </c>
      <c r="J2136" s="2">
        <f t="shared" si="166"/>
        <v>12</v>
      </c>
      <c r="K2136" s="2">
        <f t="shared" si="167"/>
        <v>2025</v>
      </c>
      <c r="L2136" s="2">
        <f t="shared" si="168"/>
        <v>4</v>
      </c>
      <c r="M2136" s="2">
        <v>10</v>
      </c>
      <c r="N2136" s="2" t="s">
        <v>4713</v>
      </c>
      <c r="O2136" s="2" t="s">
        <v>27</v>
      </c>
      <c r="P2136" s="3">
        <v>792550</v>
      </c>
      <c r="Q2136" s="2"/>
      <c r="R2136" s="2"/>
      <c r="S2136" s="2" t="s">
        <v>5573</v>
      </c>
      <c r="T2136" s="2">
        <v>23.4</v>
      </c>
      <c r="U2136" s="2" t="s">
        <v>29</v>
      </c>
      <c r="V2136" s="2" t="s">
        <v>123</v>
      </c>
      <c r="W2136" s="67" t="str">
        <f t="shared" si="169"/>
        <v>-</v>
      </c>
    </row>
    <row r="2137" spans="1:23" x14ac:dyDescent="0.3">
      <c r="A2137" s="4" t="s">
        <v>4746</v>
      </c>
      <c r="B2137" s="4" t="s">
        <v>501</v>
      </c>
      <c r="C2137" s="4">
        <v>9390088459</v>
      </c>
      <c r="D2137" s="4" t="s">
        <v>108</v>
      </c>
      <c r="E2137" s="4" t="s">
        <v>41</v>
      </c>
      <c r="F2137" s="4" t="s">
        <v>151</v>
      </c>
      <c r="G2137" s="4" t="s">
        <v>616</v>
      </c>
      <c r="H2137" s="4" t="s">
        <v>4377</v>
      </c>
      <c r="I2137" s="2" t="str">
        <f t="shared" si="165"/>
        <v>Dec</v>
      </c>
      <c r="J2137" s="2">
        <f t="shared" si="166"/>
        <v>12</v>
      </c>
      <c r="K2137" s="2">
        <f t="shared" si="167"/>
        <v>2025</v>
      </c>
      <c r="L2137" s="2">
        <f t="shared" si="168"/>
        <v>4</v>
      </c>
      <c r="M2137" s="4">
        <v>9</v>
      </c>
      <c r="N2137" s="4" t="s">
        <v>4747</v>
      </c>
      <c r="O2137" s="4" t="s">
        <v>45</v>
      </c>
      <c r="P2137" s="5">
        <v>383161</v>
      </c>
      <c r="Q2137" s="4"/>
      <c r="R2137" s="4"/>
      <c r="S2137" s="4" t="s">
        <v>5573</v>
      </c>
      <c r="T2137" s="4">
        <v>10</v>
      </c>
      <c r="U2137" s="4" t="s">
        <v>47</v>
      </c>
      <c r="V2137" s="4" t="s">
        <v>174</v>
      </c>
      <c r="W2137" s="67" t="str">
        <f t="shared" si="169"/>
        <v>-</v>
      </c>
    </row>
    <row r="2138" spans="1:23" x14ac:dyDescent="0.3">
      <c r="A2138" s="2" t="s">
        <v>4748</v>
      </c>
      <c r="B2138" s="2" t="s">
        <v>4749</v>
      </c>
      <c r="C2138" s="2">
        <v>9617192754</v>
      </c>
      <c r="D2138" s="2" t="s">
        <v>20</v>
      </c>
      <c r="E2138" s="2" t="s">
        <v>1632</v>
      </c>
      <c r="F2138" s="2" t="s">
        <v>1694</v>
      </c>
      <c r="G2138" s="2" t="s">
        <v>1621</v>
      </c>
      <c r="H2138" s="2" t="s">
        <v>4377</v>
      </c>
      <c r="I2138" s="2" t="str">
        <f t="shared" si="165"/>
        <v>Dec</v>
      </c>
      <c r="J2138" s="2">
        <f t="shared" si="166"/>
        <v>12</v>
      </c>
      <c r="K2138" s="2">
        <f t="shared" si="167"/>
        <v>2025</v>
      </c>
      <c r="L2138" s="2">
        <f t="shared" si="168"/>
        <v>4</v>
      </c>
      <c r="M2138" s="2">
        <v>1</v>
      </c>
      <c r="N2138" s="2" t="s">
        <v>4339</v>
      </c>
      <c r="O2138" s="2" t="s">
        <v>27</v>
      </c>
      <c r="P2138" s="3">
        <v>414147</v>
      </c>
      <c r="Q2138" s="2"/>
      <c r="R2138" s="2"/>
      <c r="S2138" s="2" t="s">
        <v>5574</v>
      </c>
      <c r="T2138" s="2">
        <v>4.0999999999999996</v>
      </c>
      <c r="U2138" s="2" t="s">
        <v>29</v>
      </c>
      <c r="V2138" s="2" t="s">
        <v>30</v>
      </c>
      <c r="W2138" s="67" t="str">
        <f t="shared" si="169"/>
        <v>-</v>
      </c>
    </row>
    <row r="2139" spans="1:23" x14ac:dyDescent="0.3">
      <c r="A2139" s="4" t="s">
        <v>4750</v>
      </c>
      <c r="B2139" s="4" t="s">
        <v>229</v>
      </c>
      <c r="C2139" s="4">
        <v>9767790156</v>
      </c>
      <c r="D2139" s="4" t="s">
        <v>59</v>
      </c>
      <c r="E2139" s="4" t="s">
        <v>1632</v>
      </c>
      <c r="F2139" s="4" t="s">
        <v>1659</v>
      </c>
      <c r="G2139" s="4" t="s">
        <v>1621</v>
      </c>
      <c r="H2139" s="4" t="s">
        <v>4377</v>
      </c>
      <c r="I2139" s="2" t="str">
        <f t="shared" si="165"/>
        <v>Dec</v>
      </c>
      <c r="J2139" s="2">
        <f t="shared" si="166"/>
        <v>12</v>
      </c>
      <c r="K2139" s="2">
        <f t="shared" si="167"/>
        <v>2025</v>
      </c>
      <c r="L2139" s="2">
        <f t="shared" si="168"/>
        <v>4</v>
      </c>
      <c r="M2139" s="4">
        <v>4</v>
      </c>
      <c r="N2139" s="4" t="s">
        <v>4540</v>
      </c>
      <c r="O2139" s="4" t="s">
        <v>62</v>
      </c>
      <c r="P2139" s="5">
        <v>363341</v>
      </c>
      <c r="Q2139" s="4"/>
      <c r="R2139" s="4"/>
      <c r="S2139" s="4" t="s">
        <v>5819</v>
      </c>
      <c r="T2139" s="4">
        <v>4.2</v>
      </c>
      <c r="U2139" s="4" t="s">
        <v>47</v>
      </c>
      <c r="V2139" s="4"/>
      <c r="W2139" s="67" t="str">
        <f t="shared" si="169"/>
        <v>-</v>
      </c>
    </row>
    <row r="2140" spans="1:23" x14ac:dyDescent="0.3">
      <c r="A2140" s="2" t="s">
        <v>4751</v>
      </c>
      <c r="B2140" s="2" t="s">
        <v>3716</v>
      </c>
      <c r="C2140" s="2">
        <v>9448349654</v>
      </c>
      <c r="D2140" s="2" t="s">
        <v>20</v>
      </c>
      <c r="E2140" s="2" t="s">
        <v>1632</v>
      </c>
      <c r="F2140" s="2" t="s">
        <v>1633</v>
      </c>
      <c r="G2140" s="2" t="s">
        <v>3302</v>
      </c>
      <c r="H2140" s="2" t="s">
        <v>4377</v>
      </c>
      <c r="I2140" s="2" t="str">
        <f t="shared" si="165"/>
        <v>Dec</v>
      </c>
      <c r="J2140" s="2">
        <f t="shared" si="166"/>
        <v>12</v>
      </c>
      <c r="K2140" s="2">
        <f t="shared" si="167"/>
        <v>2025</v>
      </c>
      <c r="L2140" s="2">
        <f t="shared" si="168"/>
        <v>4</v>
      </c>
      <c r="M2140" s="2">
        <v>1</v>
      </c>
      <c r="N2140" s="2" t="s">
        <v>4611</v>
      </c>
      <c r="O2140" s="2" t="s">
        <v>27</v>
      </c>
      <c r="P2140" s="3">
        <v>2079731</v>
      </c>
      <c r="Q2140" s="2"/>
      <c r="R2140" s="2"/>
      <c r="S2140" s="2" t="s">
        <v>5574</v>
      </c>
      <c r="T2140" s="2">
        <v>17.399999999999999</v>
      </c>
      <c r="U2140" s="2" t="s">
        <v>29</v>
      </c>
      <c r="V2140" s="2" t="s">
        <v>118</v>
      </c>
      <c r="W2140" s="67" t="str">
        <f t="shared" si="169"/>
        <v>-</v>
      </c>
    </row>
    <row r="2141" spans="1:23" x14ac:dyDescent="0.3">
      <c r="A2141" s="4" t="s">
        <v>4752</v>
      </c>
      <c r="B2141" s="4" t="s">
        <v>2213</v>
      </c>
      <c r="C2141" s="4">
        <v>9836152591</v>
      </c>
      <c r="D2141" s="4" t="s">
        <v>20</v>
      </c>
      <c r="E2141" s="4" t="s">
        <v>21</v>
      </c>
      <c r="F2141" s="4" t="s">
        <v>22</v>
      </c>
      <c r="G2141" s="4" t="s">
        <v>52</v>
      </c>
      <c r="H2141" s="4" t="s">
        <v>4377</v>
      </c>
      <c r="I2141" s="2" t="str">
        <f t="shared" si="165"/>
        <v>Dec</v>
      </c>
      <c r="J2141" s="2">
        <f t="shared" si="166"/>
        <v>12</v>
      </c>
      <c r="K2141" s="2">
        <f t="shared" si="167"/>
        <v>2025</v>
      </c>
      <c r="L2141" s="2">
        <f t="shared" si="168"/>
        <v>4</v>
      </c>
      <c r="M2141" s="4">
        <v>3</v>
      </c>
      <c r="N2141" s="4" t="s">
        <v>4464</v>
      </c>
      <c r="O2141" s="4" t="s">
        <v>45</v>
      </c>
      <c r="P2141" s="5">
        <v>542271</v>
      </c>
      <c r="Q2141" s="4"/>
      <c r="R2141" s="4"/>
      <c r="S2141" s="4" t="s">
        <v>5574</v>
      </c>
      <c r="T2141" s="4">
        <v>23.9</v>
      </c>
      <c r="U2141" s="4" t="s">
        <v>47</v>
      </c>
      <c r="V2141" s="4" t="s">
        <v>89</v>
      </c>
      <c r="W2141" s="67" t="str">
        <f t="shared" si="169"/>
        <v>-</v>
      </c>
    </row>
    <row r="2142" spans="1:23" x14ac:dyDescent="0.3">
      <c r="A2142" s="2" t="s">
        <v>4753</v>
      </c>
      <c r="B2142" s="2" t="s">
        <v>548</v>
      </c>
      <c r="C2142" s="2">
        <v>9147565809</v>
      </c>
      <c r="D2142" s="2" t="s">
        <v>20</v>
      </c>
      <c r="E2142" s="2" t="s">
        <v>41</v>
      </c>
      <c r="F2142" s="2" t="s">
        <v>151</v>
      </c>
      <c r="G2142" s="2" t="s">
        <v>643</v>
      </c>
      <c r="H2142" s="2" t="s">
        <v>4377</v>
      </c>
      <c r="I2142" s="2" t="str">
        <f t="shared" si="165"/>
        <v>Dec</v>
      </c>
      <c r="J2142" s="2">
        <f t="shared" si="166"/>
        <v>12</v>
      </c>
      <c r="K2142" s="2">
        <f t="shared" si="167"/>
        <v>2025</v>
      </c>
      <c r="L2142" s="2">
        <f t="shared" si="168"/>
        <v>4</v>
      </c>
      <c r="M2142" s="2">
        <v>11</v>
      </c>
      <c r="N2142" s="2" t="s">
        <v>4651</v>
      </c>
      <c r="O2142" s="2" t="s">
        <v>27</v>
      </c>
      <c r="P2142" s="3">
        <v>1409311</v>
      </c>
      <c r="Q2142" s="2"/>
      <c r="R2142" s="2"/>
      <c r="S2142" s="2" t="s">
        <v>5819</v>
      </c>
      <c r="T2142" s="2">
        <v>0.9</v>
      </c>
      <c r="U2142" s="2" t="s">
        <v>29</v>
      </c>
      <c r="V2142" s="2" t="s">
        <v>238</v>
      </c>
      <c r="W2142" s="67" t="str">
        <f t="shared" si="169"/>
        <v>-</v>
      </c>
    </row>
    <row r="2143" spans="1:23" x14ac:dyDescent="0.3">
      <c r="A2143" s="6" t="s">
        <v>4754</v>
      </c>
      <c r="B2143" s="6" t="s">
        <v>1044</v>
      </c>
      <c r="C2143" s="6">
        <v>9955925124</v>
      </c>
      <c r="D2143" s="6" t="s">
        <v>20</v>
      </c>
      <c r="E2143" s="6" t="s">
        <v>41</v>
      </c>
      <c r="F2143" s="6" t="s">
        <v>92</v>
      </c>
      <c r="G2143" s="6" t="s">
        <v>643</v>
      </c>
      <c r="H2143" s="6" t="s">
        <v>4377</v>
      </c>
      <c r="I2143" s="2" t="str">
        <f t="shared" si="165"/>
        <v>Dec</v>
      </c>
      <c r="J2143" s="2">
        <f t="shared" si="166"/>
        <v>12</v>
      </c>
      <c r="K2143" s="2">
        <f t="shared" si="167"/>
        <v>2025</v>
      </c>
      <c r="L2143" s="2">
        <f t="shared" si="168"/>
        <v>4</v>
      </c>
      <c r="M2143" s="6">
        <v>3</v>
      </c>
      <c r="N2143" s="6" t="s">
        <v>4531</v>
      </c>
      <c r="O2143" s="6" t="s">
        <v>97</v>
      </c>
      <c r="P2143" s="7">
        <v>1082568</v>
      </c>
      <c r="Q2143" s="7">
        <v>1025068</v>
      </c>
      <c r="R2143" s="6" t="s">
        <v>4511</v>
      </c>
      <c r="S2143" s="6" t="s">
        <v>5573</v>
      </c>
      <c r="T2143" s="6">
        <v>28</v>
      </c>
      <c r="U2143" s="6" t="s">
        <v>47</v>
      </c>
      <c r="V2143" s="6"/>
      <c r="W2143" s="67" t="str">
        <f t="shared" si="169"/>
        <v>Customer</v>
      </c>
    </row>
    <row r="2144" spans="1:23" x14ac:dyDescent="0.3">
      <c r="A2144" s="6" t="s">
        <v>4755</v>
      </c>
      <c r="B2144" s="6" t="s">
        <v>874</v>
      </c>
      <c r="C2144" s="6">
        <v>9206268132</v>
      </c>
      <c r="D2144" s="6" t="s">
        <v>108</v>
      </c>
      <c r="E2144" s="6" t="s">
        <v>41</v>
      </c>
      <c r="F2144" s="6" t="s">
        <v>151</v>
      </c>
      <c r="G2144" s="6" t="s">
        <v>1621</v>
      </c>
      <c r="H2144" s="6" t="s">
        <v>4568</v>
      </c>
      <c r="I2144" s="2" t="str">
        <f t="shared" si="165"/>
        <v>Dec</v>
      </c>
      <c r="J2144" s="2">
        <f t="shared" si="166"/>
        <v>12</v>
      </c>
      <c r="K2144" s="2">
        <f t="shared" si="167"/>
        <v>2025</v>
      </c>
      <c r="L2144" s="2">
        <f t="shared" si="168"/>
        <v>4</v>
      </c>
      <c r="M2144" s="6">
        <v>11</v>
      </c>
      <c r="N2144" s="6" t="s">
        <v>4756</v>
      </c>
      <c r="O2144" s="6" t="s">
        <v>97</v>
      </c>
      <c r="P2144" s="7">
        <v>607597</v>
      </c>
      <c r="Q2144" s="7">
        <v>559946</v>
      </c>
      <c r="R2144" s="6" t="s">
        <v>4757</v>
      </c>
      <c r="S2144" s="6" t="s">
        <v>5819</v>
      </c>
      <c r="T2144" s="6">
        <v>6.3</v>
      </c>
      <c r="U2144" s="6" t="s">
        <v>47</v>
      </c>
      <c r="V2144" s="6" t="s">
        <v>465</v>
      </c>
      <c r="W2144" s="67" t="str">
        <f t="shared" si="169"/>
        <v>Architect</v>
      </c>
    </row>
    <row r="2145" spans="1:23" x14ac:dyDescent="0.3">
      <c r="A2145" s="6" t="s">
        <v>4758</v>
      </c>
      <c r="B2145" s="6" t="s">
        <v>4759</v>
      </c>
      <c r="C2145" s="6">
        <v>9517361653</v>
      </c>
      <c r="D2145" s="6" t="s">
        <v>51</v>
      </c>
      <c r="E2145" s="6" t="s">
        <v>33</v>
      </c>
      <c r="F2145" s="6" t="s">
        <v>201</v>
      </c>
      <c r="G2145" s="6" t="s">
        <v>69</v>
      </c>
      <c r="H2145" s="6" t="s">
        <v>4568</v>
      </c>
      <c r="I2145" s="2" t="str">
        <f t="shared" si="165"/>
        <v>Dec</v>
      </c>
      <c r="J2145" s="2">
        <f t="shared" si="166"/>
        <v>12</v>
      </c>
      <c r="K2145" s="2">
        <f t="shared" si="167"/>
        <v>2025</v>
      </c>
      <c r="L2145" s="2">
        <f t="shared" si="168"/>
        <v>4</v>
      </c>
      <c r="M2145" s="6">
        <v>6</v>
      </c>
      <c r="N2145" s="6" t="s">
        <v>4760</v>
      </c>
      <c r="O2145" s="6" t="s">
        <v>97</v>
      </c>
      <c r="P2145" s="7">
        <v>293443</v>
      </c>
      <c r="Q2145" s="7">
        <v>272459</v>
      </c>
      <c r="R2145" s="6" t="s">
        <v>4761</v>
      </c>
      <c r="S2145" s="6" t="s">
        <v>5819</v>
      </c>
      <c r="T2145" s="6">
        <v>16</v>
      </c>
      <c r="U2145" s="6" t="s">
        <v>63</v>
      </c>
      <c r="V2145" s="6" t="s">
        <v>286</v>
      </c>
      <c r="W2145" s="67" t="str">
        <f t="shared" si="169"/>
        <v>Customer</v>
      </c>
    </row>
    <row r="2146" spans="1:23" x14ac:dyDescent="0.3">
      <c r="A2146" s="2" t="s">
        <v>4762</v>
      </c>
      <c r="B2146" s="2" t="s">
        <v>4413</v>
      </c>
      <c r="C2146" s="2">
        <v>9586971746</v>
      </c>
      <c r="D2146" s="2" t="s">
        <v>20</v>
      </c>
      <c r="E2146" s="2" t="s">
        <v>41</v>
      </c>
      <c r="F2146" s="2" t="s">
        <v>92</v>
      </c>
      <c r="G2146" s="2" t="s">
        <v>1599</v>
      </c>
      <c r="H2146" s="2" t="s">
        <v>4568</v>
      </c>
      <c r="I2146" s="2" t="str">
        <f t="shared" si="165"/>
        <v>Dec</v>
      </c>
      <c r="J2146" s="2">
        <f t="shared" si="166"/>
        <v>12</v>
      </c>
      <c r="K2146" s="2">
        <f t="shared" si="167"/>
        <v>2025</v>
      </c>
      <c r="L2146" s="2">
        <f t="shared" si="168"/>
        <v>4</v>
      </c>
      <c r="M2146" s="2">
        <v>4</v>
      </c>
      <c r="N2146" s="2" t="s">
        <v>4562</v>
      </c>
      <c r="O2146" s="2" t="s">
        <v>62</v>
      </c>
      <c r="P2146" s="3">
        <v>704072</v>
      </c>
      <c r="Q2146" s="2"/>
      <c r="R2146" s="2"/>
      <c r="S2146" s="2" t="s">
        <v>5819</v>
      </c>
      <c r="T2146" s="2">
        <v>15.2</v>
      </c>
      <c r="U2146" s="2" t="s">
        <v>63</v>
      </c>
      <c r="V2146" s="2" t="s">
        <v>64</v>
      </c>
      <c r="W2146" s="67" t="str">
        <f t="shared" si="169"/>
        <v>-</v>
      </c>
    </row>
    <row r="2147" spans="1:23" x14ac:dyDescent="0.3">
      <c r="A2147" s="4" t="s">
        <v>4763</v>
      </c>
      <c r="B2147" s="4" t="s">
        <v>283</v>
      </c>
      <c r="C2147" s="4">
        <v>9604298135</v>
      </c>
      <c r="D2147" s="4" t="s">
        <v>20</v>
      </c>
      <c r="E2147" s="4" t="s">
        <v>67</v>
      </c>
      <c r="F2147" s="4" t="s">
        <v>80</v>
      </c>
      <c r="G2147" s="4" t="s">
        <v>616</v>
      </c>
      <c r="H2147" s="4" t="s">
        <v>4393</v>
      </c>
      <c r="I2147" s="2" t="str">
        <f t="shared" si="165"/>
        <v>Dec</v>
      </c>
      <c r="J2147" s="2">
        <f t="shared" si="166"/>
        <v>12</v>
      </c>
      <c r="K2147" s="2">
        <f t="shared" si="167"/>
        <v>2025</v>
      </c>
      <c r="L2147" s="2">
        <f t="shared" si="168"/>
        <v>4</v>
      </c>
      <c r="M2147" s="4">
        <v>9</v>
      </c>
      <c r="N2147" s="4" t="s">
        <v>4764</v>
      </c>
      <c r="O2147" s="4" t="s">
        <v>27</v>
      </c>
      <c r="P2147" s="5">
        <v>320915</v>
      </c>
      <c r="Q2147" s="4"/>
      <c r="R2147" s="4"/>
      <c r="S2147" s="4" t="s">
        <v>5574</v>
      </c>
      <c r="T2147" s="4">
        <v>21.5</v>
      </c>
      <c r="U2147" s="4" t="s">
        <v>29</v>
      </c>
      <c r="V2147" s="4" t="s">
        <v>153</v>
      </c>
      <c r="W2147" s="67" t="str">
        <f t="shared" si="169"/>
        <v>-</v>
      </c>
    </row>
    <row r="2148" spans="1:23" x14ac:dyDescent="0.3">
      <c r="A2148" s="6" t="s">
        <v>4765</v>
      </c>
      <c r="B2148" s="6" t="s">
        <v>2012</v>
      </c>
      <c r="C2148" s="6">
        <v>9843083973</v>
      </c>
      <c r="D2148" s="6" t="s">
        <v>20</v>
      </c>
      <c r="E2148" s="6" t="s">
        <v>21</v>
      </c>
      <c r="F2148" s="6" t="s">
        <v>160</v>
      </c>
      <c r="G2148" s="6" t="s">
        <v>1677</v>
      </c>
      <c r="H2148" s="6" t="s">
        <v>4440</v>
      </c>
      <c r="I2148" s="2" t="str">
        <f t="shared" si="165"/>
        <v>Dec</v>
      </c>
      <c r="J2148" s="2">
        <f t="shared" si="166"/>
        <v>12</v>
      </c>
      <c r="K2148" s="2">
        <f t="shared" si="167"/>
        <v>2025</v>
      </c>
      <c r="L2148" s="2">
        <f t="shared" si="168"/>
        <v>4</v>
      </c>
      <c r="M2148" s="6">
        <v>8</v>
      </c>
      <c r="N2148" s="6" t="s">
        <v>4766</v>
      </c>
      <c r="O2148" s="6" t="s">
        <v>97</v>
      </c>
      <c r="P2148" s="7">
        <v>1186081</v>
      </c>
      <c r="Q2148" s="7">
        <v>1198794</v>
      </c>
      <c r="R2148" s="6" t="s">
        <v>4651</v>
      </c>
      <c r="S2148" s="6" t="s">
        <v>5819</v>
      </c>
      <c r="T2148" s="6">
        <v>29.6</v>
      </c>
      <c r="U2148" s="6" t="s">
        <v>63</v>
      </c>
      <c r="V2148" s="6" t="s">
        <v>907</v>
      </c>
      <c r="W2148" s="67" t="str">
        <f t="shared" si="169"/>
        <v>Customer</v>
      </c>
    </row>
    <row r="2149" spans="1:23" x14ac:dyDescent="0.3">
      <c r="A2149" s="6" t="s">
        <v>4767</v>
      </c>
      <c r="B2149" s="6" t="s">
        <v>4768</v>
      </c>
      <c r="C2149" s="6">
        <v>9597178108</v>
      </c>
      <c r="D2149" s="6" t="s">
        <v>108</v>
      </c>
      <c r="E2149" s="6" t="s">
        <v>109</v>
      </c>
      <c r="F2149" s="6" t="s">
        <v>217</v>
      </c>
      <c r="G2149" s="6" t="s">
        <v>1599</v>
      </c>
      <c r="H2149" s="6" t="s">
        <v>4440</v>
      </c>
      <c r="I2149" s="2" t="str">
        <f t="shared" si="165"/>
        <v>Dec</v>
      </c>
      <c r="J2149" s="2">
        <f t="shared" si="166"/>
        <v>12</v>
      </c>
      <c r="K2149" s="2">
        <f t="shared" si="167"/>
        <v>2025</v>
      </c>
      <c r="L2149" s="2">
        <f t="shared" si="168"/>
        <v>4</v>
      </c>
      <c r="M2149" s="6">
        <v>0</v>
      </c>
      <c r="N2149" s="6" t="s">
        <v>4531</v>
      </c>
      <c r="O2149" s="6" t="s">
        <v>97</v>
      </c>
      <c r="P2149" s="7">
        <v>630527</v>
      </c>
      <c r="Q2149" s="7">
        <v>626227</v>
      </c>
      <c r="R2149" s="6" t="s">
        <v>4464</v>
      </c>
      <c r="S2149" s="6" t="s">
        <v>5573</v>
      </c>
      <c r="T2149" s="6">
        <v>7.2</v>
      </c>
      <c r="U2149" s="6" t="s">
        <v>63</v>
      </c>
      <c r="V2149" s="6" t="s">
        <v>907</v>
      </c>
      <c r="W2149" s="67" t="str">
        <f t="shared" si="169"/>
        <v>Customer</v>
      </c>
    </row>
    <row r="2150" spans="1:23" x14ac:dyDescent="0.3">
      <c r="A2150" s="2" t="s">
        <v>4769</v>
      </c>
      <c r="B2150" s="2" t="s">
        <v>4641</v>
      </c>
      <c r="C2150" s="2"/>
      <c r="D2150" s="2" t="s">
        <v>121</v>
      </c>
      <c r="E2150" s="2" t="s">
        <v>1632</v>
      </c>
      <c r="F2150" s="2" t="s">
        <v>1633</v>
      </c>
      <c r="G2150" s="2" t="s">
        <v>1677</v>
      </c>
      <c r="H2150" s="2" t="s">
        <v>4459</v>
      </c>
      <c r="I2150" s="2" t="str">
        <f t="shared" si="165"/>
        <v>Dec</v>
      </c>
      <c r="J2150" s="2">
        <f t="shared" si="166"/>
        <v>12</v>
      </c>
      <c r="K2150" s="2">
        <f t="shared" si="167"/>
        <v>2025</v>
      </c>
      <c r="L2150" s="2">
        <f t="shared" si="168"/>
        <v>4</v>
      </c>
      <c r="M2150" s="2">
        <v>5</v>
      </c>
      <c r="N2150" s="2" t="s">
        <v>4615</v>
      </c>
      <c r="O2150" s="2" t="s">
        <v>27</v>
      </c>
      <c r="P2150" s="3">
        <v>1582196</v>
      </c>
      <c r="Q2150" s="2"/>
      <c r="R2150" s="2"/>
      <c r="S2150" s="2" t="s">
        <v>5819</v>
      </c>
      <c r="T2150" s="2">
        <v>14.1</v>
      </c>
      <c r="U2150" s="2" t="s">
        <v>29</v>
      </c>
      <c r="V2150" s="2" t="s">
        <v>1776</v>
      </c>
      <c r="W2150" s="67" t="str">
        <f t="shared" si="169"/>
        <v>-</v>
      </c>
    </row>
    <row r="2151" spans="1:23" x14ac:dyDescent="0.3">
      <c r="A2151" s="6" t="s">
        <v>4770</v>
      </c>
      <c r="B2151" s="6" t="s">
        <v>1629</v>
      </c>
      <c r="C2151" s="6">
        <v>9870162477</v>
      </c>
      <c r="D2151" s="6" t="s">
        <v>51</v>
      </c>
      <c r="E2151" s="6" t="s">
        <v>67</v>
      </c>
      <c r="F2151" s="6" t="s">
        <v>80</v>
      </c>
      <c r="G2151" s="6" t="s">
        <v>616</v>
      </c>
      <c r="H2151" s="6" t="s">
        <v>4362</v>
      </c>
      <c r="I2151" s="2" t="str">
        <f t="shared" si="165"/>
        <v>Dec</v>
      </c>
      <c r="J2151" s="2">
        <f t="shared" si="166"/>
        <v>12</v>
      </c>
      <c r="K2151" s="2">
        <f t="shared" si="167"/>
        <v>2025</v>
      </c>
      <c r="L2151" s="2">
        <f t="shared" si="168"/>
        <v>4</v>
      </c>
      <c r="M2151" s="6">
        <v>5</v>
      </c>
      <c r="N2151" s="6" t="s">
        <v>4587</v>
      </c>
      <c r="O2151" s="6" t="s">
        <v>97</v>
      </c>
      <c r="P2151" s="7">
        <v>142522</v>
      </c>
      <c r="Q2151" s="7">
        <v>135085</v>
      </c>
      <c r="R2151" s="6" t="s">
        <v>4760</v>
      </c>
      <c r="S2151" s="6" t="s">
        <v>5573</v>
      </c>
      <c r="T2151" s="6">
        <v>24.2</v>
      </c>
      <c r="U2151" s="6" t="s">
        <v>63</v>
      </c>
      <c r="V2151" s="6" t="s">
        <v>170</v>
      </c>
      <c r="W2151" s="67" t="str">
        <f t="shared" si="169"/>
        <v>Customer</v>
      </c>
    </row>
    <row r="2152" spans="1:23" x14ac:dyDescent="0.3">
      <c r="A2152" s="2" t="s">
        <v>4771</v>
      </c>
      <c r="B2152" s="2" t="s">
        <v>4772</v>
      </c>
      <c r="C2152" s="2">
        <v>9320091601</v>
      </c>
      <c r="D2152" s="2" t="s">
        <v>20</v>
      </c>
      <c r="E2152" s="2" t="s">
        <v>641</v>
      </c>
      <c r="F2152" s="2" t="s">
        <v>727</v>
      </c>
      <c r="G2152" s="2" t="s">
        <v>1599</v>
      </c>
      <c r="H2152" s="2" t="s">
        <v>4362</v>
      </c>
      <c r="I2152" s="2" t="str">
        <f t="shared" si="165"/>
        <v>Dec</v>
      </c>
      <c r="J2152" s="2">
        <f t="shared" si="166"/>
        <v>12</v>
      </c>
      <c r="K2152" s="2">
        <f t="shared" si="167"/>
        <v>2025</v>
      </c>
      <c r="L2152" s="2">
        <f t="shared" si="168"/>
        <v>4</v>
      </c>
      <c r="M2152" s="2">
        <v>0</v>
      </c>
      <c r="N2152" s="2" t="s">
        <v>4636</v>
      </c>
      <c r="O2152" s="2" t="s">
        <v>27</v>
      </c>
      <c r="P2152" s="3">
        <v>930421</v>
      </c>
      <c r="Q2152" s="2"/>
      <c r="R2152" s="2"/>
      <c r="S2152" s="2" t="s">
        <v>5573</v>
      </c>
      <c r="T2152" s="2">
        <v>18.3</v>
      </c>
      <c r="U2152" s="2" t="s">
        <v>29</v>
      </c>
      <c r="V2152" s="2" t="s">
        <v>30</v>
      </c>
      <c r="W2152" s="67" t="str">
        <f t="shared" si="169"/>
        <v>-</v>
      </c>
    </row>
    <row r="2153" spans="1:23" x14ac:dyDescent="0.3">
      <c r="A2153" s="6" t="s">
        <v>4773</v>
      </c>
      <c r="B2153" s="6" t="s">
        <v>4774</v>
      </c>
      <c r="C2153" s="6">
        <v>9779430124</v>
      </c>
      <c r="D2153" s="6" t="s">
        <v>108</v>
      </c>
      <c r="E2153" s="6" t="s">
        <v>648</v>
      </c>
      <c r="F2153" s="6" t="s">
        <v>822</v>
      </c>
      <c r="G2153" s="6" t="s">
        <v>52</v>
      </c>
      <c r="H2153" s="6" t="s">
        <v>4543</v>
      </c>
      <c r="I2153" s="2" t="str">
        <f t="shared" si="165"/>
        <v>Dec</v>
      </c>
      <c r="J2153" s="2">
        <f t="shared" si="166"/>
        <v>12</v>
      </c>
      <c r="K2153" s="2">
        <f t="shared" si="167"/>
        <v>2025</v>
      </c>
      <c r="L2153" s="2">
        <f t="shared" si="168"/>
        <v>4</v>
      </c>
      <c r="M2153" s="6">
        <v>0</v>
      </c>
      <c r="N2153" s="6" t="s">
        <v>4558</v>
      </c>
      <c r="O2153" s="6" t="s">
        <v>97</v>
      </c>
      <c r="P2153" s="7">
        <v>422316</v>
      </c>
      <c r="Q2153" s="7">
        <v>386730</v>
      </c>
      <c r="R2153" s="6" t="s">
        <v>4690</v>
      </c>
      <c r="S2153" s="6" t="s">
        <v>5573</v>
      </c>
      <c r="T2153" s="6">
        <v>25.5</v>
      </c>
      <c r="U2153" s="6" t="s">
        <v>63</v>
      </c>
      <c r="V2153" s="6" t="s">
        <v>286</v>
      </c>
      <c r="W2153" s="67" t="str">
        <f t="shared" si="169"/>
        <v>Customer</v>
      </c>
    </row>
    <row r="2154" spans="1:23" x14ac:dyDescent="0.3">
      <c r="A2154" s="2" t="s">
        <v>4775</v>
      </c>
      <c r="B2154" s="2" t="s">
        <v>2851</v>
      </c>
      <c r="C2154" s="2">
        <v>9342234380</v>
      </c>
      <c r="D2154" s="2" t="s">
        <v>51</v>
      </c>
      <c r="E2154" s="2" t="s">
        <v>648</v>
      </c>
      <c r="F2154" s="2" t="s">
        <v>656</v>
      </c>
      <c r="G2154" s="2" t="s">
        <v>1677</v>
      </c>
      <c r="H2154" s="2" t="s">
        <v>4543</v>
      </c>
      <c r="I2154" s="2" t="str">
        <f t="shared" si="165"/>
        <v>Dec</v>
      </c>
      <c r="J2154" s="2">
        <f t="shared" si="166"/>
        <v>12</v>
      </c>
      <c r="K2154" s="2">
        <f t="shared" si="167"/>
        <v>2025</v>
      </c>
      <c r="L2154" s="2">
        <f t="shared" si="168"/>
        <v>4</v>
      </c>
      <c r="M2154" s="2"/>
      <c r="N2154" s="2" t="s">
        <v>4764</v>
      </c>
      <c r="O2154" s="2" t="s">
        <v>27</v>
      </c>
      <c r="P2154" s="3">
        <v>1730436</v>
      </c>
      <c r="Q2154" s="2"/>
      <c r="R2154" s="2"/>
      <c r="S2154" s="2" t="s">
        <v>5574</v>
      </c>
      <c r="T2154" s="2">
        <v>11.9</v>
      </c>
      <c r="U2154" s="2" t="s">
        <v>29</v>
      </c>
      <c r="V2154" s="2" t="s">
        <v>153</v>
      </c>
      <c r="W2154" s="67" t="str">
        <f t="shared" si="169"/>
        <v>-</v>
      </c>
    </row>
    <row r="2155" spans="1:23" x14ac:dyDescent="0.3">
      <c r="A2155" s="4" t="s">
        <v>4776</v>
      </c>
      <c r="B2155" s="4" t="s">
        <v>4048</v>
      </c>
      <c r="C2155" s="4">
        <v>9210409093</v>
      </c>
      <c r="D2155" s="4" t="s">
        <v>20</v>
      </c>
      <c r="E2155" s="4" t="s">
        <v>67</v>
      </c>
      <c r="F2155" s="4" t="s">
        <v>68</v>
      </c>
      <c r="G2155" s="4" t="s">
        <v>1609</v>
      </c>
      <c r="H2155" s="4" t="s">
        <v>4543</v>
      </c>
      <c r="I2155" s="2" t="str">
        <f t="shared" si="165"/>
        <v>Dec</v>
      </c>
      <c r="J2155" s="2">
        <f t="shared" si="166"/>
        <v>12</v>
      </c>
      <c r="K2155" s="2">
        <f t="shared" si="167"/>
        <v>2025</v>
      </c>
      <c r="L2155" s="2">
        <f t="shared" si="168"/>
        <v>4</v>
      </c>
      <c r="M2155" s="4">
        <v>6</v>
      </c>
      <c r="N2155" s="4" t="s">
        <v>4731</v>
      </c>
      <c r="O2155" s="4" t="s">
        <v>62</v>
      </c>
      <c r="P2155" s="5">
        <v>361395</v>
      </c>
      <c r="Q2155" s="4"/>
      <c r="R2155" s="4"/>
      <c r="S2155" s="4" t="s">
        <v>5574</v>
      </c>
      <c r="T2155" s="4">
        <v>11.4</v>
      </c>
      <c r="U2155" s="4" t="s">
        <v>29</v>
      </c>
      <c r="V2155" s="4" t="s">
        <v>442</v>
      </c>
      <c r="W2155" s="67" t="str">
        <f t="shared" si="169"/>
        <v>-</v>
      </c>
    </row>
    <row r="2156" spans="1:23" x14ac:dyDescent="0.3">
      <c r="A2156" s="6" t="s">
        <v>4777</v>
      </c>
      <c r="B2156" s="6" t="s">
        <v>4466</v>
      </c>
      <c r="C2156" s="6">
        <v>9919035333</v>
      </c>
      <c r="D2156" s="6" t="s">
        <v>121</v>
      </c>
      <c r="E2156" s="6" t="s">
        <v>41</v>
      </c>
      <c r="F2156" s="6" t="s">
        <v>151</v>
      </c>
      <c r="G2156" s="6" t="s">
        <v>23</v>
      </c>
      <c r="H2156" s="6" t="s">
        <v>4543</v>
      </c>
      <c r="I2156" s="2" t="str">
        <f t="shared" si="165"/>
        <v>Dec</v>
      </c>
      <c r="J2156" s="2">
        <f t="shared" si="166"/>
        <v>12</v>
      </c>
      <c r="K2156" s="2">
        <f t="shared" si="167"/>
        <v>2025</v>
      </c>
      <c r="L2156" s="2">
        <f t="shared" si="168"/>
        <v>4</v>
      </c>
      <c r="M2156" s="6">
        <v>12</v>
      </c>
      <c r="N2156" s="6" t="s">
        <v>4778</v>
      </c>
      <c r="O2156" s="6" t="s">
        <v>97</v>
      </c>
      <c r="P2156" s="7">
        <v>425463</v>
      </c>
      <c r="Q2156" s="7">
        <v>437434</v>
      </c>
      <c r="R2156" s="6" t="s">
        <v>4764</v>
      </c>
      <c r="S2156" s="6" t="s">
        <v>5574</v>
      </c>
      <c r="T2156" s="6">
        <v>16.8</v>
      </c>
      <c r="U2156" s="6" t="s">
        <v>63</v>
      </c>
      <c r="V2156" s="6" t="s">
        <v>295</v>
      </c>
      <c r="W2156" s="67" t="str">
        <f t="shared" si="169"/>
        <v>Architect</v>
      </c>
    </row>
    <row r="2157" spans="1:23" x14ac:dyDescent="0.3">
      <c r="A2157" s="4" t="s">
        <v>4779</v>
      </c>
      <c r="B2157" s="4" t="s">
        <v>4780</v>
      </c>
      <c r="C2157" s="4">
        <v>9387447116</v>
      </c>
      <c r="D2157" s="4" t="s">
        <v>20</v>
      </c>
      <c r="E2157" s="4" t="s">
        <v>41</v>
      </c>
      <c r="F2157" s="4" t="s">
        <v>151</v>
      </c>
      <c r="G2157" s="4" t="s">
        <v>60</v>
      </c>
      <c r="H2157" s="4" t="s">
        <v>4543</v>
      </c>
      <c r="I2157" s="2" t="str">
        <f t="shared" si="165"/>
        <v>Dec</v>
      </c>
      <c r="J2157" s="2">
        <f t="shared" si="166"/>
        <v>12</v>
      </c>
      <c r="K2157" s="2">
        <f t="shared" si="167"/>
        <v>2025</v>
      </c>
      <c r="L2157" s="2">
        <f t="shared" si="168"/>
        <v>4</v>
      </c>
      <c r="M2157" s="4">
        <v>12</v>
      </c>
      <c r="N2157" s="4" t="s">
        <v>4781</v>
      </c>
      <c r="O2157" s="4" t="s">
        <v>45</v>
      </c>
      <c r="P2157" s="5">
        <v>226739</v>
      </c>
      <c r="Q2157" s="4"/>
      <c r="R2157" s="4"/>
      <c r="S2157" s="4" t="s">
        <v>5819</v>
      </c>
      <c r="T2157" s="4">
        <v>20.6</v>
      </c>
      <c r="U2157" s="4" t="s">
        <v>63</v>
      </c>
      <c r="V2157" s="4" t="s">
        <v>535</v>
      </c>
      <c r="W2157" s="67" t="str">
        <f t="shared" si="169"/>
        <v>-</v>
      </c>
    </row>
    <row r="2158" spans="1:23" x14ac:dyDescent="0.3">
      <c r="A2158" s="2" t="s">
        <v>4782</v>
      </c>
      <c r="B2158" s="2" t="s">
        <v>1479</v>
      </c>
      <c r="C2158" s="2">
        <v>9969526171</v>
      </c>
      <c r="D2158" s="2" t="s">
        <v>51</v>
      </c>
      <c r="E2158" s="2" t="s">
        <v>73</v>
      </c>
      <c r="F2158" s="2" t="s">
        <v>126</v>
      </c>
      <c r="G2158" s="2" t="s">
        <v>1609</v>
      </c>
      <c r="H2158" s="2" t="s">
        <v>4543</v>
      </c>
      <c r="I2158" s="2" t="str">
        <f t="shared" si="165"/>
        <v>Dec</v>
      </c>
      <c r="J2158" s="2">
        <f t="shared" si="166"/>
        <v>12</v>
      </c>
      <c r="K2158" s="2">
        <f t="shared" si="167"/>
        <v>2025</v>
      </c>
      <c r="L2158" s="2">
        <f t="shared" si="168"/>
        <v>4</v>
      </c>
      <c r="M2158" s="2">
        <v>9</v>
      </c>
      <c r="N2158" s="2" t="s">
        <v>4659</v>
      </c>
      <c r="O2158" s="2" t="s">
        <v>27</v>
      </c>
      <c r="P2158" s="3">
        <v>196498</v>
      </c>
      <c r="Q2158" s="2"/>
      <c r="R2158" s="2"/>
      <c r="S2158" s="2" t="s">
        <v>5574</v>
      </c>
      <c r="T2158" s="2">
        <v>13.4</v>
      </c>
      <c r="U2158" s="2" t="s">
        <v>29</v>
      </c>
      <c r="V2158" s="2"/>
      <c r="W2158" s="67" t="str">
        <f t="shared" si="169"/>
        <v>-</v>
      </c>
    </row>
    <row r="2159" spans="1:23" x14ac:dyDescent="0.3">
      <c r="A2159" s="4" t="s">
        <v>4783</v>
      </c>
      <c r="B2159" s="4" t="s">
        <v>3891</v>
      </c>
      <c r="C2159" s="4">
        <v>9501257524</v>
      </c>
      <c r="D2159" s="4" t="s">
        <v>59</v>
      </c>
      <c r="E2159" s="4" t="s">
        <v>109</v>
      </c>
      <c r="F2159" s="4" t="s">
        <v>110</v>
      </c>
      <c r="G2159" s="4" t="s">
        <v>1609</v>
      </c>
      <c r="H2159" s="4" t="s">
        <v>4543</v>
      </c>
      <c r="I2159" s="2" t="str">
        <f t="shared" si="165"/>
        <v>Dec</v>
      </c>
      <c r="J2159" s="2">
        <f t="shared" si="166"/>
        <v>12</v>
      </c>
      <c r="K2159" s="2">
        <f t="shared" si="167"/>
        <v>2025</v>
      </c>
      <c r="L2159" s="2">
        <f t="shared" si="168"/>
        <v>4</v>
      </c>
      <c r="M2159" s="4">
        <v>10</v>
      </c>
      <c r="N2159" s="4" t="s">
        <v>4784</v>
      </c>
      <c r="O2159" s="4" t="s">
        <v>27</v>
      </c>
      <c r="P2159" s="5">
        <v>197344</v>
      </c>
      <c r="Q2159" s="4"/>
      <c r="R2159" s="4"/>
      <c r="S2159" s="4" t="s">
        <v>5819</v>
      </c>
      <c r="T2159" s="4">
        <v>24.3</v>
      </c>
      <c r="U2159" s="4" t="s">
        <v>29</v>
      </c>
      <c r="V2159" s="4" t="s">
        <v>105</v>
      </c>
      <c r="W2159" s="67" t="str">
        <f t="shared" si="169"/>
        <v>-</v>
      </c>
    </row>
    <row r="2160" spans="1:23" x14ac:dyDescent="0.3">
      <c r="A2160" s="2" t="s">
        <v>4785</v>
      </c>
      <c r="B2160" s="2" t="s">
        <v>3342</v>
      </c>
      <c r="C2160" s="2">
        <v>9476108214</v>
      </c>
      <c r="D2160" s="2" t="s">
        <v>20</v>
      </c>
      <c r="E2160" s="2" t="s">
        <v>21</v>
      </c>
      <c r="F2160" s="2" t="s">
        <v>22</v>
      </c>
      <c r="G2160" s="2" t="s">
        <v>616</v>
      </c>
      <c r="H2160" s="2" t="s">
        <v>4543</v>
      </c>
      <c r="I2160" s="2" t="str">
        <f t="shared" si="165"/>
        <v>Dec</v>
      </c>
      <c r="J2160" s="2">
        <f t="shared" si="166"/>
        <v>12</v>
      </c>
      <c r="K2160" s="2">
        <f t="shared" si="167"/>
        <v>2025</v>
      </c>
      <c r="L2160" s="2">
        <f t="shared" si="168"/>
        <v>4</v>
      </c>
      <c r="M2160" s="2">
        <v>4</v>
      </c>
      <c r="N2160" s="2" t="s">
        <v>4553</v>
      </c>
      <c r="O2160" s="2" t="s">
        <v>27</v>
      </c>
      <c r="P2160" s="3">
        <v>127051</v>
      </c>
      <c r="Q2160" s="2"/>
      <c r="R2160" s="2"/>
      <c r="S2160" s="2" t="s">
        <v>5573</v>
      </c>
      <c r="T2160" s="2">
        <v>26.9</v>
      </c>
      <c r="U2160" s="2" t="s">
        <v>29</v>
      </c>
      <c r="V2160" s="2" t="s">
        <v>238</v>
      </c>
      <c r="W2160" s="67" t="str">
        <f t="shared" si="169"/>
        <v>-</v>
      </c>
    </row>
    <row r="2161" spans="1:23" x14ac:dyDescent="0.3">
      <c r="A2161" s="4" t="s">
        <v>4786</v>
      </c>
      <c r="B2161" s="4" t="s">
        <v>4787</v>
      </c>
      <c r="C2161" s="4">
        <v>9370616430</v>
      </c>
      <c r="D2161" s="4" t="s">
        <v>59</v>
      </c>
      <c r="E2161" s="4" t="s">
        <v>641</v>
      </c>
      <c r="F2161" s="4" t="s">
        <v>717</v>
      </c>
      <c r="G2161" s="4" t="s">
        <v>60</v>
      </c>
      <c r="H2161" s="4" t="s">
        <v>4339</v>
      </c>
      <c r="I2161" s="2" t="str">
        <f t="shared" si="165"/>
        <v>Dec</v>
      </c>
      <c r="J2161" s="2">
        <f t="shared" si="166"/>
        <v>12</v>
      </c>
      <c r="K2161" s="2">
        <f t="shared" si="167"/>
        <v>2025</v>
      </c>
      <c r="L2161" s="2">
        <f t="shared" si="168"/>
        <v>4</v>
      </c>
      <c r="M2161" s="4">
        <v>4</v>
      </c>
      <c r="N2161" s="4" t="s">
        <v>4615</v>
      </c>
      <c r="O2161" s="4" t="s">
        <v>27</v>
      </c>
      <c r="P2161" s="5">
        <v>268510</v>
      </c>
      <c r="Q2161" s="4"/>
      <c r="R2161" s="4"/>
      <c r="S2161" s="4" t="s">
        <v>5819</v>
      </c>
      <c r="T2161" s="4">
        <v>14.3</v>
      </c>
      <c r="U2161" s="4" t="s">
        <v>29</v>
      </c>
      <c r="V2161" s="4" t="s">
        <v>30</v>
      </c>
      <c r="W2161" s="67" t="str">
        <f t="shared" si="169"/>
        <v>-</v>
      </c>
    </row>
    <row r="2162" spans="1:23" x14ac:dyDescent="0.3">
      <c r="A2162" s="2" t="s">
        <v>4788</v>
      </c>
      <c r="B2162" s="2" t="s">
        <v>4789</v>
      </c>
      <c r="C2162" s="2">
        <v>9201922063</v>
      </c>
      <c r="D2162" s="2" t="s">
        <v>59</v>
      </c>
      <c r="E2162" s="2" t="s">
        <v>1632</v>
      </c>
      <c r="F2162" s="2" t="s">
        <v>1633</v>
      </c>
      <c r="G2162" s="2" t="s">
        <v>69</v>
      </c>
      <c r="H2162" s="2" t="s">
        <v>4339</v>
      </c>
      <c r="I2162" s="2" t="str">
        <f t="shared" si="165"/>
        <v>Dec</v>
      </c>
      <c r="J2162" s="2">
        <f t="shared" si="166"/>
        <v>12</v>
      </c>
      <c r="K2162" s="2">
        <f t="shared" si="167"/>
        <v>2025</v>
      </c>
      <c r="L2162" s="2">
        <f t="shared" si="168"/>
        <v>4</v>
      </c>
      <c r="M2162" s="2">
        <v>0</v>
      </c>
      <c r="N2162" s="2" t="s">
        <v>4511</v>
      </c>
      <c r="O2162" s="2" t="s">
        <v>62</v>
      </c>
      <c r="P2162" s="3">
        <v>366164</v>
      </c>
      <c r="Q2162" s="2"/>
      <c r="R2162" s="2"/>
      <c r="S2162" s="2" t="s">
        <v>5573</v>
      </c>
      <c r="T2162" s="2">
        <v>4.2</v>
      </c>
      <c r="U2162" s="2" t="s">
        <v>63</v>
      </c>
      <c r="V2162" s="2" t="s">
        <v>335</v>
      </c>
      <c r="W2162" s="67" t="str">
        <f t="shared" si="169"/>
        <v>-</v>
      </c>
    </row>
    <row r="2163" spans="1:23" x14ac:dyDescent="0.3">
      <c r="A2163" s="4" t="s">
        <v>4790</v>
      </c>
      <c r="B2163" s="4" t="s">
        <v>2103</v>
      </c>
      <c r="C2163" s="4">
        <v>9992409739</v>
      </c>
      <c r="D2163" s="4" t="s">
        <v>121</v>
      </c>
      <c r="E2163" s="4" t="s">
        <v>641</v>
      </c>
      <c r="F2163" s="4" t="s">
        <v>642</v>
      </c>
      <c r="G2163" s="4" t="s">
        <v>69</v>
      </c>
      <c r="H2163" s="4" t="s">
        <v>4520</v>
      </c>
      <c r="I2163" s="2" t="str">
        <f t="shared" si="165"/>
        <v>Dec</v>
      </c>
      <c r="J2163" s="2">
        <f t="shared" si="166"/>
        <v>12</v>
      </c>
      <c r="K2163" s="2">
        <f t="shared" si="167"/>
        <v>2025</v>
      </c>
      <c r="L2163" s="2">
        <f t="shared" si="168"/>
        <v>4</v>
      </c>
      <c r="M2163" s="4">
        <v>0</v>
      </c>
      <c r="N2163" s="4" t="s">
        <v>4464</v>
      </c>
      <c r="O2163" s="4" t="s">
        <v>27</v>
      </c>
      <c r="P2163" s="5">
        <v>400748</v>
      </c>
      <c r="Q2163" s="4"/>
      <c r="R2163" s="4"/>
      <c r="S2163" s="4" t="s">
        <v>5819</v>
      </c>
      <c r="T2163" s="4">
        <v>33.799999999999997</v>
      </c>
      <c r="U2163" s="4" t="s">
        <v>29</v>
      </c>
      <c r="V2163" s="4" t="s">
        <v>105</v>
      </c>
      <c r="W2163" s="67" t="str">
        <f t="shared" si="169"/>
        <v>-</v>
      </c>
    </row>
    <row r="2164" spans="1:23" x14ac:dyDescent="0.3">
      <c r="A2164" s="2" t="s">
        <v>4791</v>
      </c>
      <c r="B2164" s="2" t="s">
        <v>4792</v>
      </c>
      <c r="C2164" s="2">
        <v>9736597924</v>
      </c>
      <c r="D2164" s="2" t="s">
        <v>20</v>
      </c>
      <c r="E2164" s="2" t="s">
        <v>641</v>
      </c>
      <c r="F2164" s="2" t="s">
        <v>642</v>
      </c>
      <c r="G2164" s="2" t="s">
        <v>23</v>
      </c>
      <c r="H2164" s="2" t="s">
        <v>4427</v>
      </c>
      <c r="I2164" s="2" t="str">
        <f t="shared" si="165"/>
        <v>Dec</v>
      </c>
      <c r="J2164" s="2">
        <f t="shared" si="166"/>
        <v>12</v>
      </c>
      <c r="K2164" s="2">
        <f t="shared" si="167"/>
        <v>2025</v>
      </c>
      <c r="L2164" s="2">
        <f t="shared" si="168"/>
        <v>4</v>
      </c>
      <c r="M2164" s="2">
        <v>6</v>
      </c>
      <c r="N2164" s="2" t="s">
        <v>4760</v>
      </c>
      <c r="O2164" s="2" t="s">
        <v>45</v>
      </c>
      <c r="P2164" s="3">
        <v>788646</v>
      </c>
      <c r="Q2164" s="2"/>
      <c r="R2164" s="2"/>
      <c r="S2164" s="2" t="s">
        <v>5574</v>
      </c>
      <c r="T2164" s="2">
        <v>2.2000000000000002</v>
      </c>
      <c r="U2164" s="2" t="s">
        <v>63</v>
      </c>
      <c r="V2164" s="2" t="s">
        <v>678</v>
      </c>
      <c r="W2164" s="67" t="str">
        <f t="shared" si="169"/>
        <v>-</v>
      </c>
    </row>
    <row r="2165" spans="1:23" x14ac:dyDescent="0.3">
      <c r="A2165" s="4" t="s">
        <v>4793</v>
      </c>
      <c r="B2165" s="4" t="s">
        <v>4794</v>
      </c>
      <c r="C2165" s="4">
        <v>9530542078</v>
      </c>
      <c r="D2165" s="4" t="s">
        <v>59</v>
      </c>
      <c r="E2165" s="4" t="s">
        <v>33</v>
      </c>
      <c r="F2165" s="4" t="s">
        <v>102</v>
      </c>
      <c r="G2165" s="4" t="s">
        <v>643</v>
      </c>
      <c r="H2165" s="4" t="s">
        <v>4427</v>
      </c>
      <c r="I2165" s="2" t="str">
        <f t="shared" si="165"/>
        <v>Dec</v>
      </c>
      <c r="J2165" s="2">
        <f t="shared" si="166"/>
        <v>12</v>
      </c>
      <c r="K2165" s="2">
        <f t="shared" si="167"/>
        <v>2025</v>
      </c>
      <c r="L2165" s="2">
        <f t="shared" si="168"/>
        <v>4</v>
      </c>
      <c r="M2165" s="4">
        <v>7</v>
      </c>
      <c r="N2165" s="4" t="s">
        <v>4795</v>
      </c>
      <c r="O2165" s="4" t="s">
        <v>62</v>
      </c>
      <c r="P2165" s="5">
        <v>719983</v>
      </c>
      <c r="Q2165" s="4"/>
      <c r="R2165" s="4"/>
      <c r="S2165" s="4" t="s">
        <v>5573</v>
      </c>
      <c r="T2165" s="4">
        <v>11.5</v>
      </c>
      <c r="U2165" s="4" t="s">
        <v>63</v>
      </c>
      <c r="V2165" s="4" t="s">
        <v>535</v>
      </c>
      <c r="W2165" s="67" t="str">
        <f t="shared" si="169"/>
        <v>-</v>
      </c>
    </row>
    <row r="2166" spans="1:23" x14ac:dyDescent="0.3">
      <c r="A2166" s="6" t="s">
        <v>4796</v>
      </c>
      <c r="B2166" s="6" t="s">
        <v>2360</v>
      </c>
      <c r="C2166" s="6">
        <v>9486979061</v>
      </c>
      <c r="D2166" s="6" t="s">
        <v>59</v>
      </c>
      <c r="E2166" s="6" t="s">
        <v>41</v>
      </c>
      <c r="F2166" s="6" t="s">
        <v>42</v>
      </c>
      <c r="G2166" s="6" t="s">
        <v>1599</v>
      </c>
      <c r="H2166" s="6" t="s">
        <v>4427</v>
      </c>
      <c r="I2166" s="2" t="str">
        <f t="shared" si="165"/>
        <v>Dec</v>
      </c>
      <c r="J2166" s="2">
        <f t="shared" si="166"/>
        <v>12</v>
      </c>
      <c r="K2166" s="2">
        <f t="shared" si="167"/>
        <v>2025</v>
      </c>
      <c r="L2166" s="2">
        <f t="shared" si="168"/>
        <v>4</v>
      </c>
      <c r="M2166" s="6">
        <v>2</v>
      </c>
      <c r="N2166" s="6" t="s">
        <v>4766</v>
      </c>
      <c r="O2166" s="6" t="s">
        <v>97</v>
      </c>
      <c r="P2166" s="7">
        <v>850355</v>
      </c>
      <c r="Q2166" s="7">
        <v>794128</v>
      </c>
      <c r="R2166" s="6" t="s">
        <v>4733</v>
      </c>
      <c r="S2166" s="6" t="s">
        <v>5819</v>
      </c>
      <c r="T2166" s="6">
        <v>18.3</v>
      </c>
      <c r="U2166" s="6" t="s">
        <v>63</v>
      </c>
      <c r="V2166" s="6"/>
      <c r="W2166" s="67" t="str">
        <f t="shared" si="169"/>
        <v>Customer</v>
      </c>
    </row>
    <row r="2167" spans="1:23" x14ac:dyDescent="0.3">
      <c r="A2167" s="4" t="s">
        <v>4797</v>
      </c>
      <c r="B2167" s="4" t="s">
        <v>2128</v>
      </c>
      <c r="C2167" s="4">
        <v>9497990678</v>
      </c>
      <c r="D2167" s="4" t="s">
        <v>59</v>
      </c>
      <c r="E2167" s="4" t="s">
        <v>109</v>
      </c>
      <c r="F2167" s="4" t="s">
        <v>110</v>
      </c>
      <c r="G2167" s="4" t="s">
        <v>52</v>
      </c>
      <c r="H2167" s="4" t="s">
        <v>4427</v>
      </c>
      <c r="I2167" s="2" t="str">
        <f t="shared" si="165"/>
        <v>Dec</v>
      </c>
      <c r="J2167" s="2">
        <f t="shared" si="166"/>
        <v>12</v>
      </c>
      <c r="K2167" s="2">
        <f t="shared" si="167"/>
        <v>2025</v>
      </c>
      <c r="L2167" s="2">
        <f t="shared" si="168"/>
        <v>4</v>
      </c>
      <c r="M2167" s="4">
        <v>9</v>
      </c>
      <c r="N2167" s="4" t="s">
        <v>4760</v>
      </c>
      <c r="O2167" s="4" t="s">
        <v>27</v>
      </c>
      <c r="P2167" s="5">
        <v>303632</v>
      </c>
      <c r="Q2167" s="4"/>
      <c r="R2167" s="4"/>
      <c r="S2167" s="4" t="s">
        <v>5819</v>
      </c>
      <c r="T2167" s="4">
        <v>12.5</v>
      </c>
      <c r="U2167" s="4" t="s">
        <v>29</v>
      </c>
      <c r="V2167" s="4" t="s">
        <v>38</v>
      </c>
      <c r="W2167" s="67" t="str">
        <f t="shared" si="169"/>
        <v>-</v>
      </c>
    </row>
    <row r="2168" spans="1:23" x14ac:dyDescent="0.3">
      <c r="A2168" s="2" t="s">
        <v>4798</v>
      </c>
      <c r="B2168" s="2" t="s">
        <v>2167</v>
      </c>
      <c r="C2168" s="2">
        <v>9101083254</v>
      </c>
      <c r="D2168" s="2" t="s">
        <v>59</v>
      </c>
      <c r="E2168" s="2" t="s">
        <v>641</v>
      </c>
      <c r="F2168" s="2" t="s">
        <v>727</v>
      </c>
      <c r="G2168" s="2" t="s">
        <v>1735</v>
      </c>
      <c r="H2168" s="2" t="s">
        <v>4427</v>
      </c>
      <c r="I2168" s="2" t="str">
        <f t="shared" si="165"/>
        <v>Dec</v>
      </c>
      <c r="J2168" s="2">
        <f t="shared" si="166"/>
        <v>12</v>
      </c>
      <c r="K2168" s="2">
        <f t="shared" si="167"/>
        <v>2025</v>
      </c>
      <c r="L2168" s="2">
        <f t="shared" si="168"/>
        <v>4</v>
      </c>
      <c r="M2168" s="2">
        <v>3</v>
      </c>
      <c r="N2168" s="2" t="s">
        <v>4666</v>
      </c>
      <c r="O2168" s="2" t="s">
        <v>45</v>
      </c>
      <c r="P2168" s="3">
        <v>1956307</v>
      </c>
      <c r="Q2168" s="2"/>
      <c r="R2168" s="2"/>
      <c r="S2168" s="2" t="s">
        <v>5574</v>
      </c>
      <c r="T2168" s="2">
        <v>2.4</v>
      </c>
      <c r="U2168" s="2" t="s">
        <v>47</v>
      </c>
      <c r="V2168" s="2" t="s">
        <v>302</v>
      </c>
      <c r="W2168" s="67" t="str">
        <f t="shared" si="169"/>
        <v>-</v>
      </c>
    </row>
    <row r="2169" spans="1:23" x14ac:dyDescent="0.3">
      <c r="A2169" s="4" t="s">
        <v>4799</v>
      </c>
      <c r="B2169" s="4" t="s">
        <v>2925</v>
      </c>
      <c r="C2169" s="4">
        <v>9729739821</v>
      </c>
      <c r="D2169" s="4" t="s">
        <v>108</v>
      </c>
      <c r="E2169" s="4" t="s">
        <v>21</v>
      </c>
      <c r="F2169" s="4" t="s">
        <v>230</v>
      </c>
      <c r="G2169" s="4" t="s">
        <v>1623</v>
      </c>
      <c r="H2169" s="4" t="s">
        <v>4531</v>
      </c>
      <c r="I2169" s="2" t="str">
        <f t="shared" si="165"/>
        <v>Dec</v>
      </c>
      <c r="J2169" s="2">
        <f t="shared" si="166"/>
        <v>12</v>
      </c>
      <c r="K2169" s="2">
        <f t="shared" si="167"/>
        <v>2025</v>
      </c>
      <c r="L2169" s="2">
        <f t="shared" si="168"/>
        <v>4</v>
      </c>
      <c r="M2169" s="4">
        <v>7</v>
      </c>
      <c r="N2169" s="4" t="s">
        <v>4687</v>
      </c>
      <c r="O2169" s="4" t="s">
        <v>62</v>
      </c>
      <c r="P2169" s="5">
        <v>341726</v>
      </c>
      <c r="Q2169" s="4"/>
      <c r="R2169" s="4"/>
      <c r="S2169" s="4" t="s">
        <v>5574</v>
      </c>
      <c r="T2169" s="4">
        <v>1.5</v>
      </c>
      <c r="U2169" s="4" t="s">
        <v>47</v>
      </c>
      <c r="V2169" s="4" t="s">
        <v>302</v>
      </c>
      <c r="W2169" s="67" t="str">
        <f t="shared" si="169"/>
        <v>-</v>
      </c>
    </row>
    <row r="2170" spans="1:23" x14ac:dyDescent="0.3">
      <c r="A2170" s="6" t="s">
        <v>4800</v>
      </c>
      <c r="B2170" s="6" t="s">
        <v>558</v>
      </c>
      <c r="C2170" s="6">
        <v>9158607018</v>
      </c>
      <c r="D2170" s="6" t="s">
        <v>20</v>
      </c>
      <c r="E2170" s="6" t="s">
        <v>641</v>
      </c>
      <c r="F2170" s="6" t="s">
        <v>681</v>
      </c>
      <c r="G2170" s="6" t="s">
        <v>52</v>
      </c>
      <c r="H2170" s="6" t="s">
        <v>4531</v>
      </c>
      <c r="I2170" s="2" t="str">
        <f t="shared" si="165"/>
        <v>Dec</v>
      </c>
      <c r="J2170" s="2">
        <f t="shared" si="166"/>
        <v>12</v>
      </c>
      <c r="K2170" s="2">
        <f t="shared" si="167"/>
        <v>2025</v>
      </c>
      <c r="L2170" s="2">
        <f t="shared" si="168"/>
        <v>4</v>
      </c>
      <c r="M2170" s="6">
        <v>1</v>
      </c>
      <c r="N2170" s="6" t="s">
        <v>4711</v>
      </c>
      <c r="O2170" s="6" t="s">
        <v>97</v>
      </c>
      <c r="P2170" s="7">
        <v>203672</v>
      </c>
      <c r="Q2170" s="7">
        <v>200296</v>
      </c>
      <c r="R2170" s="6" t="s">
        <v>4690</v>
      </c>
      <c r="S2170" s="6" t="s">
        <v>5574</v>
      </c>
      <c r="T2170" s="6">
        <v>31.3</v>
      </c>
      <c r="U2170" s="6" t="s">
        <v>63</v>
      </c>
      <c r="V2170" s="6" t="s">
        <v>341</v>
      </c>
      <c r="W2170" s="67" t="str">
        <f t="shared" si="169"/>
        <v>Customer</v>
      </c>
    </row>
    <row r="2171" spans="1:23" x14ac:dyDescent="0.3">
      <c r="A2171" s="6" t="s">
        <v>4801</v>
      </c>
      <c r="B2171" s="6" t="s">
        <v>3675</v>
      </c>
      <c r="C2171" s="6">
        <v>9933255223</v>
      </c>
      <c r="D2171" s="6" t="s">
        <v>20</v>
      </c>
      <c r="E2171" s="6" t="s">
        <v>641</v>
      </c>
      <c r="F2171" s="6" t="s">
        <v>681</v>
      </c>
      <c r="G2171" s="6" t="s">
        <v>1735</v>
      </c>
      <c r="H2171" s="6" t="s">
        <v>4531</v>
      </c>
      <c r="I2171" s="2" t="str">
        <f t="shared" si="165"/>
        <v>Dec</v>
      </c>
      <c r="J2171" s="2">
        <f t="shared" si="166"/>
        <v>12</v>
      </c>
      <c r="K2171" s="2">
        <f t="shared" si="167"/>
        <v>2025</v>
      </c>
      <c r="L2171" s="2">
        <f t="shared" si="168"/>
        <v>4</v>
      </c>
      <c r="M2171" s="6">
        <v>5</v>
      </c>
      <c r="N2171" s="6" t="s">
        <v>4690</v>
      </c>
      <c r="O2171" s="6" t="s">
        <v>97</v>
      </c>
      <c r="P2171" s="7">
        <v>1850411</v>
      </c>
      <c r="Q2171" s="7">
        <v>1647551</v>
      </c>
      <c r="R2171" s="6" t="s">
        <v>4733</v>
      </c>
      <c r="S2171" s="6" t="s">
        <v>5819</v>
      </c>
      <c r="T2171" s="6">
        <v>30.2</v>
      </c>
      <c r="U2171" s="6" t="s">
        <v>47</v>
      </c>
      <c r="V2171" s="6" t="s">
        <v>465</v>
      </c>
      <c r="W2171" s="67" t="str">
        <f t="shared" si="169"/>
        <v>Customer</v>
      </c>
    </row>
    <row r="2172" spans="1:23" x14ac:dyDescent="0.3">
      <c r="A2172" s="2" t="s">
        <v>4802</v>
      </c>
      <c r="B2172" s="2" t="s">
        <v>4803</v>
      </c>
      <c r="C2172" s="2">
        <v>9454436789</v>
      </c>
      <c r="D2172" s="2" t="s">
        <v>108</v>
      </c>
      <c r="E2172" s="2" t="s">
        <v>41</v>
      </c>
      <c r="F2172" s="2" t="s">
        <v>151</v>
      </c>
      <c r="G2172" s="2" t="s">
        <v>87</v>
      </c>
      <c r="H2172" s="2" t="s">
        <v>4531</v>
      </c>
      <c r="I2172" s="2" t="str">
        <f t="shared" si="165"/>
        <v>Dec</v>
      </c>
      <c r="J2172" s="2">
        <f t="shared" si="166"/>
        <v>12</v>
      </c>
      <c r="K2172" s="2">
        <f t="shared" si="167"/>
        <v>2025</v>
      </c>
      <c r="L2172" s="2">
        <f t="shared" si="168"/>
        <v>4</v>
      </c>
      <c r="M2172" s="2">
        <v>10</v>
      </c>
      <c r="N2172" s="2" t="s">
        <v>4804</v>
      </c>
      <c r="O2172" s="2" t="s">
        <v>27</v>
      </c>
      <c r="P2172" s="3">
        <v>284911</v>
      </c>
      <c r="Q2172" s="2"/>
      <c r="R2172" s="2"/>
      <c r="S2172" s="2" t="s">
        <v>5574</v>
      </c>
      <c r="T2172" s="2">
        <v>28.3</v>
      </c>
      <c r="U2172" s="2" t="s">
        <v>47</v>
      </c>
      <c r="V2172" s="2" t="s">
        <v>202</v>
      </c>
      <c r="W2172" s="67" t="str">
        <f t="shared" si="169"/>
        <v>-</v>
      </c>
    </row>
    <row r="2173" spans="1:23" x14ac:dyDescent="0.3">
      <c r="A2173" s="6" t="s">
        <v>4805</v>
      </c>
      <c r="B2173" s="6" t="s">
        <v>882</v>
      </c>
      <c r="C2173" s="6">
        <v>9255418912</v>
      </c>
      <c r="D2173" s="6" t="s">
        <v>20</v>
      </c>
      <c r="E2173" s="6" t="s">
        <v>41</v>
      </c>
      <c r="F2173" s="6" t="s">
        <v>86</v>
      </c>
      <c r="G2173" s="6" t="s">
        <v>616</v>
      </c>
      <c r="H2173" s="6" t="s">
        <v>4531</v>
      </c>
      <c r="I2173" s="2" t="str">
        <f t="shared" si="165"/>
        <v>Dec</v>
      </c>
      <c r="J2173" s="2">
        <f t="shared" si="166"/>
        <v>12</v>
      </c>
      <c r="K2173" s="2">
        <f t="shared" si="167"/>
        <v>2025</v>
      </c>
      <c r="L2173" s="2">
        <f t="shared" si="168"/>
        <v>4</v>
      </c>
      <c r="M2173" s="6">
        <v>5</v>
      </c>
      <c r="N2173" s="6" t="s">
        <v>4563</v>
      </c>
      <c r="O2173" s="6" t="s">
        <v>97</v>
      </c>
      <c r="P2173" s="7">
        <v>240306</v>
      </c>
      <c r="Q2173" s="7">
        <v>229092</v>
      </c>
      <c r="R2173" s="6" t="s">
        <v>4730</v>
      </c>
      <c r="S2173" s="6" t="s">
        <v>5819</v>
      </c>
      <c r="T2173" s="6">
        <v>11.8</v>
      </c>
      <c r="U2173" s="6" t="s">
        <v>63</v>
      </c>
      <c r="V2173" s="6" t="s">
        <v>99</v>
      </c>
      <c r="W2173" s="67" t="str">
        <f t="shared" si="169"/>
        <v>Customer</v>
      </c>
    </row>
    <row r="2174" spans="1:23" x14ac:dyDescent="0.3">
      <c r="A2174" s="2" t="s">
        <v>4806</v>
      </c>
      <c r="B2174" s="2" t="s">
        <v>4807</v>
      </c>
      <c r="C2174" s="2">
        <v>9438004607</v>
      </c>
      <c r="D2174" s="2" t="s">
        <v>20</v>
      </c>
      <c r="E2174" s="2" t="s">
        <v>41</v>
      </c>
      <c r="F2174" s="2" t="s">
        <v>151</v>
      </c>
      <c r="G2174" s="2" t="s">
        <v>643</v>
      </c>
      <c r="H2174" s="2" t="s">
        <v>4531</v>
      </c>
      <c r="I2174" s="2" t="str">
        <f t="shared" si="165"/>
        <v>Dec</v>
      </c>
      <c r="J2174" s="2">
        <f t="shared" si="166"/>
        <v>12</v>
      </c>
      <c r="K2174" s="2">
        <f t="shared" si="167"/>
        <v>2025</v>
      </c>
      <c r="L2174" s="2">
        <f t="shared" si="168"/>
        <v>4</v>
      </c>
      <c r="M2174" s="2">
        <v>12</v>
      </c>
      <c r="N2174" s="2" t="s">
        <v>4808</v>
      </c>
      <c r="O2174" s="2" t="s">
        <v>45</v>
      </c>
      <c r="P2174" s="3">
        <v>958052</v>
      </c>
      <c r="Q2174" s="2"/>
      <c r="R2174" s="2"/>
      <c r="S2174" s="2" t="s">
        <v>5574</v>
      </c>
      <c r="T2174" s="2">
        <v>23.6</v>
      </c>
      <c r="U2174" s="2" t="s">
        <v>29</v>
      </c>
      <c r="V2174" s="2" t="s">
        <v>389</v>
      </c>
      <c r="W2174" s="67" t="str">
        <f t="shared" si="169"/>
        <v>-</v>
      </c>
    </row>
    <row r="2175" spans="1:23" x14ac:dyDescent="0.3">
      <c r="A2175" s="4" t="s">
        <v>4809</v>
      </c>
      <c r="B2175" s="4" t="s">
        <v>909</v>
      </c>
      <c r="C2175" s="4"/>
      <c r="D2175" s="4" t="s">
        <v>121</v>
      </c>
      <c r="E2175" s="4" t="s">
        <v>648</v>
      </c>
      <c r="F2175" s="4" t="s">
        <v>656</v>
      </c>
      <c r="G2175" s="4" t="s">
        <v>1677</v>
      </c>
      <c r="H2175" s="4" t="s">
        <v>4531</v>
      </c>
      <c r="I2175" s="2" t="str">
        <f t="shared" si="165"/>
        <v>Dec</v>
      </c>
      <c r="J2175" s="2">
        <f t="shared" si="166"/>
        <v>12</v>
      </c>
      <c r="K2175" s="2">
        <f t="shared" si="167"/>
        <v>2025</v>
      </c>
      <c r="L2175" s="2">
        <f t="shared" si="168"/>
        <v>4</v>
      </c>
      <c r="M2175" s="4">
        <v>9</v>
      </c>
      <c r="N2175" s="4" t="s">
        <v>4810</v>
      </c>
      <c r="O2175" s="4" t="s">
        <v>27</v>
      </c>
      <c r="P2175" s="5">
        <v>1685266</v>
      </c>
      <c r="Q2175" s="4"/>
      <c r="R2175" s="4"/>
      <c r="S2175" s="4" t="s">
        <v>5819</v>
      </c>
      <c r="T2175" s="4">
        <v>33.9</v>
      </c>
      <c r="U2175" s="4" t="s">
        <v>29</v>
      </c>
      <c r="V2175" s="4" t="s">
        <v>3513</v>
      </c>
      <c r="W2175" s="67" t="str">
        <f t="shared" si="169"/>
        <v>-</v>
      </c>
    </row>
    <row r="2176" spans="1:23" x14ac:dyDescent="0.3">
      <c r="A2176" s="2" t="s">
        <v>4811</v>
      </c>
      <c r="B2176" s="2" t="s">
        <v>2905</v>
      </c>
      <c r="C2176" s="2">
        <v>9731199947</v>
      </c>
      <c r="D2176" s="2" t="s">
        <v>59</v>
      </c>
      <c r="E2176" s="2" t="s">
        <v>41</v>
      </c>
      <c r="F2176" s="2" t="s">
        <v>42</v>
      </c>
      <c r="G2176" s="2" t="s">
        <v>616</v>
      </c>
      <c r="H2176" s="2" t="s">
        <v>4531</v>
      </c>
      <c r="I2176" s="2" t="str">
        <f t="shared" si="165"/>
        <v>Dec</v>
      </c>
      <c r="J2176" s="2">
        <f t="shared" si="166"/>
        <v>12</v>
      </c>
      <c r="K2176" s="2">
        <f t="shared" si="167"/>
        <v>2025</v>
      </c>
      <c r="L2176" s="2">
        <f t="shared" si="168"/>
        <v>4</v>
      </c>
      <c r="M2176" s="2">
        <v>1</v>
      </c>
      <c r="N2176" s="2" t="s">
        <v>4363</v>
      </c>
      <c r="O2176" s="2" t="s">
        <v>62</v>
      </c>
      <c r="P2176" s="3">
        <v>194101</v>
      </c>
      <c r="Q2176" s="2"/>
      <c r="R2176" s="2"/>
      <c r="S2176" s="2" t="s">
        <v>5573</v>
      </c>
      <c r="T2176" s="2">
        <v>15.5</v>
      </c>
      <c r="U2176" s="2" t="s">
        <v>47</v>
      </c>
      <c r="V2176" s="2" t="s">
        <v>89</v>
      </c>
      <c r="W2176" s="67" t="str">
        <f t="shared" si="169"/>
        <v>-</v>
      </c>
    </row>
    <row r="2177" spans="1:23" x14ac:dyDescent="0.3">
      <c r="A2177" s="6" t="s">
        <v>4812</v>
      </c>
      <c r="B2177" s="6" t="s">
        <v>4813</v>
      </c>
      <c r="C2177" s="6">
        <v>9828808253</v>
      </c>
      <c r="D2177" s="6" t="s">
        <v>20</v>
      </c>
      <c r="E2177" s="6" t="s">
        <v>648</v>
      </c>
      <c r="F2177" s="6" t="s">
        <v>649</v>
      </c>
      <c r="G2177" s="6" t="s">
        <v>1677</v>
      </c>
      <c r="H2177" s="6" t="s">
        <v>4531</v>
      </c>
      <c r="I2177" s="2" t="str">
        <f t="shared" si="165"/>
        <v>Dec</v>
      </c>
      <c r="J2177" s="2">
        <f t="shared" si="166"/>
        <v>12</v>
      </c>
      <c r="K2177" s="2">
        <f t="shared" si="167"/>
        <v>2025</v>
      </c>
      <c r="L2177" s="2">
        <f t="shared" si="168"/>
        <v>4</v>
      </c>
      <c r="M2177" s="6">
        <v>9</v>
      </c>
      <c r="N2177" s="6" t="s">
        <v>4715</v>
      </c>
      <c r="O2177" s="6" t="s">
        <v>97</v>
      </c>
      <c r="P2177" s="7">
        <v>1071563</v>
      </c>
      <c r="Q2177" s="7">
        <v>1020721</v>
      </c>
      <c r="R2177" s="6" t="s">
        <v>4713</v>
      </c>
      <c r="S2177" s="6" t="s">
        <v>5574</v>
      </c>
      <c r="T2177" s="6">
        <v>13.8</v>
      </c>
      <c r="U2177" s="6" t="s">
        <v>47</v>
      </c>
      <c r="V2177" s="6" t="s">
        <v>465</v>
      </c>
      <c r="W2177" s="67" t="str">
        <f t="shared" si="169"/>
        <v>Customer</v>
      </c>
    </row>
    <row r="2178" spans="1:23" x14ac:dyDescent="0.3">
      <c r="A2178" s="2" t="s">
        <v>4814</v>
      </c>
      <c r="B2178" s="2" t="s">
        <v>3816</v>
      </c>
      <c r="C2178" s="2">
        <v>9275576878</v>
      </c>
      <c r="D2178" s="2" t="s">
        <v>20</v>
      </c>
      <c r="E2178" s="2" t="s">
        <v>648</v>
      </c>
      <c r="F2178" s="2" t="s">
        <v>899</v>
      </c>
      <c r="G2178" s="2" t="s">
        <v>69</v>
      </c>
      <c r="H2178" s="2" t="s">
        <v>4572</v>
      </c>
      <c r="I2178" s="2" t="str">
        <f t="shared" ref="I2178:I2241" si="170">TEXT(H2178,"mmm")</f>
        <v>Dec</v>
      </c>
      <c r="J2178" s="2">
        <f t="shared" ref="J2178:J2241" si="171">MONTH(H2178)</f>
        <v>12</v>
      </c>
      <c r="K2178" s="2">
        <f t="shared" ref="K2178:K2241" si="172">YEAR(H2178)</f>
        <v>2025</v>
      </c>
      <c r="L2178" s="2">
        <f t="shared" ref="L2178:L2241" si="173">ROUNDUP(MONTH(H2178)/3,0)</f>
        <v>4</v>
      </c>
      <c r="M2178" s="2">
        <v>1</v>
      </c>
      <c r="N2178" s="2" t="s">
        <v>4512</v>
      </c>
      <c r="O2178" s="2" t="s">
        <v>45</v>
      </c>
      <c r="P2178" s="3">
        <v>256977</v>
      </c>
      <c r="Q2178" s="2"/>
      <c r="R2178" s="2"/>
      <c r="S2178" s="2" t="s">
        <v>5573</v>
      </c>
      <c r="T2178" s="2">
        <v>17.399999999999999</v>
      </c>
      <c r="U2178" s="2" t="s">
        <v>47</v>
      </c>
      <c r="V2178" s="2" t="s">
        <v>256</v>
      </c>
      <c r="W2178" s="67" t="str">
        <f t="shared" ref="W2178:W2241" si="174">IF($O2178&lt;&gt;"Converted","-",IF(ISNUMBER(SEARCH("Architect",$F2178)),"Architect","Customer"))</f>
        <v>-</v>
      </c>
    </row>
    <row r="2179" spans="1:23" x14ac:dyDescent="0.3">
      <c r="A2179" s="6" t="s">
        <v>4815</v>
      </c>
      <c r="B2179" s="6" t="s">
        <v>4816</v>
      </c>
      <c r="C2179" s="6">
        <v>9221683590</v>
      </c>
      <c r="D2179" s="6" t="s">
        <v>20</v>
      </c>
      <c r="E2179" s="6" t="s">
        <v>1632</v>
      </c>
      <c r="F2179" s="6" t="s">
        <v>1717</v>
      </c>
      <c r="G2179" s="6" t="s">
        <v>87</v>
      </c>
      <c r="H2179" s="6" t="s">
        <v>4611</v>
      </c>
      <c r="I2179" s="2" t="str">
        <f t="shared" si="170"/>
        <v>Dec</v>
      </c>
      <c r="J2179" s="2">
        <f t="shared" si="171"/>
        <v>12</v>
      </c>
      <c r="K2179" s="2">
        <f t="shared" si="172"/>
        <v>2025</v>
      </c>
      <c r="L2179" s="2">
        <f t="shared" si="173"/>
        <v>4</v>
      </c>
      <c r="M2179" s="6">
        <v>0</v>
      </c>
      <c r="N2179" s="6" t="s">
        <v>4464</v>
      </c>
      <c r="O2179" s="6" t="s">
        <v>97</v>
      </c>
      <c r="P2179" s="7">
        <v>183455</v>
      </c>
      <c r="Q2179" s="7">
        <v>185680</v>
      </c>
      <c r="R2179" s="6" t="s">
        <v>4563</v>
      </c>
      <c r="S2179" s="6" t="s">
        <v>5819</v>
      </c>
      <c r="T2179" s="6">
        <v>14.3</v>
      </c>
      <c r="U2179" s="6" t="s">
        <v>63</v>
      </c>
      <c r="V2179" s="6" t="s">
        <v>341</v>
      </c>
      <c r="W2179" s="67" t="str">
        <f t="shared" si="174"/>
        <v>Customer</v>
      </c>
    </row>
    <row r="2180" spans="1:23" x14ac:dyDescent="0.3">
      <c r="A2180" s="2" t="s">
        <v>4817</v>
      </c>
      <c r="B2180" s="2" t="s">
        <v>1331</v>
      </c>
      <c r="C2180" s="2">
        <v>9723447772</v>
      </c>
      <c r="D2180" s="2" t="s">
        <v>20</v>
      </c>
      <c r="E2180" s="2" t="s">
        <v>1632</v>
      </c>
      <c r="F2180" s="2" t="s">
        <v>1717</v>
      </c>
      <c r="G2180" s="2" t="s">
        <v>87</v>
      </c>
      <c r="H2180" s="2" t="s">
        <v>4511</v>
      </c>
      <c r="I2180" s="2" t="str">
        <f t="shared" si="170"/>
        <v>Jan</v>
      </c>
      <c r="J2180" s="2">
        <f t="shared" si="171"/>
        <v>1</v>
      </c>
      <c r="K2180" s="2">
        <f t="shared" si="172"/>
        <v>2026</v>
      </c>
      <c r="L2180" s="2">
        <f t="shared" si="173"/>
        <v>1</v>
      </c>
      <c r="M2180" s="2">
        <v>6</v>
      </c>
      <c r="N2180" s="2" t="s">
        <v>4818</v>
      </c>
      <c r="O2180" s="2" t="s">
        <v>45</v>
      </c>
      <c r="P2180" s="3">
        <v>162434</v>
      </c>
      <c r="Q2180" s="2"/>
      <c r="R2180" s="2"/>
      <c r="S2180" s="2" t="s">
        <v>5573</v>
      </c>
      <c r="T2180" s="2">
        <v>4.5</v>
      </c>
      <c r="U2180" s="2" t="s">
        <v>63</v>
      </c>
      <c r="V2180" s="2" t="s">
        <v>559</v>
      </c>
      <c r="W2180" s="67" t="str">
        <f t="shared" si="174"/>
        <v>-</v>
      </c>
    </row>
    <row r="2181" spans="1:23" x14ac:dyDescent="0.3">
      <c r="A2181" s="6" t="s">
        <v>4819</v>
      </c>
      <c r="B2181" s="6" t="s">
        <v>2195</v>
      </c>
      <c r="C2181" s="6">
        <v>9318107558</v>
      </c>
      <c r="D2181" s="6" t="s">
        <v>20</v>
      </c>
      <c r="E2181" s="6" t="s">
        <v>1632</v>
      </c>
      <c r="F2181" s="6" t="s">
        <v>1717</v>
      </c>
      <c r="G2181" s="6" t="s">
        <v>23</v>
      </c>
      <c r="H2181" s="6" t="s">
        <v>4511</v>
      </c>
      <c r="I2181" s="2" t="str">
        <f t="shared" si="170"/>
        <v>Jan</v>
      </c>
      <c r="J2181" s="2">
        <f t="shared" si="171"/>
        <v>1</v>
      </c>
      <c r="K2181" s="2">
        <f t="shared" si="172"/>
        <v>2026</v>
      </c>
      <c r="L2181" s="2">
        <f t="shared" si="173"/>
        <v>1</v>
      </c>
      <c r="M2181" s="6">
        <v>6</v>
      </c>
      <c r="N2181" s="6" t="s">
        <v>4818</v>
      </c>
      <c r="O2181" s="6" t="s">
        <v>97</v>
      </c>
      <c r="P2181" s="7">
        <v>863342</v>
      </c>
      <c r="Q2181" s="7">
        <v>764860</v>
      </c>
      <c r="R2181" s="6" t="s">
        <v>4696</v>
      </c>
      <c r="S2181" s="6" t="s">
        <v>5574</v>
      </c>
      <c r="T2181" s="6">
        <v>17.2</v>
      </c>
      <c r="U2181" s="6" t="s">
        <v>63</v>
      </c>
      <c r="V2181" s="6" t="s">
        <v>113</v>
      </c>
      <c r="W2181" s="67" t="str">
        <f t="shared" si="174"/>
        <v>Customer</v>
      </c>
    </row>
    <row r="2182" spans="1:23" x14ac:dyDescent="0.3">
      <c r="A2182" s="2" t="s">
        <v>4820</v>
      </c>
      <c r="B2182" s="2" t="s">
        <v>4821</v>
      </c>
      <c r="C2182" s="2">
        <v>9282951750</v>
      </c>
      <c r="D2182" s="2" t="s">
        <v>59</v>
      </c>
      <c r="E2182" s="2" t="s">
        <v>1632</v>
      </c>
      <c r="F2182" s="2" t="s">
        <v>1694</v>
      </c>
      <c r="G2182" s="2" t="s">
        <v>35</v>
      </c>
      <c r="H2182" s="2" t="s">
        <v>4511</v>
      </c>
      <c r="I2182" s="2" t="str">
        <f t="shared" si="170"/>
        <v>Jan</v>
      </c>
      <c r="J2182" s="2">
        <f t="shared" si="171"/>
        <v>1</v>
      </c>
      <c r="K2182" s="2">
        <f t="shared" si="172"/>
        <v>2026</v>
      </c>
      <c r="L2182" s="2">
        <f t="shared" si="173"/>
        <v>1</v>
      </c>
      <c r="M2182" s="2">
        <v>4</v>
      </c>
      <c r="N2182" s="2" t="s">
        <v>4740</v>
      </c>
      <c r="O2182" s="2" t="s">
        <v>27</v>
      </c>
      <c r="P2182" s="3">
        <v>343487</v>
      </c>
      <c r="Q2182" s="2"/>
      <c r="R2182" s="2"/>
      <c r="S2182" s="2" t="s">
        <v>5574</v>
      </c>
      <c r="T2182" s="2">
        <v>20.5</v>
      </c>
      <c r="U2182" s="2" t="s">
        <v>29</v>
      </c>
      <c r="V2182" s="2"/>
      <c r="W2182" s="67" t="str">
        <f t="shared" si="174"/>
        <v>-</v>
      </c>
    </row>
    <row r="2183" spans="1:23" x14ac:dyDescent="0.3">
      <c r="A2183" s="6" t="s">
        <v>4822</v>
      </c>
      <c r="B2183" s="6" t="s">
        <v>952</v>
      </c>
      <c r="C2183" s="6">
        <v>9466681532</v>
      </c>
      <c r="D2183" s="6" t="s">
        <v>20</v>
      </c>
      <c r="E2183" s="6" t="s">
        <v>109</v>
      </c>
      <c r="F2183" s="6" t="s">
        <v>217</v>
      </c>
      <c r="G2183" s="6" t="s">
        <v>643</v>
      </c>
      <c r="H2183" s="6" t="s">
        <v>4511</v>
      </c>
      <c r="I2183" s="2" t="str">
        <f t="shared" si="170"/>
        <v>Jan</v>
      </c>
      <c r="J2183" s="2">
        <f t="shared" si="171"/>
        <v>1</v>
      </c>
      <c r="K2183" s="2">
        <f t="shared" si="172"/>
        <v>2026</v>
      </c>
      <c r="L2183" s="2">
        <f t="shared" si="173"/>
        <v>1</v>
      </c>
      <c r="M2183" s="6">
        <v>12</v>
      </c>
      <c r="N2183" s="6" t="s">
        <v>4747</v>
      </c>
      <c r="O2183" s="6" t="s">
        <v>97</v>
      </c>
      <c r="P2183" s="7">
        <v>1541213</v>
      </c>
      <c r="Q2183" s="7">
        <v>1544401</v>
      </c>
      <c r="R2183" s="6" t="s">
        <v>4823</v>
      </c>
      <c r="S2183" s="6" t="s">
        <v>5819</v>
      </c>
      <c r="T2183" s="6">
        <v>28</v>
      </c>
      <c r="U2183" s="6" t="s">
        <v>47</v>
      </c>
      <c r="V2183" s="6" t="s">
        <v>99</v>
      </c>
      <c r="W2183" s="67" t="str">
        <f t="shared" si="174"/>
        <v>Customer</v>
      </c>
    </row>
    <row r="2184" spans="1:23" x14ac:dyDescent="0.3">
      <c r="A2184" s="2" t="s">
        <v>4824</v>
      </c>
      <c r="B2184" s="2" t="s">
        <v>4825</v>
      </c>
      <c r="C2184" s="2">
        <v>9550787404</v>
      </c>
      <c r="D2184" s="2" t="s">
        <v>20</v>
      </c>
      <c r="E2184" s="2" t="s">
        <v>109</v>
      </c>
      <c r="F2184" s="2" t="s">
        <v>331</v>
      </c>
      <c r="G2184" s="2" t="s">
        <v>69</v>
      </c>
      <c r="H2184" s="2" t="s">
        <v>4558</v>
      </c>
      <c r="I2184" s="2" t="str">
        <f t="shared" si="170"/>
        <v>Jan</v>
      </c>
      <c r="J2184" s="2">
        <f t="shared" si="171"/>
        <v>1</v>
      </c>
      <c r="K2184" s="2">
        <f t="shared" si="172"/>
        <v>2026</v>
      </c>
      <c r="L2184" s="2">
        <f t="shared" si="173"/>
        <v>1</v>
      </c>
      <c r="M2184" s="2">
        <v>2</v>
      </c>
      <c r="N2184" s="2" t="s">
        <v>4657</v>
      </c>
      <c r="O2184" s="2" t="s">
        <v>55</v>
      </c>
      <c r="P2184" s="3">
        <v>253297</v>
      </c>
      <c r="Q2184" s="2"/>
      <c r="R2184" s="2"/>
      <c r="S2184" s="2" t="s">
        <v>5574</v>
      </c>
      <c r="T2184" s="2">
        <v>11</v>
      </c>
      <c r="U2184" s="2" t="s">
        <v>47</v>
      </c>
      <c r="V2184" s="2" t="s">
        <v>137</v>
      </c>
      <c r="W2184" s="67" t="str">
        <f t="shared" si="174"/>
        <v>-</v>
      </c>
    </row>
    <row r="2185" spans="1:23" x14ac:dyDescent="0.3">
      <c r="A2185" s="4" t="s">
        <v>4826</v>
      </c>
      <c r="B2185" s="4" t="s">
        <v>1044</v>
      </c>
      <c r="C2185" s="4">
        <v>9956681603</v>
      </c>
      <c r="D2185" s="4" t="s">
        <v>59</v>
      </c>
      <c r="E2185" s="4" t="s">
        <v>1632</v>
      </c>
      <c r="F2185" s="4" t="s">
        <v>1849</v>
      </c>
      <c r="G2185" s="4" t="s">
        <v>35</v>
      </c>
      <c r="H2185" s="4" t="s">
        <v>4558</v>
      </c>
      <c r="I2185" s="2" t="str">
        <f t="shared" si="170"/>
        <v>Jan</v>
      </c>
      <c r="J2185" s="2">
        <f t="shared" si="171"/>
        <v>1</v>
      </c>
      <c r="K2185" s="2">
        <f t="shared" si="172"/>
        <v>2026</v>
      </c>
      <c r="L2185" s="2">
        <f t="shared" si="173"/>
        <v>1</v>
      </c>
      <c r="M2185" s="4">
        <v>9</v>
      </c>
      <c r="N2185" s="4" t="s">
        <v>4733</v>
      </c>
      <c r="O2185" s="4" t="s">
        <v>27</v>
      </c>
      <c r="P2185" s="5">
        <v>226688</v>
      </c>
      <c r="Q2185" s="4"/>
      <c r="R2185" s="4"/>
      <c r="S2185" s="4" t="s">
        <v>5573</v>
      </c>
      <c r="T2185" s="4">
        <v>16.7</v>
      </c>
      <c r="U2185" s="4" t="s">
        <v>29</v>
      </c>
      <c r="V2185" s="4" t="s">
        <v>30</v>
      </c>
      <c r="W2185" s="67" t="str">
        <f t="shared" si="174"/>
        <v>-</v>
      </c>
    </row>
    <row r="2186" spans="1:23" x14ac:dyDescent="0.3">
      <c r="A2186" s="2" t="s">
        <v>4827</v>
      </c>
      <c r="B2186" s="2" t="s">
        <v>4018</v>
      </c>
      <c r="C2186" s="2">
        <v>9131343440</v>
      </c>
      <c r="D2186" s="2" t="s">
        <v>121</v>
      </c>
      <c r="E2186" s="2" t="s">
        <v>1632</v>
      </c>
      <c r="F2186" s="2" t="s">
        <v>1682</v>
      </c>
      <c r="G2186" s="2" t="s">
        <v>643</v>
      </c>
      <c r="H2186" s="2" t="s">
        <v>4512</v>
      </c>
      <c r="I2186" s="2" t="str">
        <f t="shared" si="170"/>
        <v>Jan</v>
      </c>
      <c r="J2186" s="2">
        <f t="shared" si="171"/>
        <v>1</v>
      </c>
      <c r="K2186" s="2">
        <f t="shared" si="172"/>
        <v>2026</v>
      </c>
      <c r="L2186" s="2">
        <f t="shared" si="173"/>
        <v>1</v>
      </c>
      <c r="M2186" s="2">
        <v>6</v>
      </c>
      <c r="N2186" s="2" t="s">
        <v>4761</v>
      </c>
      <c r="O2186" s="2" t="s">
        <v>62</v>
      </c>
      <c r="P2186" s="3">
        <v>1452538</v>
      </c>
      <c r="Q2186" s="2"/>
      <c r="R2186" s="2"/>
      <c r="S2186" s="2" t="s">
        <v>5574</v>
      </c>
      <c r="T2186" s="2">
        <v>23.2</v>
      </c>
      <c r="U2186" s="2" t="s">
        <v>63</v>
      </c>
      <c r="V2186" s="2" t="s">
        <v>535</v>
      </c>
      <c r="W2186" s="67" t="str">
        <f t="shared" si="174"/>
        <v>-</v>
      </c>
    </row>
    <row r="2187" spans="1:23" x14ac:dyDescent="0.3">
      <c r="A2187" s="6" t="s">
        <v>4828</v>
      </c>
      <c r="B2187" s="6" t="s">
        <v>4829</v>
      </c>
      <c r="C2187" s="6">
        <v>9256112826</v>
      </c>
      <c r="D2187" s="6" t="s">
        <v>59</v>
      </c>
      <c r="E2187" s="6" t="s">
        <v>1632</v>
      </c>
      <c r="F2187" s="6" t="s">
        <v>1694</v>
      </c>
      <c r="G2187" s="6" t="s">
        <v>60</v>
      </c>
      <c r="H2187" s="6" t="s">
        <v>4512</v>
      </c>
      <c r="I2187" s="2" t="str">
        <f t="shared" si="170"/>
        <v>Jan</v>
      </c>
      <c r="J2187" s="2">
        <f t="shared" si="171"/>
        <v>1</v>
      </c>
      <c r="K2187" s="2">
        <f t="shared" si="172"/>
        <v>2026</v>
      </c>
      <c r="L2187" s="2">
        <f t="shared" si="173"/>
        <v>1</v>
      </c>
      <c r="M2187" s="6">
        <v>5</v>
      </c>
      <c r="N2187" s="6" t="s">
        <v>4760</v>
      </c>
      <c r="O2187" s="6" t="s">
        <v>97</v>
      </c>
      <c r="P2187" s="7">
        <v>130492</v>
      </c>
      <c r="Q2187" s="7">
        <v>124067</v>
      </c>
      <c r="R2187" s="6" t="s">
        <v>4830</v>
      </c>
      <c r="S2187" s="6" t="s">
        <v>5573</v>
      </c>
      <c r="T2187" s="6">
        <v>34.200000000000003</v>
      </c>
      <c r="U2187" s="6" t="s">
        <v>63</v>
      </c>
      <c r="V2187" s="6" t="s">
        <v>483</v>
      </c>
      <c r="W2187" s="67" t="str">
        <f t="shared" si="174"/>
        <v>Customer</v>
      </c>
    </row>
    <row r="2188" spans="1:23" x14ac:dyDescent="0.3">
      <c r="A2188" s="6" t="s">
        <v>4831</v>
      </c>
      <c r="B2188" s="6" t="s">
        <v>3733</v>
      </c>
      <c r="C2188" s="6">
        <v>9872571481</v>
      </c>
      <c r="D2188" s="6" t="s">
        <v>51</v>
      </c>
      <c r="E2188" s="6" t="s">
        <v>1632</v>
      </c>
      <c r="F2188" s="6" t="s">
        <v>1849</v>
      </c>
      <c r="G2188" s="6" t="s">
        <v>1677</v>
      </c>
      <c r="H2188" s="6" t="s">
        <v>4512</v>
      </c>
      <c r="I2188" s="2" t="str">
        <f t="shared" si="170"/>
        <v>Jan</v>
      </c>
      <c r="J2188" s="2">
        <f t="shared" si="171"/>
        <v>1</v>
      </c>
      <c r="K2188" s="2">
        <f t="shared" si="172"/>
        <v>2026</v>
      </c>
      <c r="L2188" s="2">
        <f t="shared" si="173"/>
        <v>1</v>
      </c>
      <c r="M2188" s="6">
        <v>7</v>
      </c>
      <c r="N2188" s="6" t="s">
        <v>4804</v>
      </c>
      <c r="O2188" s="6" t="s">
        <v>97</v>
      </c>
      <c r="P2188" s="7">
        <v>1849707</v>
      </c>
      <c r="Q2188" s="7">
        <v>1649938</v>
      </c>
      <c r="R2188" s="6" t="s">
        <v>4832</v>
      </c>
      <c r="S2188" s="6" t="s">
        <v>5574</v>
      </c>
      <c r="T2188" s="6">
        <v>16.7</v>
      </c>
      <c r="U2188" s="6" t="s">
        <v>63</v>
      </c>
      <c r="V2188" s="6" t="s">
        <v>99</v>
      </c>
      <c r="W2188" s="67" t="str">
        <f t="shared" si="174"/>
        <v>Customer</v>
      </c>
    </row>
    <row r="2189" spans="1:23" x14ac:dyDescent="0.3">
      <c r="A2189" s="4" t="s">
        <v>4833</v>
      </c>
      <c r="B2189" s="4" t="s">
        <v>4834</v>
      </c>
      <c r="C2189" s="4">
        <v>9555922184</v>
      </c>
      <c r="D2189" s="4" t="s">
        <v>20</v>
      </c>
      <c r="E2189" s="4" t="s">
        <v>41</v>
      </c>
      <c r="F2189" s="4" t="s">
        <v>42</v>
      </c>
      <c r="G2189" s="4" t="s">
        <v>87</v>
      </c>
      <c r="H2189" s="4" t="s">
        <v>4464</v>
      </c>
      <c r="I2189" s="2" t="str">
        <f t="shared" si="170"/>
        <v>Jan</v>
      </c>
      <c r="J2189" s="2">
        <f t="shared" si="171"/>
        <v>1</v>
      </c>
      <c r="K2189" s="2">
        <f t="shared" si="172"/>
        <v>2026</v>
      </c>
      <c r="L2189" s="2">
        <f t="shared" si="173"/>
        <v>1</v>
      </c>
      <c r="M2189" s="4">
        <v>11</v>
      </c>
      <c r="N2189" s="4" t="s">
        <v>4835</v>
      </c>
      <c r="O2189" s="4" t="s">
        <v>62</v>
      </c>
      <c r="P2189" s="5">
        <v>181898</v>
      </c>
      <c r="Q2189" s="4"/>
      <c r="R2189" s="4"/>
      <c r="S2189" s="4" t="s">
        <v>5819</v>
      </c>
      <c r="T2189" s="4">
        <v>4.5999999999999996</v>
      </c>
      <c r="U2189" s="4" t="s">
        <v>63</v>
      </c>
      <c r="V2189" s="4" t="s">
        <v>678</v>
      </c>
      <c r="W2189" s="67" t="str">
        <f t="shared" si="174"/>
        <v>-</v>
      </c>
    </row>
    <row r="2190" spans="1:23" x14ac:dyDescent="0.3">
      <c r="A2190" s="2" t="s">
        <v>4836</v>
      </c>
      <c r="B2190" s="2" t="s">
        <v>4837</v>
      </c>
      <c r="C2190" s="2">
        <v>9113416393</v>
      </c>
      <c r="D2190" s="2" t="s">
        <v>108</v>
      </c>
      <c r="E2190" s="2" t="s">
        <v>1632</v>
      </c>
      <c r="F2190" s="2" t="s">
        <v>1633</v>
      </c>
      <c r="G2190" s="2" t="s">
        <v>616</v>
      </c>
      <c r="H2190" s="2" t="s">
        <v>4464</v>
      </c>
      <c r="I2190" s="2" t="str">
        <f t="shared" si="170"/>
        <v>Jan</v>
      </c>
      <c r="J2190" s="2">
        <f t="shared" si="171"/>
        <v>1</v>
      </c>
      <c r="K2190" s="2">
        <f t="shared" si="172"/>
        <v>2026</v>
      </c>
      <c r="L2190" s="2">
        <f t="shared" si="173"/>
        <v>1</v>
      </c>
      <c r="M2190" s="2">
        <v>3</v>
      </c>
      <c r="N2190" s="2" t="s">
        <v>4778</v>
      </c>
      <c r="O2190" s="2" t="s">
        <v>62</v>
      </c>
      <c r="P2190" s="3">
        <v>378308</v>
      </c>
      <c r="Q2190" s="2"/>
      <c r="R2190" s="2"/>
      <c r="S2190" s="2" t="s">
        <v>5574</v>
      </c>
      <c r="T2190" s="2">
        <v>33.6</v>
      </c>
      <c r="U2190" s="2" t="s">
        <v>63</v>
      </c>
      <c r="V2190" s="2" t="s">
        <v>559</v>
      </c>
      <c r="W2190" s="67" t="str">
        <f t="shared" si="174"/>
        <v>-</v>
      </c>
    </row>
    <row r="2191" spans="1:23" x14ac:dyDescent="0.3">
      <c r="A2191" s="4" t="s">
        <v>4838</v>
      </c>
      <c r="B2191" s="4" t="s">
        <v>4038</v>
      </c>
      <c r="C2191" s="4">
        <v>9447487496</v>
      </c>
      <c r="D2191" s="4" t="s">
        <v>121</v>
      </c>
      <c r="E2191" s="4" t="s">
        <v>73</v>
      </c>
      <c r="F2191" s="4" t="s">
        <v>126</v>
      </c>
      <c r="G2191" s="4" t="s">
        <v>52</v>
      </c>
      <c r="H2191" s="4" t="s">
        <v>4464</v>
      </c>
      <c r="I2191" s="2" t="str">
        <f t="shared" si="170"/>
        <v>Jan</v>
      </c>
      <c r="J2191" s="2">
        <f t="shared" si="171"/>
        <v>1</v>
      </c>
      <c r="K2191" s="2">
        <f t="shared" si="172"/>
        <v>2026</v>
      </c>
      <c r="L2191" s="2">
        <f t="shared" si="173"/>
        <v>1</v>
      </c>
      <c r="M2191" s="4">
        <v>11</v>
      </c>
      <c r="N2191" s="4" t="s">
        <v>4719</v>
      </c>
      <c r="O2191" s="4" t="s">
        <v>27</v>
      </c>
      <c r="P2191" s="5">
        <v>405308</v>
      </c>
      <c r="Q2191" s="4"/>
      <c r="R2191" s="4"/>
      <c r="S2191" s="4" t="s">
        <v>5819</v>
      </c>
      <c r="T2191" s="4">
        <v>19.600000000000001</v>
      </c>
      <c r="U2191" s="4" t="s">
        <v>29</v>
      </c>
      <c r="V2191" s="4" t="s">
        <v>153</v>
      </c>
      <c r="W2191" s="67" t="str">
        <f t="shared" si="174"/>
        <v>-</v>
      </c>
    </row>
    <row r="2192" spans="1:23" x14ac:dyDescent="0.3">
      <c r="A2192" s="2" t="s">
        <v>4839</v>
      </c>
      <c r="B2192" s="2" t="s">
        <v>4840</v>
      </c>
      <c r="C2192" s="2">
        <v>9331336169</v>
      </c>
      <c r="D2192" s="2" t="s">
        <v>59</v>
      </c>
      <c r="E2192" s="2" t="s">
        <v>1632</v>
      </c>
      <c r="F2192" s="2" t="s">
        <v>1633</v>
      </c>
      <c r="G2192" s="2" t="s">
        <v>87</v>
      </c>
      <c r="H2192" s="2" t="s">
        <v>4464</v>
      </c>
      <c r="I2192" s="2" t="str">
        <f t="shared" si="170"/>
        <v>Jan</v>
      </c>
      <c r="J2192" s="2">
        <f t="shared" si="171"/>
        <v>1</v>
      </c>
      <c r="K2192" s="2">
        <f t="shared" si="172"/>
        <v>2026</v>
      </c>
      <c r="L2192" s="2">
        <f t="shared" si="173"/>
        <v>1</v>
      </c>
      <c r="M2192" s="2">
        <v>9</v>
      </c>
      <c r="N2192" s="2" t="s">
        <v>4841</v>
      </c>
      <c r="O2192" s="2" t="s">
        <v>45</v>
      </c>
      <c r="P2192" s="3">
        <v>166363</v>
      </c>
      <c r="Q2192" s="2"/>
      <c r="R2192" s="2"/>
      <c r="S2192" s="2" t="s">
        <v>5574</v>
      </c>
      <c r="T2192" s="2">
        <v>7.9</v>
      </c>
      <c r="U2192" s="2" t="s">
        <v>29</v>
      </c>
      <c r="V2192" s="2" t="s">
        <v>442</v>
      </c>
      <c r="W2192" s="67" t="str">
        <f t="shared" si="174"/>
        <v>-</v>
      </c>
    </row>
    <row r="2193" spans="1:23" x14ac:dyDescent="0.3">
      <c r="A2193" s="6" t="s">
        <v>4842</v>
      </c>
      <c r="B2193" s="6" t="s">
        <v>3242</v>
      </c>
      <c r="C2193" s="6">
        <v>9391592617</v>
      </c>
      <c r="D2193" s="6" t="s">
        <v>20</v>
      </c>
      <c r="E2193" s="6" t="s">
        <v>1632</v>
      </c>
      <c r="F2193" s="6" t="s">
        <v>1694</v>
      </c>
      <c r="G2193" s="6" t="s">
        <v>1735</v>
      </c>
      <c r="H2193" s="6" t="s">
        <v>4363</v>
      </c>
      <c r="I2193" s="2" t="str">
        <f t="shared" si="170"/>
        <v>Jan</v>
      </c>
      <c r="J2193" s="2">
        <f t="shared" si="171"/>
        <v>1</v>
      </c>
      <c r="K2193" s="2">
        <f t="shared" si="172"/>
        <v>2026</v>
      </c>
      <c r="L2193" s="2">
        <f t="shared" si="173"/>
        <v>1</v>
      </c>
      <c r="M2193" s="6">
        <v>10</v>
      </c>
      <c r="N2193" s="6" t="s">
        <v>4843</v>
      </c>
      <c r="O2193" s="6" t="s">
        <v>97</v>
      </c>
      <c r="P2193" s="7">
        <v>2069886</v>
      </c>
      <c r="Q2193" s="7">
        <v>2083497</v>
      </c>
      <c r="R2193" s="6" t="s">
        <v>4844</v>
      </c>
      <c r="S2193" s="6" t="s">
        <v>5819</v>
      </c>
      <c r="T2193" s="6">
        <v>9.1</v>
      </c>
      <c r="U2193" s="6" t="s">
        <v>63</v>
      </c>
      <c r="V2193" s="6" t="s">
        <v>465</v>
      </c>
      <c r="W2193" s="67" t="str">
        <f t="shared" si="174"/>
        <v>Customer</v>
      </c>
    </row>
    <row r="2194" spans="1:23" x14ac:dyDescent="0.3">
      <c r="A2194" s="2" t="s">
        <v>4845</v>
      </c>
      <c r="B2194" s="2" t="s">
        <v>2386</v>
      </c>
      <c r="C2194" s="2">
        <v>9375412256</v>
      </c>
      <c r="D2194" s="2" t="s">
        <v>51</v>
      </c>
      <c r="E2194" s="2" t="s">
        <v>648</v>
      </c>
      <c r="F2194" s="2" t="s">
        <v>649</v>
      </c>
      <c r="G2194" s="2" t="s">
        <v>616</v>
      </c>
      <c r="H2194" s="2" t="s">
        <v>4363</v>
      </c>
      <c r="I2194" s="2" t="str">
        <f t="shared" si="170"/>
        <v>Jan</v>
      </c>
      <c r="J2194" s="2">
        <f t="shared" si="171"/>
        <v>1</v>
      </c>
      <c r="K2194" s="2">
        <f t="shared" si="172"/>
        <v>2026</v>
      </c>
      <c r="L2194" s="2">
        <f t="shared" si="173"/>
        <v>1</v>
      </c>
      <c r="M2194" s="2">
        <v>2</v>
      </c>
      <c r="N2194" s="2" t="s">
        <v>4666</v>
      </c>
      <c r="O2194" s="2" t="s">
        <v>62</v>
      </c>
      <c r="P2194" s="3">
        <v>153047</v>
      </c>
      <c r="Q2194" s="2"/>
      <c r="R2194" s="2"/>
      <c r="S2194" s="2" t="s">
        <v>5573</v>
      </c>
      <c r="T2194" s="2">
        <v>30.4</v>
      </c>
      <c r="U2194" s="2" t="s">
        <v>47</v>
      </c>
      <c r="V2194" s="2" t="s">
        <v>48</v>
      </c>
      <c r="W2194" s="67" t="str">
        <f t="shared" si="174"/>
        <v>-</v>
      </c>
    </row>
    <row r="2195" spans="1:23" x14ac:dyDescent="0.3">
      <c r="A2195" s="6" t="s">
        <v>4846</v>
      </c>
      <c r="B2195" s="6" t="s">
        <v>4847</v>
      </c>
      <c r="C2195" s="6">
        <v>9535401978</v>
      </c>
      <c r="D2195" s="6" t="s">
        <v>121</v>
      </c>
      <c r="E2195" s="6" t="s">
        <v>1632</v>
      </c>
      <c r="F2195" s="6" t="s">
        <v>1694</v>
      </c>
      <c r="G2195" s="6" t="s">
        <v>643</v>
      </c>
      <c r="H2195" s="6" t="s">
        <v>4363</v>
      </c>
      <c r="I2195" s="2" t="str">
        <f t="shared" si="170"/>
        <v>Jan</v>
      </c>
      <c r="J2195" s="2">
        <f t="shared" si="171"/>
        <v>1</v>
      </c>
      <c r="K2195" s="2">
        <f t="shared" si="172"/>
        <v>2026</v>
      </c>
      <c r="L2195" s="2">
        <f t="shared" si="173"/>
        <v>1</v>
      </c>
      <c r="M2195" s="6">
        <v>3</v>
      </c>
      <c r="N2195" s="6" t="s">
        <v>4760</v>
      </c>
      <c r="O2195" s="6" t="s">
        <v>97</v>
      </c>
      <c r="P2195" s="7">
        <v>1302988</v>
      </c>
      <c r="Q2195" s="7">
        <v>1304248</v>
      </c>
      <c r="R2195" s="6" t="s">
        <v>4848</v>
      </c>
      <c r="S2195" s="6" t="s">
        <v>5573</v>
      </c>
      <c r="T2195" s="6">
        <v>8.6</v>
      </c>
      <c r="U2195" s="6" t="s">
        <v>63</v>
      </c>
      <c r="V2195" s="6" t="s">
        <v>465</v>
      </c>
      <c r="W2195" s="67" t="str">
        <f t="shared" si="174"/>
        <v>Customer</v>
      </c>
    </row>
    <row r="2196" spans="1:23" x14ac:dyDescent="0.3">
      <c r="A2196" s="2" t="s">
        <v>4849</v>
      </c>
      <c r="B2196" s="2" t="s">
        <v>4694</v>
      </c>
      <c r="C2196" s="2">
        <v>9973693508</v>
      </c>
      <c r="D2196" s="2" t="s">
        <v>59</v>
      </c>
      <c r="E2196" s="2" t="s">
        <v>109</v>
      </c>
      <c r="F2196" s="2" t="s">
        <v>110</v>
      </c>
      <c r="G2196" s="2" t="s">
        <v>616</v>
      </c>
      <c r="H2196" s="2" t="s">
        <v>4363</v>
      </c>
      <c r="I2196" s="2" t="str">
        <f t="shared" si="170"/>
        <v>Jan</v>
      </c>
      <c r="J2196" s="2">
        <f t="shared" si="171"/>
        <v>1</v>
      </c>
      <c r="K2196" s="2">
        <f t="shared" si="172"/>
        <v>2026</v>
      </c>
      <c r="L2196" s="2">
        <f t="shared" si="173"/>
        <v>1</v>
      </c>
      <c r="M2196" s="2">
        <v>12</v>
      </c>
      <c r="N2196" s="2" t="s">
        <v>4850</v>
      </c>
      <c r="O2196" s="2" t="s">
        <v>55</v>
      </c>
      <c r="P2196" s="3">
        <v>219614</v>
      </c>
      <c r="Q2196" s="2"/>
      <c r="R2196" s="2"/>
      <c r="S2196" s="2" t="s">
        <v>5573</v>
      </c>
      <c r="T2196" s="2">
        <v>27.7</v>
      </c>
      <c r="U2196" s="2" t="s">
        <v>47</v>
      </c>
      <c r="V2196" s="2" t="s">
        <v>381</v>
      </c>
      <c r="W2196" s="67" t="str">
        <f t="shared" si="174"/>
        <v>-</v>
      </c>
    </row>
    <row r="2197" spans="1:23" x14ac:dyDescent="0.3">
      <c r="A2197" s="6" t="s">
        <v>4851</v>
      </c>
      <c r="B2197" s="6" t="s">
        <v>836</v>
      </c>
      <c r="C2197" s="6">
        <v>9495783258</v>
      </c>
      <c r="D2197" s="6" t="s">
        <v>121</v>
      </c>
      <c r="E2197" s="6" t="s">
        <v>1632</v>
      </c>
      <c r="F2197" s="6" t="s">
        <v>1849</v>
      </c>
      <c r="G2197" s="6" t="s">
        <v>1677</v>
      </c>
      <c r="H2197" s="6" t="s">
        <v>4363</v>
      </c>
      <c r="I2197" s="2" t="str">
        <f t="shared" si="170"/>
        <v>Jan</v>
      </c>
      <c r="J2197" s="2">
        <f t="shared" si="171"/>
        <v>1</v>
      </c>
      <c r="K2197" s="2">
        <f t="shared" si="172"/>
        <v>2026</v>
      </c>
      <c r="L2197" s="2">
        <f t="shared" si="173"/>
        <v>1</v>
      </c>
      <c r="M2197" s="6">
        <v>10</v>
      </c>
      <c r="N2197" s="6" t="s">
        <v>4757</v>
      </c>
      <c r="O2197" s="6" t="s">
        <v>97</v>
      </c>
      <c r="P2197" s="7">
        <v>1102918</v>
      </c>
      <c r="Q2197" s="7">
        <v>1085944</v>
      </c>
      <c r="R2197" s="6" t="s">
        <v>4852</v>
      </c>
      <c r="S2197" s="6" t="s">
        <v>5573</v>
      </c>
      <c r="T2197" s="6">
        <v>19.5</v>
      </c>
      <c r="U2197" s="6" t="s">
        <v>63</v>
      </c>
      <c r="V2197" s="6" t="s">
        <v>113</v>
      </c>
      <c r="W2197" s="67" t="str">
        <f t="shared" si="174"/>
        <v>Customer</v>
      </c>
    </row>
    <row r="2198" spans="1:23" x14ac:dyDescent="0.3">
      <c r="A2198" s="2" t="s">
        <v>4853</v>
      </c>
      <c r="B2198" s="2" t="s">
        <v>3041</v>
      </c>
      <c r="C2198" s="2">
        <v>9265936600</v>
      </c>
      <c r="D2198" s="2" t="s">
        <v>20</v>
      </c>
      <c r="E2198" s="2" t="s">
        <v>109</v>
      </c>
      <c r="F2198" s="2" t="s">
        <v>217</v>
      </c>
      <c r="G2198" s="2" t="s">
        <v>60</v>
      </c>
      <c r="H2198" s="2" t="s">
        <v>4363</v>
      </c>
      <c r="I2198" s="2" t="str">
        <f t="shared" si="170"/>
        <v>Jan</v>
      </c>
      <c r="J2198" s="2">
        <f t="shared" si="171"/>
        <v>1</v>
      </c>
      <c r="K2198" s="2">
        <f t="shared" si="172"/>
        <v>2026</v>
      </c>
      <c r="L2198" s="2">
        <f t="shared" si="173"/>
        <v>1</v>
      </c>
      <c r="M2198" s="2">
        <v>12</v>
      </c>
      <c r="N2198" s="2" t="s">
        <v>4854</v>
      </c>
      <c r="O2198" s="2" t="s">
        <v>27</v>
      </c>
      <c r="P2198" s="3">
        <v>113484</v>
      </c>
      <c r="Q2198" s="2"/>
      <c r="R2198" s="2"/>
      <c r="S2198" s="2" t="s">
        <v>5819</v>
      </c>
      <c r="T2198" s="2">
        <v>11.5</v>
      </c>
      <c r="U2198" s="2" t="s">
        <v>29</v>
      </c>
      <c r="V2198" s="2" t="s">
        <v>157</v>
      </c>
      <c r="W2198" s="67" t="str">
        <f t="shared" si="174"/>
        <v>-</v>
      </c>
    </row>
    <row r="2199" spans="1:23" x14ac:dyDescent="0.3">
      <c r="A2199" s="4" t="s">
        <v>4855</v>
      </c>
      <c r="B2199" s="4" t="s">
        <v>278</v>
      </c>
      <c r="C2199" s="4">
        <v>9474617020</v>
      </c>
      <c r="D2199" s="4" t="s">
        <v>121</v>
      </c>
      <c r="E2199" s="4" t="s">
        <v>1632</v>
      </c>
      <c r="F2199" s="4" t="s">
        <v>1682</v>
      </c>
      <c r="G2199" s="4" t="s">
        <v>1677</v>
      </c>
      <c r="H2199" s="4" t="s">
        <v>4363</v>
      </c>
      <c r="I2199" s="2" t="str">
        <f t="shared" si="170"/>
        <v>Jan</v>
      </c>
      <c r="J2199" s="2">
        <f t="shared" si="171"/>
        <v>1</v>
      </c>
      <c r="K2199" s="2">
        <f t="shared" si="172"/>
        <v>2026</v>
      </c>
      <c r="L2199" s="2">
        <f t="shared" si="173"/>
        <v>1</v>
      </c>
      <c r="M2199" s="4">
        <v>12</v>
      </c>
      <c r="N2199" s="4" t="s">
        <v>4856</v>
      </c>
      <c r="O2199" s="4" t="s">
        <v>45</v>
      </c>
      <c r="P2199" s="5">
        <v>956093</v>
      </c>
      <c r="Q2199" s="4"/>
      <c r="R2199" s="4"/>
      <c r="S2199" s="4" t="s">
        <v>5819</v>
      </c>
      <c r="T2199" s="4">
        <v>4.8</v>
      </c>
      <c r="U2199" s="4" t="s">
        <v>47</v>
      </c>
      <c r="V2199" s="4"/>
      <c r="W2199" s="67" t="str">
        <f t="shared" si="174"/>
        <v>-</v>
      </c>
    </row>
    <row r="2200" spans="1:23" x14ac:dyDescent="0.3">
      <c r="A2200" s="2" t="s">
        <v>4857</v>
      </c>
      <c r="B2200" s="2" t="s">
        <v>3626</v>
      </c>
      <c r="C2200" s="2">
        <v>9807770065</v>
      </c>
      <c r="D2200" s="2" t="s">
        <v>20</v>
      </c>
      <c r="E2200" s="2" t="s">
        <v>41</v>
      </c>
      <c r="F2200" s="2" t="s">
        <v>42</v>
      </c>
      <c r="G2200" s="2" t="s">
        <v>1735</v>
      </c>
      <c r="H2200" s="2" t="s">
        <v>4657</v>
      </c>
      <c r="I2200" s="2" t="str">
        <f t="shared" si="170"/>
        <v>Jan</v>
      </c>
      <c r="J2200" s="2">
        <f t="shared" si="171"/>
        <v>1</v>
      </c>
      <c r="K2200" s="2">
        <f t="shared" si="172"/>
        <v>2026</v>
      </c>
      <c r="L2200" s="2">
        <f t="shared" si="173"/>
        <v>1</v>
      </c>
      <c r="M2200" s="2">
        <v>1</v>
      </c>
      <c r="N2200" s="2" t="s">
        <v>4690</v>
      </c>
      <c r="O2200" s="2" t="s">
        <v>45</v>
      </c>
      <c r="P2200" s="3">
        <v>2046118</v>
      </c>
      <c r="Q2200" s="2"/>
      <c r="R2200" s="2"/>
      <c r="S2200" s="2" t="s">
        <v>5573</v>
      </c>
      <c r="T2200" s="2">
        <v>20.3</v>
      </c>
      <c r="U2200" s="2" t="s">
        <v>47</v>
      </c>
      <c r="V2200" s="2" t="s">
        <v>212</v>
      </c>
      <c r="W2200" s="67" t="str">
        <f t="shared" si="174"/>
        <v>-</v>
      </c>
    </row>
    <row r="2201" spans="1:23" x14ac:dyDescent="0.3">
      <c r="A2201" s="6" t="s">
        <v>4858</v>
      </c>
      <c r="B2201" s="6" t="s">
        <v>515</v>
      </c>
      <c r="C2201" s="6">
        <v>9609789357</v>
      </c>
      <c r="D2201" s="6" t="s">
        <v>20</v>
      </c>
      <c r="E2201" s="6" t="s">
        <v>109</v>
      </c>
      <c r="F2201" s="6" t="s">
        <v>217</v>
      </c>
      <c r="G2201" s="6" t="s">
        <v>1609</v>
      </c>
      <c r="H2201" s="6" t="s">
        <v>4670</v>
      </c>
      <c r="I2201" s="2" t="str">
        <f t="shared" si="170"/>
        <v>Jan</v>
      </c>
      <c r="J2201" s="2">
        <f t="shared" si="171"/>
        <v>1</v>
      </c>
      <c r="K2201" s="2">
        <f t="shared" si="172"/>
        <v>2026</v>
      </c>
      <c r="L2201" s="2">
        <f t="shared" si="173"/>
        <v>1</v>
      </c>
      <c r="M2201" s="6">
        <v>1</v>
      </c>
      <c r="N2201" s="6" t="s">
        <v>4556</v>
      </c>
      <c r="O2201" s="6" t="s">
        <v>97</v>
      </c>
      <c r="P2201" s="7">
        <v>247990</v>
      </c>
      <c r="Q2201" s="7">
        <v>243396</v>
      </c>
      <c r="R2201" s="6" t="s">
        <v>4810</v>
      </c>
      <c r="S2201" s="6" t="s">
        <v>5573</v>
      </c>
      <c r="T2201" s="6">
        <v>6.9</v>
      </c>
      <c r="U2201" s="6" t="s">
        <v>63</v>
      </c>
      <c r="V2201" s="6" t="s">
        <v>907</v>
      </c>
      <c r="W2201" s="67" t="str">
        <f t="shared" si="174"/>
        <v>Customer</v>
      </c>
    </row>
    <row r="2202" spans="1:23" x14ac:dyDescent="0.3">
      <c r="A2202" s="2" t="s">
        <v>4859</v>
      </c>
      <c r="B2202" s="2" t="s">
        <v>4053</v>
      </c>
      <c r="C2202" s="2">
        <v>9417220087</v>
      </c>
      <c r="D2202" s="2" t="s">
        <v>59</v>
      </c>
      <c r="E2202" s="2" t="s">
        <v>41</v>
      </c>
      <c r="F2202" s="2" t="s">
        <v>42</v>
      </c>
      <c r="G2202" s="2" t="s">
        <v>1599</v>
      </c>
      <c r="H2202" s="2" t="s">
        <v>4670</v>
      </c>
      <c r="I2202" s="2" t="str">
        <f t="shared" si="170"/>
        <v>Jan</v>
      </c>
      <c r="J2202" s="2">
        <f t="shared" si="171"/>
        <v>1</v>
      </c>
      <c r="K2202" s="2">
        <f t="shared" si="172"/>
        <v>2026</v>
      </c>
      <c r="L2202" s="2">
        <f t="shared" si="173"/>
        <v>1</v>
      </c>
      <c r="M2202" s="2">
        <v>1</v>
      </c>
      <c r="N2202" s="2" t="s">
        <v>4556</v>
      </c>
      <c r="O2202" s="2" t="s">
        <v>45</v>
      </c>
      <c r="P2202" s="3">
        <v>1134367</v>
      </c>
      <c r="Q2202" s="2"/>
      <c r="R2202" s="2"/>
      <c r="S2202" s="2" t="s">
        <v>5573</v>
      </c>
      <c r="T2202" s="2">
        <v>34.700000000000003</v>
      </c>
      <c r="U2202" s="2" t="s">
        <v>63</v>
      </c>
      <c r="V2202" s="2" t="s">
        <v>260</v>
      </c>
      <c r="W2202" s="67" t="str">
        <f t="shared" si="174"/>
        <v>-</v>
      </c>
    </row>
    <row r="2203" spans="1:23" x14ac:dyDescent="0.3">
      <c r="A2203" s="6" t="s">
        <v>4860</v>
      </c>
      <c r="B2203" s="6" t="s">
        <v>2199</v>
      </c>
      <c r="C2203" s="6">
        <v>9214963854</v>
      </c>
      <c r="D2203" s="6" t="s">
        <v>121</v>
      </c>
      <c r="E2203" s="6" t="s">
        <v>1632</v>
      </c>
      <c r="F2203" s="6" t="s">
        <v>1682</v>
      </c>
      <c r="G2203" s="6" t="s">
        <v>1621</v>
      </c>
      <c r="H2203" s="6" t="s">
        <v>4670</v>
      </c>
      <c r="I2203" s="2" t="str">
        <f t="shared" si="170"/>
        <v>Jan</v>
      </c>
      <c r="J2203" s="2">
        <f t="shared" si="171"/>
        <v>1</v>
      </c>
      <c r="K2203" s="2">
        <f t="shared" si="172"/>
        <v>2026</v>
      </c>
      <c r="L2203" s="2">
        <f t="shared" si="173"/>
        <v>1</v>
      </c>
      <c r="M2203" s="6">
        <v>1</v>
      </c>
      <c r="N2203" s="6" t="s">
        <v>4740</v>
      </c>
      <c r="O2203" s="6" t="s">
        <v>97</v>
      </c>
      <c r="P2203" s="7">
        <v>390147</v>
      </c>
      <c r="Q2203" s="7">
        <v>382761</v>
      </c>
      <c r="R2203" s="6" t="s">
        <v>4766</v>
      </c>
      <c r="S2203" s="6" t="s">
        <v>5574</v>
      </c>
      <c r="T2203" s="6"/>
      <c r="U2203" s="6" t="s">
        <v>63</v>
      </c>
      <c r="V2203" s="6" t="s">
        <v>907</v>
      </c>
      <c r="W2203" s="67" t="str">
        <f t="shared" si="174"/>
        <v>Customer</v>
      </c>
    </row>
    <row r="2204" spans="1:23" x14ac:dyDescent="0.3">
      <c r="A2204" s="2" t="s">
        <v>4861</v>
      </c>
      <c r="B2204" s="2" t="s">
        <v>3567</v>
      </c>
      <c r="C2204" s="2">
        <v>9669893639</v>
      </c>
      <c r="D2204" s="2" t="s">
        <v>108</v>
      </c>
      <c r="E2204" s="2" t="s">
        <v>1632</v>
      </c>
      <c r="F2204" s="2" t="s">
        <v>1682</v>
      </c>
      <c r="G2204" s="2" t="s">
        <v>87</v>
      </c>
      <c r="H2204" s="2" t="s">
        <v>4670</v>
      </c>
      <c r="I2204" s="2" t="str">
        <f t="shared" si="170"/>
        <v>Jan</v>
      </c>
      <c r="J2204" s="2">
        <f t="shared" si="171"/>
        <v>1</v>
      </c>
      <c r="K2204" s="2">
        <f t="shared" si="172"/>
        <v>2026</v>
      </c>
      <c r="L2204" s="2">
        <f t="shared" si="173"/>
        <v>1</v>
      </c>
      <c r="M2204" s="2">
        <v>8</v>
      </c>
      <c r="N2204" s="2" t="s">
        <v>4756</v>
      </c>
      <c r="O2204" s="2" t="s">
        <v>27</v>
      </c>
      <c r="P2204" s="3">
        <v>300796</v>
      </c>
      <c r="Q2204" s="2"/>
      <c r="R2204" s="2"/>
      <c r="S2204" s="2" t="s">
        <v>5573</v>
      </c>
      <c r="T2204" s="2">
        <v>13</v>
      </c>
      <c r="U2204" s="2" t="s">
        <v>29</v>
      </c>
      <c r="V2204" s="2" t="s">
        <v>238</v>
      </c>
      <c r="W2204" s="67" t="str">
        <f t="shared" si="174"/>
        <v>-</v>
      </c>
    </row>
    <row r="2205" spans="1:23" x14ac:dyDescent="0.3">
      <c r="A2205" s="4" t="s">
        <v>4862</v>
      </c>
      <c r="B2205" s="4" t="s">
        <v>4863</v>
      </c>
      <c r="C2205" s="4">
        <v>9179146105</v>
      </c>
      <c r="D2205" s="4" t="s">
        <v>20</v>
      </c>
      <c r="E2205" s="4" t="s">
        <v>21</v>
      </c>
      <c r="F2205" s="4" t="s">
        <v>160</v>
      </c>
      <c r="G2205" s="4" t="s">
        <v>87</v>
      </c>
      <c r="H2205" s="4" t="s">
        <v>4540</v>
      </c>
      <c r="I2205" s="2" t="str">
        <f t="shared" si="170"/>
        <v>Jan</v>
      </c>
      <c r="J2205" s="2">
        <f t="shared" si="171"/>
        <v>1</v>
      </c>
      <c r="K2205" s="2">
        <f t="shared" si="172"/>
        <v>2026</v>
      </c>
      <c r="L2205" s="2">
        <f t="shared" si="173"/>
        <v>1</v>
      </c>
      <c r="M2205" s="4">
        <v>4</v>
      </c>
      <c r="N2205" s="4" t="s">
        <v>4818</v>
      </c>
      <c r="O2205" s="4" t="s">
        <v>27</v>
      </c>
      <c r="P2205" s="5">
        <v>272161</v>
      </c>
      <c r="Q2205" s="4"/>
      <c r="R2205" s="4"/>
      <c r="S2205" s="4" t="s">
        <v>5819</v>
      </c>
      <c r="T2205" s="4">
        <v>20.5</v>
      </c>
      <c r="U2205" s="4" t="s">
        <v>29</v>
      </c>
      <c r="V2205" s="4" t="s">
        <v>163</v>
      </c>
      <c r="W2205" s="67" t="str">
        <f t="shared" si="174"/>
        <v>-</v>
      </c>
    </row>
    <row r="2206" spans="1:23" x14ac:dyDescent="0.3">
      <c r="A2206" s="6" t="s">
        <v>4864</v>
      </c>
      <c r="B2206" s="6" t="s">
        <v>2905</v>
      </c>
      <c r="C2206" s="6">
        <v>9773523122</v>
      </c>
      <c r="D2206" s="6" t="s">
        <v>121</v>
      </c>
      <c r="E2206" s="6" t="s">
        <v>41</v>
      </c>
      <c r="F2206" s="6" t="s">
        <v>42</v>
      </c>
      <c r="G2206" s="6" t="s">
        <v>23</v>
      </c>
      <c r="H2206" s="6" t="s">
        <v>4551</v>
      </c>
      <c r="I2206" s="2" t="str">
        <f t="shared" si="170"/>
        <v>Jan</v>
      </c>
      <c r="J2206" s="2">
        <f t="shared" si="171"/>
        <v>1</v>
      </c>
      <c r="K2206" s="2">
        <f t="shared" si="172"/>
        <v>2026</v>
      </c>
      <c r="L2206" s="2">
        <f t="shared" si="173"/>
        <v>1</v>
      </c>
      <c r="M2206" s="6">
        <v>1</v>
      </c>
      <c r="N2206" s="6" t="s">
        <v>4715</v>
      </c>
      <c r="O2206" s="6" t="s">
        <v>97</v>
      </c>
      <c r="P2206" s="7">
        <v>690476</v>
      </c>
      <c r="Q2206" s="7">
        <v>679503</v>
      </c>
      <c r="R2206" s="6" t="s">
        <v>4738</v>
      </c>
      <c r="S2206" s="6" t="s">
        <v>5819</v>
      </c>
      <c r="T2206" s="6">
        <v>16.3</v>
      </c>
      <c r="U2206" s="6" t="s">
        <v>63</v>
      </c>
      <c r="V2206" s="6" t="s">
        <v>907</v>
      </c>
      <c r="W2206" s="67" t="str">
        <f t="shared" si="174"/>
        <v>Customer</v>
      </c>
    </row>
    <row r="2207" spans="1:23" x14ac:dyDescent="0.3">
      <c r="A2207" s="4" t="s">
        <v>4865</v>
      </c>
      <c r="B2207" s="4" t="s">
        <v>3175</v>
      </c>
      <c r="C2207" s="4">
        <v>9305502933</v>
      </c>
      <c r="D2207" s="4" t="s">
        <v>20</v>
      </c>
      <c r="E2207" s="4" t="s">
        <v>641</v>
      </c>
      <c r="F2207" s="4" t="s">
        <v>717</v>
      </c>
      <c r="G2207" s="4" t="s">
        <v>1599</v>
      </c>
      <c r="H2207" s="4" t="s">
        <v>4666</v>
      </c>
      <c r="I2207" s="2" t="str">
        <f t="shared" si="170"/>
        <v>Jan</v>
      </c>
      <c r="J2207" s="2">
        <f t="shared" si="171"/>
        <v>1</v>
      </c>
      <c r="K2207" s="2">
        <f t="shared" si="172"/>
        <v>2026</v>
      </c>
      <c r="L2207" s="2">
        <f t="shared" si="173"/>
        <v>1</v>
      </c>
      <c r="M2207" s="4">
        <v>0</v>
      </c>
      <c r="N2207" s="4" t="s">
        <v>4587</v>
      </c>
      <c r="O2207" s="4" t="s">
        <v>45</v>
      </c>
      <c r="P2207" s="5">
        <v>1164956</v>
      </c>
      <c r="Q2207" s="4"/>
      <c r="R2207" s="4"/>
      <c r="S2207" s="4" t="s">
        <v>5819</v>
      </c>
      <c r="T2207" s="4">
        <v>18.100000000000001</v>
      </c>
      <c r="U2207" s="4" t="s">
        <v>47</v>
      </c>
      <c r="V2207" s="4"/>
      <c r="W2207" s="67" t="str">
        <f t="shared" si="174"/>
        <v>-</v>
      </c>
    </row>
    <row r="2208" spans="1:23" x14ac:dyDescent="0.3">
      <c r="A2208" s="6" t="s">
        <v>4866</v>
      </c>
      <c r="B2208" s="6" t="s">
        <v>1679</v>
      </c>
      <c r="C2208" s="6">
        <v>9663597889</v>
      </c>
      <c r="D2208" s="6" t="s">
        <v>59</v>
      </c>
      <c r="E2208" s="6" t="s">
        <v>109</v>
      </c>
      <c r="F2208" s="6" t="s">
        <v>331</v>
      </c>
      <c r="G2208" s="6" t="s">
        <v>1677</v>
      </c>
      <c r="H2208" s="6" t="s">
        <v>4666</v>
      </c>
      <c r="I2208" s="2" t="str">
        <f t="shared" si="170"/>
        <v>Jan</v>
      </c>
      <c r="J2208" s="2">
        <f t="shared" si="171"/>
        <v>1</v>
      </c>
      <c r="K2208" s="2">
        <f t="shared" si="172"/>
        <v>2026</v>
      </c>
      <c r="L2208" s="2">
        <f t="shared" si="173"/>
        <v>1</v>
      </c>
      <c r="M2208" s="6">
        <v>0</v>
      </c>
      <c r="N2208" s="6" t="s">
        <v>4740</v>
      </c>
      <c r="O2208" s="6" t="s">
        <v>97</v>
      </c>
      <c r="P2208" s="7">
        <v>1512904</v>
      </c>
      <c r="Q2208" s="7">
        <v>1396548</v>
      </c>
      <c r="R2208" s="6" t="s">
        <v>4742</v>
      </c>
      <c r="S2208" s="6" t="s">
        <v>5574</v>
      </c>
      <c r="T2208" s="6">
        <v>27.5</v>
      </c>
      <c r="U2208" s="6" t="s">
        <v>47</v>
      </c>
      <c r="V2208" s="6" t="s">
        <v>341</v>
      </c>
      <c r="W2208" s="67" t="str">
        <f t="shared" si="174"/>
        <v>Customer</v>
      </c>
    </row>
    <row r="2209" spans="1:23" x14ac:dyDescent="0.3">
      <c r="A2209" s="4" t="s">
        <v>4867</v>
      </c>
      <c r="B2209" s="4" t="s">
        <v>1912</v>
      </c>
      <c r="C2209" s="4">
        <v>9562531328</v>
      </c>
      <c r="D2209" s="4" t="s">
        <v>20</v>
      </c>
      <c r="E2209" s="4" t="s">
        <v>41</v>
      </c>
      <c r="F2209" s="4" t="s">
        <v>42</v>
      </c>
      <c r="G2209" s="4" t="s">
        <v>23</v>
      </c>
      <c r="H2209" s="4" t="s">
        <v>4666</v>
      </c>
      <c r="I2209" s="2" t="str">
        <f t="shared" si="170"/>
        <v>Jan</v>
      </c>
      <c r="J2209" s="2">
        <f t="shared" si="171"/>
        <v>1</v>
      </c>
      <c r="K2209" s="2">
        <f t="shared" si="172"/>
        <v>2026</v>
      </c>
      <c r="L2209" s="2">
        <f t="shared" si="173"/>
        <v>1</v>
      </c>
      <c r="M2209" s="4">
        <v>8</v>
      </c>
      <c r="N2209" s="4" t="s">
        <v>4719</v>
      </c>
      <c r="O2209" s="4" t="s">
        <v>27</v>
      </c>
      <c r="P2209" s="5">
        <v>464821</v>
      </c>
      <c r="Q2209" s="4"/>
      <c r="R2209" s="4"/>
      <c r="S2209" s="4" t="s">
        <v>5574</v>
      </c>
      <c r="T2209" s="4">
        <v>2.4</v>
      </c>
      <c r="U2209" s="4" t="s">
        <v>29</v>
      </c>
      <c r="V2209" s="4"/>
      <c r="W2209" s="67" t="str">
        <f t="shared" si="174"/>
        <v>-</v>
      </c>
    </row>
    <row r="2210" spans="1:23" x14ac:dyDescent="0.3">
      <c r="A2210" s="2" t="s">
        <v>4868</v>
      </c>
      <c r="B2210" s="2" t="s">
        <v>4505</v>
      </c>
      <c r="C2210" s="2">
        <v>9294665231</v>
      </c>
      <c r="D2210" s="2" t="s">
        <v>121</v>
      </c>
      <c r="E2210" s="2" t="s">
        <v>641</v>
      </c>
      <c r="F2210" s="2" t="s">
        <v>727</v>
      </c>
      <c r="G2210" s="2" t="s">
        <v>616</v>
      </c>
      <c r="H2210" s="2" t="s">
        <v>4666</v>
      </c>
      <c r="I2210" s="2" t="str">
        <f t="shared" si="170"/>
        <v>Jan</v>
      </c>
      <c r="J2210" s="2">
        <f t="shared" si="171"/>
        <v>1</v>
      </c>
      <c r="K2210" s="2">
        <f t="shared" si="172"/>
        <v>2026</v>
      </c>
      <c r="L2210" s="2">
        <f t="shared" si="173"/>
        <v>1</v>
      </c>
      <c r="M2210" s="2">
        <v>12</v>
      </c>
      <c r="N2210" s="2" t="s">
        <v>4869</v>
      </c>
      <c r="O2210" s="2" t="s">
        <v>45</v>
      </c>
      <c r="P2210" s="3">
        <v>187757</v>
      </c>
      <c r="Q2210" s="2"/>
      <c r="R2210" s="2"/>
      <c r="S2210" s="2" t="s">
        <v>5574</v>
      </c>
      <c r="T2210" s="2">
        <v>9.1999999999999993</v>
      </c>
      <c r="U2210" s="2" t="s">
        <v>47</v>
      </c>
      <c r="V2210" s="2" t="s">
        <v>48</v>
      </c>
      <c r="W2210" s="67" t="str">
        <f t="shared" si="174"/>
        <v>-</v>
      </c>
    </row>
    <row r="2211" spans="1:23" x14ac:dyDescent="0.3">
      <c r="A2211" s="6" t="s">
        <v>4870</v>
      </c>
      <c r="B2211" s="6" t="s">
        <v>4871</v>
      </c>
      <c r="C2211" s="6">
        <v>9371511356</v>
      </c>
      <c r="D2211" s="6" t="s">
        <v>20</v>
      </c>
      <c r="E2211" s="6" t="s">
        <v>41</v>
      </c>
      <c r="F2211" s="6" t="s">
        <v>42</v>
      </c>
      <c r="G2211" s="6" t="s">
        <v>87</v>
      </c>
      <c r="H2211" s="6" t="s">
        <v>4563</v>
      </c>
      <c r="I2211" s="2" t="str">
        <f t="shared" si="170"/>
        <v>Jan</v>
      </c>
      <c r="J2211" s="2">
        <f t="shared" si="171"/>
        <v>1</v>
      </c>
      <c r="K2211" s="2">
        <f t="shared" si="172"/>
        <v>2026</v>
      </c>
      <c r="L2211" s="2">
        <f t="shared" si="173"/>
        <v>1</v>
      </c>
      <c r="M2211" s="6">
        <v>2</v>
      </c>
      <c r="N2211" s="6" t="s">
        <v>4713</v>
      </c>
      <c r="O2211" s="6" t="s">
        <v>97</v>
      </c>
      <c r="P2211" s="7">
        <v>278207</v>
      </c>
      <c r="Q2211" s="7">
        <v>273425</v>
      </c>
      <c r="R2211" s="6" t="s">
        <v>4719</v>
      </c>
      <c r="S2211" s="6" t="s">
        <v>5574</v>
      </c>
      <c r="T2211" s="6">
        <v>5.6</v>
      </c>
      <c r="U2211" s="6" t="s">
        <v>47</v>
      </c>
      <c r="V2211" s="6"/>
      <c r="W2211" s="67" t="str">
        <f t="shared" si="174"/>
        <v>Customer</v>
      </c>
    </row>
    <row r="2212" spans="1:23" x14ac:dyDescent="0.3">
      <c r="A2212" s="2" t="s">
        <v>4872</v>
      </c>
      <c r="B2212" s="2" t="s">
        <v>4873</v>
      </c>
      <c r="C2212" s="2">
        <v>9663597283</v>
      </c>
      <c r="D2212" s="2" t="s">
        <v>20</v>
      </c>
      <c r="E2212" s="2" t="s">
        <v>1632</v>
      </c>
      <c r="F2212" s="2" t="s">
        <v>1849</v>
      </c>
      <c r="G2212" s="2" t="s">
        <v>616</v>
      </c>
      <c r="H2212" s="2" t="s">
        <v>4563</v>
      </c>
      <c r="I2212" s="2" t="str">
        <f t="shared" si="170"/>
        <v>Jan</v>
      </c>
      <c r="J2212" s="2">
        <f t="shared" si="171"/>
        <v>1</v>
      </c>
      <c r="K2212" s="2">
        <f t="shared" si="172"/>
        <v>2026</v>
      </c>
      <c r="L2212" s="2">
        <f t="shared" si="173"/>
        <v>1</v>
      </c>
      <c r="M2212" s="2">
        <v>12</v>
      </c>
      <c r="N2212" s="2" t="s">
        <v>4719</v>
      </c>
      <c r="O2212" s="2" t="s">
        <v>27</v>
      </c>
      <c r="P2212" s="3">
        <v>371541</v>
      </c>
      <c r="Q2212" s="2"/>
      <c r="R2212" s="2"/>
      <c r="S2212" s="2" t="s">
        <v>5819</v>
      </c>
      <c r="T2212" s="2">
        <v>20.3</v>
      </c>
      <c r="U2212" s="2" t="s">
        <v>47</v>
      </c>
      <c r="V2212" s="2"/>
      <c r="W2212" s="67" t="str">
        <f t="shared" si="174"/>
        <v>-</v>
      </c>
    </row>
    <row r="2213" spans="1:23" x14ac:dyDescent="0.3">
      <c r="A2213" s="4" t="s">
        <v>4874</v>
      </c>
      <c r="B2213" s="4" t="s">
        <v>4875</v>
      </c>
      <c r="C2213" s="4">
        <v>9428357144</v>
      </c>
      <c r="D2213" s="4" t="s">
        <v>59</v>
      </c>
      <c r="E2213" s="4" t="s">
        <v>641</v>
      </c>
      <c r="F2213" s="4" t="s">
        <v>717</v>
      </c>
      <c r="G2213" s="4" t="s">
        <v>1677</v>
      </c>
      <c r="H2213" s="4" t="s">
        <v>4563</v>
      </c>
      <c r="I2213" s="2" t="str">
        <f t="shared" si="170"/>
        <v>Jan</v>
      </c>
      <c r="J2213" s="2">
        <f t="shared" si="171"/>
        <v>1</v>
      </c>
      <c r="K2213" s="2">
        <f t="shared" si="172"/>
        <v>2026</v>
      </c>
      <c r="L2213" s="2">
        <f t="shared" si="173"/>
        <v>1</v>
      </c>
      <c r="M2213" s="4">
        <v>1</v>
      </c>
      <c r="N2213" s="4" t="s">
        <v>4553</v>
      </c>
      <c r="O2213" s="4" t="s">
        <v>27</v>
      </c>
      <c r="P2213" s="5">
        <v>1763845</v>
      </c>
      <c r="Q2213" s="4"/>
      <c r="R2213" s="4"/>
      <c r="S2213" s="4" t="s">
        <v>5574</v>
      </c>
      <c r="T2213" s="4">
        <v>20.2</v>
      </c>
      <c r="U2213" s="4" t="s">
        <v>29</v>
      </c>
      <c r="V2213" s="4" t="s">
        <v>118</v>
      </c>
      <c r="W2213" s="67" t="str">
        <f t="shared" si="174"/>
        <v>-</v>
      </c>
    </row>
    <row r="2214" spans="1:23" x14ac:dyDescent="0.3">
      <c r="A2214" s="2" t="s">
        <v>4876</v>
      </c>
      <c r="B2214" s="2" t="s">
        <v>3571</v>
      </c>
      <c r="C2214" s="2">
        <v>9512919874</v>
      </c>
      <c r="D2214" s="2" t="s">
        <v>121</v>
      </c>
      <c r="E2214" s="2" t="s">
        <v>109</v>
      </c>
      <c r="F2214" s="2" t="s">
        <v>217</v>
      </c>
      <c r="G2214" s="2" t="s">
        <v>23</v>
      </c>
      <c r="H2214" s="2" t="s">
        <v>4563</v>
      </c>
      <c r="I2214" s="2" t="str">
        <f t="shared" si="170"/>
        <v>Jan</v>
      </c>
      <c r="J2214" s="2">
        <f t="shared" si="171"/>
        <v>1</v>
      </c>
      <c r="K2214" s="2">
        <f t="shared" si="172"/>
        <v>2026</v>
      </c>
      <c r="L2214" s="2">
        <f t="shared" si="173"/>
        <v>1</v>
      </c>
      <c r="M2214" s="2">
        <v>8</v>
      </c>
      <c r="N2214" s="2" t="s">
        <v>4830</v>
      </c>
      <c r="O2214" s="2" t="s">
        <v>45</v>
      </c>
      <c r="P2214" s="3">
        <v>854321</v>
      </c>
      <c r="Q2214" s="2"/>
      <c r="R2214" s="2"/>
      <c r="S2214" s="2" t="s">
        <v>5574</v>
      </c>
      <c r="T2214" s="2">
        <v>35.700000000000003</v>
      </c>
      <c r="U2214" s="2" t="s">
        <v>29</v>
      </c>
      <c r="V2214" s="2" t="s">
        <v>56</v>
      </c>
      <c r="W2214" s="67" t="str">
        <f t="shared" si="174"/>
        <v>-</v>
      </c>
    </row>
    <row r="2215" spans="1:23" x14ac:dyDescent="0.3">
      <c r="A2215" s="4" t="s">
        <v>4877</v>
      </c>
      <c r="B2215" s="4" t="s">
        <v>3497</v>
      </c>
      <c r="C2215" s="4">
        <v>9746954865</v>
      </c>
      <c r="D2215" s="4" t="s">
        <v>108</v>
      </c>
      <c r="E2215" s="4" t="s">
        <v>1632</v>
      </c>
      <c r="F2215" s="4" t="s">
        <v>1633</v>
      </c>
      <c r="G2215" s="4" t="s">
        <v>616</v>
      </c>
      <c r="H2215" s="4" t="s">
        <v>4563</v>
      </c>
      <c r="I2215" s="2" t="str">
        <f t="shared" si="170"/>
        <v>Jan</v>
      </c>
      <c r="J2215" s="2">
        <f t="shared" si="171"/>
        <v>1</v>
      </c>
      <c r="K2215" s="2">
        <f t="shared" si="172"/>
        <v>2026</v>
      </c>
      <c r="L2215" s="2">
        <f t="shared" si="173"/>
        <v>1</v>
      </c>
      <c r="M2215" s="4">
        <v>8</v>
      </c>
      <c r="N2215" s="4" t="s">
        <v>4756</v>
      </c>
      <c r="O2215" s="4" t="s">
        <v>27</v>
      </c>
      <c r="P2215" s="5">
        <v>363471</v>
      </c>
      <c r="Q2215" s="4"/>
      <c r="R2215" s="4"/>
      <c r="S2215" s="4" t="s">
        <v>5574</v>
      </c>
      <c r="T2215" s="4">
        <v>10.1</v>
      </c>
      <c r="U2215" s="4" t="s">
        <v>29</v>
      </c>
      <c r="V2215" s="4" t="s">
        <v>163</v>
      </c>
      <c r="W2215" s="67" t="str">
        <f t="shared" si="174"/>
        <v>-</v>
      </c>
    </row>
    <row r="2216" spans="1:23" x14ac:dyDescent="0.3">
      <c r="A2216" s="2" t="s">
        <v>4878</v>
      </c>
      <c r="B2216" s="2" t="s">
        <v>1014</v>
      </c>
      <c r="C2216" s="2"/>
      <c r="D2216" s="2" t="s">
        <v>20</v>
      </c>
      <c r="E2216" s="2" t="s">
        <v>1632</v>
      </c>
      <c r="F2216" s="2" t="s">
        <v>1717</v>
      </c>
      <c r="G2216" s="2" t="s">
        <v>1621</v>
      </c>
      <c r="H2216" s="2" t="s">
        <v>4740</v>
      </c>
      <c r="I2216" s="2" t="str">
        <f t="shared" si="170"/>
        <v>Jan</v>
      </c>
      <c r="J2216" s="2">
        <f t="shared" si="171"/>
        <v>1</v>
      </c>
      <c r="K2216" s="2">
        <f t="shared" si="172"/>
        <v>2026</v>
      </c>
      <c r="L2216" s="2">
        <f t="shared" si="173"/>
        <v>1</v>
      </c>
      <c r="M2216" s="2">
        <v>9</v>
      </c>
      <c r="N2216" s="2" t="s">
        <v>4869</v>
      </c>
      <c r="O2216" s="2" t="s">
        <v>27</v>
      </c>
      <c r="P2216" s="3">
        <v>223839</v>
      </c>
      <c r="Q2216" s="2"/>
      <c r="R2216" s="2"/>
      <c r="S2216" s="2" t="s">
        <v>5573</v>
      </c>
      <c r="T2216" s="2">
        <v>19.100000000000001</v>
      </c>
      <c r="U2216" s="2" t="s">
        <v>47</v>
      </c>
      <c r="V2216" s="2" t="s">
        <v>1697</v>
      </c>
      <c r="W2216" s="67" t="str">
        <f t="shared" si="174"/>
        <v>-</v>
      </c>
    </row>
    <row r="2217" spans="1:23" x14ac:dyDescent="0.3">
      <c r="A2217" s="4" t="s">
        <v>4879</v>
      </c>
      <c r="B2217" s="4" t="s">
        <v>4880</v>
      </c>
      <c r="C2217" s="4">
        <v>9824631938</v>
      </c>
      <c r="D2217" s="4" t="s">
        <v>59</v>
      </c>
      <c r="E2217" s="4" t="s">
        <v>1632</v>
      </c>
      <c r="F2217" s="4" t="s">
        <v>1694</v>
      </c>
      <c r="G2217" s="4" t="s">
        <v>23</v>
      </c>
      <c r="H2217" s="4" t="s">
        <v>4740</v>
      </c>
      <c r="I2217" s="2" t="str">
        <f t="shared" si="170"/>
        <v>Jan</v>
      </c>
      <c r="J2217" s="2">
        <f t="shared" si="171"/>
        <v>1</v>
      </c>
      <c r="K2217" s="2">
        <f t="shared" si="172"/>
        <v>2026</v>
      </c>
      <c r="L2217" s="2">
        <f t="shared" si="173"/>
        <v>1</v>
      </c>
      <c r="M2217" s="4">
        <v>7</v>
      </c>
      <c r="N2217" s="4" t="s">
        <v>4795</v>
      </c>
      <c r="O2217" s="4" t="s">
        <v>62</v>
      </c>
      <c r="P2217" s="5">
        <v>700052</v>
      </c>
      <c r="Q2217" s="4"/>
      <c r="R2217" s="4"/>
      <c r="S2217" s="4" t="s">
        <v>5819</v>
      </c>
      <c r="T2217" s="4">
        <v>26.7</v>
      </c>
      <c r="U2217" s="4" t="s">
        <v>47</v>
      </c>
      <c r="V2217" s="4" t="s">
        <v>276</v>
      </c>
      <c r="W2217" s="67" t="str">
        <f t="shared" si="174"/>
        <v>-</v>
      </c>
    </row>
    <row r="2218" spans="1:23" x14ac:dyDescent="0.3">
      <c r="A2218" s="2" t="s">
        <v>4881</v>
      </c>
      <c r="B2218" s="2" t="s">
        <v>4882</v>
      </c>
      <c r="C2218" s="2">
        <v>9823664346</v>
      </c>
      <c r="D2218" s="2" t="s">
        <v>121</v>
      </c>
      <c r="E2218" s="2" t="s">
        <v>1632</v>
      </c>
      <c r="F2218" s="2" t="s">
        <v>1633</v>
      </c>
      <c r="G2218" s="2" t="s">
        <v>87</v>
      </c>
      <c r="H2218" s="2" t="s">
        <v>4740</v>
      </c>
      <c r="I2218" s="2" t="str">
        <f t="shared" si="170"/>
        <v>Jan</v>
      </c>
      <c r="J2218" s="2">
        <f t="shared" si="171"/>
        <v>1</v>
      </c>
      <c r="K2218" s="2">
        <f t="shared" si="172"/>
        <v>2026</v>
      </c>
      <c r="L2218" s="2">
        <f t="shared" si="173"/>
        <v>1</v>
      </c>
      <c r="M2218" s="2">
        <v>8</v>
      </c>
      <c r="N2218" s="2" t="s">
        <v>4747</v>
      </c>
      <c r="O2218" s="2" t="s">
        <v>27</v>
      </c>
      <c r="P2218" s="3">
        <v>133848</v>
      </c>
      <c r="Q2218" s="2"/>
      <c r="R2218" s="2"/>
      <c r="S2218" s="2" t="s">
        <v>5574</v>
      </c>
      <c r="T2218" s="2">
        <v>8.1999999999999993</v>
      </c>
      <c r="U2218" s="2" t="s">
        <v>47</v>
      </c>
      <c r="V2218" s="2" t="s">
        <v>105</v>
      </c>
      <c r="W2218" s="67" t="str">
        <f t="shared" si="174"/>
        <v>-</v>
      </c>
    </row>
    <row r="2219" spans="1:23" x14ac:dyDescent="0.3">
      <c r="A2219" s="4" t="s">
        <v>4883</v>
      </c>
      <c r="B2219" s="4" t="s">
        <v>2699</v>
      </c>
      <c r="C2219" s="4">
        <v>9482983285</v>
      </c>
      <c r="D2219" s="4" t="s">
        <v>59</v>
      </c>
      <c r="E2219" s="4" t="s">
        <v>41</v>
      </c>
      <c r="F2219" s="4" t="s">
        <v>86</v>
      </c>
      <c r="G2219" s="4" t="s">
        <v>1623</v>
      </c>
      <c r="H2219" s="4" t="s">
        <v>4740</v>
      </c>
      <c r="I2219" s="2" t="str">
        <f t="shared" si="170"/>
        <v>Jan</v>
      </c>
      <c r="J2219" s="2">
        <f t="shared" si="171"/>
        <v>1</v>
      </c>
      <c r="K2219" s="2">
        <f t="shared" si="172"/>
        <v>2026</v>
      </c>
      <c r="L2219" s="2">
        <f t="shared" si="173"/>
        <v>1</v>
      </c>
      <c r="M2219" s="4">
        <v>1</v>
      </c>
      <c r="N2219" s="4" t="s">
        <v>4687</v>
      </c>
      <c r="O2219" s="4" t="s">
        <v>45</v>
      </c>
      <c r="P2219" s="5">
        <v>398580</v>
      </c>
      <c r="Q2219" s="4"/>
      <c r="R2219" s="4"/>
      <c r="S2219" s="4" t="s">
        <v>5573</v>
      </c>
      <c r="T2219" s="4">
        <v>32.9</v>
      </c>
      <c r="U2219" s="4" t="s">
        <v>29</v>
      </c>
      <c r="V2219" s="4" t="s">
        <v>83</v>
      </c>
      <c r="W2219" s="67" t="str">
        <f t="shared" si="174"/>
        <v>-</v>
      </c>
    </row>
    <row r="2220" spans="1:23" x14ac:dyDescent="0.3">
      <c r="A2220" s="2" t="s">
        <v>4884</v>
      </c>
      <c r="B2220" s="2" t="s">
        <v>413</v>
      </c>
      <c r="C2220" s="2">
        <v>9733369355</v>
      </c>
      <c r="D2220" s="2" t="s">
        <v>59</v>
      </c>
      <c r="E2220" s="2" t="s">
        <v>1632</v>
      </c>
      <c r="F2220" s="2" t="s">
        <v>1659</v>
      </c>
      <c r="G2220" s="2" t="s">
        <v>23</v>
      </c>
      <c r="H2220" s="2" t="s">
        <v>4740</v>
      </c>
      <c r="I2220" s="2" t="str">
        <f t="shared" si="170"/>
        <v>Jan</v>
      </c>
      <c r="J2220" s="2">
        <f t="shared" si="171"/>
        <v>1</v>
      </c>
      <c r="K2220" s="2">
        <f t="shared" si="172"/>
        <v>2026</v>
      </c>
      <c r="L2220" s="2">
        <f t="shared" si="173"/>
        <v>1</v>
      </c>
      <c r="M2220" s="2">
        <v>4</v>
      </c>
      <c r="N2220" s="2" t="s">
        <v>4747</v>
      </c>
      <c r="O2220" s="2" t="s">
        <v>27</v>
      </c>
      <c r="P2220" s="3">
        <v>423124</v>
      </c>
      <c r="Q2220" s="2"/>
      <c r="R2220" s="2"/>
      <c r="S2220" s="2" t="s">
        <v>5819</v>
      </c>
      <c r="T2220" s="2">
        <v>25.1</v>
      </c>
      <c r="U2220" s="2" t="s">
        <v>47</v>
      </c>
      <c r="V2220" s="2" t="s">
        <v>238</v>
      </c>
      <c r="W2220" s="67" t="str">
        <f t="shared" si="174"/>
        <v>-</v>
      </c>
    </row>
    <row r="2221" spans="1:23" x14ac:dyDescent="0.3">
      <c r="A2221" s="4" t="s">
        <v>4885</v>
      </c>
      <c r="B2221" s="4" t="s">
        <v>4886</v>
      </c>
      <c r="C2221" s="4">
        <v>9747684891</v>
      </c>
      <c r="D2221" s="4" t="s">
        <v>20</v>
      </c>
      <c r="E2221" s="4" t="s">
        <v>1632</v>
      </c>
      <c r="F2221" s="4" t="s">
        <v>1694</v>
      </c>
      <c r="G2221" s="4" t="s">
        <v>23</v>
      </c>
      <c r="H2221" s="4" t="s">
        <v>4659</v>
      </c>
      <c r="I2221" s="2" t="str">
        <f t="shared" si="170"/>
        <v>Jan</v>
      </c>
      <c r="J2221" s="2">
        <f t="shared" si="171"/>
        <v>1</v>
      </c>
      <c r="K2221" s="2">
        <f t="shared" si="172"/>
        <v>2026</v>
      </c>
      <c r="L2221" s="2">
        <f t="shared" si="173"/>
        <v>1</v>
      </c>
      <c r="M2221" s="4">
        <v>12</v>
      </c>
      <c r="N2221" s="4" t="s">
        <v>4856</v>
      </c>
      <c r="O2221" s="4" t="s">
        <v>62</v>
      </c>
      <c r="P2221" s="5">
        <v>406337</v>
      </c>
      <c r="Q2221" s="4"/>
      <c r="R2221" s="4"/>
      <c r="S2221" s="4" t="s">
        <v>5574</v>
      </c>
      <c r="T2221" s="4">
        <v>11.9</v>
      </c>
      <c r="U2221" s="4" t="s">
        <v>29</v>
      </c>
      <c r="V2221" s="4" t="s">
        <v>247</v>
      </c>
      <c r="W2221" s="67" t="str">
        <f t="shared" si="174"/>
        <v>-</v>
      </c>
    </row>
    <row r="2222" spans="1:23" x14ac:dyDescent="0.3">
      <c r="A2222" s="2" t="s">
        <v>4887</v>
      </c>
      <c r="B2222" s="2" t="s">
        <v>4888</v>
      </c>
      <c r="C2222" s="2">
        <v>9798104108</v>
      </c>
      <c r="D2222" s="2" t="s">
        <v>20</v>
      </c>
      <c r="E2222" s="2" t="s">
        <v>648</v>
      </c>
      <c r="F2222" s="2" t="s">
        <v>899</v>
      </c>
      <c r="G2222" s="2" t="s">
        <v>1609</v>
      </c>
      <c r="H2222" s="2" t="s">
        <v>4659</v>
      </c>
      <c r="I2222" s="2" t="str">
        <f t="shared" si="170"/>
        <v>Jan</v>
      </c>
      <c r="J2222" s="2">
        <f t="shared" si="171"/>
        <v>1</v>
      </c>
      <c r="K2222" s="2">
        <f t="shared" si="172"/>
        <v>2026</v>
      </c>
      <c r="L2222" s="2">
        <f t="shared" si="173"/>
        <v>1</v>
      </c>
      <c r="M2222" s="2">
        <v>0</v>
      </c>
      <c r="N2222" s="2" t="s">
        <v>4715</v>
      </c>
      <c r="O2222" s="2" t="s">
        <v>45</v>
      </c>
      <c r="P2222" s="3">
        <v>438765</v>
      </c>
      <c r="Q2222" s="2"/>
      <c r="R2222" s="2"/>
      <c r="S2222" s="2" t="s">
        <v>5819</v>
      </c>
      <c r="T2222" s="2">
        <v>16.5</v>
      </c>
      <c r="U2222" s="2" t="s">
        <v>63</v>
      </c>
      <c r="V2222" s="2" t="s">
        <v>335</v>
      </c>
      <c r="W2222" s="67" t="str">
        <f t="shared" si="174"/>
        <v>-</v>
      </c>
    </row>
    <row r="2223" spans="1:23" x14ac:dyDescent="0.3">
      <c r="A2223" s="6" t="s">
        <v>4889</v>
      </c>
      <c r="B2223" s="6" t="s">
        <v>1300</v>
      </c>
      <c r="C2223" s="6">
        <v>9584711845</v>
      </c>
      <c r="D2223" s="6" t="s">
        <v>121</v>
      </c>
      <c r="E2223" s="6" t="s">
        <v>41</v>
      </c>
      <c r="F2223" s="6" t="s">
        <v>42</v>
      </c>
      <c r="G2223" s="6" t="s">
        <v>69</v>
      </c>
      <c r="H2223" s="6" t="s">
        <v>4659</v>
      </c>
      <c r="I2223" s="2" t="str">
        <f t="shared" si="170"/>
        <v>Jan</v>
      </c>
      <c r="J2223" s="2">
        <f t="shared" si="171"/>
        <v>1</v>
      </c>
      <c r="K2223" s="2">
        <f t="shared" si="172"/>
        <v>2026</v>
      </c>
      <c r="L2223" s="2">
        <f t="shared" si="173"/>
        <v>1</v>
      </c>
      <c r="M2223" s="6">
        <v>4</v>
      </c>
      <c r="N2223" s="6" t="s">
        <v>4738</v>
      </c>
      <c r="O2223" s="6" t="s">
        <v>97</v>
      </c>
      <c r="P2223" s="7">
        <v>418040</v>
      </c>
      <c r="Q2223" s="7">
        <v>426549</v>
      </c>
      <c r="R2223" s="6" t="s">
        <v>4830</v>
      </c>
      <c r="S2223" s="6" t="s">
        <v>5819</v>
      </c>
      <c r="T2223" s="6">
        <v>30.1</v>
      </c>
      <c r="U2223" s="6" t="s">
        <v>47</v>
      </c>
      <c r="V2223" s="6"/>
      <c r="W2223" s="67" t="str">
        <f t="shared" si="174"/>
        <v>Customer</v>
      </c>
    </row>
    <row r="2224" spans="1:23" x14ac:dyDescent="0.3">
      <c r="A2224" s="2" t="s">
        <v>4890</v>
      </c>
      <c r="B2224" s="2" t="s">
        <v>4092</v>
      </c>
      <c r="C2224" s="2">
        <v>9770637166</v>
      </c>
      <c r="D2224" s="2" t="s">
        <v>59</v>
      </c>
      <c r="E2224" s="2" t="s">
        <v>41</v>
      </c>
      <c r="F2224" s="2" t="s">
        <v>42</v>
      </c>
      <c r="G2224" s="2" t="s">
        <v>35</v>
      </c>
      <c r="H2224" s="2" t="s">
        <v>4711</v>
      </c>
      <c r="I2224" s="2" t="str">
        <f t="shared" si="170"/>
        <v>Jan</v>
      </c>
      <c r="J2224" s="2">
        <f t="shared" si="171"/>
        <v>1</v>
      </c>
      <c r="K2224" s="2">
        <f t="shared" si="172"/>
        <v>2026</v>
      </c>
      <c r="L2224" s="2">
        <f t="shared" si="173"/>
        <v>1</v>
      </c>
      <c r="M2224" s="2">
        <v>10</v>
      </c>
      <c r="N2224" s="2" t="s">
        <v>4843</v>
      </c>
      <c r="O2224" s="2" t="s">
        <v>27</v>
      </c>
      <c r="P2224" s="3">
        <v>270433</v>
      </c>
      <c r="Q2224" s="2"/>
      <c r="R2224" s="2"/>
      <c r="S2224" s="2" t="s">
        <v>5573</v>
      </c>
      <c r="T2224" s="2">
        <v>11.4</v>
      </c>
      <c r="U2224" s="2" t="s">
        <v>29</v>
      </c>
      <c r="V2224" s="2" t="s">
        <v>123</v>
      </c>
      <c r="W2224" s="67" t="str">
        <f t="shared" si="174"/>
        <v>-</v>
      </c>
    </row>
    <row r="2225" spans="1:23" x14ac:dyDescent="0.3">
      <c r="A2225" s="6" t="s">
        <v>4891</v>
      </c>
      <c r="B2225" s="6" t="s">
        <v>4892</v>
      </c>
      <c r="C2225" s="6">
        <v>9163617666</v>
      </c>
      <c r="D2225" s="6" t="s">
        <v>20</v>
      </c>
      <c r="E2225" s="6" t="s">
        <v>41</v>
      </c>
      <c r="F2225" s="6" t="s">
        <v>86</v>
      </c>
      <c r="G2225" s="6" t="s">
        <v>69</v>
      </c>
      <c r="H2225" s="6" t="s">
        <v>4615</v>
      </c>
      <c r="I2225" s="2" t="str">
        <f t="shared" si="170"/>
        <v>Jan</v>
      </c>
      <c r="J2225" s="2">
        <f t="shared" si="171"/>
        <v>1</v>
      </c>
      <c r="K2225" s="2">
        <f t="shared" si="172"/>
        <v>2026</v>
      </c>
      <c r="L2225" s="2">
        <f t="shared" si="173"/>
        <v>1</v>
      </c>
      <c r="M2225" s="6">
        <v>2</v>
      </c>
      <c r="N2225" s="6" t="s">
        <v>4687</v>
      </c>
      <c r="O2225" s="6" t="s">
        <v>97</v>
      </c>
      <c r="P2225" s="7">
        <v>151794</v>
      </c>
      <c r="Q2225" s="7">
        <v>141763</v>
      </c>
      <c r="R2225" s="6" t="s">
        <v>4795</v>
      </c>
      <c r="S2225" s="6" t="s">
        <v>5574</v>
      </c>
      <c r="T2225" s="6">
        <v>11</v>
      </c>
      <c r="U2225" s="6" t="s">
        <v>63</v>
      </c>
      <c r="V2225" s="6" t="s">
        <v>483</v>
      </c>
      <c r="W2225" s="67" t="str">
        <f t="shared" si="174"/>
        <v>Customer</v>
      </c>
    </row>
    <row r="2226" spans="1:23" x14ac:dyDescent="0.3">
      <c r="A2226" s="2" t="s">
        <v>4893</v>
      </c>
      <c r="B2226" s="2" t="s">
        <v>1398</v>
      </c>
      <c r="C2226" s="2">
        <v>9784744251</v>
      </c>
      <c r="D2226" s="2" t="s">
        <v>121</v>
      </c>
      <c r="E2226" s="2" t="s">
        <v>1632</v>
      </c>
      <c r="F2226" s="2" t="s">
        <v>1633</v>
      </c>
      <c r="G2226" s="2" t="s">
        <v>87</v>
      </c>
      <c r="H2226" s="2" t="s">
        <v>4615</v>
      </c>
      <c r="I2226" s="2" t="str">
        <f t="shared" si="170"/>
        <v>Jan</v>
      </c>
      <c r="J2226" s="2">
        <f t="shared" si="171"/>
        <v>1</v>
      </c>
      <c r="K2226" s="2">
        <f t="shared" si="172"/>
        <v>2026</v>
      </c>
      <c r="L2226" s="2">
        <f t="shared" si="173"/>
        <v>1</v>
      </c>
      <c r="M2226" s="2">
        <v>11</v>
      </c>
      <c r="N2226" s="2" t="s">
        <v>4756</v>
      </c>
      <c r="O2226" s="2" t="s">
        <v>45</v>
      </c>
      <c r="P2226" s="3">
        <v>298774</v>
      </c>
      <c r="Q2226" s="2"/>
      <c r="R2226" s="2"/>
      <c r="S2226" s="2" t="s">
        <v>5819</v>
      </c>
      <c r="T2226" s="2">
        <v>3.9</v>
      </c>
      <c r="U2226" s="2" t="s">
        <v>63</v>
      </c>
      <c r="V2226" s="2" t="s">
        <v>64</v>
      </c>
      <c r="W2226" s="67" t="str">
        <f t="shared" si="174"/>
        <v>-</v>
      </c>
    </row>
    <row r="2227" spans="1:23" x14ac:dyDescent="0.3">
      <c r="A2227" s="4" t="s">
        <v>4894</v>
      </c>
      <c r="B2227" s="4" t="s">
        <v>4895</v>
      </c>
      <c r="C2227" s="4">
        <v>9737335704</v>
      </c>
      <c r="D2227" s="4" t="s">
        <v>108</v>
      </c>
      <c r="E2227" s="4" t="s">
        <v>41</v>
      </c>
      <c r="F2227" s="4" t="s">
        <v>92</v>
      </c>
      <c r="G2227" s="4" t="s">
        <v>1735</v>
      </c>
      <c r="H2227" s="4" t="s">
        <v>4690</v>
      </c>
      <c r="I2227" s="2" t="str">
        <f t="shared" si="170"/>
        <v>Jan</v>
      </c>
      <c r="J2227" s="2">
        <f t="shared" si="171"/>
        <v>1</v>
      </c>
      <c r="K2227" s="2">
        <f t="shared" si="172"/>
        <v>2026</v>
      </c>
      <c r="L2227" s="2">
        <f t="shared" si="173"/>
        <v>1</v>
      </c>
      <c r="M2227" s="4">
        <v>4</v>
      </c>
      <c r="N2227" s="4" t="s">
        <v>4843</v>
      </c>
      <c r="O2227" s="4" t="s">
        <v>45</v>
      </c>
      <c r="P2227" s="5">
        <v>2088863</v>
      </c>
      <c r="Q2227" s="4"/>
      <c r="R2227" s="4"/>
      <c r="S2227" s="4" t="s">
        <v>5573</v>
      </c>
      <c r="T2227" s="4">
        <v>34.4</v>
      </c>
      <c r="U2227" s="4" t="s">
        <v>47</v>
      </c>
      <c r="V2227" s="4" t="s">
        <v>174</v>
      </c>
      <c r="W2227" s="67" t="str">
        <f t="shared" si="174"/>
        <v>-</v>
      </c>
    </row>
    <row r="2228" spans="1:23" x14ac:dyDescent="0.3">
      <c r="A2228" s="2" t="s">
        <v>4896</v>
      </c>
      <c r="B2228" s="2" t="s">
        <v>3497</v>
      </c>
      <c r="C2228" s="2">
        <v>9166828012</v>
      </c>
      <c r="D2228" s="2" t="s">
        <v>51</v>
      </c>
      <c r="E2228" s="2" t="s">
        <v>1632</v>
      </c>
      <c r="F2228" s="2" t="s">
        <v>1694</v>
      </c>
      <c r="G2228" s="2" t="s">
        <v>60</v>
      </c>
      <c r="H2228" s="2" t="s">
        <v>4690</v>
      </c>
      <c r="I2228" s="2" t="str">
        <f t="shared" si="170"/>
        <v>Jan</v>
      </c>
      <c r="J2228" s="2">
        <f t="shared" si="171"/>
        <v>1</v>
      </c>
      <c r="K2228" s="2">
        <f t="shared" si="172"/>
        <v>2026</v>
      </c>
      <c r="L2228" s="2">
        <f t="shared" si="173"/>
        <v>1</v>
      </c>
      <c r="M2228" s="2">
        <v>5</v>
      </c>
      <c r="N2228" s="2" t="s">
        <v>4897</v>
      </c>
      <c r="O2228" s="2" t="s">
        <v>45</v>
      </c>
      <c r="P2228" s="3">
        <v>115797</v>
      </c>
      <c r="Q2228" s="2"/>
      <c r="R2228" s="2"/>
      <c r="S2228" s="2" t="s">
        <v>5819</v>
      </c>
      <c r="T2228" s="2">
        <v>12</v>
      </c>
      <c r="U2228" s="2" t="s">
        <v>63</v>
      </c>
      <c r="V2228" s="2" t="s">
        <v>64</v>
      </c>
      <c r="W2228" s="67" t="str">
        <f t="shared" si="174"/>
        <v>-</v>
      </c>
    </row>
    <row r="2229" spans="1:23" x14ac:dyDescent="0.3">
      <c r="A2229" s="4" t="s">
        <v>4898</v>
      </c>
      <c r="B2229" s="4" t="s">
        <v>3738</v>
      </c>
      <c r="C2229" s="4">
        <v>9364774070</v>
      </c>
      <c r="D2229" s="4" t="s">
        <v>20</v>
      </c>
      <c r="E2229" s="4" t="s">
        <v>67</v>
      </c>
      <c r="F2229" s="4" t="s">
        <v>68</v>
      </c>
      <c r="G2229" s="4" t="s">
        <v>643</v>
      </c>
      <c r="H2229" s="4" t="s">
        <v>4690</v>
      </c>
      <c r="I2229" s="2" t="str">
        <f t="shared" si="170"/>
        <v>Jan</v>
      </c>
      <c r="J2229" s="2">
        <f t="shared" si="171"/>
        <v>1</v>
      </c>
      <c r="K2229" s="2">
        <f t="shared" si="172"/>
        <v>2026</v>
      </c>
      <c r="L2229" s="2">
        <f t="shared" si="173"/>
        <v>1</v>
      </c>
      <c r="M2229" s="4">
        <v>6</v>
      </c>
      <c r="N2229" s="4" t="s">
        <v>4899</v>
      </c>
      <c r="O2229" s="4" t="s">
        <v>45</v>
      </c>
      <c r="P2229" s="5">
        <v>1202577</v>
      </c>
      <c r="Q2229" s="4"/>
      <c r="R2229" s="4"/>
      <c r="S2229" s="4" t="s">
        <v>5819</v>
      </c>
      <c r="T2229" s="4">
        <v>9.4</v>
      </c>
      <c r="U2229" s="4" t="s">
        <v>47</v>
      </c>
      <c r="V2229" s="4" t="s">
        <v>256</v>
      </c>
      <c r="W2229" s="67" t="str">
        <f t="shared" si="174"/>
        <v>-</v>
      </c>
    </row>
    <row r="2230" spans="1:23" x14ac:dyDescent="0.3">
      <c r="A2230" s="2" t="s">
        <v>4900</v>
      </c>
      <c r="B2230" s="2" t="s">
        <v>4901</v>
      </c>
      <c r="C2230" s="2">
        <v>9554498597</v>
      </c>
      <c r="D2230" s="2" t="s">
        <v>20</v>
      </c>
      <c r="E2230" s="2" t="s">
        <v>41</v>
      </c>
      <c r="F2230" s="2" t="s">
        <v>92</v>
      </c>
      <c r="G2230" s="2" t="s">
        <v>1621</v>
      </c>
      <c r="H2230" s="2" t="s">
        <v>4690</v>
      </c>
      <c r="I2230" s="2" t="str">
        <f t="shared" si="170"/>
        <v>Jan</v>
      </c>
      <c r="J2230" s="2">
        <f t="shared" si="171"/>
        <v>1</v>
      </c>
      <c r="K2230" s="2">
        <f t="shared" si="172"/>
        <v>2026</v>
      </c>
      <c r="L2230" s="2">
        <f t="shared" si="173"/>
        <v>1</v>
      </c>
      <c r="M2230" s="2">
        <v>0</v>
      </c>
      <c r="N2230" s="2" t="s">
        <v>4651</v>
      </c>
      <c r="O2230" s="2" t="s">
        <v>27</v>
      </c>
      <c r="P2230" s="3">
        <v>347976</v>
      </c>
      <c r="Q2230" s="2"/>
      <c r="R2230" s="2"/>
      <c r="S2230" s="2" t="s">
        <v>5573</v>
      </c>
      <c r="T2230" s="2">
        <v>14.9</v>
      </c>
      <c r="U2230" s="2" t="s">
        <v>29</v>
      </c>
      <c r="V2230" s="2" t="s">
        <v>123</v>
      </c>
      <c r="W2230" s="67" t="str">
        <f t="shared" si="174"/>
        <v>-</v>
      </c>
    </row>
    <row r="2231" spans="1:23" x14ac:dyDescent="0.3">
      <c r="A2231" s="4" t="s">
        <v>4902</v>
      </c>
      <c r="B2231" s="4" t="s">
        <v>3958</v>
      </c>
      <c r="C2231" s="4">
        <v>9645383709</v>
      </c>
      <c r="D2231" s="4" t="s">
        <v>20</v>
      </c>
      <c r="E2231" s="4" t="s">
        <v>648</v>
      </c>
      <c r="F2231" s="4" t="s">
        <v>899</v>
      </c>
      <c r="G2231" s="4" t="s">
        <v>23</v>
      </c>
      <c r="H2231" s="4" t="s">
        <v>4690</v>
      </c>
      <c r="I2231" s="2" t="str">
        <f t="shared" si="170"/>
        <v>Jan</v>
      </c>
      <c r="J2231" s="2">
        <f t="shared" si="171"/>
        <v>1</v>
      </c>
      <c r="K2231" s="2">
        <f t="shared" si="172"/>
        <v>2026</v>
      </c>
      <c r="L2231" s="2">
        <f t="shared" si="173"/>
        <v>1</v>
      </c>
      <c r="M2231" s="4">
        <v>4</v>
      </c>
      <c r="N2231" s="4" t="s">
        <v>4818</v>
      </c>
      <c r="O2231" s="4" t="s">
        <v>45</v>
      </c>
      <c r="P2231" s="5">
        <v>912635</v>
      </c>
      <c r="Q2231" s="4"/>
      <c r="R2231" s="4"/>
      <c r="S2231" s="4" t="s">
        <v>5819</v>
      </c>
      <c r="T2231" s="4">
        <v>27.6</v>
      </c>
      <c r="U2231" s="4" t="s">
        <v>47</v>
      </c>
      <c r="V2231" s="4" t="s">
        <v>310</v>
      </c>
      <c r="W2231" s="67" t="str">
        <f t="shared" si="174"/>
        <v>-</v>
      </c>
    </row>
    <row r="2232" spans="1:23" x14ac:dyDescent="0.3">
      <c r="A2232" s="6" t="s">
        <v>4903</v>
      </c>
      <c r="B2232" s="6" t="s">
        <v>1841</v>
      </c>
      <c r="C2232" s="6">
        <v>9914379120</v>
      </c>
      <c r="D2232" s="6" t="s">
        <v>20</v>
      </c>
      <c r="E2232" s="6" t="s">
        <v>648</v>
      </c>
      <c r="F2232" s="6" t="s">
        <v>899</v>
      </c>
      <c r="G2232" s="6" t="s">
        <v>87</v>
      </c>
      <c r="H2232" s="6" t="s">
        <v>4690</v>
      </c>
      <c r="I2232" s="2" t="str">
        <f t="shared" si="170"/>
        <v>Jan</v>
      </c>
      <c r="J2232" s="2">
        <f t="shared" si="171"/>
        <v>1</v>
      </c>
      <c r="K2232" s="2">
        <f t="shared" si="172"/>
        <v>2026</v>
      </c>
      <c r="L2232" s="2">
        <f t="shared" si="173"/>
        <v>1</v>
      </c>
      <c r="M2232" s="6">
        <v>4</v>
      </c>
      <c r="N2232" s="6" t="s">
        <v>4696</v>
      </c>
      <c r="O2232" s="6" t="s">
        <v>97</v>
      </c>
      <c r="P2232" s="7">
        <v>238333</v>
      </c>
      <c r="Q2232" s="7">
        <v>225983</v>
      </c>
      <c r="R2232" s="6" t="s">
        <v>4804</v>
      </c>
      <c r="S2232" s="6" t="s">
        <v>5573</v>
      </c>
      <c r="T2232" s="6">
        <v>19.5</v>
      </c>
      <c r="U2232" s="6" t="s">
        <v>63</v>
      </c>
      <c r="V2232" s="6" t="s">
        <v>483</v>
      </c>
      <c r="W2232" s="67" t="str">
        <f t="shared" si="174"/>
        <v>Customer</v>
      </c>
    </row>
    <row r="2233" spans="1:23" x14ac:dyDescent="0.3">
      <c r="A2233" s="4" t="s">
        <v>4904</v>
      </c>
      <c r="B2233" s="4" t="s">
        <v>3855</v>
      </c>
      <c r="C2233" s="4">
        <v>9481065479</v>
      </c>
      <c r="D2233" s="4" t="s">
        <v>121</v>
      </c>
      <c r="E2233" s="4" t="s">
        <v>41</v>
      </c>
      <c r="F2233" s="4" t="s">
        <v>151</v>
      </c>
      <c r="G2233" s="4" t="s">
        <v>87</v>
      </c>
      <c r="H2233" s="4" t="s">
        <v>4766</v>
      </c>
      <c r="I2233" s="2" t="str">
        <f t="shared" si="170"/>
        <v>Jan</v>
      </c>
      <c r="J2233" s="2">
        <f t="shared" si="171"/>
        <v>1</v>
      </c>
      <c r="K2233" s="2">
        <f t="shared" si="172"/>
        <v>2026</v>
      </c>
      <c r="L2233" s="2">
        <f t="shared" si="173"/>
        <v>1</v>
      </c>
      <c r="M2233" s="4">
        <v>6</v>
      </c>
      <c r="N2233" s="4" t="s">
        <v>4848</v>
      </c>
      <c r="O2233" s="4" t="s">
        <v>27</v>
      </c>
      <c r="P2233" s="5">
        <v>151366</v>
      </c>
      <c r="Q2233" s="4"/>
      <c r="R2233" s="4"/>
      <c r="S2233" s="4" t="s">
        <v>5574</v>
      </c>
      <c r="T2233" s="4">
        <v>1.2</v>
      </c>
      <c r="U2233" s="4" t="s">
        <v>47</v>
      </c>
      <c r="V2233" s="4" t="s">
        <v>118</v>
      </c>
      <c r="W2233" s="67" t="str">
        <f t="shared" si="174"/>
        <v>-</v>
      </c>
    </row>
    <row r="2234" spans="1:23" x14ac:dyDescent="0.3">
      <c r="A2234" s="6" t="s">
        <v>4905</v>
      </c>
      <c r="B2234" s="6" t="s">
        <v>782</v>
      </c>
      <c r="C2234" s="6">
        <v>9554016983</v>
      </c>
      <c r="D2234" s="6" t="s">
        <v>20</v>
      </c>
      <c r="E2234" s="6" t="s">
        <v>109</v>
      </c>
      <c r="F2234" s="6" t="s">
        <v>331</v>
      </c>
      <c r="G2234" s="6" t="s">
        <v>69</v>
      </c>
      <c r="H2234" s="6" t="s">
        <v>4766</v>
      </c>
      <c r="I2234" s="2" t="str">
        <f t="shared" si="170"/>
        <v>Jan</v>
      </c>
      <c r="J2234" s="2">
        <f t="shared" si="171"/>
        <v>1</v>
      </c>
      <c r="K2234" s="2">
        <f t="shared" si="172"/>
        <v>2026</v>
      </c>
      <c r="L2234" s="2">
        <f t="shared" si="173"/>
        <v>1</v>
      </c>
      <c r="M2234" s="6">
        <v>5</v>
      </c>
      <c r="N2234" s="6" t="s">
        <v>4823</v>
      </c>
      <c r="O2234" s="6" t="s">
        <v>97</v>
      </c>
      <c r="P2234" s="7">
        <v>125624</v>
      </c>
      <c r="Q2234" s="7">
        <v>112450</v>
      </c>
      <c r="R2234" s="6" t="s">
        <v>4854</v>
      </c>
      <c r="S2234" s="6" t="s">
        <v>5819</v>
      </c>
      <c r="T2234" s="6">
        <v>9.8000000000000007</v>
      </c>
      <c r="U2234" s="6" t="s">
        <v>47</v>
      </c>
      <c r="V2234" s="6" t="s">
        <v>170</v>
      </c>
      <c r="W2234" s="67" t="str">
        <f t="shared" si="174"/>
        <v>Customer</v>
      </c>
    </row>
    <row r="2235" spans="1:23" x14ac:dyDescent="0.3">
      <c r="A2235" s="6" t="s">
        <v>4906</v>
      </c>
      <c r="B2235" s="6" t="s">
        <v>3851</v>
      </c>
      <c r="C2235" s="6">
        <v>9696688781</v>
      </c>
      <c r="D2235" s="6" t="s">
        <v>59</v>
      </c>
      <c r="E2235" s="6" t="s">
        <v>41</v>
      </c>
      <c r="F2235" s="6" t="s">
        <v>42</v>
      </c>
      <c r="G2235" s="6" t="s">
        <v>60</v>
      </c>
      <c r="H2235" s="6" t="s">
        <v>4553</v>
      </c>
      <c r="I2235" s="2" t="str">
        <f t="shared" si="170"/>
        <v>Jan</v>
      </c>
      <c r="J2235" s="2">
        <f t="shared" si="171"/>
        <v>1</v>
      </c>
      <c r="K2235" s="2">
        <f t="shared" si="172"/>
        <v>2026</v>
      </c>
      <c r="L2235" s="2">
        <f t="shared" si="173"/>
        <v>1</v>
      </c>
      <c r="M2235" s="6">
        <v>12</v>
      </c>
      <c r="N2235" s="6" t="s">
        <v>4804</v>
      </c>
      <c r="O2235" s="6" t="s">
        <v>97</v>
      </c>
      <c r="P2235" s="7">
        <v>243016</v>
      </c>
      <c r="Q2235" s="7">
        <v>233689</v>
      </c>
      <c r="R2235" s="6" t="s">
        <v>4844</v>
      </c>
      <c r="S2235" s="6" t="s">
        <v>5574</v>
      </c>
      <c r="T2235" s="6">
        <v>27.4</v>
      </c>
      <c r="U2235" s="6" t="s">
        <v>63</v>
      </c>
      <c r="V2235" s="6" t="s">
        <v>465</v>
      </c>
      <c r="W2235" s="67" t="str">
        <f t="shared" si="174"/>
        <v>Customer</v>
      </c>
    </row>
    <row r="2236" spans="1:23" x14ac:dyDescent="0.3">
      <c r="A2236" s="2" t="s">
        <v>4907</v>
      </c>
      <c r="B2236" s="2" t="s">
        <v>1280</v>
      </c>
      <c r="C2236" s="2">
        <v>9327669221</v>
      </c>
      <c r="D2236" s="2" t="s">
        <v>59</v>
      </c>
      <c r="E2236" s="2" t="s">
        <v>41</v>
      </c>
      <c r="F2236" s="2" t="s">
        <v>42</v>
      </c>
      <c r="G2236" s="2" t="s">
        <v>1735</v>
      </c>
      <c r="H2236" s="2" t="s">
        <v>4553</v>
      </c>
      <c r="I2236" s="2" t="str">
        <f t="shared" si="170"/>
        <v>Jan</v>
      </c>
      <c r="J2236" s="2">
        <f t="shared" si="171"/>
        <v>1</v>
      </c>
      <c r="K2236" s="2">
        <f t="shared" si="172"/>
        <v>2026</v>
      </c>
      <c r="L2236" s="2">
        <f t="shared" si="173"/>
        <v>1</v>
      </c>
      <c r="M2236" s="2">
        <v>5</v>
      </c>
      <c r="N2236" s="2" t="s">
        <v>4908</v>
      </c>
      <c r="O2236" s="2" t="s">
        <v>27</v>
      </c>
      <c r="P2236" s="3">
        <v>1765586</v>
      </c>
      <c r="Q2236" s="2"/>
      <c r="R2236" s="2"/>
      <c r="S2236" s="2" t="s">
        <v>5574</v>
      </c>
      <c r="T2236" s="2">
        <v>19.600000000000001</v>
      </c>
      <c r="U2236" s="2" t="s">
        <v>29</v>
      </c>
      <c r="V2236" s="2" t="s">
        <v>105</v>
      </c>
      <c r="W2236" s="67" t="str">
        <f t="shared" si="174"/>
        <v>-</v>
      </c>
    </row>
    <row r="2237" spans="1:23" x14ac:dyDescent="0.3">
      <c r="A2237" s="4" t="s">
        <v>4909</v>
      </c>
      <c r="B2237" s="4" t="s">
        <v>4910</v>
      </c>
      <c r="C2237" s="4">
        <v>9388336611</v>
      </c>
      <c r="D2237" s="4" t="s">
        <v>20</v>
      </c>
      <c r="E2237" s="4" t="s">
        <v>109</v>
      </c>
      <c r="F2237" s="4" t="s">
        <v>217</v>
      </c>
      <c r="G2237" s="4" t="s">
        <v>3302</v>
      </c>
      <c r="H2237" s="4" t="s">
        <v>4553</v>
      </c>
      <c r="I2237" s="2" t="str">
        <f t="shared" si="170"/>
        <v>Jan</v>
      </c>
      <c r="J2237" s="2">
        <f t="shared" si="171"/>
        <v>1</v>
      </c>
      <c r="K2237" s="2">
        <f t="shared" si="172"/>
        <v>2026</v>
      </c>
      <c r="L2237" s="2">
        <f t="shared" si="173"/>
        <v>1</v>
      </c>
      <c r="M2237" s="4">
        <v>0</v>
      </c>
      <c r="N2237" s="4" t="s">
        <v>4731</v>
      </c>
      <c r="O2237" s="4" t="s">
        <v>27</v>
      </c>
      <c r="P2237" s="5">
        <v>2206432</v>
      </c>
      <c r="Q2237" s="4"/>
      <c r="R2237" s="4"/>
      <c r="S2237" s="4" t="s">
        <v>5819</v>
      </c>
      <c r="T2237" s="4">
        <v>17.3</v>
      </c>
      <c r="U2237" s="4" t="s">
        <v>29</v>
      </c>
      <c r="V2237" s="4" t="s">
        <v>163</v>
      </c>
      <c r="W2237" s="67" t="str">
        <f t="shared" si="174"/>
        <v>-</v>
      </c>
    </row>
    <row r="2238" spans="1:23" x14ac:dyDescent="0.3">
      <c r="A2238" s="2" t="s">
        <v>4911</v>
      </c>
      <c r="B2238" s="2" t="s">
        <v>4912</v>
      </c>
      <c r="C2238" s="2">
        <v>9714442658</v>
      </c>
      <c r="D2238" s="2" t="s">
        <v>20</v>
      </c>
      <c r="E2238" s="2" t="s">
        <v>648</v>
      </c>
      <c r="F2238" s="2" t="s">
        <v>656</v>
      </c>
      <c r="G2238" s="2" t="s">
        <v>1623</v>
      </c>
      <c r="H2238" s="2" t="s">
        <v>4730</v>
      </c>
      <c r="I2238" s="2" t="str">
        <f t="shared" si="170"/>
        <v>Jan</v>
      </c>
      <c r="J2238" s="2">
        <f t="shared" si="171"/>
        <v>1</v>
      </c>
      <c r="K2238" s="2">
        <f t="shared" si="172"/>
        <v>2026</v>
      </c>
      <c r="L2238" s="2">
        <f t="shared" si="173"/>
        <v>1</v>
      </c>
      <c r="M2238" s="2">
        <v>8</v>
      </c>
      <c r="N2238" s="2" t="s">
        <v>4913</v>
      </c>
      <c r="O2238" s="2" t="s">
        <v>45</v>
      </c>
      <c r="P2238" s="3">
        <v>469439</v>
      </c>
      <c r="Q2238" s="2"/>
      <c r="R2238" s="2"/>
      <c r="S2238" s="2" t="s">
        <v>5573</v>
      </c>
      <c r="T2238" s="2">
        <v>11.7</v>
      </c>
      <c r="U2238" s="2" t="s">
        <v>63</v>
      </c>
      <c r="V2238" s="2" t="s">
        <v>535</v>
      </c>
      <c r="W2238" s="67" t="str">
        <f t="shared" si="174"/>
        <v>-</v>
      </c>
    </row>
    <row r="2239" spans="1:23" x14ac:dyDescent="0.3">
      <c r="A2239" s="6" t="s">
        <v>4914</v>
      </c>
      <c r="B2239" s="6" t="s">
        <v>565</v>
      </c>
      <c r="C2239" s="6">
        <v>9672268920</v>
      </c>
      <c r="D2239" s="6" t="s">
        <v>108</v>
      </c>
      <c r="E2239" s="6" t="s">
        <v>109</v>
      </c>
      <c r="F2239" s="6" t="s">
        <v>217</v>
      </c>
      <c r="G2239" s="6" t="s">
        <v>23</v>
      </c>
      <c r="H2239" s="6" t="s">
        <v>4730</v>
      </c>
      <c r="I2239" s="2" t="str">
        <f t="shared" si="170"/>
        <v>Jan</v>
      </c>
      <c r="J2239" s="2">
        <f t="shared" si="171"/>
        <v>1</v>
      </c>
      <c r="K2239" s="2">
        <f t="shared" si="172"/>
        <v>2026</v>
      </c>
      <c r="L2239" s="2">
        <f t="shared" si="173"/>
        <v>1</v>
      </c>
      <c r="M2239" s="6">
        <v>7</v>
      </c>
      <c r="N2239" s="6" t="s">
        <v>4848</v>
      </c>
      <c r="O2239" s="6" t="s">
        <v>97</v>
      </c>
      <c r="P2239" s="7">
        <v>382007</v>
      </c>
      <c r="Q2239" s="7">
        <v>388853</v>
      </c>
      <c r="R2239" s="6" t="s">
        <v>4784</v>
      </c>
      <c r="S2239" s="6" t="s">
        <v>5819</v>
      </c>
      <c r="T2239" s="6">
        <v>21.3</v>
      </c>
      <c r="U2239" s="6" t="s">
        <v>63</v>
      </c>
      <c r="V2239" s="6" t="s">
        <v>243</v>
      </c>
      <c r="W2239" s="67" t="str">
        <f t="shared" si="174"/>
        <v>Customer</v>
      </c>
    </row>
    <row r="2240" spans="1:23" x14ac:dyDescent="0.3">
      <c r="A2240" s="2" t="s">
        <v>4915</v>
      </c>
      <c r="B2240" s="2" t="s">
        <v>4816</v>
      </c>
      <c r="C2240" s="2">
        <v>9413973280</v>
      </c>
      <c r="D2240" s="2" t="s">
        <v>51</v>
      </c>
      <c r="E2240" s="2" t="s">
        <v>648</v>
      </c>
      <c r="F2240" s="2" t="s">
        <v>899</v>
      </c>
      <c r="G2240" s="2" t="s">
        <v>87</v>
      </c>
      <c r="H2240" s="2" t="s">
        <v>4556</v>
      </c>
      <c r="I2240" s="2" t="str">
        <f t="shared" si="170"/>
        <v>Jan</v>
      </c>
      <c r="J2240" s="2">
        <f t="shared" si="171"/>
        <v>1</v>
      </c>
      <c r="K2240" s="2">
        <f t="shared" si="172"/>
        <v>2026</v>
      </c>
      <c r="L2240" s="2">
        <f t="shared" si="173"/>
        <v>1</v>
      </c>
      <c r="M2240" s="2">
        <v>10</v>
      </c>
      <c r="N2240" s="2" t="s">
        <v>4916</v>
      </c>
      <c r="O2240" s="2" t="s">
        <v>27</v>
      </c>
      <c r="P2240" s="3">
        <v>156860</v>
      </c>
      <c r="Q2240" s="2"/>
      <c r="R2240" s="2"/>
      <c r="S2240" s="2" t="s">
        <v>5819</v>
      </c>
      <c r="T2240" s="2">
        <v>20.5</v>
      </c>
      <c r="U2240" s="2" t="s">
        <v>29</v>
      </c>
      <c r="V2240" s="2" t="s">
        <v>30</v>
      </c>
      <c r="W2240" s="67" t="str">
        <f t="shared" si="174"/>
        <v>-</v>
      </c>
    </row>
    <row r="2241" spans="1:23" x14ac:dyDescent="0.3">
      <c r="A2241" s="4" t="s">
        <v>4917</v>
      </c>
      <c r="B2241" s="4" t="s">
        <v>4632</v>
      </c>
      <c r="C2241" s="4">
        <v>9820473719</v>
      </c>
      <c r="D2241" s="4" t="s">
        <v>59</v>
      </c>
      <c r="E2241" s="4" t="s">
        <v>109</v>
      </c>
      <c r="F2241" s="4" t="s">
        <v>217</v>
      </c>
      <c r="G2241" s="4" t="s">
        <v>643</v>
      </c>
      <c r="H2241" s="4" t="s">
        <v>4556</v>
      </c>
      <c r="I2241" s="2" t="str">
        <f t="shared" si="170"/>
        <v>Jan</v>
      </c>
      <c r="J2241" s="2">
        <f t="shared" si="171"/>
        <v>1</v>
      </c>
      <c r="K2241" s="2">
        <f t="shared" si="172"/>
        <v>2026</v>
      </c>
      <c r="L2241" s="2">
        <f t="shared" si="173"/>
        <v>1</v>
      </c>
      <c r="M2241" s="4">
        <v>1</v>
      </c>
      <c r="N2241" s="4" t="s">
        <v>4918</v>
      </c>
      <c r="O2241" s="4" t="s">
        <v>62</v>
      </c>
      <c r="P2241" s="5">
        <v>1574194</v>
      </c>
      <c r="Q2241" s="4"/>
      <c r="R2241" s="4"/>
      <c r="S2241" s="4" t="s">
        <v>5573</v>
      </c>
      <c r="T2241" s="4">
        <v>24.6</v>
      </c>
      <c r="U2241" s="4" t="s">
        <v>63</v>
      </c>
      <c r="V2241" s="4"/>
      <c r="W2241" s="67" t="str">
        <f t="shared" si="174"/>
        <v>-</v>
      </c>
    </row>
    <row r="2242" spans="1:23" x14ac:dyDescent="0.3">
      <c r="A2242" s="6" t="s">
        <v>4919</v>
      </c>
      <c r="B2242" s="6" t="s">
        <v>1195</v>
      </c>
      <c r="C2242" s="6">
        <v>9310301310</v>
      </c>
      <c r="D2242" s="6" t="s">
        <v>59</v>
      </c>
      <c r="E2242" s="6" t="s">
        <v>41</v>
      </c>
      <c r="F2242" s="6" t="s">
        <v>86</v>
      </c>
      <c r="G2242" s="6" t="s">
        <v>3302</v>
      </c>
      <c r="H2242" s="6" t="s">
        <v>4715</v>
      </c>
      <c r="I2242" s="2" t="str">
        <f t="shared" ref="I2242:I2305" si="175">TEXT(H2242,"mmm")</f>
        <v>Jan</v>
      </c>
      <c r="J2242" s="2">
        <f t="shared" ref="J2242:J2305" si="176">MONTH(H2242)</f>
        <v>1</v>
      </c>
      <c r="K2242" s="2">
        <f t="shared" ref="K2242:K2305" si="177">YEAR(H2242)</f>
        <v>2026</v>
      </c>
      <c r="L2242" s="2">
        <f t="shared" ref="L2242:L2305" si="178">ROUNDUP(MONTH(H2242)/3,0)</f>
        <v>1</v>
      </c>
      <c r="M2242" s="6">
        <v>10</v>
      </c>
      <c r="N2242" s="6" t="s">
        <v>4856</v>
      </c>
      <c r="O2242" s="6" t="s">
        <v>97</v>
      </c>
      <c r="P2242" s="7">
        <v>1937619</v>
      </c>
      <c r="Q2242" s="7">
        <v>1815757</v>
      </c>
      <c r="R2242" s="6" t="s">
        <v>4920</v>
      </c>
      <c r="S2242" s="6" t="s">
        <v>5573</v>
      </c>
      <c r="T2242" s="6">
        <v>3.4</v>
      </c>
      <c r="U2242" s="6" t="s">
        <v>63</v>
      </c>
      <c r="V2242" s="6"/>
      <c r="W2242" s="67" t="str">
        <f t="shared" ref="W2242:W2305" si="179">IF($O2242&lt;&gt;"Converted","-",IF(ISNUMBER(SEARCH("Architect",$F2242)),"Architect","Customer"))</f>
        <v>Customer</v>
      </c>
    </row>
    <row r="2243" spans="1:23" x14ac:dyDescent="0.3">
      <c r="A2243" s="4" t="s">
        <v>4921</v>
      </c>
      <c r="B2243" s="4" t="s">
        <v>3989</v>
      </c>
      <c r="C2243" s="4">
        <v>9764042453</v>
      </c>
      <c r="D2243" s="4" t="s">
        <v>108</v>
      </c>
      <c r="E2243" s="4" t="s">
        <v>41</v>
      </c>
      <c r="F2243" s="4" t="s">
        <v>86</v>
      </c>
      <c r="G2243" s="4" t="s">
        <v>1599</v>
      </c>
      <c r="H2243" s="4" t="s">
        <v>4715</v>
      </c>
      <c r="I2243" s="2" t="str">
        <f t="shared" si="175"/>
        <v>Jan</v>
      </c>
      <c r="J2243" s="2">
        <f t="shared" si="176"/>
        <v>1</v>
      </c>
      <c r="K2243" s="2">
        <f t="shared" si="177"/>
        <v>2026</v>
      </c>
      <c r="L2243" s="2">
        <f t="shared" si="178"/>
        <v>1</v>
      </c>
      <c r="M2243" s="4">
        <v>12</v>
      </c>
      <c r="N2243" s="4" t="s">
        <v>4848</v>
      </c>
      <c r="O2243" s="4" t="s">
        <v>55</v>
      </c>
      <c r="P2243" s="5">
        <v>774677</v>
      </c>
      <c r="Q2243" s="4"/>
      <c r="R2243" s="4"/>
      <c r="S2243" s="4" t="s">
        <v>5819</v>
      </c>
      <c r="T2243" s="4">
        <v>26.7</v>
      </c>
      <c r="U2243" s="4" t="s">
        <v>47</v>
      </c>
      <c r="V2243" s="4" t="s">
        <v>89</v>
      </c>
      <c r="W2243" s="67" t="str">
        <f t="shared" si="179"/>
        <v>-</v>
      </c>
    </row>
    <row r="2244" spans="1:23" x14ac:dyDescent="0.3">
      <c r="A2244" s="6" t="s">
        <v>4922</v>
      </c>
      <c r="B2244" s="6" t="s">
        <v>4923</v>
      </c>
      <c r="C2244" s="6">
        <v>9517473847</v>
      </c>
      <c r="D2244" s="6" t="s">
        <v>59</v>
      </c>
      <c r="E2244" s="6" t="s">
        <v>41</v>
      </c>
      <c r="F2244" s="6" t="s">
        <v>42</v>
      </c>
      <c r="G2244" s="6" t="s">
        <v>23</v>
      </c>
      <c r="H2244" s="6" t="s">
        <v>4715</v>
      </c>
      <c r="I2244" s="2" t="str">
        <f t="shared" si="175"/>
        <v>Jan</v>
      </c>
      <c r="J2244" s="2">
        <f t="shared" si="176"/>
        <v>1</v>
      </c>
      <c r="K2244" s="2">
        <f t="shared" si="177"/>
        <v>2026</v>
      </c>
      <c r="L2244" s="2">
        <f t="shared" si="178"/>
        <v>1</v>
      </c>
      <c r="M2244" s="6">
        <v>12</v>
      </c>
      <c r="N2244" s="6" t="s">
        <v>4924</v>
      </c>
      <c r="O2244" s="6" t="s">
        <v>97</v>
      </c>
      <c r="P2244" s="7">
        <v>459405</v>
      </c>
      <c r="Q2244" s="7">
        <v>417118</v>
      </c>
      <c r="R2244" s="6" t="s">
        <v>4925</v>
      </c>
      <c r="S2244" s="6" t="s">
        <v>5573</v>
      </c>
      <c r="T2244" s="6">
        <v>3.5</v>
      </c>
      <c r="U2244" s="6" t="s">
        <v>47</v>
      </c>
      <c r="V2244" s="6" t="s">
        <v>465</v>
      </c>
      <c r="W2244" s="67" t="str">
        <f t="shared" si="179"/>
        <v>Customer</v>
      </c>
    </row>
    <row r="2245" spans="1:23" x14ac:dyDescent="0.3">
      <c r="A2245" s="4" t="s">
        <v>4926</v>
      </c>
      <c r="B2245" s="4" t="s">
        <v>4927</v>
      </c>
      <c r="C2245" s="4">
        <v>9162243468</v>
      </c>
      <c r="D2245" s="4" t="s">
        <v>59</v>
      </c>
      <c r="E2245" s="4" t="s">
        <v>641</v>
      </c>
      <c r="F2245" s="4" t="s">
        <v>727</v>
      </c>
      <c r="G2245" s="4" t="s">
        <v>69</v>
      </c>
      <c r="H2245" s="4" t="s">
        <v>4715</v>
      </c>
      <c r="I2245" s="2" t="str">
        <f t="shared" si="175"/>
        <v>Jan</v>
      </c>
      <c r="J2245" s="2">
        <f t="shared" si="176"/>
        <v>1</v>
      </c>
      <c r="K2245" s="2">
        <f t="shared" si="177"/>
        <v>2026</v>
      </c>
      <c r="L2245" s="2">
        <f t="shared" si="178"/>
        <v>1</v>
      </c>
      <c r="M2245" s="4">
        <v>2</v>
      </c>
      <c r="N2245" s="4" t="s">
        <v>4764</v>
      </c>
      <c r="O2245" s="4" t="s">
        <v>27</v>
      </c>
      <c r="P2245" s="5">
        <v>425978</v>
      </c>
      <c r="Q2245" s="4"/>
      <c r="R2245" s="4"/>
      <c r="S2245" s="4" t="s">
        <v>5574</v>
      </c>
      <c r="T2245" s="4">
        <v>29.5</v>
      </c>
      <c r="U2245" s="4" t="s">
        <v>29</v>
      </c>
      <c r="V2245" s="4" t="s">
        <v>118</v>
      </c>
      <c r="W2245" s="67" t="str">
        <f t="shared" si="179"/>
        <v>-</v>
      </c>
    </row>
    <row r="2246" spans="1:23" x14ac:dyDescent="0.3">
      <c r="A2246" s="2" t="s">
        <v>4928</v>
      </c>
      <c r="B2246" s="2" t="s">
        <v>4929</v>
      </c>
      <c r="C2246" s="2">
        <v>9787876602</v>
      </c>
      <c r="D2246" s="2" t="s">
        <v>121</v>
      </c>
      <c r="E2246" s="2" t="s">
        <v>648</v>
      </c>
      <c r="F2246" s="2" t="s">
        <v>656</v>
      </c>
      <c r="G2246" s="2" t="s">
        <v>1609</v>
      </c>
      <c r="H2246" s="2" t="s">
        <v>4687</v>
      </c>
      <c r="I2246" s="2" t="str">
        <f t="shared" si="175"/>
        <v>Jan</v>
      </c>
      <c r="J2246" s="2">
        <f t="shared" si="176"/>
        <v>1</v>
      </c>
      <c r="K2246" s="2">
        <f t="shared" si="177"/>
        <v>2026</v>
      </c>
      <c r="L2246" s="2">
        <f t="shared" si="178"/>
        <v>1</v>
      </c>
      <c r="M2246" s="2">
        <v>7</v>
      </c>
      <c r="N2246" s="2" t="s">
        <v>4848</v>
      </c>
      <c r="O2246" s="2" t="s">
        <v>62</v>
      </c>
      <c r="P2246" s="3">
        <v>573846</v>
      </c>
      <c r="Q2246" s="2"/>
      <c r="R2246" s="2"/>
      <c r="S2246" s="2" t="s">
        <v>5573</v>
      </c>
      <c r="T2246" s="2">
        <v>30.7</v>
      </c>
      <c r="U2246" s="2" t="s">
        <v>47</v>
      </c>
      <c r="V2246" s="2"/>
      <c r="W2246" s="67" t="str">
        <f t="shared" si="179"/>
        <v>-</v>
      </c>
    </row>
    <row r="2247" spans="1:23" x14ac:dyDescent="0.3">
      <c r="A2247" s="4" t="s">
        <v>4930</v>
      </c>
      <c r="B2247" s="4" t="s">
        <v>4931</v>
      </c>
      <c r="C2247" s="4">
        <v>9177738617</v>
      </c>
      <c r="D2247" s="4" t="s">
        <v>20</v>
      </c>
      <c r="E2247" s="4" t="s">
        <v>1632</v>
      </c>
      <c r="F2247" s="4" t="s">
        <v>1849</v>
      </c>
      <c r="G2247" s="4" t="s">
        <v>87</v>
      </c>
      <c r="H2247" s="4" t="s">
        <v>4687</v>
      </c>
      <c r="I2247" s="2" t="str">
        <f t="shared" si="175"/>
        <v>Jan</v>
      </c>
      <c r="J2247" s="2">
        <f t="shared" si="176"/>
        <v>1</v>
      </c>
      <c r="K2247" s="2">
        <f t="shared" si="177"/>
        <v>2026</v>
      </c>
      <c r="L2247" s="2">
        <f t="shared" si="178"/>
        <v>1</v>
      </c>
      <c r="M2247" s="4">
        <v>7</v>
      </c>
      <c r="N2247" s="4" t="s">
        <v>4832</v>
      </c>
      <c r="O2247" s="4" t="s">
        <v>27</v>
      </c>
      <c r="P2247" s="5">
        <v>247688</v>
      </c>
      <c r="Q2247" s="4"/>
      <c r="R2247" s="4"/>
      <c r="S2247" s="4" t="s">
        <v>5574</v>
      </c>
      <c r="T2247" s="4">
        <v>15.8</v>
      </c>
      <c r="U2247" s="4" t="s">
        <v>29</v>
      </c>
      <c r="V2247" s="4" t="s">
        <v>163</v>
      </c>
      <c r="W2247" s="67" t="str">
        <f t="shared" si="179"/>
        <v>-</v>
      </c>
    </row>
    <row r="2248" spans="1:23" x14ac:dyDescent="0.3">
      <c r="A2248" s="2" t="s">
        <v>4932</v>
      </c>
      <c r="B2248" s="2" t="s">
        <v>2735</v>
      </c>
      <c r="C2248" s="2">
        <v>9915523331</v>
      </c>
      <c r="D2248" s="2" t="s">
        <v>51</v>
      </c>
      <c r="E2248" s="2" t="s">
        <v>73</v>
      </c>
      <c r="F2248" s="2" t="s">
        <v>74</v>
      </c>
      <c r="G2248" s="2" t="s">
        <v>1621</v>
      </c>
      <c r="H2248" s="2" t="s">
        <v>4651</v>
      </c>
      <c r="I2248" s="2" t="str">
        <f t="shared" si="175"/>
        <v>Jan</v>
      </c>
      <c r="J2248" s="2">
        <f t="shared" si="176"/>
        <v>1</v>
      </c>
      <c r="K2248" s="2">
        <f t="shared" si="177"/>
        <v>2026</v>
      </c>
      <c r="L2248" s="2">
        <f t="shared" si="178"/>
        <v>1</v>
      </c>
      <c r="M2248" s="2">
        <v>9</v>
      </c>
      <c r="N2248" s="2" t="s">
        <v>4757</v>
      </c>
      <c r="O2248" s="2" t="s">
        <v>45</v>
      </c>
      <c r="P2248" s="3">
        <v>640120</v>
      </c>
      <c r="Q2248" s="2"/>
      <c r="R2248" s="2"/>
      <c r="S2248" s="2" t="s">
        <v>5574</v>
      </c>
      <c r="T2248" s="2">
        <v>21</v>
      </c>
      <c r="U2248" s="2" t="s">
        <v>29</v>
      </c>
      <c r="V2248" s="2" t="s">
        <v>206</v>
      </c>
      <c r="W2248" s="67" t="str">
        <f t="shared" si="179"/>
        <v>-</v>
      </c>
    </row>
    <row r="2249" spans="1:23" x14ac:dyDescent="0.3">
      <c r="A2249" s="6" t="s">
        <v>4933</v>
      </c>
      <c r="B2249" s="6" t="s">
        <v>3519</v>
      </c>
      <c r="C2249" s="6">
        <v>9243385790</v>
      </c>
      <c r="D2249" s="6" t="s">
        <v>20</v>
      </c>
      <c r="E2249" s="6" t="s">
        <v>1632</v>
      </c>
      <c r="F2249" s="6" t="s">
        <v>1717</v>
      </c>
      <c r="G2249" s="6" t="s">
        <v>52</v>
      </c>
      <c r="H2249" s="6" t="s">
        <v>4713</v>
      </c>
      <c r="I2249" s="2" t="str">
        <f t="shared" si="175"/>
        <v>Jan</v>
      </c>
      <c r="J2249" s="2">
        <f t="shared" si="176"/>
        <v>1</v>
      </c>
      <c r="K2249" s="2">
        <f t="shared" si="177"/>
        <v>2026</v>
      </c>
      <c r="L2249" s="2">
        <f t="shared" si="178"/>
        <v>1</v>
      </c>
      <c r="M2249" s="6">
        <v>6</v>
      </c>
      <c r="N2249" s="6" t="s">
        <v>4756</v>
      </c>
      <c r="O2249" s="6" t="s">
        <v>97</v>
      </c>
      <c r="P2249" s="6"/>
      <c r="Q2249" s="7">
        <v>302495</v>
      </c>
      <c r="R2249" s="6" t="s">
        <v>4850</v>
      </c>
      <c r="S2249" s="6" t="s">
        <v>5574</v>
      </c>
      <c r="T2249" s="6">
        <v>31.7</v>
      </c>
      <c r="U2249" s="6" t="s">
        <v>63</v>
      </c>
      <c r="V2249" s="6"/>
      <c r="W2249" s="67" t="str">
        <f t="shared" si="179"/>
        <v>Customer</v>
      </c>
    </row>
    <row r="2250" spans="1:23" x14ac:dyDescent="0.3">
      <c r="A2250" s="2" t="s">
        <v>4934</v>
      </c>
      <c r="B2250" s="2" t="s">
        <v>4935</v>
      </c>
      <c r="C2250" s="2">
        <v>9361291719</v>
      </c>
      <c r="D2250" s="2" t="s">
        <v>121</v>
      </c>
      <c r="E2250" s="2" t="s">
        <v>1632</v>
      </c>
      <c r="F2250" s="2" t="s">
        <v>1849</v>
      </c>
      <c r="G2250" s="2" t="s">
        <v>1677</v>
      </c>
      <c r="H2250" s="2" t="s">
        <v>4731</v>
      </c>
      <c r="I2250" s="2" t="str">
        <f t="shared" si="175"/>
        <v>Jan</v>
      </c>
      <c r="J2250" s="2">
        <f t="shared" si="176"/>
        <v>1</v>
      </c>
      <c r="K2250" s="2">
        <f t="shared" si="177"/>
        <v>2026</v>
      </c>
      <c r="L2250" s="2">
        <f t="shared" si="178"/>
        <v>1</v>
      </c>
      <c r="M2250" s="2">
        <v>7</v>
      </c>
      <c r="N2250" s="2" t="s">
        <v>4936</v>
      </c>
      <c r="O2250" s="2" t="s">
        <v>27</v>
      </c>
      <c r="P2250" s="3">
        <v>1613847</v>
      </c>
      <c r="Q2250" s="2"/>
      <c r="R2250" s="2"/>
      <c r="S2250" s="2" t="s">
        <v>5573</v>
      </c>
      <c r="T2250" s="2">
        <v>21.4</v>
      </c>
      <c r="U2250" s="2" t="s">
        <v>47</v>
      </c>
      <c r="V2250" s="2" t="s">
        <v>38</v>
      </c>
      <c r="W2250" s="67" t="str">
        <f t="shared" si="179"/>
        <v>-</v>
      </c>
    </row>
    <row r="2251" spans="1:23" x14ac:dyDescent="0.3">
      <c r="A2251" s="6" t="s">
        <v>4937</v>
      </c>
      <c r="B2251" s="6" t="s">
        <v>4938</v>
      </c>
      <c r="C2251" s="6">
        <v>9829035651</v>
      </c>
      <c r="D2251" s="6" t="s">
        <v>20</v>
      </c>
      <c r="E2251" s="6" t="s">
        <v>41</v>
      </c>
      <c r="F2251" s="6" t="s">
        <v>92</v>
      </c>
      <c r="G2251" s="6" t="s">
        <v>1623</v>
      </c>
      <c r="H2251" s="6" t="s">
        <v>4731</v>
      </c>
      <c r="I2251" s="2" t="str">
        <f t="shared" si="175"/>
        <v>Jan</v>
      </c>
      <c r="J2251" s="2">
        <f t="shared" si="176"/>
        <v>1</v>
      </c>
      <c r="K2251" s="2">
        <f t="shared" si="177"/>
        <v>2026</v>
      </c>
      <c r="L2251" s="2">
        <f t="shared" si="178"/>
        <v>1</v>
      </c>
      <c r="M2251" s="6">
        <v>9</v>
      </c>
      <c r="N2251" s="6" t="s">
        <v>4939</v>
      </c>
      <c r="O2251" s="6" t="s">
        <v>97</v>
      </c>
      <c r="P2251" s="7">
        <v>173317</v>
      </c>
      <c r="Q2251" s="7">
        <v>162286</v>
      </c>
      <c r="R2251" s="6" t="s">
        <v>4940</v>
      </c>
      <c r="S2251" s="6" t="s">
        <v>5573</v>
      </c>
      <c r="T2251" s="6">
        <v>7.1</v>
      </c>
      <c r="U2251" s="6" t="s">
        <v>63</v>
      </c>
      <c r="V2251" s="6" t="s">
        <v>286</v>
      </c>
      <c r="W2251" s="67" t="str">
        <f t="shared" si="179"/>
        <v>Customer</v>
      </c>
    </row>
    <row r="2252" spans="1:23" x14ac:dyDescent="0.3">
      <c r="A2252" s="2" t="s">
        <v>4941</v>
      </c>
      <c r="B2252" s="2" t="s">
        <v>2099</v>
      </c>
      <c r="C2252" s="2">
        <v>9812365471</v>
      </c>
      <c r="D2252" s="2" t="s">
        <v>59</v>
      </c>
      <c r="E2252" s="2" t="s">
        <v>648</v>
      </c>
      <c r="F2252" s="2" t="s">
        <v>656</v>
      </c>
      <c r="G2252" s="2" t="s">
        <v>69</v>
      </c>
      <c r="H2252" s="2" t="s">
        <v>4818</v>
      </c>
      <c r="I2252" s="2" t="str">
        <f t="shared" si="175"/>
        <v>Jan</v>
      </c>
      <c r="J2252" s="2">
        <f t="shared" si="176"/>
        <v>1</v>
      </c>
      <c r="K2252" s="2">
        <f t="shared" si="177"/>
        <v>2026</v>
      </c>
      <c r="L2252" s="2">
        <f t="shared" si="178"/>
        <v>1</v>
      </c>
      <c r="M2252" s="2">
        <v>6</v>
      </c>
      <c r="N2252" s="2" t="s">
        <v>4781</v>
      </c>
      <c r="O2252" s="2" t="s">
        <v>62</v>
      </c>
      <c r="P2252" s="3">
        <v>237710</v>
      </c>
      <c r="Q2252" s="2"/>
      <c r="R2252" s="2"/>
      <c r="S2252" s="2" t="s">
        <v>5819</v>
      </c>
      <c r="T2252" s="2">
        <v>34.200000000000003</v>
      </c>
      <c r="U2252" s="2" t="s">
        <v>63</v>
      </c>
      <c r="V2252" s="2" t="s">
        <v>535</v>
      </c>
      <c r="W2252" s="67" t="str">
        <f t="shared" si="179"/>
        <v>-</v>
      </c>
    </row>
    <row r="2253" spans="1:23" x14ac:dyDescent="0.3">
      <c r="A2253" s="6" t="s">
        <v>4942</v>
      </c>
      <c r="B2253" s="6" t="s">
        <v>40</v>
      </c>
      <c r="C2253" s="6">
        <v>9586116586</v>
      </c>
      <c r="D2253" s="6" t="s">
        <v>51</v>
      </c>
      <c r="E2253" s="6" t="s">
        <v>41</v>
      </c>
      <c r="F2253" s="6" t="s">
        <v>151</v>
      </c>
      <c r="G2253" s="6" t="s">
        <v>52</v>
      </c>
      <c r="H2253" s="6" t="s">
        <v>4818</v>
      </c>
      <c r="I2253" s="2" t="str">
        <f t="shared" si="175"/>
        <v>Jan</v>
      </c>
      <c r="J2253" s="2">
        <f t="shared" si="176"/>
        <v>1</v>
      </c>
      <c r="K2253" s="2">
        <f t="shared" si="177"/>
        <v>2026</v>
      </c>
      <c r="L2253" s="2">
        <f t="shared" si="178"/>
        <v>1</v>
      </c>
      <c r="M2253" s="6">
        <v>12</v>
      </c>
      <c r="N2253" s="6" t="s">
        <v>4808</v>
      </c>
      <c r="O2253" s="6" t="s">
        <v>97</v>
      </c>
      <c r="P2253" s="7">
        <v>420269</v>
      </c>
      <c r="Q2253" s="7">
        <v>420021</v>
      </c>
      <c r="R2253" s="6" t="s">
        <v>4852</v>
      </c>
      <c r="S2253" s="6" t="s">
        <v>5573</v>
      </c>
      <c r="T2253" s="6">
        <v>22.2</v>
      </c>
      <c r="U2253" s="6" t="s">
        <v>63</v>
      </c>
      <c r="V2253" s="6" t="s">
        <v>113</v>
      </c>
      <c r="W2253" s="67" t="str">
        <f t="shared" si="179"/>
        <v>Architect</v>
      </c>
    </row>
    <row r="2254" spans="1:23" x14ac:dyDescent="0.3">
      <c r="A2254" s="6" t="s">
        <v>4943</v>
      </c>
      <c r="B2254" s="6" t="s">
        <v>2880</v>
      </c>
      <c r="C2254" s="6">
        <v>9792221761</v>
      </c>
      <c r="D2254" s="6" t="s">
        <v>59</v>
      </c>
      <c r="E2254" s="6" t="s">
        <v>109</v>
      </c>
      <c r="F2254" s="6" t="s">
        <v>217</v>
      </c>
      <c r="G2254" s="6" t="s">
        <v>1623</v>
      </c>
      <c r="H2254" s="6" t="s">
        <v>4818</v>
      </c>
      <c r="I2254" s="2" t="str">
        <f t="shared" si="175"/>
        <v>Jan</v>
      </c>
      <c r="J2254" s="2">
        <f t="shared" si="176"/>
        <v>1</v>
      </c>
      <c r="K2254" s="2">
        <f t="shared" si="177"/>
        <v>2026</v>
      </c>
      <c r="L2254" s="2">
        <f t="shared" si="178"/>
        <v>1</v>
      </c>
      <c r="M2254" s="6">
        <v>1</v>
      </c>
      <c r="N2254" s="6" t="s">
        <v>4696</v>
      </c>
      <c r="O2254" s="6" t="s">
        <v>97</v>
      </c>
      <c r="P2254" s="7">
        <v>221611</v>
      </c>
      <c r="Q2254" s="7">
        <v>210238</v>
      </c>
      <c r="R2254" s="6" t="s">
        <v>4843</v>
      </c>
      <c r="S2254" s="6" t="s">
        <v>5573</v>
      </c>
      <c r="T2254" s="6">
        <v>15.3</v>
      </c>
      <c r="U2254" s="6" t="s">
        <v>63</v>
      </c>
      <c r="V2254" s="6" t="s">
        <v>465</v>
      </c>
      <c r="W2254" s="67" t="str">
        <f t="shared" si="179"/>
        <v>Customer</v>
      </c>
    </row>
    <row r="2255" spans="1:23" x14ac:dyDescent="0.3">
      <c r="A2255" s="4" t="s">
        <v>4944</v>
      </c>
      <c r="B2255" s="4" t="s">
        <v>1115</v>
      </c>
      <c r="C2255" s="4">
        <v>9175203495</v>
      </c>
      <c r="D2255" s="4" t="s">
        <v>20</v>
      </c>
      <c r="E2255" s="4" t="s">
        <v>648</v>
      </c>
      <c r="F2255" s="4" t="s">
        <v>649</v>
      </c>
      <c r="G2255" s="4" t="s">
        <v>1677</v>
      </c>
      <c r="H2255" s="4" t="s">
        <v>4760</v>
      </c>
      <c r="I2255" s="2" t="str">
        <f t="shared" si="175"/>
        <v>Feb</v>
      </c>
      <c r="J2255" s="2">
        <f t="shared" si="176"/>
        <v>2</v>
      </c>
      <c r="K2255" s="2">
        <f t="shared" si="177"/>
        <v>2026</v>
      </c>
      <c r="L2255" s="2">
        <f t="shared" si="178"/>
        <v>1</v>
      </c>
      <c r="M2255" s="4">
        <v>0</v>
      </c>
      <c r="N2255" s="4" t="s">
        <v>4738</v>
      </c>
      <c r="O2255" s="4" t="s">
        <v>27</v>
      </c>
      <c r="P2255" s="5">
        <v>1342330</v>
      </c>
      <c r="Q2255" s="4"/>
      <c r="R2255" s="4"/>
      <c r="S2255" s="4" t="s">
        <v>5574</v>
      </c>
      <c r="T2255" s="4">
        <v>24.7</v>
      </c>
      <c r="U2255" s="4" t="s">
        <v>29</v>
      </c>
      <c r="V2255" s="4" t="s">
        <v>118</v>
      </c>
      <c r="W2255" s="67" t="str">
        <f t="shared" si="179"/>
        <v>-</v>
      </c>
    </row>
    <row r="2256" spans="1:23" x14ac:dyDescent="0.3">
      <c r="A2256" s="2" t="s">
        <v>4945</v>
      </c>
      <c r="B2256" s="2" t="s">
        <v>1608</v>
      </c>
      <c r="C2256" s="2">
        <v>9872246424</v>
      </c>
      <c r="D2256" s="2" t="s">
        <v>59</v>
      </c>
      <c r="E2256" s="2" t="s">
        <v>648</v>
      </c>
      <c r="F2256" s="2" t="s">
        <v>822</v>
      </c>
      <c r="G2256" s="2" t="s">
        <v>52</v>
      </c>
      <c r="H2256" s="2" t="s">
        <v>4760</v>
      </c>
      <c r="I2256" s="2" t="str">
        <f t="shared" si="175"/>
        <v>Feb</v>
      </c>
      <c r="J2256" s="2">
        <f t="shared" si="176"/>
        <v>2</v>
      </c>
      <c r="K2256" s="2">
        <f t="shared" si="177"/>
        <v>2026</v>
      </c>
      <c r="L2256" s="2">
        <f t="shared" si="178"/>
        <v>1</v>
      </c>
      <c r="M2256" s="2">
        <v>4</v>
      </c>
      <c r="N2256" s="2" t="s">
        <v>4795</v>
      </c>
      <c r="O2256" s="2" t="s">
        <v>45</v>
      </c>
      <c r="P2256" s="3">
        <v>326378</v>
      </c>
      <c r="Q2256" s="2"/>
      <c r="R2256" s="2"/>
      <c r="S2256" s="2" t="s">
        <v>5573</v>
      </c>
      <c r="T2256" s="2">
        <v>26.2</v>
      </c>
      <c r="U2256" s="2" t="s">
        <v>63</v>
      </c>
      <c r="V2256" s="2" t="s">
        <v>221</v>
      </c>
      <c r="W2256" s="67" t="str">
        <f t="shared" si="179"/>
        <v>-</v>
      </c>
    </row>
    <row r="2257" spans="1:23" x14ac:dyDescent="0.3">
      <c r="A2257" s="4" t="s">
        <v>4946</v>
      </c>
      <c r="B2257" s="4" t="s">
        <v>4947</v>
      </c>
      <c r="C2257" s="4">
        <v>9177183961</v>
      </c>
      <c r="D2257" s="4" t="s">
        <v>59</v>
      </c>
      <c r="E2257" s="4" t="s">
        <v>648</v>
      </c>
      <c r="F2257" s="4" t="s">
        <v>899</v>
      </c>
      <c r="G2257" s="4" t="s">
        <v>616</v>
      </c>
      <c r="H2257" s="4" t="s">
        <v>4760</v>
      </c>
      <c r="I2257" s="2" t="str">
        <f t="shared" si="175"/>
        <v>Feb</v>
      </c>
      <c r="J2257" s="2">
        <f t="shared" si="176"/>
        <v>2</v>
      </c>
      <c r="K2257" s="2">
        <f t="shared" si="177"/>
        <v>2026</v>
      </c>
      <c r="L2257" s="2">
        <f t="shared" si="178"/>
        <v>1</v>
      </c>
      <c r="M2257" s="4">
        <v>10</v>
      </c>
      <c r="N2257" s="4" t="s">
        <v>4948</v>
      </c>
      <c r="O2257" s="4" t="s">
        <v>27</v>
      </c>
      <c r="P2257" s="5">
        <v>286818</v>
      </c>
      <c r="Q2257" s="4"/>
      <c r="R2257" s="4"/>
      <c r="S2257" s="4" t="s">
        <v>5573</v>
      </c>
      <c r="T2257" s="4">
        <v>8.8000000000000007</v>
      </c>
      <c r="U2257" s="4" t="s">
        <v>29</v>
      </c>
      <c r="V2257" s="4" t="s">
        <v>118</v>
      </c>
      <c r="W2257" s="67" t="str">
        <f t="shared" si="179"/>
        <v>-</v>
      </c>
    </row>
    <row r="2258" spans="1:23" x14ac:dyDescent="0.3">
      <c r="A2258" s="2" t="s">
        <v>4949</v>
      </c>
      <c r="B2258" s="2" t="s">
        <v>4950</v>
      </c>
      <c r="C2258" s="2">
        <v>9352193023</v>
      </c>
      <c r="D2258" s="2" t="s">
        <v>20</v>
      </c>
      <c r="E2258" s="2" t="s">
        <v>648</v>
      </c>
      <c r="F2258" s="2" t="s">
        <v>899</v>
      </c>
      <c r="G2258" s="2" t="s">
        <v>643</v>
      </c>
      <c r="H2258" s="2" t="s">
        <v>4760</v>
      </c>
      <c r="I2258" s="2" t="str">
        <f t="shared" si="175"/>
        <v>Feb</v>
      </c>
      <c r="J2258" s="2">
        <f t="shared" si="176"/>
        <v>2</v>
      </c>
      <c r="K2258" s="2">
        <f t="shared" si="177"/>
        <v>2026</v>
      </c>
      <c r="L2258" s="2">
        <f t="shared" si="178"/>
        <v>1</v>
      </c>
      <c r="M2258" s="2">
        <v>2</v>
      </c>
      <c r="N2258" s="2" t="s">
        <v>4823</v>
      </c>
      <c r="O2258" s="2" t="s">
        <v>27</v>
      </c>
      <c r="P2258" s="3">
        <v>1466389</v>
      </c>
      <c r="Q2258" s="2"/>
      <c r="R2258" s="2"/>
      <c r="S2258" s="2" t="s">
        <v>5574</v>
      </c>
      <c r="T2258" s="2">
        <v>24.2</v>
      </c>
      <c r="U2258" s="2" t="s">
        <v>29</v>
      </c>
      <c r="V2258" s="2"/>
      <c r="W2258" s="67" t="str">
        <f t="shared" si="179"/>
        <v>-</v>
      </c>
    </row>
    <row r="2259" spans="1:23" x14ac:dyDescent="0.3">
      <c r="A2259" s="4" t="s">
        <v>4951</v>
      </c>
      <c r="B2259" s="4" t="s">
        <v>2337</v>
      </c>
      <c r="C2259" s="4"/>
      <c r="D2259" s="4" t="s">
        <v>59</v>
      </c>
      <c r="E2259" s="4" t="s">
        <v>648</v>
      </c>
      <c r="F2259" s="4" t="s">
        <v>649</v>
      </c>
      <c r="G2259" s="4" t="s">
        <v>1623</v>
      </c>
      <c r="H2259" s="4" t="s">
        <v>4760</v>
      </c>
      <c r="I2259" s="2" t="str">
        <f t="shared" si="175"/>
        <v>Feb</v>
      </c>
      <c r="J2259" s="2">
        <f t="shared" si="176"/>
        <v>2</v>
      </c>
      <c r="K2259" s="2">
        <f t="shared" si="177"/>
        <v>2026</v>
      </c>
      <c r="L2259" s="2">
        <f t="shared" si="178"/>
        <v>1</v>
      </c>
      <c r="M2259" s="4">
        <v>1</v>
      </c>
      <c r="N2259" s="4" t="s">
        <v>4761</v>
      </c>
      <c r="O2259" s="4" t="s">
        <v>55</v>
      </c>
      <c r="P2259" s="5">
        <v>196428</v>
      </c>
      <c r="Q2259" s="4"/>
      <c r="R2259" s="4"/>
      <c r="S2259" s="4" t="s">
        <v>5573</v>
      </c>
      <c r="T2259" s="4">
        <v>16.7</v>
      </c>
      <c r="U2259" s="4" t="s">
        <v>47</v>
      </c>
      <c r="V2259" s="4" t="s">
        <v>3513</v>
      </c>
      <c r="W2259" s="67" t="str">
        <f t="shared" si="179"/>
        <v>-</v>
      </c>
    </row>
    <row r="2260" spans="1:23" x14ac:dyDescent="0.3">
      <c r="A2260" s="6" t="s">
        <v>4952</v>
      </c>
      <c r="B2260" s="6" t="s">
        <v>214</v>
      </c>
      <c r="C2260" s="6">
        <v>9626008005</v>
      </c>
      <c r="D2260" s="6" t="s">
        <v>51</v>
      </c>
      <c r="E2260" s="6" t="s">
        <v>1632</v>
      </c>
      <c r="F2260" s="6" t="s">
        <v>1633</v>
      </c>
      <c r="G2260" s="6" t="s">
        <v>23</v>
      </c>
      <c r="H2260" s="6" t="s">
        <v>4760</v>
      </c>
      <c r="I2260" s="2" t="str">
        <f t="shared" si="175"/>
        <v>Feb</v>
      </c>
      <c r="J2260" s="2">
        <f t="shared" si="176"/>
        <v>2</v>
      </c>
      <c r="K2260" s="2">
        <f t="shared" si="177"/>
        <v>2026</v>
      </c>
      <c r="L2260" s="2">
        <f t="shared" si="178"/>
        <v>1</v>
      </c>
      <c r="M2260" s="6">
        <v>11</v>
      </c>
      <c r="N2260" s="6" t="s">
        <v>4953</v>
      </c>
      <c r="O2260" s="6" t="s">
        <v>97</v>
      </c>
      <c r="P2260" s="7">
        <v>406693</v>
      </c>
      <c r="Q2260" s="7">
        <v>402061</v>
      </c>
      <c r="R2260" s="6" t="s">
        <v>4920</v>
      </c>
      <c r="S2260" s="6" t="s">
        <v>5574</v>
      </c>
      <c r="T2260" s="6">
        <v>7.2</v>
      </c>
      <c r="U2260" s="6" t="s">
        <v>63</v>
      </c>
      <c r="V2260" s="6" t="s">
        <v>113</v>
      </c>
      <c r="W2260" s="67" t="str">
        <f t="shared" si="179"/>
        <v>Customer</v>
      </c>
    </row>
    <row r="2261" spans="1:23" x14ac:dyDescent="0.3">
      <c r="A2261" s="4" t="s">
        <v>4954</v>
      </c>
      <c r="B2261" s="4" t="s">
        <v>2266</v>
      </c>
      <c r="C2261" s="4"/>
      <c r="D2261" s="4" t="s">
        <v>59</v>
      </c>
      <c r="E2261" s="4" t="s">
        <v>73</v>
      </c>
      <c r="F2261" s="4" t="s">
        <v>74</v>
      </c>
      <c r="G2261" s="4" t="s">
        <v>1621</v>
      </c>
      <c r="H2261" s="4" t="s">
        <v>4778</v>
      </c>
      <c r="I2261" s="2" t="str">
        <f t="shared" si="175"/>
        <v>Feb</v>
      </c>
      <c r="J2261" s="2">
        <f t="shared" si="176"/>
        <v>2</v>
      </c>
      <c r="K2261" s="2">
        <f t="shared" si="177"/>
        <v>2026</v>
      </c>
      <c r="L2261" s="2">
        <f t="shared" si="178"/>
        <v>1</v>
      </c>
      <c r="M2261" s="4">
        <v>4</v>
      </c>
      <c r="N2261" s="4" t="s">
        <v>4955</v>
      </c>
      <c r="O2261" s="4" t="s">
        <v>27</v>
      </c>
      <c r="P2261" s="5">
        <v>608114</v>
      </c>
      <c r="Q2261" s="4"/>
      <c r="R2261" s="4"/>
      <c r="S2261" s="4" t="s">
        <v>5573</v>
      </c>
      <c r="T2261" s="4">
        <v>11.2</v>
      </c>
      <c r="U2261" s="4" t="s">
        <v>29</v>
      </c>
      <c r="V2261" s="4" t="s">
        <v>130</v>
      </c>
      <c r="W2261" s="67" t="str">
        <f t="shared" si="179"/>
        <v>-</v>
      </c>
    </row>
    <row r="2262" spans="1:23" x14ac:dyDescent="0.3">
      <c r="A2262" s="2" t="s">
        <v>4956</v>
      </c>
      <c r="B2262" s="2" t="s">
        <v>1601</v>
      </c>
      <c r="C2262" s="2">
        <v>9938322783</v>
      </c>
      <c r="D2262" s="2" t="s">
        <v>59</v>
      </c>
      <c r="E2262" s="2" t="s">
        <v>41</v>
      </c>
      <c r="F2262" s="2" t="s">
        <v>92</v>
      </c>
      <c r="G2262" s="2" t="s">
        <v>1677</v>
      </c>
      <c r="H2262" s="2" t="s">
        <v>4778</v>
      </c>
      <c r="I2262" s="2" t="str">
        <f t="shared" si="175"/>
        <v>Feb</v>
      </c>
      <c r="J2262" s="2">
        <f t="shared" si="176"/>
        <v>2</v>
      </c>
      <c r="K2262" s="2">
        <f t="shared" si="177"/>
        <v>2026</v>
      </c>
      <c r="L2262" s="2">
        <f t="shared" si="178"/>
        <v>1</v>
      </c>
      <c r="M2262" s="2">
        <v>10</v>
      </c>
      <c r="N2262" s="2" t="s">
        <v>4899</v>
      </c>
      <c r="O2262" s="2" t="s">
        <v>55</v>
      </c>
      <c r="P2262" s="3">
        <v>1891944</v>
      </c>
      <c r="Q2262" s="2"/>
      <c r="R2262" s="2"/>
      <c r="S2262" s="2" t="s">
        <v>5573</v>
      </c>
      <c r="T2262" s="2">
        <v>12.1</v>
      </c>
      <c r="U2262" s="2" t="s">
        <v>29</v>
      </c>
      <c r="V2262" s="2" t="s">
        <v>805</v>
      </c>
      <c r="W2262" s="67" t="str">
        <f t="shared" si="179"/>
        <v>-</v>
      </c>
    </row>
    <row r="2263" spans="1:23" x14ac:dyDescent="0.3">
      <c r="A2263" s="6" t="s">
        <v>4957</v>
      </c>
      <c r="B2263" s="6" t="s">
        <v>1489</v>
      </c>
      <c r="C2263" s="6">
        <v>9978533562</v>
      </c>
      <c r="D2263" s="6" t="s">
        <v>59</v>
      </c>
      <c r="E2263" s="6" t="s">
        <v>41</v>
      </c>
      <c r="F2263" s="6" t="s">
        <v>86</v>
      </c>
      <c r="G2263" s="6" t="s">
        <v>1599</v>
      </c>
      <c r="H2263" s="6" t="s">
        <v>4778</v>
      </c>
      <c r="I2263" s="2" t="str">
        <f t="shared" si="175"/>
        <v>Feb</v>
      </c>
      <c r="J2263" s="2">
        <f t="shared" si="176"/>
        <v>2</v>
      </c>
      <c r="K2263" s="2">
        <f t="shared" si="177"/>
        <v>2026</v>
      </c>
      <c r="L2263" s="2">
        <f t="shared" si="178"/>
        <v>1</v>
      </c>
      <c r="M2263" s="6">
        <v>10</v>
      </c>
      <c r="N2263" s="6" t="s">
        <v>4804</v>
      </c>
      <c r="O2263" s="6" t="s">
        <v>97</v>
      </c>
      <c r="P2263" s="7">
        <v>790416</v>
      </c>
      <c r="Q2263" s="7">
        <v>786956</v>
      </c>
      <c r="R2263" s="6" t="s">
        <v>4958</v>
      </c>
      <c r="S2263" s="6" t="s">
        <v>5819</v>
      </c>
      <c r="T2263" s="6">
        <v>14.2</v>
      </c>
      <c r="U2263" s="6" t="s">
        <v>47</v>
      </c>
      <c r="V2263" s="6" t="s">
        <v>483</v>
      </c>
      <c r="W2263" s="67" t="str">
        <f t="shared" si="179"/>
        <v>Customer</v>
      </c>
    </row>
    <row r="2264" spans="1:23" x14ac:dyDescent="0.3">
      <c r="A2264" s="2" t="s">
        <v>4959</v>
      </c>
      <c r="B2264" s="2" t="s">
        <v>4929</v>
      </c>
      <c r="C2264" s="2">
        <v>9451210581</v>
      </c>
      <c r="D2264" s="2" t="s">
        <v>121</v>
      </c>
      <c r="E2264" s="2" t="s">
        <v>648</v>
      </c>
      <c r="F2264" s="2" t="s">
        <v>656</v>
      </c>
      <c r="G2264" s="2" t="s">
        <v>643</v>
      </c>
      <c r="H2264" s="2" t="s">
        <v>4778</v>
      </c>
      <c r="I2264" s="2" t="str">
        <f t="shared" si="175"/>
        <v>Feb</v>
      </c>
      <c r="J2264" s="2">
        <f t="shared" si="176"/>
        <v>2</v>
      </c>
      <c r="K2264" s="2">
        <f t="shared" si="177"/>
        <v>2026</v>
      </c>
      <c r="L2264" s="2">
        <f t="shared" si="178"/>
        <v>1</v>
      </c>
      <c r="M2264" s="2">
        <v>4</v>
      </c>
      <c r="N2264" s="2" t="s">
        <v>4841</v>
      </c>
      <c r="O2264" s="2" t="s">
        <v>27</v>
      </c>
      <c r="P2264" s="3">
        <v>1533128</v>
      </c>
      <c r="Q2264" s="2"/>
      <c r="R2264" s="2"/>
      <c r="S2264" s="2" t="s">
        <v>5573</v>
      </c>
      <c r="T2264" s="2">
        <v>20.100000000000001</v>
      </c>
      <c r="U2264" s="2" t="s">
        <v>47</v>
      </c>
      <c r="V2264" s="2"/>
      <c r="W2264" s="67" t="str">
        <f t="shared" si="179"/>
        <v>-</v>
      </c>
    </row>
    <row r="2265" spans="1:23" x14ac:dyDescent="0.3">
      <c r="A2265" s="4" t="s">
        <v>4960</v>
      </c>
      <c r="B2265" s="4" t="s">
        <v>4961</v>
      </c>
      <c r="C2265" s="4">
        <v>9892021599</v>
      </c>
      <c r="D2265" s="4" t="s">
        <v>20</v>
      </c>
      <c r="E2265" s="4" t="s">
        <v>67</v>
      </c>
      <c r="F2265" s="4" t="s">
        <v>80</v>
      </c>
      <c r="G2265" s="4" t="s">
        <v>1609</v>
      </c>
      <c r="H2265" s="4" t="s">
        <v>4733</v>
      </c>
      <c r="I2265" s="2" t="str">
        <f t="shared" si="175"/>
        <v>Feb</v>
      </c>
      <c r="J2265" s="2">
        <f t="shared" si="176"/>
        <v>2</v>
      </c>
      <c r="K2265" s="2">
        <f t="shared" si="177"/>
        <v>2026</v>
      </c>
      <c r="L2265" s="2">
        <f t="shared" si="178"/>
        <v>1</v>
      </c>
      <c r="M2265" s="4">
        <v>3</v>
      </c>
      <c r="N2265" s="4" t="s">
        <v>4962</v>
      </c>
      <c r="O2265" s="4" t="s">
        <v>27</v>
      </c>
      <c r="P2265" s="5">
        <v>450000</v>
      </c>
      <c r="Q2265" s="4"/>
      <c r="R2265" s="4"/>
      <c r="S2265" s="4" t="s">
        <v>5574</v>
      </c>
      <c r="T2265" s="4">
        <v>22.5</v>
      </c>
      <c r="U2265" s="4" t="s">
        <v>29</v>
      </c>
      <c r="V2265" s="4" t="s">
        <v>123</v>
      </c>
      <c r="W2265" s="67" t="str">
        <f t="shared" si="179"/>
        <v>-</v>
      </c>
    </row>
    <row r="2266" spans="1:23" x14ac:dyDescent="0.3">
      <c r="A2266" s="2" t="s">
        <v>4963</v>
      </c>
      <c r="B2266" s="2" t="s">
        <v>4269</v>
      </c>
      <c r="C2266" s="2">
        <v>9185361259</v>
      </c>
      <c r="D2266" s="2" t="s">
        <v>20</v>
      </c>
      <c r="E2266" s="2" t="s">
        <v>1632</v>
      </c>
      <c r="F2266" s="2" t="s">
        <v>1682</v>
      </c>
      <c r="G2266" s="2" t="s">
        <v>3302</v>
      </c>
      <c r="H2266" s="2" t="s">
        <v>4733</v>
      </c>
      <c r="I2266" s="2" t="str">
        <f t="shared" si="175"/>
        <v>Feb</v>
      </c>
      <c r="J2266" s="2">
        <f t="shared" si="176"/>
        <v>2</v>
      </c>
      <c r="K2266" s="2">
        <f t="shared" si="177"/>
        <v>2026</v>
      </c>
      <c r="L2266" s="2">
        <f t="shared" si="178"/>
        <v>1</v>
      </c>
      <c r="M2266" s="2">
        <v>9</v>
      </c>
      <c r="N2266" s="2" t="s">
        <v>4964</v>
      </c>
      <c r="O2266" s="2" t="s">
        <v>45</v>
      </c>
      <c r="P2266" s="3">
        <v>2148083</v>
      </c>
      <c r="Q2266" s="2"/>
      <c r="R2266" s="2"/>
      <c r="S2266" s="2" t="s">
        <v>5573</v>
      </c>
      <c r="T2266" s="2">
        <v>16.899999999999999</v>
      </c>
      <c r="U2266" s="2" t="s">
        <v>47</v>
      </c>
      <c r="V2266" s="2" t="s">
        <v>487</v>
      </c>
      <c r="W2266" s="67" t="str">
        <f t="shared" si="179"/>
        <v>-</v>
      </c>
    </row>
    <row r="2267" spans="1:23" x14ac:dyDescent="0.3">
      <c r="A2267" s="6" t="s">
        <v>4965</v>
      </c>
      <c r="B2267" s="6" t="s">
        <v>4241</v>
      </c>
      <c r="C2267" s="6">
        <v>9696020873</v>
      </c>
      <c r="D2267" s="6" t="s">
        <v>51</v>
      </c>
      <c r="E2267" s="6" t="s">
        <v>648</v>
      </c>
      <c r="F2267" s="6" t="s">
        <v>649</v>
      </c>
      <c r="G2267" s="6" t="s">
        <v>1623</v>
      </c>
      <c r="H2267" s="6" t="s">
        <v>4918</v>
      </c>
      <c r="I2267" s="2" t="str">
        <f t="shared" si="175"/>
        <v>Feb</v>
      </c>
      <c r="J2267" s="2">
        <f t="shared" si="176"/>
        <v>2</v>
      </c>
      <c r="K2267" s="2">
        <f t="shared" si="177"/>
        <v>2026</v>
      </c>
      <c r="L2267" s="2">
        <f t="shared" si="178"/>
        <v>1</v>
      </c>
      <c r="M2267" s="6">
        <v>1</v>
      </c>
      <c r="N2267" s="6" t="s">
        <v>4966</v>
      </c>
      <c r="O2267" s="6" t="s">
        <v>97</v>
      </c>
      <c r="P2267" s="7">
        <v>388624</v>
      </c>
      <c r="Q2267" s="7">
        <v>396850</v>
      </c>
      <c r="R2267" s="6" t="s">
        <v>4967</v>
      </c>
      <c r="S2267" s="6" t="s">
        <v>5819</v>
      </c>
      <c r="T2267" s="6">
        <v>4</v>
      </c>
      <c r="U2267" s="6" t="s">
        <v>47</v>
      </c>
      <c r="V2267" s="6" t="s">
        <v>907</v>
      </c>
      <c r="W2267" s="67" t="str">
        <f t="shared" si="179"/>
        <v>Customer</v>
      </c>
    </row>
    <row r="2268" spans="1:23" x14ac:dyDescent="0.3">
      <c r="A2268" s="6" t="s">
        <v>4968</v>
      </c>
      <c r="B2268" s="6" t="s">
        <v>4969</v>
      </c>
      <c r="C2268" s="6">
        <v>9203269401</v>
      </c>
      <c r="D2268" s="6" t="s">
        <v>59</v>
      </c>
      <c r="E2268" s="6" t="s">
        <v>1632</v>
      </c>
      <c r="F2268" s="6" t="s">
        <v>1682</v>
      </c>
      <c r="G2268" s="6" t="s">
        <v>1677</v>
      </c>
      <c r="H2268" s="6" t="s">
        <v>4696</v>
      </c>
      <c r="I2268" s="2" t="str">
        <f t="shared" si="175"/>
        <v>Feb</v>
      </c>
      <c r="J2268" s="2">
        <f t="shared" si="176"/>
        <v>2</v>
      </c>
      <c r="K2268" s="2">
        <f t="shared" si="177"/>
        <v>2026</v>
      </c>
      <c r="L2268" s="2">
        <f t="shared" si="178"/>
        <v>1</v>
      </c>
      <c r="M2268" s="6">
        <v>7</v>
      </c>
      <c r="N2268" s="6" t="s">
        <v>4757</v>
      </c>
      <c r="O2268" s="6" t="s">
        <v>97</v>
      </c>
      <c r="P2268" s="7">
        <v>1691149</v>
      </c>
      <c r="Q2268" s="7">
        <v>1683553</v>
      </c>
      <c r="R2268" s="6" t="s">
        <v>4850</v>
      </c>
      <c r="S2268" s="6" t="s">
        <v>5573</v>
      </c>
      <c r="T2268" s="6">
        <v>13.9</v>
      </c>
      <c r="U2268" s="6" t="s">
        <v>63</v>
      </c>
      <c r="V2268" s="6" t="s">
        <v>113</v>
      </c>
      <c r="W2268" s="67" t="str">
        <f t="shared" si="179"/>
        <v>Customer</v>
      </c>
    </row>
    <row r="2269" spans="1:23" x14ac:dyDescent="0.3">
      <c r="A2269" s="4" t="s">
        <v>4970</v>
      </c>
      <c r="B2269" s="4" t="s">
        <v>2887</v>
      </c>
      <c r="C2269" s="4">
        <v>9385982574</v>
      </c>
      <c r="D2269" s="4" t="s">
        <v>59</v>
      </c>
      <c r="E2269" s="4" t="s">
        <v>41</v>
      </c>
      <c r="F2269" s="4" t="s">
        <v>86</v>
      </c>
      <c r="G2269" s="4" t="s">
        <v>23</v>
      </c>
      <c r="H2269" s="4" t="s">
        <v>4696</v>
      </c>
      <c r="I2269" s="2" t="str">
        <f t="shared" si="175"/>
        <v>Feb</v>
      </c>
      <c r="J2269" s="2">
        <f t="shared" si="176"/>
        <v>2</v>
      </c>
      <c r="K2269" s="2">
        <f t="shared" si="177"/>
        <v>2026</v>
      </c>
      <c r="L2269" s="2">
        <f t="shared" si="178"/>
        <v>1</v>
      </c>
      <c r="M2269" s="4">
        <v>1</v>
      </c>
      <c r="N2269" s="4" t="s">
        <v>4795</v>
      </c>
      <c r="O2269" s="4" t="s">
        <v>62</v>
      </c>
      <c r="P2269" s="5">
        <v>858465</v>
      </c>
      <c r="Q2269" s="4"/>
      <c r="R2269" s="4"/>
      <c r="S2269" s="4" t="s">
        <v>5573</v>
      </c>
      <c r="T2269" s="4">
        <v>27.6</v>
      </c>
      <c r="U2269" s="4" t="s">
        <v>63</v>
      </c>
      <c r="V2269" s="4"/>
      <c r="W2269" s="67" t="str">
        <f t="shared" si="179"/>
        <v>-</v>
      </c>
    </row>
    <row r="2270" spans="1:23" x14ac:dyDescent="0.3">
      <c r="A2270" s="6" t="s">
        <v>4971</v>
      </c>
      <c r="B2270" s="6" t="s">
        <v>4972</v>
      </c>
      <c r="C2270" s="6">
        <v>9890893647</v>
      </c>
      <c r="D2270" s="6" t="s">
        <v>108</v>
      </c>
      <c r="E2270" s="6" t="s">
        <v>641</v>
      </c>
      <c r="F2270" s="6" t="s">
        <v>717</v>
      </c>
      <c r="G2270" s="6" t="s">
        <v>1599</v>
      </c>
      <c r="H2270" s="6" t="s">
        <v>4696</v>
      </c>
      <c r="I2270" s="2" t="str">
        <f t="shared" si="175"/>
        <v>Feb</v>
      </c>
      <c r="J2270" s="2">
        <f t="shared" si="176"/>
        <v>2</v>
      </c>
      <c r="K2270" s="2">
        <f t="shared" si="177"/>
        <v>2026</v>
      </c>
      <c r="L2270" s="2">
        <f t="shared" si="178"/>
        <v>1</v>
      </c>
      <c r="M2270" s="6">
        <v>11</v>
      </c>
      <c r="N2270" s="6" t="s">
        <v>4973</v>
      </c>
      <c r="O2270" s="6" t="s">
        <v>97</v>
      </c>
      <c r="P2270" s="7">
        <v>1048722</v>
      </c>
      <c r="Q2270" s="7">
        <v>949399</v>
      </c>
      <c r="R2270" s="6" t="s">
        <v>4974</v>
      </c>
      <c r="S2270" s="6" t="s">
        <v>5574</v>
      </c>
      <c r="T2270" s="6">
        <v>4.4000000000000004</v>
      </c>
      <c r="U2270" s="6" t="s">
        <v>47</v>
      </c>
      <c r="V2270" s="6"/>
      <c r="W2270" s="67" t="str">
        <f t="shared" si="179"/>
        <v>Customer</v>
      </c>
    </row>
    <row r="2271" spans="1:23" x14ac:dyDescent="0.3">
      <c r="A2271" s="4" t="s">
        <v>4975</v>
      </c>
      <c r="B2271" s="4" t="s">
        <v>2012</v>
      </c>
      <c r="C2271" s="4">
        <v>9186918293</v>
      </c>
      <c r="D2271" s="4" t="s">
        <v>59</v>
      </c>
      <c r="E2271" s="4" t="s">
        <v>1632</v>
      </c>
      <c r="F2271" s="4" t="s">
        <v>1633</v>
      </c>
      <c r="G2271" s="4" t="s">
        <v>1621</v>
      </c>
      <c r="H2271" s="4" t="s">
        <v>4810</v>
      </c>
      <c r="I2271" s="2" t="str">
        <f t="shared" si="175"/>
        <v>Feb</v>
      </c>
      <c r="J2271" s="2">
        <f t="shared" si="176"/>
        <v>2</v>
      </c>
      <c r="K2271" s="2">
        <f t="shared" si="177"/>
        <v>2026</v>
      </c>
      <c r="L2271" s="2">
        <f t="shared" si="178"/>
        <v>1</v>
      </c>
      <c r="M2271" s="4">
        <v>7</v>
      </c>
      <c r="N2271" s="4" t="s">
        <v>4757</v>
      </c>
      <c r="O2271" s="4" t="s">
        <v>27</v>
      </c>
      <c r="P2271" s="5">
        <v>244985</v>
      </c>
      <c r="Q2271" s="4"/>
      <c r="R2271" s="4"/>
      <c r="S2271" s="4" t="s">
        <v>5819</v>
      </c>
      <c r="T2271" s="4">
        <v>12.8</v>
      </c>
      <c r="U2271" s="4" t="s">
        <v>47</v>
      </c>
      <c r="V2271" s="4" t="s">
        <v>105</v>
      </c>
      <c r="W2271" s="67" t="str">
        <f t="shared" si="179"/>
        <v>-</v>
      </c>
    </row>
    <row r="2272" spans="1:23" x14ac:dyDescent="0.3">
      <c r="A2272" s="6" t="s">
        <v>4976</v>
      </c>
      <c r="B2272" s="6" t="s">
        <v>4977</v>
      </c>
      <c r="C2272" s="6">
        <v>9230444947</v>
      </c>
      <c r="D2272" s="6" t="s">
        <v>20</v>
      </c>
      <c r="E2272" s="6" t="s">
        <v>1632</v>
      </c>
      <c r="F2272" s="6" t="s">
        <v>1682</v>
      </c>
      <c r="G2272" s="6" t="s">
        <v>643</v>
      </c>
      <c r="H2272" s="6" t="s">
        <v>4810</v>
      </c>
      <c r="I2272" s="2" t="str">
        <f t="shared" si="175"/>
        <v>Feb</v>
      </c>
      <c r="J2272" s="2">
        <f t="shared" si="176"/>
        <v>2</v>
      </c>
      <c r="K2272" s="2">
        <f t="shared" si="177"/>
        <v>2026</v>
      </c>
      <c r="L2272" s="2">
        <f t="shared" si="178"/>
        <v>1</v>
      </c>
      <c r="M2272" s="6">
        <v>0</v>
      </c>
      <c r="N2272" s="6" t="s">
        <v>4962</v>
      </c>
      <c r="O2272" s="6" t="s">
        <v>97</v>
      </c>
      <c r="P2272" s="7">
        <v>840439</v>
      </c>
      <c r="Q2272" s="7">
        <v>781717</v>
      </c>
      <c r="R2272" s="6" t="s">
        <v>4784</v>
      </c>
      <c r="S2272" s="6" t="s">
        <v>5573</v>
      </c>
      <c r="T2272" s="6">
        <v>15.5</v>
      </c>
      <c r="U2272" s="6" t="s">
        <v>63</v>
      </c>
      <c r="V2272" s="6" t="s">
        <v>907</v>
      </c>
      <c r="W2272" s="67" t="str">
        <f t="shared" si="179"/>
        <v>Customer</v>
      </c>
    </row>
    <row r="2273" spans="1:23" x14ac:dyDescent="0.3">
      <c r="A2273" s="4" t="s">
        <v>4978</v>
      </c>
      <c r="B2273" s="4" t="s">
        <v>3925</v>
      </c>
      <c r="C2273" s="4">
        <v>9922959162</v>
      </c>
      <c r="D2273" s="4" t="s">
        <v>20</v>
      </c>
      <c r="E2273" s="4" t="s">
        <v>1632</v>
      </c>
      <c r="F2273" s="4" t="s">
        <v>1717</v>
      </c>
      <c r="G2273" s="4" t="s">
        <v>52</v>
      </c>
      <c r="H2273" s="4" t="s">
        <v>4810</v>
      </c>
      <c r="I2273" s="2" t="str">
        <f t="shared" si="175"/>
        <v>Feb</v>
      </c>
      <c r="J2273" s="2">
        <f t="shared" si="176"/>
        <v>2</v>
      </c>
      <c r="K2273" s="2">
        <f t="shared" si="177"/>
        <v>2026</v>
      </c>
      <c r="L2273" s="2">
        <f t="shared" si="178"/>
        <v>1</v>
      </c>
      <c r="M2273" s="4">
        <v>4</v>
      </c>
      <c r="N2273" s="4" t="s">
        <v>4848</v>
      </c>
      <c r="O2273" s="4" t="s">
        <v>27</v>
      </c>
      <c r="P2273" s="5">
        <v>244515</v>
      </c>
      <c r="Q2273" s="4"/>
      <c r="R2273" s="4"/>
      <c r="S2273" s="4" t="s">
        <v>5573</v>
      </c>
      <c r="T2273" s="4">
        <v>15</v>
      </c>
      <c r="U2273" s="4" t="s">
        <v>47</v>
      </c>
      <c r="V2273" s="4" t="s">
        <v>153</v>
      </c>
      <c r="W2273" s="67" t="str">
        <f t="shared" si="179"/>
        <v>-</v>
      </c>
    </row>
    <row r="2274" spans="1:23" x14ac:dyDescent="0.3">
      <c r="A2274" s="2" t="s">
        <v>4979</v>
      </c>
      <c r="B2274" s="2" t="s">
        <v>2647</v>
      </c>
      <c r="C2274" s="2">
        <v>9756224849</v>
      </c>
      <c r="D2274" s="2" t="s">
        <v>121</v>
      </c>
      <c r="E2274" s="2" t="s">
        <v>641</v>
      </c>
      <c r="F2274" s="2" t="s">
        <v>717</v>
      </c>
      <c r="G2274" s="2" t="s">
        <v>23</v>
      </c>
      <c r="H2274" s="2" t="s">
        <v>4843</v>
      </c>
      <c r="I2274" s="2" t="str">
        <f t="shared" si="175"/>
        <v>Feb</v>
      </c>
      <c r="J2274" s="2">
        <f t="shared" si="176"/>
        <v>2</v>
      </c>
      <c r="K2274" s="2">
        <f t="shared" si="177"/>
        <v>2026</v>
      </c>
      <c r="L2274" s="2">
        <f t="shared" si="178"/>
        <v>1</v>
      </c>
      <c r="M2274" s="2">
        <v>12</v>
      </c>
      <c r="N2274" s="2" t="s">
        <v>4869</v>
      </c>
      <c r="O2274" s="2" t="s">
        <v>45</v>
      </c>
      <c r="P2274" s="3">
        <v>584446</v>
      </c>
      <c r="Q2274" s="2"/>
      <c r="R2274" s="2"/>
      <c r="S2274" s="2" t="s">
        <v>5574</v>
      </c>
      <c r="T2274" s="2">
        <v>35.4</v>
      </c>
      <c r="U2274" s="2" t="s">
        <v>29</v>
      </c>
      <c r="V2274" s="2" t="s">
        <v>389</v>
      </c>
      <c r="W2274" s="67" t="str">
        <f t="shared" si="179"/>
        <v>-</v>
      </c>
    </row>
    <row r="2275" spans="1:23" x14ac:dyDescent="0.3">
      <c r="A2275" s="6" t="s">
        <v>4980</v>
      </c>
      <c r="B2275" s="6" t="s">
        <v>4677</v>
      </c>
      <c r="C2275" s="6">
        <v>9380702691</v>
      </c>
      <c r="D2275" s="6" t="s">
        <v>20</v>
      </c>
      <c r="E2275" s="6" t="s">
        <v>648</v>
      </c>
      <c r="F2275" s="6" t="s">
        <v>822</v>
      </c>
      <c r="G2275" s="6" t="s">
        <v>1621</v>
      </c>
      <c r="H2275" s="6" t="s">
        <v>4843</v>
      </c>
      <c r="I2275" s="2" t="str">
        <f t="shared" si="175"/>
        <v>Feb</v>
      </c>
      <c r="J2275" s="2">
        <f t="shared" si="176"/>
        <v>2</v>
      </c>
      <c r="K2275" s="2">
        <f t="shared" si="177"/>
        <v>2026</v>
      </c>
      <c r="L2275" s="2">
        <f t="shared" si="178"/>
        <v>1</v>
      </c>
      <c r="M2275" s="6">
        <v>9</v>
      </c>
      <c r="N2275" s="6" t="s">
        <v>4981</v>
      </c>
      <c r="O2275" s="6" t="s">
        <v>97</v>
      </c>
      <c r="P2275" s="7">
        <v>472883</v>
      </c>
      <c r="Q2275" s="7">
        <v>419991</v>
      </c>
      <c r="R2275" s="6" t="s">
        <v>4982</v>
      </c>
      <c r="S2275" s="6" t="s">
        <v>5573</v>
      </c>
      <c r="T2275" s="6">
        <v>35</v>
      </c>
      <c r="U2275" s="6" t="s">
        <v>63</v>
      </c>
      <c r="V2275" s="6" t="s">
        <v>465</v>
      </c>
      <c r="W2275" s="67" t="str">
        <f t="shared" si="179"/>
        <v>Customer</v>
      </c>
    </row>
    <row r="2276" spans="1:23" x14ac:dyDescent="0.3">
      <c r="A2276" s="2" t="s">
        <v>4983</v>
      </c>
      <c r="B2276" s="2" t="s">
        <v>829</v>
      </c>
      <c r="C2276" s="2">
        <v>9384562274</v>
      </c>
      <c r="D2276" s="2" t="s">
        <v>121</v>
      </c>
      <c r="E2276" s="2" t="s">
        <v>648</v>
      </c>
      <c r="F2276" s="2" t="s">
        <v>649</v>
      </c>
      <c r="G2276" s="2" t="s">
        <v>616</v>
      </c>
      <c r="H2276" s="2" t="s">
        <v>4843</v>
      </c>
      <c r="I2276" s="2" t="str">
        <f t="shared" si="175"/>
        <v>Feb</v>
      </c>
      <c r="J2276" s="2">
        <f t="shared" si="176"/>
        <v>2</v>
      </c>
      <c r="K2276" s="2">
        <f t="shared" si="177"/>
        <v>2026</v>
      </c>
      <c r="L2276" s="2">
        <f t="shared" si="178"/>
        <v>1</v>
      </c>
      <c r="M2276" s="2">
        <v>5</v>
      </c>
      <c r="N2276" s="2" t="s">
        <v>4784</v>
      </c>
      <c r="O2276" s="2" t="s">
        <v>45</v>
      </c>
      <c r="P2276" s="3">
        <v>362311</v>
      </c>
      <c r="Q2276" s="2"/>
      <c r="R2276" s="2"/>
      <c r="S2276" s="2" t="s">
        <v>5573</v>
      </c>
      <c r="T2276" s="2">
        <v>2.2999999999999998</v>
      </c>
      <c r="U2276" s="2" t="s">
        <v>63</v>
      </c>
      <c r="V2276" s="2" t="s">
        <v>535</v>
      </c>
      <c r="W2276" s="67" t="str">
        <f t="shared" si="179"/>
        <v>-</v>
      </c>
    </row>
    <row r="2277" spans="1:23" x14ac:dyDescent="0.3">
      <c r="A2277" s="4" t="s">
        <v>4984</v>
      </c>
      <c r="B2277" s="4" t="s">
        <v>444</v>
      </c>
      <c r="C2277" s="4">
        <v>9868078895</v>
      </c>
      <c r="D2277" s="4" t="s">
        <v>121</v>
      </c>
      <c r="E2277" s="4" t="s">
        <v>1632</v>
      </c>
      <c r="F2277" s="4" t="s">
        <v>1682</v>
      </c>
      <c r="G2277" s="4" t="s">
        <v>643</v>
      </c>
      <c r="H2277" s="4" t="s">
        <v>4843</v>
      </c>
      <c r="I2277" s="2" t="str">
        <f t="shared" si="175"/>
        <v>Feb</v>
      </c>
      <c r="J2277" s="2">
        <f t="shared" si="176"/>
        <v>2</v>
      </c>
      <c r="K2277" s="2">
        <f t="shared" si="177"/>
        <v>2026</v>
      </c>
      <c r="L2277" s="2">
        <f t="shared" si="178"/>
        <v>1</v>
      </c>
      <c r="M2277" s="4">
        <v>6</v>
      </c>
      <c r="N2277" s="4" t="s">
        <v>4856</v>
      </c>
      <c r="O2277" s="4" t="s">
        <v>45</v>
      </c>
      <c r="P2277" s="5">
        <v>873229</v>
      </c>
      <c r="Q2277" s="4"/>
      <c r="R2277" s="4"/>
      <c r="S2277" s="4" t="s">
        <v>5573</v>
      </c>
      <c r="T2277" s="4">
        <v>23.1</v>
      </c>
      <c r="U2277" s="4" t="s">
        <v>63</v>
      </c>
      <c r="V2277" s="4" t="s">
        <v>221</v>
      </c>
      <c r="W2277" s="67" t="str">
        <f t="shared" si="179"/>
        <v>-</v>
      </c>
    </row>
    <row r="2278" spans="1:23" x14ac:dyDescent="0.3">
      <c r="A2278" s="2" t="s">
        <v>4985</v>
      </c>
      <c r="B2278" s="2" t="s">
        <v>1201</v>
      </c>
      <c r="C2278" s="2">
        <v>9798873377</v>
      </c>
      <c r="D2278" s="2" t="s">
        <v>121</v>
      </c>
      <c r="E2278" s="2" t="s">
        <v>1632</v>
      </c>
      <c r="F2278" s="2" t="s">
        <v>1849</v>
      </c>
      <c r="G2278" s="2" t="s">
        <v>60</v>
      </c>
      <c r="H2278" s="2" t="s">
        <v>4843</v>
      </c>
      <c r="I2278" s="2" t="str">
        <f t="shared" si="175"/>
        <v>Feb</v>
      </c>
      <c r="J2278" s="2">
        <f t="shared" si="176"/>
        <v>2</v>
      </c>
      <c r="K2278" s="2">
        <f t="shared" si="177"/>
        <v>2026</v>
      </c>
      <c r="L2278" s="2">
        <f t="shared" si="178"/>
        <v>1</v>
      </c>
      <c r="M2278" s="2">
        <v>1</v>
      </c>
      <c r="N2278" s="2" t="s">
        <v>4848</v>
      </c>
      <c r="O2278" s="2" t="s">
        <v>45</v>
      </c>
      <c r="P2278" s="3">
        <v>186287</v>
      </c>
      <c r="Q2278" s="2"/>
      <c r="R2278" s="2"/>
      <c r="S2278" s="2" t="s">
        <v>5819</v>
      </c>
      <c r="T2278" s="2">
        <v>0.7</v>
      </c>
      <c r="U2278" s="2" t="s">
        <v>47</v>
      </c>
      <c r="V2278" s="2"/>
      <c r="W2278" s="67" t="str">
        <f t="shared" si="179"/>
        <v>-</v>
      </c>
    </row>
    <row r="2279" spans="1:23" x14ac:dyDescent="0.3">
      <c r="A2279" s="4" t="s">
        <v>4986</v>
      </c>
      <c r="B2279" s="4" t="s">
        <v>4987</v>
      </c>
      <c r="C2279" s="4">
        <v>9755902380</v>
      </c>
      <c r="D2279" s="4" t="s">
        <v>121</v>
      </c>
      <c r="E2279" s="4" t="s">
        <v>109</v>
      </c>
      <c r="F2279" s="4" t="s">
        <v>217</v>
      </c>
      <c r="G2279" s="4" t="s">
        <v>1609</v>
      </c>
      <c r="H2279" s="4" t="s">
        <v>4843</v>
      </c>
      <c r="I2279" s="2" t="str">
        <f t="shared" si="175"/>
        <v>Feb</v>
      </c>
      <c r="J2279" s="2">
        <f t="shared" si="176"/>
        <v>2</v>
      </c>
      <c r="K2279" s="2">
        <f t="shared" si="177"/>
        <v>2026</v>
      </c>
      <c r="L2279" s="2">
        <f t="shared" si="178"/>
        <v>1</v>
      </c>
      <c r="M2279" s="4">
        <v>12</v>
      </c>
      <c r="N2279" s="4" t="s">
        <v>4967</v>
      </c>
      <c r="O2279" s="4" t="s">
        <v>55</v>
      </c>
      <c r="P2279" s="5">
        <v>554138</v>
      </c>
      <c r="Q2279" s="4"/>
      <c r="R2279" s="4"/>
      <c r="S2279" s="4" t="s">
        <v>5573</v>
      </c>
      <c r="T2279" s="4">
        <v>15.6</v>
      </c>
      <c r="U2279" s="4" t="s">
        <v>29</v>
      </c>
      <c r="V2279" s="4" t="s">
        <v>247</v>
      </c>
      <c r="W2279" s="67" t="str">
        <f t="shared" si="179"/>
        <v>-</v>
      </c>
    </row>
    <row r="2280" spans="1:23" x14ac:dyDescent="0.3">
      <c r="A2280" s="2" t="s">
        <v>4988</v>
      </c>
      <c r="B2280" s="2" t="s">
        <v>4989</v>
      </c>
      <c r="C2280" s="2">
        <v>9623130055</v>
      </c>
      <c r="D2280" s="2" t="s">
        <v>59</v>
      </c>
      <c r="E2280" s="2" t="s">
        <v>641</v>
      </c>
      <c r="F2280" s="2" t="s">
        <v>642</v>
      </c>
      <c r="G2280" s="2" t="s">
        <v>52</v>
      </c>
      <c r="H2280" s="2" t="s">
        <v>4843</v>
      </c>
      <c r="I2280" s="2" t="str">
        <f t="shared" si="175"/>
        <v>Feb</v>
      </c>
      <c r="J2280" s="2">
        <f t="shared" si="176"/>
        <v>2</v>
      </c>
      <c r="K2280" s="2">
        <f t="shared" si="177"/>
        <v>2026</v>
      </c>
      <c r="L2280" s="2">
        <f t="shared" si="178"/>
        <v>1</v>
      </c>
      <c r="M2280" s="2">
        <v>5</v>
      </c>
      <c r="N2280" s="2" t="s">
        <v>4953</v>
      </c>
      <c r="O2280" s="2" t="s">
        <v>62</v>
      </c>
      <c r="P2280" s="3">
        <v>537568</v>
      </c>
      <c r="Q2280" s="2"/>
      <c r="R2280" s="2"/>
      <c r="S2280" s="2" t="s">
        <v>5574</v>
      </c>
      <c r="T2280" s="2">
        <v>1</v>
      </c>
      <c r="U2280" s="2" t="s">
        <v>47</v>
      </c>
      <c r="V2280" s="2" t="s">
        <v>310</v>
      </c>
      <c r="W2280" s="67" t="str">
        <f t="shared" si="179"/>
        <v>-</v>
      </c>
    </row>
    <row r="2281" spans="1:23" x14ac:dyDescent="0.3">
      <c r="A2281" s="6" t="s">
        <v>4990</v>
      </c>
      <c r="B2281" s="6" t="s">
        <v>4570</v>
      </c>
      <c r="C2281" s="6">
        <v>9468070275</v>
      </c>
      <c r="D2281" s="6" t="s">
        <v>59</v>
      </c>
      <c r="E2281" s="6" t="s">
        <v>641</v>
      </c>
      <c r="F2281" s="6" t="s">
        <v>642</v>
      </c>
      <c r="G2281" s="6" t="s">
        <v>1735</v>
      </c>
      <c r="H2281" s="6" t="s">
        <v>4843</v>
      </c>
      <c r="I2281" s="2" t="str">
        <f t="shared" si="175"/>
        <v>Feb</v>
      </c>
      <c r="J2281" s="2">
        <f t="shared" si="176"/>
        <v>2</v>
      </c>
      <c r="K2281" s="2">
        <f t="shared" si="177"/>
        <v>2026</v>
      </c>
      <c r="L2281" s="2">
        <f t="shared" si="178"/>
        <v>1</v>
      </c>
      <c r="M2281" s="6">
        <v>9</v>
      </c>
      <c r="N2281" s="6" t="s">
        <v>4991</v>
      </c>
      <c r="O2281" s="6" t="s">
        <v>97</v>
      </c>
      <c r="P2281" s="7">
        <v>1483412</v>
      </c>
      <c r="Q2281" s="7">
        <v>1320905</v>
      </c>
      <c r="R2281" s="6" t="s">
        <v>4920</v>
      </c>
      <c r="S2281" s="6" t="s">
        <v>5819</v>
      </c>
      <c r="T2281" s="6">
        <v>11.5</v>
      </c>
      <c r="U2281" s="6" t="s">
        <v>63</v>
      </c>
      <c r="V2281" s="6" t="s">
        <v>483</v>
      </c>
      <c r="W2281" s="67" t="str">
        <f t="shared" si="179"/>
        <v>Customer</v>
      </c>
    </row>
    <row r="2282" spans="1:23" x14ac:dyDescent="0.3">
      <c r="A2282" s="2" t="s">
        <v>4992</v>
      </c>
      <c r="B2282" s="2" t="s">
        <v>2981</v>
      </c>
      <c r="C2282" s="2">
        <v>9314890062</v>
      </c>
      <c r="D2282" s="2" t="s">
        <v>20</v>
      </c>
      <c r="E2282" s="2" t="s">
        <v>648</v>
      </c>
      <c r="F2282" s="2" t="s">
        <v>656</v>
      </c>
      <c r="G2282" s="2" t="s">
        <v>3302</v>
      </c>
      <c r="H2282" s="2" t="s">
        <v>4738</v>
      </c>
      <c r="I2282" s="2" t="str">
        <f t="shared" si="175"/>
        <v>Feb</v>
      </c>
      <c r="J2282" s="2">
        <f t="shared" si="176"/>
        <v>2</v>
      </c>
      <c r="K2282" s="2">
        <f t="shared" si="177"/>
        <v>2026</v>
      </c>
      <c r="L2282" s="2">
        <f t="shared" si="178"/>
        <v>1</v>
      </c>
      <c r="M2282" s="2">
        <v>7</v>
      </c>
      <c r="N2282" s="2" t="s">
        <v>4958</v>
      </c>
      <c r="O2282" s="2" t="s">
        <v>27</v>
      </c>
      <c r="P2282" s="3">
        <v>1963498</v>
      </c>
      <c r="Q2282" s="2"/>
      <c r="R2282" s="2"/>
      <c r="S2282" s="2" t="s">
        <v>5573</v>
      </c>
      <c r="T2282" s="2">
        <v>4.5</v>
      </c>
      <c r="U2282" s="2" t="s">
        <v>47</v>
      </c>
      <c r="V2282" s="2" t="s">
        <v>30</v>
      </c>
      <c r="W2282" s="67" t="str">
        <f t="shared" si="179"/>
        <v>-</v>
      </c>
    </row>
    <row r="2283" spans="1:23" x14ac:dyDescent="0.3">
      <c r="A2283" s="4" t="s">
        <v>4993</v>
      </c>
      <c r="B2283" s="4" t="s">
        <v>4994</v>
      </c>
      <c r="C2283" s="4">
        <v>9653861146</v>
      </c>
      <c r="D2283" s="4" t="s">
        <v>121</v>
      </c>
      <c r="E2283" s="4" t="s">
        <v>33</v>
      </c>
      <c r="F2283" s="4" t="s">
        <v>34</v>
      </c>
      <c r="G2283" s="4" t="s">
        <v>69</v>
      </c>
      <c r="H2283" s="4" t="s">
        <v>4738</v>
      </c>
      <c r="I2283" s="2" t="str">
        <f t="shared" si="175"/>
        <v>Feb</v>
      </c>
      <c r="J2283" s="2">
        <f t="shared" si="176"/>
        <v>2</v>
      </c>
      <c r="K2283" s="2">
        <f t="shared" si="177"/>
        <v>2026</v>
      </c>
      <c r="L2283" s="2">
        <f t="shared" si="178"/>
        <v>1</v>
      </c>
      <c r="M2283" s="4">
        <v>10</v>
      </c>
      <c r="N2283" s="4" t="s">
        <v>4856</v>
      </c>
      <c r="O2283" s="4" t="s">
        <v>27</v>
      </c>
      <c r="P2283" s="5">
        <v>371273</v>
      </c>
      <c r="Q2283" s="4"/>
      <c r="R2283" s="4"/>
      <c r="S2283" s="4" t="s">
        <v>5573</v>
      </c>
      <c r="T2283" s="4">
        <v>1.1000000000000001</v>
      </c>
      <c r="U2283" s="4" t="s">
        <v>29</v>
      </c>
      <c r="V2283" s="4" t="s">
        <v>238</v>
      </c>
      <c r="W2283" s="67" t="str">
        <f t="shared" si="179"/>
        <v>-</v>
      </c>
    </row>
    <row r="2284" spans="1:23" x14ac:dyDescent="0.3">
      <c r="A2284" s="2" t="s">
        <v>4995</v>
      </c>
      <c r="B2284" s="2" t="s">
        <v>3675</v>
      </c>
      <c r="C2284" s="2">
        <v>9463031374</v>
      </c>
      <c r="D2284" s="2" t="s">
        <v>20</v>
      </c>
      <c r="E2284" s="2" t="s">
        <v>648</v>
      </c>
      <c r="F2284" s="2" t="s">
        <v>822</v>
      </c>
      <c r="G2284" s="2" t="s">
        <v>87</v>
      </c>
      <c r="H2284" s="2" t="s">
        <v>4795</v>
      </c>
      <c r="I2284" s="2" t="str">
        <f t="shared" si="175"/>
        <v>Feb</v>
      </c>
      <c r="J2284" s="2">
        <f t="shared" si="176"/>
        <v>2</v>
      </c>
      <c r="K2284" s="2">
        <f t="shared" si="177"/>
        <v>2026</v>
      </c>
      <c r="L2284" s="2">
        <f t="shared" si="178"/>
        <v>1</v>
      </c>
      <c r="M2284" s="2">
        <v>7</v>
      </c>
      <c r="N2284" s="2" t="s">
        <v>4996</v>
      </c>
      <c r="O2284" s="2" t="s">
        <v>27</v>
      </c>
      <c r="P2284" s="3">
        <v>131692</v>
      </c>
      <c r="Q2284" s="2"/>
      <c r="R2284" s="2"/>
      <c r="S2284" s="2" t="s">
        <v>5819</v>
      </c>
      <c r="T2284" s="2">
        <v>3.1</v>
      </c>
      <c r="U2284" s="2" t="s">
        <v>29</v>
      </c>
      <c r="V2284" s="2" t="s">
        <v>238</v>
      </c>
      <c r="W2284" s="67" t="str">
        <f t="shared" si="179"/>
        <v>-</v>
      </c>
    </row>
    <row r="2285" spans="1:23" x14ac:dyDescent="0.3">
      <c r="A2285" s="4" t="s">
        <v>4997</v>
      </c>
      <c r="B2285" s="4" t="s">
        <v>1380</v>
      </c>
      <c r="C2285" s="4">
        <v>9528741238</v>
      </c>
      <c r="D2285" s="4" t="s">
        <v>121</v>
      </c>
      <c r="E2285" s="4" t="s">
        <v>648</v>
      </c>
      <c r="F2285" s="4" t="s">
        <v>899</v>
      </c>
      <c r="G2285" s="4" t="s">
        <v>643</v>
      </c>
      <c r="H2285" s="4" t="s">
        <v>4795</v>
      </c>
      <c r="I2285" s="2" t="str">
        <f t="shared" si="175"/>
        <v>Feb</v>
      </c>
      <c r="J2285" s="2">
        <f t="shared" si="176"/>
        <v>2</v>
      </c>
      <c r="K2285" s="2">
        <f t="shared" si="177"/>
        <v>2026</v>
      </c>
      <c r="L2285" s="2">
        <f t="shared" si="178"/>
        <v>1</v>
      </c>
      <c r="M2285" s="4">
        <v>0</v>
      </c>
      <c r="N2285" s="4" t="s">
        <v>4781</v>
      </c>
      <c r="O2285" s="4" t="s">
        <v>62</v>
      </c>
      <c r="P2285" s="5">
        <v>1228146</v>
      </c>
      <c r="Q2285" s="4"/>
      <c r="R2285" s="4"/>
      <c r="S2285" s="4" t="s">
        <v>5573</v>
      </c>
      <c r="T2285" s="4">
        <v>6.5</v>
      </c>
      <c r="U2285" s="4" t="s">
        <v>63</v>
      </c>
      <c r="V2285" s="4"/>
      <c r="W2285" s="67" t="str">
        <f t="shared" si="179"/>
        <v>-</v>
      </c>
    </row>
    <row r="2286" spans="1:23" x14ac:dyDescent="0.3">
      <c r="A2286" s="6" t="s">
        <v>4998</v>
      </c>
      <c r="B2286" s="6" t="s">
        <v>3994</v>
      </c>
      <c r="C2286" s="6">
        <v>9545584775</v>
      </c>
      <c r="D2286" s="6" t="s">
        <v>108</v>
      </c>
      <c r="E2286" s="6" t="s">
        <v>41</v>
      </c>
      <c r="F2286" s="6" t="s">
        <v>151</v>
      </c>
      <c r="G2286" s="6" t="s">
        <v>60</v>
      </c>
      <c r="H2286" s="6" t="s">
        <v>4795</v>
      </c>
      <c r="I2286" s="2" t="str">
        <f t="shared" si="175"/>
        <v>Feb</v>
      </c>
      <c r="J2286" s="2">
        <f t="shared" si="176"/>
        <v>2</v>
      </c>
      <c r="K2286" s="2">
        <f t="shared" si="177"/>
        <v>2026</v>
      </c>
      <c r="L2286" s="2">
        <f t="shared" si="178"/>
        <v>1</v>
      </c>
      <c r="M2286" s="6">
        <v>3</v>
      </c>
      <c r="N2286" s="6" t="s">
        <v>4832</v>
      </c>
      <c r="O2286" s="6" t="s">
        <v>97</v>
      </c>
      <c r="P2286" s="7">
        <v>204474</v>
      </c>
      <c r="Q2286" s="7">
        <v>187616</v>
      </c>
      <c r="R2286" s="6" t="s">
        <v>4835</v>
      </c>
      <c r="S2286" s="6" t="s">
        <v>5573</v>
      </c>
      <c r="T2286" s="6">
        <v>24.1</v>
      </c>
      <c r="U2286" s="6" t="s">
        <v>63</v>
      </c>
      <c r="V2286" s="6"/>
      <c r="W2286" s="67" t="str">
        <f t="shared" si="179"/>
        <v>Architect</v>
      </c>
    </row>
    <row r="2287" spans="1:23" x14ac:dyDescent="0.3">
      <c r="A2287" s="6" t="s">
        <v>4999</v>
      </c>
      <c r="B2287" s="6" t="s">
        <v>2687</v>
      </c>
      <c r="C2287" s="6">
        <v>9185118396</v>
      </c>
      <c r="D2287" s="6" t="s">
        <v>59</v>
      </c>
      <c r="E2287" s="6" t="s">
        <v>109</v>
      </c>
      <c r="F2287" s="6" t="s">
        <v>331</v>
      </c>
      <c r="G2287" s="6" t="s">
        <v>69</v>
      </c>
      <c r="H2287" s="6" t="s">
        <v>4764</v>
      </c>
      <c r="I2287" s="2" t="str">
        <f t="shared" si="175"/>
        <v>Feb</v>
      </c>
      <c r="J2287" s="2">
        <f t="shared" si="176"/>
        <v>2</v>
      </c>
      <c r="K2287" s="2">
        <f t="shared" si="177"/>
        <v>2026</v>
      </c>
      <c r="L2287" s="2">
        <f t="shared" si="178"/>
        <v>1</v>
      </c>
      <c r="M2287" s="6">
        <v>8</v>
      </c>
      <c r="N2287" s="6" t="s">
        <v>5000</v>
      </c>
      <c r="O2287" s="6" t="s">
        <v>97</v>
      </c>
      <c r="P2287" s="7">
        <v>424100</v>
      </c>
      <c r="Q2287" s="7">
        <v>403366</v>
      </c>
      <c r="R2287" s="6" t="s">
        <v>4856</v>
      </c>
      <c r="S2287" s="6" t="s">
        <v>5574</v>
      </c>
      <c r="T2287" s="6">
        <v>12.7</v>
      </c>
      <c r="U2287" s="6" t="s">
        <v>63</v>
      </c>
      <c r="V2287" s="6" t="s">
        <v>907</v>
      </c>
      <c r="W2287" s="67" t="str">
        <f t="shared" si="179"/>
        <v>Customer</v>
      </c>
    </row>
    <row r="2288" spans="1:23" x14ac:dyDescent="0.3">
      <c r="A2288" s="2" t="s">
        <v>5001</v>
      </c>
      <c r="B2288" s="2" t="s">
        <v>1987</v>
      </c>
      <c r="C2288" s="2">
        <v>9241767386</v>
      </c>
      <c r="D2288" s="2" t="s">
        <v>59</v>
      </c>
      <c r="E2288" s="2" t="s">
        <v>648</v>
      </c>
      <c r="F2288" s="2" t="s">
        <v>899</v>
      </c>
      <c r="G2288" s="2" t="s">
        <v>1677</v>
      </c>
      <c r="H2288" s="2" t="s">
        <v>4764</v>
      </c>
      <c r="I2288" s="2" t="str">
        <f t="shared" si="175"/>
        <v>Feb</v>
      </c>
      <c r="J2288" s="2">
        <f t="shared" si="176"/>
        <v>2</v>
      </c>
      <c r="K2288" s="2">
        <f t="shared" si="177"/>
        <v>2026</v>
      </c>
      <c r="L2288" s="2">
        <f t="shared" si="178"/>
        <v>1</v>
      </c>
      <c r="M2288" s="2">
        <v>10</v>
      </c>
      <c r="N2288" s="2" t="s">
        <v>5002</v>
      </c>
      <c r="O2288" s="2" t="s">
        <v>62</v>
      </c>
      <c r="P2288" s="3">
        <v>1643482</v>
      </c>
      <c r="Q2288" s="2"/>
      <c r="R2288" s="2"/>
      <c r="S2288" s="2" t="s">
        <v>5819</v>
      </c>
      <c r="T2288" s="2">
        <v>14.2</v>
      </c>
      <c r="U2288" s="2" t="s">
        <v>63</v>
      </c>
      <c r="V2288" s="2" t="s">
        <v>335</v>
      </c>
      <c r="W2288" s="67" t="str">
        <f t="shared" si="179"/>
        <v>-</v>
      </c>
    </row>
    <row r="2289" spans="1:23" x14ac:dyDescent="0.3">
      <c r="A2289" s="4" t="s">
        <v>5003</v>
      </c>
      <c r="B2289" s="4" t="s">
        <v>5004</v>
      </c>
      <c r="C2289" s="4">
        <v>9780216045</v>
      </c>
      <c r="D2289" s="4" t="s">
        <v>20</v>
      </c>
      <c r="E2289" s="4" t="s">
        <v>109</v>
      </c>
      <c r="F2289" s="4" t="s">
        <v>110</v>
      </c>
      <c r="G2289" s="4" t="s">
        <v>616</v>
      </c>
      <c r="H2289" s="4" t="s">
        <v>4764</v>
      </c>
      <c r="I2289" s="2" t="str">
        <f t="shared" si="175"/>
        <v>Feb</v>
      </c>
      <c r="J2289" s="2">
        <f t="shared" si="176"/>
        <v>2</v>
      </c>
      <c r="K2289" s="2">
        <f t="shared" si="177"/>
        <v>2026</v>
      </c>
      <c r="L2289" s="2">
        <f t="shared" si="178"/>
        <v>1</v>
      </c>
      <c r="M2289" s="4">
        <v>8</v>
      </c>
      <c r="N2289" s="4" t="s">
        <v>5000</v>
      </c>
      <c r="O2289" s="4" t="s">
        <v>45</v>
      </c>
      <c r="P2289" s="5">
        <v>216277</v>
      </c>
      <c r="Q2289" s="4"/>
      <c r="R2289" s="4"/>
      <c r="S2289" s="4" t="s">
        <v>5574</v>
      </c>
      <c r="T2289" s="4">
        <v>9.8000000000000007</v>
      </c>
      <c r="U2289" s="4" t="s">
        <v>47</v>
      </c>
      <c r="V2289" s="4" t="s">
        <v>183</v>
      </c>
      <c r="W2289" s="67" t="str">
        <f t="shared" si="179"/>
        <v>-</v>
      </c>
    </row>
    <row r="2290" spans="1:23" x14ac:dyDescent="0.3">
      <c r="A2290" s="6" t="s">
        <v>5005</v>
      </c>
      <c r="B2290" s="6" t="s">
        <v>366</v>
      </c>
      <c r="C2290" s="6">
        <v>9386982898</v>
      </c>
      <c r="D2290" s="6" t="s">
        <v>59</v>
      </c>
      <c r="E2290" s="6" t="s">
        <v>641</v>
      </c>
      <c r="F2290" s="6" t="s">
        <v>681</v>
      </c>
      <c r="G2290" s="6" t="s">
        <v>23</v>
      </c>
      <c r="H2290" s="6" t="s">
        <v>4764</v>
      </c>
      <c r="I2290" s="2" t="str">
        <f t="shared" si="175"/>
        <v>Feb</v>
      </c>
      <c r="J2290" s="2">
        <f t="shared" si="176"/>
        <v>2</v>
      </c>
      <c r="K2290" s="2">
        <f t="shared" si="177"/>
        <v>2026</v>
      </c>
      <c r="L2290" s="2">
        <f t="shared" si="178"/>
        <v>1</v>
      </c>
      <c r="M2290" s="6">
        <v>12</v>
      </c>
      <c r="N2290" s="6" t="s">
        <v>5006</v>
      </c>
      <c r="O2290" s="6" t="s">
        <v>97</v>
      </c>
      <c r="P2290" s="7">
        <v>501997</v>
      </c>
      <c r="Q2290" s="7">
        <v>491862</v>
      </c>
      <c r="R2290" s="6" t="s">
        <v>4924</v>
      </c>
      <c r="S2290" s="6" t="s">
        <v>5573</v>
      </c>
      <c r="T2290" s="6">
        <v>14.2</v>
      </c>
      <c r="U2290" s="6" t="s">
        <v>63</v>
      </c>
      <c r="V2290" s="6" t="s">
        <v>907</v>
      </c>
      <c r="W2290" s="67" t="str">
        <f t="shared" si="179"/>
        <v>Customer</v>
      </c>
    </row>
    <row r="2291" spans="1:23" x14ac:dyDescent="0.3">
      <c r="A2291" s="4" t="s">
        <v>5007</v>
      </c>
      <c r="B2291" s="4" t="s">
        <v>5008</v>
      </c>
      <c r="C2291" s="4">
        <v>9928352180</v>
      </c>
      <c r="D2291" s="4" t="s">
        <v>51</v>
      </c>
      <c r="E2291" s="4" t="s">
        <v>1632</v>
      </c>
      <c r="F2291" s="4" t="s">
        <v>1717</v>
      </c>
      <c r="G2291" s="4" t="s">
        <v>1599</v>
      </c>
      <c r="H2291" s="4" t="s">
        <v>4764</v>
      </c>
      <c r="I2291" s="2" t="str">
        <f t="shared" si="175"/>
        <v>Feb</v>
      </c>
      <c r="J2291" s="2">
        <f t="shared" si="176"/>
        <v>2</v>
      </c>
      <c r="K2291" s="2">
        <f t="shared" si="177"/>
        <v>2026</v>
      </c>
      <c r="L2291" s="2">
        <f t="shared" si="178"/>
        <v>1</v>
      </c>
      <c r="M2291" s="4">
        <v>12</v>
      </c>
      <c r="N2291" s="4" t="s">
        <v>4920</v>
      </c>
      <c r="O2291" s="4" t="s">
        <v>55</v>
      </c>
      <c r="P2291" s="5">
        <v>762832</v>
      </c>
      <c r="Q2291" s="4"/>
      <c r="R2291" s="4"/>
      <c r="S2291" s="4" t="s">
        <v>5574</v>
      </c>
      <c r="T2291" s="4">
        <v>3.3</v>
      </c>
      <c r="U2291" s="4" t="s">
        <v>29</v>
      </c>
      <c r="V2291" s="4" t="s">
        <v>805</v>
      </c>
      <c r="W2291" s="67" t="str">
        <f t="shared" si="179"/>
        <v>-</v>
      </c>
    </row>
    <row r="2292" spans="1:23" x14ac:dyDescent="0.3">
      <c r="A2292" s="6" t="s">
        <v>5009</v>
      </c>
      <c r="B2292" s="6" t="s">
        <v>909</v>
      </c>
      <c r="C2292" s="6">
        <v>9722024835</v>
      </c>
      <c r="D2292" s="6" t="s">
        <v>20</v>
      </c>
      <c r="E2292" s="6" t="s">
        <v>41</v>
      </c>
      <c r="F2292" s="6" t="s">
        <v>151</v>
      </c>
      <c r="G2292" s="6" t="s">
        <v>35</v>
      </c>
      <c r="H2292" s="6" t="s">
        <v>4764</v>
      </c>
      <c r="I2292" s="2" t="str">
        <f t="shared" si="175"/>
        <v>Feb</v>
      </c>
      <c r="J2292" s="2">
        <f t="shared" si="176"/>
        <v>2</v>
      </c>
      <c r="K2292" s="2">
        <f t="shared" si="177"/>
        <v>2026</v>
      </c>
      <c r="L2292" s="2">
        <f t="shared" si="178"/>
        <v>1</v>
      </c>
      <c r="M2292" s="6">
        <v>1</v>
      </c>
      <c r="N2292" s="6" t="s">
        <v>4756</v>
      </c>
      <c r="O2292" s="6" t="s">
        <v>97</v>
      </c>
      <c r="P2292" s="7">
        <v>97694</v>
      </c>
      <c r="Q2292" s="7">
        <v>89606</v>
      </c>
      <c r="R2292" s="6" t="s">
        <v>4936</v>
      </c>
      <c r="S2292" s="6" t="s">
        <v>5573</v>
      </c>
      <c r="T2292" s="6">
        <v>13.5</v>
      </c>
      <c r="U2292" s="6" t="s">
        <v>47</v>
      </c>
      <c r="V2292" s="6" t="s">
        <v>99</v>
      </c>
      <c r="W2292" s="67" t="str">
        <f t="shared" si="179"/>
        <v>Architect</v>
      </c>
    </row>
    <row r="2293" spans="1:23" x14ac:dyDescent="0.3">
      <c r="A2293" s="4" t="s">
        <v>5010</v>
      </c>
      <c r="B2293" s="4" t="s">
        <v>5011</v>
      </c>
      <c r="C2293" s="4"/>
      <c r="D2293" s="4" t="s">
        <v>59</v>
      </c>
      <c r="E2293" s="4" t="s">
        <v>1632</v>
      </c>
      <c r="F2293" s="4" t="s">
        <v>1633</v>
      </c>
      <c r="G2293" s="4" t="s">
        <v>643</v>
      </c>
      <c r="H2293" s="4" t="s">
        <v>4962</v>
      </c>
      <c r="I2293" s="2" t="str">
        <f t="shared" si="175"/>
        <v>Feb</v>
      </c>
      <c r="J2293" s="2">
        <f t="shared" si="176"/>
        <v>2</v>
      </c>
      <c r="K2293" s="2">
        <f t="shared" si="177"/>
        <v>2026</v>
      </c>
      <c r="L2293" s="2">
        <f t="shared" si="178"/>
        <v>1</v>
      </c>
      <c r="M2293" s="4">
        <v>0</v>
      </c>
      <c r="N2293" s="4" t="s">
        <v>4848</v>
      </c>
      <c r="O2293" s="4" t="s">
        <v>27</v>
      </c>
      <c r="P2293" s="5">
        <v>1133222</v>
      </c>
      <c r="Q2293" s="4"/>
      <c r="R2293" s="4"/>
      <c r="S2293" s="4" t="s">
        <v>5819</v>
      </c>
      <c r="T2293" s="4">
        <v>20.7</v>
      </c>
      <c r="U2293" s="4" t="s">
        <v>29</v>
      </c>
      <c r="V2293" s="4" t="s">
        <v>1776</v>
      </c>
      <c r="W2293" s="67" t="str">
        <f t="shared" si="179"/>
        <v>-</v>
      </c>
    </row>
    <row r="2294" spans="1:23" x14ac:dyDescent="0.3">
      <c r="A2294" s="2" t="s">
        <v>5012</v>
      </c>
      <c r="B2294" s="2" t="s">
        <v>5013</v>
      </c>
      <c r="C2294" s="2">
        <v>9347072212</v>
      </c>
      <c r="D2294" s="2" t="s">
        <v>51</v>
      </c>
      <c r="E2294" s="2" t="s">
        <v>109</v>
      </c>
      <c r="F2294" s="2" t="s">
        <v>331</v>
      </c>
      <c r="G2294" s="2" t="s">
        <v>35</v>
      </c>
      <c r="H2294" s="2" t="s">
        <v>4747</v>
      </c>
      <c r="I2294" s="2" t="str">
        <f t="shared" si="175"/>
        <v>Feb</v>
      </c>
      <c r="J2294" s="2">
        <f t="shared" si="176"/>
        <v>2</v>
      </c>
      <c r="K2294" s="2">
        <f t="shared" si="177"/>
        <v>2026</v>
      </c>
      <c r="L2294" s="2">
        <f t="shared" si="178"/>
        <v>1</v>
      </c>
      <c r="M2294" s="2">
        <v>10</v>
      </c>
      <c r="N2294" s="2" t="s">
        <v>5014</v>
      </c>
      <c r="O2294" s="2" t="s">
        <v>45</v>
      </c>
      <c r="P2294" s="3">
        <v>146318</v>
      </c>
      <c r="Q2294" s="2"/>
      <c r="R2294" s="2"/>
      <c r="S2294" s="2" t="s">
        <v>5819</v>
      </c>
      <c r="T2294" s="2">
        <v>23.3</v>
      </c>
      <c r="U2294" s="2" t="s">
        <v>47</v>
      </c>
      <c r="V2294" s="2" t="s">
        <v>487</v>
      </c>
      <c r="W2294" s="67" t="str">
        <f t="shared" si="179"/>
        <v>-</v>
      </c>
    </row>
    <row r="2295" spans="1:23" x14ac:dyDescent="0.3">
      <c r="A2295" s="4" t="s">
        <v>5015</v>
      </c>
      <c r="B2295" s="4" t="s">
        <v>623</v>
      </c>
      <c r="C2295" s="4">
        <v>9805005090</v>
      </c>
      <c r="D2295" s="4" t="s">
        <v>20</v>
      </c>
      <c r="E2295" s="4" t="s">
        <v>1632</v>
      </c>
      <c r="F2295" s="4" t="s">
        <v>1694</v>
      </c>
      <c r="G2295" s="4" t="s">
        <v>616</v>
      </c>
      <c r="H2295" s="4" t="s">
        <v>4747</v>
      </c>
      <c r="I2295" s="2" t="str">
        <f t="shared" si="175"/>
        <v>Feb</v>
      </c>
      <c r="J2295" s="2">
        <f t="shared" si="176"/>
        <v>2</v>
      </c>
      <c r="K2295" s="2">
        <f t="shared" si="177"/>
        <v>2026</v>
      </c>
      <c r="L2295" s="2">
        <f t="shared" si="178"/>
        <v>1</v>
      </c>
      <c r="M2295" s="4">
        <v>11</v>
      </c>
      <c r="N2295" s="4" t="s">
        <v>4835</v>
      </c>
      <c r="O2295" s="4" t="s">
        <v>45</v>
      </c>
      <c r="P2295" s="5">
        <v>186342</v>
      </c>
      <c r="Q2295" s="4"/>
      <c r="R2295" s="4"/>
      <c r="S2295" s="4" t="s">
        <v>5819</v>
      </c>
      <c r="T2295" s="4">
        <v>14.2</v>
      </c>
      <c r="U2295" s="4" t="s">
        <v>47</v>
      </c>
      <c r="V2295" s="4" t="s">
        <v>487</v>
      </c>
      <c r="W2295" s="67" t="str">
        <f t="shared" si="179"/>
        <v>-</v>
      </c>
    </row>
    <row r="2296" spans="1:23" x14ac:dyDescent="0.3">
      <c r="A2296" s="2" t="s">
        <v>5016</v>
      </c>
      <c r="B2296" s="2" t="s">
        <v>4987</v>
      </c>
      <c r="C2296" s="2"/>
      <c r="D2296" s="2" t="s">
        <v>20</v>
      </c>
      <c r="E2296" s="2" t="s">
        <v>1632</v>
      </c>
      <c r="F2296" s="2" t="s">
        <v>1717</v>
      </c>
      <c r="G2296" s="2" t="s">
        <v>52</v>
      </c>
      <c r="H2296" s="2" t="s">
        <v>4747</v>
      </c>
      <c r="I2296" s="2" t="str">
        <f t="shared" si="175"/>
        <v>Feb</v>
      </c>
      <c r="J2296" s="2">
        <f t="shared" si="176"/>
        <v>2</v>
      </c>
      <c r="K2296" s="2">
        <f t="shared" si="177"/>
        <v>2026</v>
      </c>
      <c r="L2296" s="2">
        <f t="shared" si="178"/>
        <v>1</v>
      </c>
      <c r="M2296" s="2">
        <v>3</v>
      </c>
      <c r="N2296" s="2" t="s">
        <v>4757</v>
      </c>
      <c r="O2296" s="2" t="s">
        <v>27</v>
      </c>
      <c r="P2296" s="3">
        <v>413428</v>
      </c>
      <c r="Q2296" s="2"/>
      <c r="R2296" s="2"/>
      <c r="S2296" s="2" t="s">
        <v>5574</v>
      </c>
      <c r="T2296" s="2">
        <v>28.3</v>
      </c>
      <c r="U2296" s="2" t="s">
        <v>29</v>
      </c>
      <c r="V2296" s="2" t="s">
        <v>1697</v>
      </c>
      <c r="W2296" s="67" t="str">
        <f t="shared" si="179"/>
        <v>-</v>
      </c>
    </row>
    <row r="2297" spans="1:23" x14ac:dyDescent="0.3">
      <c r="A2297" s="4" t="s">
        <v>5017</v>
      </c>
      <c r="B2297" s="4" t="s">
        <v>1296</v>
      </c>
      <c r="C2297" s="4">
        <v>9998010950</v>
      </c>
      <c r="D2297" s="4" t="s">
        <v>108</v>
      </c>
      <c r="E2297" s="4" t="s">
        <v>109</v>
      </c>
      <c r="F2297" s="4" t="s">
        <v>110</v>
      </c>
      <c r="G2297" s="4" t="s">
        <v>1735</v>
      </c>
      <c r="H2297" s="4" t="s">
        <v>4747</v>
      </c>
      <c r="I2297" s="2" t="str">
        <f t="shared" si="175"/>
        <v>Feb</v>
      </c>
      <c r="J2297" s="2">
        <f t="shared" si="176"/>
        <v>2</v>
      </c>
      <c r="K2297" s="2">
        <f t="shared" si="177"/>
        <v>2026</v>
      </c>
      <c r="L2297" s="2">
        <f t="shared" si="178"/>
        <v>1</v>
      </c>
      <c r="M2297" s="4">
        <v>4</v>
      </c>
      <c r="N2297" s="4" t="s">
        <v>4850</v>
      </c>
      <c r="O2297" s="4" t="s">
        <v>27</v>
      </c>
      <c r="P2297" s="5">
        <v>1492946</v>
      </c>
      <c r="Q2297" s="4"/>
      <c r="R2297" s="4"/>
      <c r="S2297" s="4" t="s">
        <v>5574</v>
      </c>
      <c r="T2297" s="4">
        <v>28.8</v>
      </c>
      <c r="U2297" s="4" t="s">
        <v>29</v>
      </c>
      <c r="V2297" s="4" t="s">
        <v>123</v>
      </c>
      <c r="W2297" s="67" t="str">
        <f t="shared" si="179"/>
        <v>-</v>
      </c>
    </row>
    <row r="2298" spans="1:23" x14ac:dyDescent="0.3">
      <c r="A2298" s="6" t="s">
        <v>5018</v>
      </c>
      <c r="B2298" s="6" t="s">
        <v>85</v>
      </c>
      <c r="C2298" s="6">
        <v>9991651720</v>
      </c>
      <c r="D2298" s="6" t="s">
        <v>20</v>
      </c>
      <c r="E2298" s="6" t="s">
        <v>1632</v>
      </c>
      <c r="F2298" s="6" t="s">
        <v>1694</v>
      </c>
      <c r="G2298" s="6" t="s">
        <v>23</v>
      </c>
      <c r="H2298" s="6" t="s">
        <v>4747</v>
      </c>
      <c r="I2298" s="2" t="str">
        <f t="shared" si="175"/>
        <v>Feb</v>
      </c>
      <c r="J2298" s="2">
        <f t="shared" si="176"/>
        <v>2</v>
      </c>
      <c r="K2298" s="2">
        <f t="shared" si="177"/>
        <v>2026</v>
      </c>
      <c r="L2298" s="2">
        <f t="shared" si="178"/>
        <v>1</v>
      </c>
      <c r="M2298" s="6">
        <v>0</v>
      </c>
      <c r="N2298" s="6" t="s">
        <v>4848</v>
      </c>
      <c r="O2298" s="6" t="s">
        <v>97</v>
      </c>
      <c r="P2298" s="6"/>
      <c r="Q2298" s="7">
        <v>673623</v>
      </c>
      <c r="R2298" s="6" t="s">
        <v>4897</v>
      </c>
      <c r="S2298" s="6" t="s">
        <v>5573</v>
      </c>
      <c r="T2298" s="6">
        <v>5.0999999999999996</v>
      </c>
      <c r="U2298" s="6" t="s">
        <v>47</v>
      </c>
      <c r="V2298" s="6" t="s">
        <v>286</v>
      </c>
      <c r="W2298" s="67" t="str">
        <f t="shared" si="179"/>
        <v>Customer</v>
      </c>
    </row>
    <row r="2299" spans="1:23" x14ac:dyDescent="0.3">
      <c r="A2299" s="4" t="s">
        <v>5019</v>
      </c>
      <c r="B2299" s="4" t="s">
        <v>1485</v>
      </c>
      <c r="C2299" s="4">
        <v>9914897606</v>
      </c>
      <c r="D2299" s="4" t="s">
        <v>121</v>
      </c>
      <c r="E2299" s="4" t="s">
        <v>1632</v>
      </c>
      <c r="F2299" s="4" t="s">
        <v>1682</v>
      </c>
      <c r="G2299" s="4" t="s">
        <v>60</v>
      </c>
      <c r="H2299" s="4" t="s">
        <v>4781</v>
      </c>
      <c r="I2299" s="2" t="str">
        <f t="shared" si="175"/>
        <v>Feb</v>
      </c>
      <c r="J2299" s="2">
        <f t="shared" si="176"/>
        <v>2</v>
      </c>
      <c r="K2299" s="2">
        <f t="shared" si="177"/>
        <v>2026</v>
      </c>
      <c r="L2299" s="2">
        <f t="shared" si="178"/>
        <v>1</v>
      </c>
      <c r="M2299" s="4">
        <v>9</v>
      </c>
      <c r="N2299" s="4" t="s">
        <v>4808</v>
      </c>
      <c r="O2299" s="4" t="s">
        <v>45</v>
      </c>
      <c r="P2299" s="5">
        <v>68804</v>
      </c>
      <c r="Q2299" s="4"/>
      <c r="R2299" s="4"/>
      <c r="S2299" s="4" t="s">
        <v>5819</v>
      </c>
      <c r="T2299" s="4">
        <v>23.2</v>
      </c>
      <c r="U2299" s="4" t="s">
        <v>63</v>
      </c>
      <c r="V2299" s="4" t="s">
        <v>335</v>
      </c>
      <c r="W2299" s="67" t="str">
        <f t="shared" si="179"/>
        <v>-</v>
      </c>
    </row>
    <row r="2300" spans="1:23" x14ac:dyDescent="0.3">
      <c r="A2300" s="2" t="s">
        <v>5020</v>
      </c>
      <c r="B2300" s="2" t="s">
        <v>5021</v>
      </c>
      <c r="C2300" s="2">
        <v>9579989526</v>
      </c>
      <c r="D2300" s="2" t="s">
        <v>108</v>
      </c>
      <c r="E2300" s="2" t="s">
        <v>1632</v>
      </c>
      <c r="F2300" s="2" t="s">
        <v>1633</v>
      </c>
      <c r="G2300" s="2" t="s">
        <v>616</v>
      </c>
      <c r="H2300" s="2" t="s">
        <v>4781</v>
      </c>
      <c r="I2300" s="2" t="str">
        <f t="shared" si="175"/>
        <v>Feb</v>
      </c>
      <c r="J2300" s="2">
        <f t="shared" si="176"/>
        <v>2</v>
      </c>
      <c r="K2300" s="2">
        <f t="shared" si="177"/>
        <v>2026</v>
      </c>
      <c r="L2300" s="2">
        <f t="shared" si="178"/>
        <v>1</v>
      </c>
      <c r="M2300" s="2">
        <v>6</v>
      </c>
      <c r="N2300" s="2" t="s">
        <v>5000</v>
      </c>
      <c r="O2300" s="2" t="s">
        <v>27</v>
      </c>
      <c r="P2300" s="3">
        <v>373422</v>
      </c>
      <c r="Q2300" s="2"/>
      <c r="R2300" s="2"/>
      <c r="S2300" s="2" t="s">
        <v>5574</v>
      </c>
      <c r="T2300" s="2">
        <v>7.2</v>
      </c>
      <c r="U2300" s="2" t="s">
        <v>29</v>
      </c>
      <c r="V2300" s="2" t="s">
        <v>123</v>
      </c>
      <c r="W2300" s="67" t="str">
        <f t="shared" si="179"/>
        <v>-</v>
      </c>
    </row>
    <row r="2301" spans="1:23" x14ac:dyDescent="0.3">
      <c r="A2301" s="4" t="s">
        <v>5022</v>
      </c>
      <c r="B2301" s="4" t="s">
        <v>369</v>
      </c>
      <c r="C2301" s="4">
        <v>9901520603</v>
      </c>
      <c r="D2301" s="4" t="s">
        <v>108</v>
      </c>
      <c r="E2301" s="4" t="s">
        <v>1632</v>
      </c>
      <c r="F2301" s="4" t="s">
        <v>1659</v>
      </c>
      <c r="G2301" s="4" t="s">
        <v>3302</v>
      </c>
      <c r="H2301" s="4" t="s">
        <v>4830</v>
      </c>
      <c r="I2301" s="2" t="str">
        <f t="shared" si="175"/>
        <v>Feb</v>
      </c>
      <c r="J2301" s="2">
        <f t="shared" si="176"/>
        <v>2</v>
      </c>
      <c r="K2301" s="2">
        <f t="shared" si="177"/>
        <v>2026</v>
      </c>
      <c r="L2301" s="2">
        <f t="shared" si="178"/>
        <v>1</v>
      </c>
      <c r="M2301" s="4">
        <v>0</v>
      </c>
      <c r="N2301" s="4" t="s">
        <v>4908</v>
      </c>
      <c r="O2301" s="4" t="s">
        <v>62</v>
      </c>
      <c r="P2301" s="5">
        <v>1911000</v>
      </c>
      <c r="Q2301" s="4"/>
      <c r="R2301" s="4"/>
      <c r="S2301" s="4" t="s">
        <v>5573</v>
      </c>
      <c r="T2301" s="4">
        <v>13</v>
      </c>
      <c r="U2301" s="4" t="s">
        <v>47</v>
      </c>
      <c r="V2301" s="4" t="s">
        <v>183</v>
      </c>
      <c r="W2301" s="67" t="str">
        <f t="shared" si="179"/>
        <v>-</v>
      </c>
    </row>
    <row r="2302" spans="1:23" x14ac:dyDescent="0.3">
      <c r="A2302" s="6" t="s">
        <v>5023</v>
      </c>
      <c r="B2302" s="6" t="s">
        <v>1973</v>
      </c>
      <c r="C2302" s="6">
        <v>9852995786</v>
      </c>
      <c r="D2302" s="6" t="s">
        <v>108</v>
      </c>
      <c r="E2302" s="6" t="s">
        <v>41</v>
      </c>
      <c r="F2302" s="6" t="s">
        <v>151</v>
      </c>
      <c r="G2302" s="6" t="s">
        <v>643</v>
      </c>
      <c r="H2302" s="6" t="s">
        <v>4719</v>
      </c>
      <c r="I2302" s="2" t="str">
        <f t="shared" si="175"/>
        <v>Feb</v>
      </c>
      <c r="J2302" s="2">
        <f t="shared" si="176"/>
        <v>2</v>
      </c>
      <c r="K2302" s="2">
        <f t="shared" si="177"/>
        <v>2026</v>
      </c>
      <c r="L2302" s="2">
        <f t="shared" si="178"/>
        <v>1</v>
      </c>
      <c r="M2302" s="6">
        <v>10</v>
      </c>
      <c r="N2302" s="6" t="s">
        <v>5024</v>
      </c>
      <c r="O2302" s="6" t="s">
        <v>97</v>
      </c>
      <c r="P2302" s="7">
        <v>1580995</v>
      </c>
      <c r="Q2302" s="7">
        <v>1399783</v>
      </c>
      <c r="R2302" s="6" t="s">
        <v>5025</v>
      </c>
      <c r="S2302" s="6" t="s">
        <v>5574</v>
      </c>
      <c r="T2302" s="6">
        <v>18.2</v>
      </c>
      <c r="U2302" s="6" t="s">
        <v>47</v>
      </c>
      <c r="V2302" s="6" t="s">
        <v>113</v>
      </c>
      <c r="W2302" s="67" t="str">
        <f t="shared" si="179"/>
        <v>Architect</v>
      </c>
    </row>
    <row r="2303" spans="1:23" x14ac:dyDescent="0.3">
      <c r="A2303" s="6" t="s">
        <v>5026</v>
      </c>
      <c r="B2303" s="6" t="s">
        <v>5027</v>
      </c>
      <c r="C2303" s="6">
        <v>9558916430</v>
      </c>
      <c r="D2303" s="6" t="s">
        <v>20</v>
      </c>
      <c r="E2303" s="6" t="s">
        <v>41</v>
      </c>
      <c r="F2303" s="6" t="s">
        <v>86</v>
      </c>
      <c r="G2303" s="6" t="s">
        <v>1609</v>
      </c>
      <c r="H2303" s="6" t="s">
        <v>4719</v>
      </c>
      <c r="I2303" s="2" t="str">
        <f t="shared" si="175"/>
        <v>Feb</v>
      </c>
      <c r="J2303" s="2">
        <f t="shared" si="176"/>
        <v>2</v>
      </c>
      <c r="K2303" s="2">
        <f t="shared" si="177"/>
        <v>2026</v>
      </c>
      <c r="L2303" s="2">
        <f t="shared" si="178"/>
        <v>1</v>
      </c>
      <c r="M2303" s="6">
        <v>5</v>
      </c>
      <c r="N2303" s="6" t="s">
        <v>4936</v>
      </c>
      <c r="O2303" s="6" t="s">
        <v>97</v>
      </c>
      <c r="P2303" s="7">
        <v>559387</v>
      </c>
      <c r="Q2303" s="7">
        <v>574685</v>
      </c>
      <c r="R2303" s="6" t="s">
        <v>4964</v>
      </c>
      <c r="S2303" s="6" t="s">
        <v>5573</v>
      </c>
      <c r="T2303" s="6">
        <v>11.6</v>
      </c>
      <c r="U2303" s="6" t="s">
        <v>63</v>
      </c>
      <c r="V2303" s="6" t="s">
        <v>99</v>
      </c>
      <c r="W2303" s="67" t="str">
        <f t="shared" si="179"/>
        <v>Customer</v>
      </c>
    </row>
    <row r="2304" spans="1:23" x14ac:dyDescent="0.3">
      <c r="A2304" s="2" t="s">
        <v>5028</v>
      </c>
      <c r="B2304" s="2" t="s">
        <v>165</v>
      </c>
      <c r="C2304" s="2">
        <v>9331424524</v>
      </c>
      <c r="D2304" s="2" t="s">
        <v>121</v>
      </c>
      <c r="E2304" s="2" t="s">
        <v>41</v>
      </c>
      <c r="F2304" s="2" t="s">
        <v>86</v>
      </c>
      <c r="G2304" s="2" t="s">
        <v>1735</v>
      </c>
      <c r="H2304" s="2" t="s">
        <v>4719</v>
      </c>
      <c r="I2304" s="2" t="str">
        <f t="shared" si="175"/>
        <v>Feb</v>
      </c>
      <c r="J2304" s="2">
        <f t="shared" si="176"/>
        <v>2</v>
      </c>
      <c r="K2304" s="2">
        <f t="shared" si="177"/>
        <v>2026</v>
      </c>
      <c r="L2304" s="2">
        <f t="shared" si="178"/>
        <v>1</v>
      </c>
      <c r="M2304" s="2"/>
      <c r="N2304" s="2" t="s">
        <v>5002</v>
      </c>
      <c r="O2304" s="2" t="s">
        <v>27</v>
      </c>
      <c r="P2304" s="3">
        <v>1801174</v>
      </c>
      <c r="Q2304" s="2"/>
      <c r="R2304" s="2"/>
      <c r="S2304" s="2" t="s">
        <v>5574</v>
      </c>
      <c r="T2304" s="2">
        <v>27.8</v>
      </c>
      <c r="U2304" s="2" t="s">
        <v>47</v>
      </c>
      <c r="V2304" s="2" t="s">
        <v>30</v>
      </c>
      <c r="W2304" s="67" t="str">
        <f t="shared" si="179"/>
        <v>-</v>
      </c>
    </row>
    <row r="2305" spans="1:23" x14ac:dyDescent="0.3">
      <c r="A2305" s="4" t="s">
        <v>5029</v>
      </c>
      <c r="B2305" s="4" t="s">
        <v>4602</v>
      </c>
      <c r="C2305" s="4">
        <v>9526590228</v>
      </c>
      <c r="D2305" s="4" t="s">
        <v>59</v>
      </c>
      <c r="E2305" s="4" t="s">
        <v>648</v>
      </c>
      <c r="F2305" s="4" t="s">
        <v>656</v>
      </c>
      <c r="G2305" s="4" t="s">
        <v>23</v>
      </c>
      <c r="H2305" s="4" t="s">
        <v>4719</v>
      </c>
      <c r="I2305" s="2" t="str">
        <f t="shared" si="175"/>
        <v>Feb</v>
      </c>
      <c r="J2305" s="2">
        <f t="shared" si="176"/>
        <v>2</v>
      </c>
      <c r="K2305" s="2">
        <f t="shared" si="177"/>
        <v>2026</v>
      </c>
      <c r="L2305" s="2">
        <f t="shared" si="178"/>
        <v>1</v>
      </c>
      <c r="M2305" s="4">
        <v>3</v>
      </c>
      <c r="N2305" s="4" t="s">
        <v>5030</v>
      </c>
      <c r="O2305" s="4" t="s">
        <v>62</v>
      </c>
      <c r="P2305" s="5">
        <v>771745</v>
      </c>
      <c r="Q2305" s="4"/>
      <c r="R2305" s="4"/>
      <c r="S2305" s="4" t="s">
        <v>5574</v>
      </c>
      <c r="T2305" s="4">
        <v>0.5</v>
      </c>
      <c r="U2305" s="4" t="s">
        <v>47</v>
      </c>
      <c r="V2305" s="4" t="s">
        <v>137</v>
      </c>
      <c r="W2305" s="67" t="str">
        <f t="shared" si="179"/>
        <v>-</v>
      </c>
    </row>
    <row r="2306" spans="1:23" x14ac:dyDescent="0.3">
      <c r="A2306" s="2" t="s">
        <v>5031</v>
      </c>
      <c r="B2306" s="2" t="s">
        <v>2774</v>
      </c>
      <c r="C2306" s="2">
        <v>9845780014</v>
      </c>
      <c r="D2306" s="2" t="s">
        <v>108</v>
      </c>
      <c r="E2306" s="2" t="s">
        <v>109</v>
      </c>
      <c r="F2306" s="2" t="s">
        <v>217</v>
      </c>
      <c r="G2306" s="2" t="s">
        <v>35</v>
      </c>
      <c r="H2306" s="2" t="s">
        <v>4823</v>
      </c>
      <c r="I2306" s="2" t="str">
        <f t="shared" ref="I2306:I2369" si="180">TEXT(H2306,"mmm")</f>
        <v>Feb</v>
      </c>
      <c r="J2306" s="2">
        <f t="shared" ref="J2306:J2369" si="181">MONTH(H2306)</f>
        <v>2</v>
      </c>
      <c r="K2306" s="2">
        <f t="shared" ref="K2306:K2369" si="182">YEAR(H2306)</f>
        <v>2026</v>
      </c>
      <c r="L2306" s="2">
        <f t="shared" ref="L2306:L2369" si="183">ROUNDUP(MONTH(H2306)/3,0)</f>
        <v>1</v>
      </c>
      <c r="M2306" s="2">
        <v>6</v>
      </c>
      <c r="N2306" s="2" t="s">
        <v>4854</v>
      </c>
      <c r="O2306" s="2" t="s">
        <v>55</v>
      </c>
      <c r="P2306" s="3">
        <v>92317</v>
      </c>
      <c r="Q2306" s="2"/>
      <c r="R2306" s="2"/>
      <c r="S2306" s="2" t="s">
        <v>5574</v>
      </c>
      <c r="T2306" s="2">
        <v>24.9</v>
      </c>
      <c r="U2306" s="2" t="s">
        <v>47</v>
      </c>
      <c r="V2306" s="2"/>
      <c r="W2306" s="67" t="str">
        <f t="shared" ref="W2306:W2369" si="184">IF($O2306&lt;&gt;"Converted","-",IF(ISNUMBER(SEARCH("Architect",$F2306)),"Architect","Customer"))</f>
        <v>-</v>
      </c>
    </row>
    <row r="2307" spans="1:23" x14ac:dyDescent="0.3">
      <c r="A2307" s="4" t="s">
        <v>5032</v>
      </c>
      <c r="B2307" s="4" t="s">
        <v>4365</v>
      </c>
      <c r="C2307" s="4">
        <v>9777713862</v>
      </c>
      <c r="D2307" s="4" t="s">
        <v>59</v>
      </c>
      <c r="E2307" s="4" t="s">
        <v>21</v>
      </c>
      <c r="F2307" s="4" t="s">
        <v>22</v>
      </c>
      <c r="G2307" s="4" t="s">
        <v>1677</v>
      </c>
      <c r="H2307" s="4" t="s">
        <v>4823</v>
      </c>
      <c r="I2307" s="2" t="str">
        <f t="shared" si="180"/>
        <v>Feb</v>
      </c>
      <c r="J2307" s="2">
        <f t="shared" si="181"/>
        <v>2</v>
      </c>
      <c r="K2307" s="2">
        <f t="shared" si="182"/>
        <v>2026</v>
      </c>
      <c r="L2307" s="2">
        <f t="shared" si="183"/>
        <v>1</v>
      </c>
      <c r="M2307" s="4">
        <v>9</v>
      </c>
      <c r="N2307" s="4" t="s">
        <v>4981</v>
      </c>
      <c r="O2307" s="4" t="s">
        <v>55</v>
      </c>
      <c r="P2307" s="5">
        <v>1850052</v>
      </c>
      <c r="Q2307" s="4"/>
      <c r="R2307" s="4"/>
      <c r="S2307" s="4" t="s">
        <v>5819</v>
      </c>
      <c r="T2307" s="4">
        <v>23.4</v>
      </c>
      <c r="U2307" s="4" t="s">
        <v>47</v>
      </c>
      <c r="V2307" s="4" t="s">
        <v>276</v>
      </c>
      <c r="W2307" s="67" t="str">
        <f t="shared" si="184"/>
        <v>-</v>
      </c>
    </row>
    <row r="2308" spans="1:23" x14ac:dyDescent="0.3">
      <c r="A2308" s="2" t="s">
        <v>5033</v>
      </c>
      <c r="B2308" s="2" t="s">
        <v>2741</v>
      </c>
      <c r="C2308" s="2"/>
      <c r="D2308" s="2" t="s">
        <v>108</v>
      </c>
      <c r="E2308" s="2" t="s">
        <v>1632</v>
      </c>
      <c r="F2308" s="2" t="s">
        <v>1682</v>
      </c>
      <c r="G2308" s="2" t="s">
        <v>1599</v>
      </c>
      <c r="H2308" s="2" t="s">
        <v>4823</v>
      </c>
      <c r="I2308" s="2" t="str">
        <f t="shared" si="180"/>
        <v>Feb</v>
      </c>
      <c r="J2308" s="2">
        <f t="shared" si="181"/>
        <v>2</v>
      </c>
      <c r="K2308" s="2">
        <f t="shared" si="182"/>
        <v>2026</v>
      </c>
      <c r="L2308" s="2">
        <f t="shared" si="183"/>
        <v>1</v>
      </c>
      <c r="M2308" s="2">
        <v>3</v>
      </c>
      <c r="N2308" s="2" t="s">
        <v>4953</v>
      </c>
      <c r="O2308" s="2" t="s">
        <v>27</v>
      </c>
      <c r="P2308" s="3">
        <v>797005</v>
      </c>
      <c r="Q2308" s="2"/>
      <c r="R2308" s="2"/>
      <c r="S2308" s="2" t="s">
        <v>5819</v>
      </c>
      <c r="T2308" s="2">
        <v>7</v>
      </c>
      <c r="U2308" s="2" t="s">
        <v>29</v>
      </c>
      <c r="V2308" s="2" t="s">
        <v>1697</v>
      </c>
      <c r="W2308" s="67" t="str">
        <f t="shared" si="184"/>
        <v>-</v>
      </c>
    </row>
    <row r="2309" spans="1:23" x14ac:dyDescent="0.3">
      <c r="A2309" s="6" t="s">
        <v>5034</v>
      </c>
      <c r="B2309" s="6" t="s">
        <v>711</v>
      </c>
      <c r="C2309" s="6">
        <v>9795288812</v>
      </c>
      <c r="D2309" s="6" t="s">
        <v>59</v>
      </c>
      <c r="E2309" s="6" t="s">
        <v>109</v>
      </c>
      <c r="F2309" s="6" t="s">
        <v>110</v>
      </c>
      <c r="G2309" s="6" t="s">
        <v>23</v>
      </c>
      <c r="H2309" s="6" t="s">
        <v>4966</v>
      </c>
      <c r="I2309" s="2" t="str">
        <f t="shared" si="180"/>
        <v>Feb</v>
      </c>
      <c r="J2309" s="2">
        <f t="shared" si="181"/>
        <v>2</v>
      </c>
      <c r="K2309" s="2">
        <f t="shared" si="182"/>
        <v>2026</v>
      </c>
      <c r="L2309" s="2">
        <f t="shared" si="183"/>
        <v>1</v>
      </c>
      <c r="M2309" s="6">
        <v>9</v>
      </c>
      <c r="N2309" s="6" t="s">
        <v>4991</v>
      </c>
      <c r="O2309" s="6" t="s">
        <v>97</v>
      </c>
      <c r="P2309" s="7">
        <v>804279</v>
      </c>
      <c r="Q2309" s="7">
        <v>790820</v>
      </c>
      <c r="R2309" s="6" t="s">
        <v>5036</v>
      </c>
      <c r="S2309" s="6" t="s">
        <v>5574</v>
      </c>
      <c r="T2309" s="6">
        <v>32.4</v>
      </c>
      <c r="U2309" s="6" t="s">
        <v>63</v>
      </c>
      <c r="V2309" s="6" t="s">
        <v>295</v>
      </c>
      <c r="W2309" s="67" t="str">
        <f t="shared" si="184"/>
        <v>Customer</v>
      </c>
    </row>
    <row r="2310" spans="1:23" x14ac:dyDescent="0.3">
      <c r="A2310" s="6" t="s">
        <v>5037</v>
      </c>
      <c r="B2310" s="6" t="s">
        <v>3010</v>
      </c>
      <c r="C2310" s="6">
        <v>9497965932</v>
      </c>
      <c r="D2310" s="6" t="s">
        <v>59</v>
      </c>
      <c r="E2310" s="6" t="s">
        <v>41</v>
      </c>
      <c r="F2310" s="6" t="s">
        <v>86</v>
      </c>
      <c r="G2310" s="6" t="s">
        <v>60</v>
      </c>
      <c r="H2310" s="6" t="s">
        <v>4966</v>
      </c>
      <c r="I2310" s="2" t="str">
        <f t="shared" si="180"/>
        <v>Feb</v>
      </c>
      <c r="J2310" s="2">
        <f t="shared" si="181"/>
        <v>2</v>
      </c>
      <c r="K2310" s="2">
        <f t="shared" si="182"/>
        <v>2026</v>
      </c>
      <c r="L2310" s="2">
        <f t="shared" si="183"/>
        <v>1</v>
      </c>
      <c r="M2310" s="6">
        <v>3</v>
      </c>
      <c r="N2310" s="6" t="s">
        <v>4939</v>
      </c>
      <c r="O2310" s="6" t="s">
        <v>97</v>
      </c>
      <c r="P2310" s="7">
        <v>242427</v>
      </c>
      <c r="Q2310" s="7">
        <v>218030</v>
      </c>
      <c r="R2310" s="6" t="s">
        <v>4991</v>
      </c>
      <c r="S2310" s="6" t="s">
        <v>5573</v>
      </c>
      <c r="T2310" s="6">
        <v>28.7</v>
      </c>
      <c r="U2310" s="6" t="s">
        <v>63</v>
      </c>
      <c r="V2310" s="6" t="s">
        <v>243</v>
      </c>
      <c r="W2310" s="67" t="str">
        <f t="shared" si="184"/>
        <v>Customer</v>
      </c>
    </row>
    <row r="2311" spans="1:23" x14ac:dyDescent="0.3">
      <c r="A2311" s="4" t="s">
        <v>5038</v>
      </c>
      <c r="B2311" s="4" t="s">
        <v>931</v>
      </c>
      <c r="C2311" s="4">
        <v>9364302569</v>
      </c>
      <c r="D2311" s="4" t="s">
        <v>59</v>
      </c>
      <c r="E2311" s="4" t="s">
        <v>109</v>
      </c>
      <c r="F2311" s="4" t="s">
        <v>331</v>
      </c>
      <c r="G2311" s="4" t="s">
        <v>60</v>
      </c>
      <c r="H2311" s="4" t="s">
        <v>4966</v>
      </c>
      <c r="I2311" s="2" t="str">
        <f t="shared" si="180"/>
        <v>Feb</v>
      </c>
      <c r="J2311" s="2">
        <f t="shared" si="181"/>
        <v>2</v>
      </c>
      <c r="K2311" s="2">
        <f t="shared" si="182"/>
        <v>2026</v>
      </c>
      <c r="L2311" s="2">
        <f t="shared" si="183"/>
        <v>1</v>
      </c>
      <c r="M2311" s="4">
        <v>9</v>
      </c>
      <c r="N2311" s="4" t="s">
        <v>5039</v>
      </c>
      <c r="O2311" s="4" t="s">
        <v>45</v>
      </c>
      <c r="P2311" s="5">
        <v>296534</v>
      </c>
      <c r="Q2311" s="4"/>
      <c r="R2311" s="4"/>
      <c r="S2311" s="4" t="s">
        <v>5573</v>
      </c>
      <c r="T2311" s="4">
        <v>10.4</v>
      </c>
      <c r="U2311" s="4" t="s">
        <v>63</v>
      </c>
      <c r="V2311" s="4" t="s">
        <v>621</v>
      </c>
      <c r="W2311" s="67" t="str">
        <f t="shared" si="184"/>
        <v>-</v>
      </c>
    </row>
    <row r="2312" spans="1:23" x14ac:dyDescent="0.3">
      <c r="A2312" s="6" t="s">
        <v>5040</v>
      </c>
      <c r="B2312" s="6" t="s">
        <v>3866</v>
      </c>
      <c r="C2312" s="6">
        <v>9574406071</v>
      </c>
      <c r="D2312" s="6" t="s">
        <v>51</v>
      </c>
      <c r="E2312" s="6" t="s">
        <v>73</v>
      </c>
      <c r="F2312" s="6" t="s">
        <v>126</v>
      </c>
      <c r="G2312" s="6" t="s">
        <v>52</v>
      </c>
      <c r="H2312" s="6" t="s">
        <v>4848</v>
      </c>
      <c r="I2312" s="2" t="str">
        <f t="shared" si="180"/>
        <v>Feb</v>
      </c>
      <c r="J2312" s="2">
        <f t="shared" si="181"/>
        <v>2</v>
      </c>
      <c r="K2312" s="2">
        <f t="shared" si="182"/>
        <v>2026</v>
      </c>
      <c r="L2312" s="2">
        <f t="shared" si="183"/>
        <v>1</v>
      </c>
      <c r="M2312" s="6">
        <v>12</v>
      </c>
      <c r="N2312" s="6" t="s">
        <v>5041</v>
      </c>
      <c r="O2312" s="6" t="s">
        <v>97</v>
      </c>
      <c r="P2312" s="7">
        <v>560993</v>
      </c>
      <c r="Q2312" s="7">
        <v>526939</v>
      </c>
      <c r="R2312" s="6" t="s">
        <v>5042</v>
      </c>
      <c r="S2312" s="6" t="s">
        <v>5819</v>
      </c>
      <c r="T2312" s="6">
        <v>5.5</v>
      </c>
      <c r="U2312" s="6" t="s">
        <v>63</v>
      </c>
      <c r="V2312" s="6" t="s">
        <v>170</v>
      </c>
      <c r="W2312" s="67" t="str">
        <f t="shared" si="184"/>
        <v>Customer</v>
      </c>
    </row>
    <row r="2313" spans="1:23" x14ac:dyDescent="0.3">
      <c r="A2313" s="6" t="s">
        <v>5043</v>
      </c>
      <c r="B2313" s="6" t="s">
        <v>5044</v>
      </c>
      <c r="C2313" s="6">
        <v>9439336284</v>
      </c>
      <c r="D2313" s="6" t="s">
        <v>121</v>
      </c>
      <c r="E2313" s="6" t="s">
        <v>73</v>
      </c>
      <c r="F2313" s="6" t="s">
        <v>126</v>
      </c>
      <c r="G2313" s="6" t="s">
        <v>23</v>
      </c>
      <c r="H2313" s="6" t="s">
        <v>4848</v>
      </c>
      <c r="I2313" s="2" t="str">
        <f t="shared" si="180"/>
        <v>Feb</v>
      </c>
      <c r="J2313" s="2">
        <f t="shared" si="181"/>
        <v>2</v>
      </c>
      <c r="K2313" s="2">
        <f t="shared" si="182"/>
        <v>2026</v>
      </c>
      <c r="L2313" s="2">
        <f t="shared" si="183"/>
        <v>1</v>
      </c>
      <c r="M2313" s="6">
        <v>12</v>
      </c>
      <c r="N2313" s="6" t="s">
        <v>4856</v>
      </c>
      <c r="O2313" s="6" t="s">
        <v>97</v>
      </c>
      <c r="P2313" s="7">
        <v>822687</v>
      </c>
      <c r="Q2313" s="7">
        <v>737559</v>
      </c>
      <c r="R2313" s="6" t="s">
        <v>5045</v>
      </c>
      <c r="S2313" s="6" t="s">
        <v>5819</v>
      </c>
      <c r="T2313" s="6">
        <v>18.399999999999999</v>
      </c>
      <c r="U2313" s="6" t="s">
        <v>63</v>
      </c>
      <c r="V2313" s="6" t="s">
        <v>113</v>
      </c>
      <c r="W2313" s="67" t="str">
        <f t="shared" si="184"/>
        <v>Customer</v>
      </c>
    </row>
    <row r="2314" spans="1:23" x14ac:dyDescent="0.3">
      <c r="A2314" s="2" t="s">
        <v>5046</v>
      </c>
      <c r="B2314" s="2" t="s">
        <v>741</v>
      </c>
      <c r="C2314" s="2">
        <v>9785074161</v>
      </c>
      <c r="D2314" s="2" t="s">
        <v>59</v>
      </c>
      <c r="E2314" s="2" t="s">
        <v>648</v>
      </c>
      <c r="F2314" s="2" t="s">
        <v>899</v>
      </c>
      <c r="G2314" s="2" t="s">
        <v>69</v>
      </c>
      <c r="H2314" s="2" t="s">
        <v>4848</v>
      </c>
      <c r="I2314" s="2" t="str">
        <f t="shared" si="180"/>
        <v>Feb</v>
      </c>
      <c r="J2314" s="2">
        <f t="shared" si="181"/>
        <v>2</v>
      </c>
      <c r="K2314" s="2">
        <f t="shared" si="182"/>
        <v>2026</v>
      </c>
      <c r="L2314" s="2">
        <f t="shared" si="183"/>
        <v>1</v>
      </c>
      <c r="M2314" s="2">
        <v>10</v>
      </c>
      <c r="N2314" s="2" t="s">
        <v>5047</v>
      </c>
      <c r="O2314" s="2" t="s">
        <v>45</v>
      </c>
      <c r="P2314" s="3">
        <v>361760</v>
      </c>
      <c r="Q2314" s="2"/>
      <c r="R2314" s="2"/>
      <c r="S2314" s="2" t="s">
        <v>5819</v>
      </c>
      <c r="T2314" s="2">
        <v>19.899999999999999</v>
      </c>
      <c r="U2314" s="2" t="s">
        <v>63</v>
      </c>
      <c r="V2314" s="2"/>
      <c r="W2314" s="67" t="str">
        <f t="shared" si="184"/>
        <v>-</v>
      </c>
    </row>
    <row r="2315" spans="1:23" x14ac:dyDescent="0.3">
      <c r="A2315" s="4" t="s">
        <v>5048</v>
      </c>
      <c r="B2315" s="4" t="s">
        <v>5049</v>
      </c>
      <c r="C2315" s="4">
        <v>9375838773</v>
      </c>
      <c r="D2315" s="4" t="s">
        <v>108</v>
      </c>
      <c r="E2315" s="4" t="s">
        <v>109</v>
      </c>
      <c r="F2315" s="4" t="s">
        <v>110</v>
      </c>
      <c r="G2315" s="4" t="s">
        <v>1621</v>
      </c>
      <c r="H2315" s="4" t="s">
        <v>4848</v>
      </c>
      <c r="I2315" s="2" t="str">
        <f t="shared" si="180"/>
        <v>Feb</v>
      </c>
      <c r="J2315" s="2">
        <f t="shared" si="181"/>
        <v>2</v>
      </c>
      <c r="K2315" s="2">
        <f t="shared" si="182"/>
        <v>2026</v>
      </c>
      <c r="L2315" s="2">
        <f t="shared" si="183"/>
        <v>1</v>
      </c>
      <c r="M2315" s="4">
        <v>5</v>
      </c>
      <c r="N2315" s="4" t="s">
        <v>5050</v>
      </c>
      <c r="O2315" s="4" t="s">
        <v>45</v>
      </c>
      <c r="P2315" s="5">
        <v>215243</v>
      </c>
      <c r="Q2315" s="4"/>
      <c r="R2315" s="4"/>
      <c r="S2315" s="4" t="s">
        <v>5574</v>
      </c>
      <c r="T2315" s="4">
        <v>11.4</v>
      </c>
      <c r="U2315" s="4" t="s">
        <v>29</v>
      </c>
      <c r="V2315" s="4" t="s">
        <v>56</v>
      </c>
      <c r="W2315" s="67" t="str">
        <f t="shared" si="184"/>
        <v>-</v>
      </c>
    </row>
    <row r="2316" spans="1:23" x14ac:dyDescent="0.3">
      <c r="A2316" s="2" t="s">
        <v>5051</v>
      </c>
      <c r="B2316" s="2" t="s">
        <v>1385</v>
      </c>
      <c r="C2316" s="2">
        <v>9674609250</v>
      </c>
      <c r="D2316" s="2" t="s">
        <v>20</v>
      </c>
      <c r="E2316" s="2" t="s">
        <v>1632</v>
      </c>
      <c r="F2316" s="2" t="s">
        <v>1717</v>
      </c>
      <c r="G2316" s="2" t="s">
        <v>1677</v>
      </c>
      <c r="H2316" s="2" t="s">
        <v>4848</v>
      </c>
      <c r="I2316" s="2" t="str">
        <f t="shared" si="180"/>
        <v>Feb</v>
      </c>
      <c r="J2316" s="2">
        <f t="shared" si="181"/>
        <v>2</v>
      </c>
      <c r="K2316" s="2">
        <f t="shared" si="182"/>
        <v>2026</v>
      </c>
      <c r="L2316" s="2">
        <f t="shared" si="183"/>
        <v>1</v>
      </c>
      <c r="M2316" s="2">
        <v>6</v>
      </c>
      <c r="N2316" s="2" t="s">
        <v>5030</v>
      </c>
      <c r="O2316" s="2" t="s">
        <v>27</v>
      </c>
      <c r="P2316" s="3">
        <v>1706631</v>
      </c>
      <c r="Q2316" s="2"/>
      <c r="R2316" s="2"/>
      <c r="S2316" s="2" t="s">
        <v>5573</v>
      </c>
      <c r="T2316" s="2">
        <v>26</v>
      </c>
      <c r="U2316" s="2" t="s">
        <v>47</v>
      </c>
      <c r="V2316" s="2"/>
      <c r="W2316" s="67" t="str">
        <f t="shared" si="184"/>
        <v>-</v>
      </c>
    </row>
    <row r="2317" spans="1:23" x14ac:dyDescent="0.3">
      <c r="A2317" s="4" t="s">
        <v>5052</v>
      </c>
      <c r="B2317" s="4" t="s">
        <v>2277</v>
      </c>
      <c r="C2317" s="4">
        <v>9443862301</v>
      </c>
      <c r="D2317" s="4" t="s">
        <v>59</v>
      </c>
      <c r="E2317" s="4" t="s">
        <v>1632</v>
      </c>
      <c r="F2317" s="4" t="s">
        <v>1633</v>
      </c>
      <c r="G2317" s="4" t="s">
        <v>87</v>
      </c>
      <c r="H2317" s="4" t="s">
        <v>4848</v>
      </c>
      <c r="I2317" s="2" t="str">
        <f t="shared" si="180"/>
        <v>Feb</v>
      </c>
      <c r="J2317" s="2">
        <f t="shared" si="181"/>
        <v>2</v>
      </c>
      <c r="K2317" s="2">
        <f t="shared" si="182"/>
        <v>2026</v>
      </c>
      <c r="L2317" s="2">
        <f t="shared" si="183"/>
        <v>1</v>
      </c>
      <c r="M2317" s="4">
        <v>8</v>
      </c>
      <c r="N2317" s="4" t="s">
        <v>4832</v>
      </c>
      <c r="O2317" s="4" t="s">
        <v>27</v>
      </c>
      <c r="P2317" s="5">
        <v>172163</v>
      </c>
      <c r="Q2317" s="4"/>
      <c r="R2317" s="4"/>
      <c r="S2317" s="4" t="s">
        <v>5819</v>
      </c>
      <c r="T2317" s="4"/>
      <c r="U2317" s="4" t="s">
        <v>29</v>
      </c>
      <c r="V2317" s="4" t="s">
        <v>123</v>
      </c>
      <c r="W2317" s="67" t="str">
        <f t="shared" si="184"/>
        <v>-</v>
      </c>
    </row>
    <row r="2318" spans="1:23" x14ac:dyDescent="0.3">
      <c r="A2318" s="2" t="s">
        <v>5053</v>
      </c>
      <c r="B2318" s="2" t="s">
        <v>5054</v>
      </c>
      <c r="C2318" s="2">
        <v>9456624653</v>
      </c>
      <c r="D2318" s="2" t="s">
        <v>108</v>
      </c>
      <c r="E2318" s="2" t="s">
        <v>73</v>
      </c>
      <c r="F2318" s="2" t="s">
        <v>74</v>
      </c>
      <c r="G2318" s="2" t="s">
        <v>1621</v>
      </c>
      <c r="H2318" s="2" t="s">
        <v>4848</v>
      </c>
      <c r="I2318" s="2" t="str">
        <f t="shared" si="180"/>
        <v>Feb</v>
      </c>
      <c r="J2318" s="2">
        <f t="shared" si="181"/>
        <v>2</v>
      </c>
      <c r="K2318" s="2">
        <f t="shared" si="182"/>
        <v>2026</v>
      </c>
      <c r="L2318" s="2">
        <f t="shared" si="183"/>
        <v>1</v>
      </c>
      <c r="M2318" s="2">
        <v>4</v>
      </c>
      <c r="N2318" s="2" t="s">
        <v>5045</v>
      </c>
      <c r="O2318" s="2" t="s">
        <v>27</v>
      </c>
      <c r="P2318" s="3">
        <v>525645</v>
      </c>
      <c r="Q2318" s="2"/>
      <c r="R2318" s="2"/>
      <c r="S2318" s="2" t="s">
        <v>5574</v>
      </c>
      <c r="T2318" s="2">
        <v>6.4</v>
      </c>
      <c r="U2318" s="2" t="s">
        <v>29</v>
      </c>
      <c r="V2318" s="2" t="s">
        <v>123</v>
      </c>
      <c r="W2318" s="67" t="str">
        <f t="shared" si="184"/>
        <v>-</v>
      </c>
    </row>
    <row r="2319" spans="1:23" x14ac:dyDescent="0.3">
      <c r="A2319" s="6" t="s">
        <v>5055</v>
      </c>
      <c r="B2319" s="6" t="s">
        <v>4314</v>
      </c>
      <c r="C2319" s="6">
        <v>9259626193</v>
      </c>
      <c r="D2319" s="6" t="s">
        <v>121</v>
      </c>
      <c r="E2319" s="6" t="s">
        <v>1632</v>
      </c>
      <c r="F2319" s="6" t="s">
        <v>1849</v>
      </c>
      <c r="G2319" s="6" t="s">
        <v>52</v>
      </c>
      <c r="H2319" s="6" t="s">
        <v>4848</v>
      </c>
      <c r="I2319" s="2" t="str">
        <f t="shared" si="180"/>
        <v>Feb</v>
      </c>
      <c r="J2319" s="2">
        <f t="shared" si="181"/>
        <v>2</v>
      </c>
      <c r="K2319" s="2">
        <f t="shared" si="182"/>
        <v>2026</v>
      </c>
      <c r="L2319" s="2">
        <f t="shared" si="183"/>
        <v>1</v>
      </c>
      <c r="M2319" s="6">
        <v>4</v>
      </c>
      <c r="N2319" s="6" t="s">
        <v>5050</v>
      </c>
      <c r="O2319" s="6" t="s">
        <v>97</v>
      </c>
      <c r="P2319" s="7">
        <v>328706</v>
      </c>
      <c r="Q2319" s="7">
        <v>329055</v>
      </c>
      <c r="R2319" s="6" t="s">
        <v>4973</v>
      </c>
      <c r="S2319" s="6" t="s">
        <v>5819</v>
      </c>
      <c r="T2319" s="6">
        <v>11.1</v>
      </c>
      <c r="U2319" s="6" t="s">
        <v>47</v>
      </c>
      <c r="V2319" s="6" t="s">
        <v>483</v>
      </c>
      <c r="W2319" s="67" t="str">
        <f t="shared" si="184"/>
        <v>Customer</v>
      </c>
    </row>
    <row r="2320" spans="1:23" x14ac:dyDescent="0.3">
      <c r="A2320" s="2" t="s">
        <v>5056</v>
      </c>
      <c r="B2320" s="2" t="s">
        <v>5057</v>
      </c>
      <c r="C2320" s="2">
        <v>9618637356</v>
      </c>
      <c r="D2320" s="2" t="s">
        <v>20</v>
      </c>
      <c r="E2320" s="2" t="s">
        <v>41</v>
      </c>
      <c r="F2320" s="2" t="s">
        <v>92</v>
      </c>
      <c r="G2320" s="2" t="s">
        <v>87</v>
      </c>
      <c r="H2320" s="2" t="s">
        <v>5035</v>
      </c>
      <c r="I2320" s="2" t="str">
        <f t="shared" si="180"/>
        <v>Feb</v>
      </c>
      <c r="J2320" s="2">
        <f t="shared" si="181"/>
        <v>2</v>
      </c>
      <c r="K2320" s="2">
        <f t="shared" si="182"/>
        <v>2026</v>
      </c>
      <c r="L2320" s="2">
        <f t="shared" si="183"/>
        <v>1</v>
      </c>
      <c r="M2320" s="2">
        <v>8</v>
      </c>
      <c r="N2320" s="2" t="s">
        <v>4856</v>
      </c>
      <c r="O2320" s="2" t="s">
        <v>45</v>
      </c>
      <c r="P2320" s="3">
        <v>252721</v>
      </c>
      <c r="Q2320" s="2"/>
      <c r="R2320" s="2"/>
      <c r="S2320" s="2" t="s">
        <v>5573</v>
      </c>
      <c r="T2320" s="2">
        <v>7.6</v>
      </c>
      <c r="U2320" s="2" t="s">
        <v>47</v>
      </c>
      <c r="V2320" s="2" t="s">
        <v>256</v>
      </c>
      <c r="W2320" s="67" t="str">
        <f t="shared" si="184"/>
        <v>-</v>
      </c>
    </row>
    <row r="2321" spans="1:23" x14ac:dyDescent="0.3">
      <c r="A2321" s="4" t="s">
        <v>5058</v>
      </c>
      <c r="B2321" s="4" t="s">
        <v>5059</v>
      </c>
      <c r="C2321" s="4">
        <v>9455166035</v>
      </c>
      <c r="D2321" s="4" t="s">
        <v>121</v>
      </c>
      <c r="E2321" s="4" t="s">
        <v>641</v>
      </c>
      <c r="F2321" s="4" t="s">
        <v>681</v>
      </c>
      <c r="G2321" s="4" t="s">
        <v>87</v>
      </c>
      <c r="H2321" s="4" t="s">
        <v>5035</v>
      </c>
      <c r="I2321" s="2" t="str">
        <f t="shared" si="180"/>
        <v>Feb</v>
      </c>
      <c r="J2321" s="2">
        <f t="shared" si="181"/>
        <v>2</v>
      </c>
      <c r="K2321" s="2">
        <f t="shared" si="182"/>
        <v>2026</v>
      </c>
      <c r="L2321" s="2">
        <f t="shared" si="183"/>
        <v>1</v>
      </c>
      <c r="M2321" s="4">
        <v>10</v>
      </c>
      <c r="N2321" s="4" t="s">
        <v>4924</v>
      </c>
      <c r="O2321" s="4" t="s">
        <v>45</v>
      </c>
      <c r="P2321" s="5">
        <v>107869</v>
      </c>
      <c r="Q2321" s="4"/>
      <c r="R2321" s="4"/>
      <c r="S2321" s="4" t="s">
        <v>5573</v>
      </c>
      <c r="T2321" s="4">
        <v>6.9</v>
      </c>
      <c r="U2321" s="4" t="s">
        <v>47</v>
      </c>
      <c r="V2321" s="4" t="s">
        <v>302</v>
      </c>
      <c r="W2321" s="67" t="str">
        <f t="shared" si="184"/>
        <v>-</v>
      </c>
    </row>
    <row r="2322" spans="1:23" x14ac:dyDescent="0.3">
      <c r="A2322" s="2" t="s">
        <v>5060</v>
      </c>
      <c r="B2322" s="2" t="s">
        <v>5061</v>
      </c>
      <c r="C2322" s="2">
        <v>9163346779</v>
      </c>
      <c r="D2322" s="2" t="s">
        <v>59</v>
      </c>
      <c r="E2322" s="2" t="s">
        <v>41</v>
      </c>
      <c r="F2322" s="2" t="s">
        <v>151</v>
      </c>
      <c r="G2322" s="2" t="s">
        <v>1621</v>
      </c>
      <c r="H2322" s="2" t="s">
        <v>5035</v>
      </c>
      <c r="I2322" s="2" t="str">
        <f t="shared" si="180"/>
        <v>Feb</v>
      </c>
      <c r="J2322" s="2">
        <f t="shared" si="181"/>
        <v>2</v>
      </c>
      <c r="K2322" s="2">
        <f t="shared" si="182"/>
        <v>2026</v>
      </c>
      <c r="L2322" s="2">
        <f t="shared" si="183"/>
        <v>1</v>
      </c>
      <c r="M2322" s="2">
        <v>0</v>
      </c>
      <c r="N2322" s="2" t="s">
        <v>4784</v>
      </c>
      <c r="O2322" s="2" t="s">
        <v>55</v>
      </c>
      <c r="P2322" s="3">
        <v>628106</v>
      </c>
      <c r="Q2322" s="2"/>
      <c r="R2322" s="2"/>
      <c r="S2322" s="2" t="s">
        <v>5819</v>
      </c>
      <c r="T2322" s="2">
        <v>34.5</v>
      </c>
      <c r="U2322" s="2" t="s">
        <v>47</v>
      </c>
      <c r="V2322" s="2" t="s">
        <v>48</v>
      </c>
      <c r="W2322" s="67" t="str">
        <f t="shared" si="184"/>
        <v>-</v>
      </c>
    </row>
    <row r="2323" spans="1:23" x14ac:dyDescent="0.3">
      <c r="A2323" s="4" t="s">
        <v>5062</v>
      </c>
      <c r="B2323" s="4" t="s">
        <v>2128</v>
      </c>
      <c r="C2323" s="4">
        <v>9447649089</v>
      </c>
      <c r="D2323" s="4" t="s">
        <v>20</v>
      </c>
      <c r="E2323" s="4" t="s">
        <v>648</v>
      </c>
      <c r="F2323" s="4" t="s">
        <v>649</v>
      </c>
      <c r="G2323" s="4" t="s">
        <v>1621</v>
      </c>
      <c r="H2323" s="4" t="s">
        <v>4897</v>
      </c>
      <c r="I2323" s="2" t="str">
        <f t="shared" si="180"/>
        <v>Feb</v>
      </c>
      <c r="J2323" s="2">
        <f t="shared" si="181"/>
        <v>2</v>
      </c>
      <c r="K2323" s="2">
        <f t="shared" si="182"/>
        <v>2026</v>
      </c>
      <c r="L2323" s="2">
        <f t="shared" si="183"/>
        <v>1</v>
      </c>
      <c r="M2323" s="4">
        <v>2</v>
      </c>
      <c r="N2323" s="4" t="s">
        <v>5030</v>
      </c>
      <c r="O2323" s="4" t="s">
        <v>62</v>
      </c>
      <c r="P2323" s="5">
        <v>455188</v>
      </c>
      <c r="Q2323" s="4"/>
      <c r="R2323" s="4"/>
      <c r="S2323" s="4" t="s">
        <v>5574</v>
      </c>
      <c r="T2323" s="4">
        <v>26.3</v>
      </c>
      <c r="U2323" s="4" t="s">
        <v>47</v>
      </c>
      <c r="V2323" s="4" t="s">
        <v>137</v>
      </c>
      <c r="W2323" s="67" t="str">
        <f t="shared" si="184"/>
        <v>-</v>
      </c>
    </row>
    <row r="2324" spans="1:23" x14ac:dyDescent="0.3">
      <c r="A2324" s="2" t="s">
        <v>5063</v>
      </c>
      <c r="B2324" s="2" t="s">
        <v>1424</v>
      </c>
      <c r="C2324" s="2"/>
      <c r="D2324" s="2" t="s">
        <v>20</v>
      </c>
      <c r="E2324" s="2" t="s">
        <v>67</v>
      </c>
      <c r="F2324" s="2" t="s">
        <v>68</v>
      </c>
      <c r="G2324" s="2" t="s">
        <v>52</v>
      </c>
      <c r="H2324" s="2" t="s">
        <v>4804</v>
      </c>
      <c r="I2324" s="2" t="str">
        <f t="shared" si="180"/>
        <v>Feb</v>
      </c>
      <c r="J2324" s="2">
        <f t="shared" si="181"/>
        <v>2</v>
      </c>
      <c r="K2324" s="2">
        <f t="shared" si="182"/>
        <v>2026</v>
      </c>
      <c r="L2324" s="2">
        <f t="shared" si="183"/>
        <v>1</v>
      </c>
      <c r="M2324" s="2">
        <v>6</v>
      </c>
      <c r="N2324" s="2" t="s">
        <v>5041</v>
      </c>
      <c r="O2324" s="2" t="s">
        <v>27</v>
      </c>
      <c r="P2324" s="3">
        <v>375578</v>
      </c>
      <c r="Q2324" s="2"/>
      <c r="R2324" s="2"/>
      <c r="S2324" s="2" t="s">
        <v>5573</v>
      </c>
      <c r="T2324" s="2">
        <v>25.7</v>
      </c>
      <c r="U2324" s="2" t="s">
        <v>29</v>
      </c>
      <c r="V2324" s="2" t="s">
        <v>439</v>
      </c>
      <c r="W2324" s="67" t="str">
        <f t="shared" si="184"/>
        <v>-</v>
      </c>
    </row>
    <row r="2325" spans="1:23" x14ac:dyDescent="0.3">
      <c r="A2325" s="6" t="s">
        <v>5064</v>
      </c>
      <c r="B2325" s="6" t="s">
        <v>3287</v>
      </c>
      <c r="C2325" s="6">
        <v>9495090348</v>
      </c>
      <c r="D2325" s="6" t="s">
        <v>20</v>
      </c>
      <c r="E2325" s="6" t="s">
        <v>1632</v>
      </c>
      <c r="F2325" s="6" t="s">
        <v>1659</v>
      </c>
      <c r="G2325" s="6" t="s">
        <v>23</v>
      </c>
      <c r="H2325" s="6" t="s">
        <v>4908</v>
      </c>
      <c r="I2325" s="2" t="str">
        <f t="shared" si="180"/>
        <v>Feb</v>
      </c>
      <c r="J2325" s="2">
        <f t="shared" si="181"/>
        <v>2</v>
      </c>
      <c r="K2325" s="2">
        <f t="shared" si="182"/>
        <v>2026</v>
      </c>
      <c r="L2325" s="2">
        <f t="shared" si="183"/>
        <v>1</v>
      </c>
      <c r="M2325" s="6">
        <v>10</v>
      </c>
      <c r="N2325" s="6" t="s">
        <v>4916</v>
      </c>
      <c r="O2325" s="6" t="s">
        <v>97</v>
      </c>
      <c r="P2325" s="7">
        <v>624312</v>
      </c>
      <c r="Q2325" s="7">
        <v>626375</v>
      </c>
      <c r="R2325" s="6" t="s">
        <v>5045</v>
      </c>
      <c r="S2325" s="6" t="s">
        <v>5573</v>
      </c>
      <c r="T2325" s="6">
        <v>23</v>
      </c>
      <c r="U2325" s="6" t="s">
        <v>47</v>
      </c>
      <c r="V2325" s="6" t="s">
        <v>465</v>
      </c>
      <c r="W2325" s="67" t="str">
        <f t="shared" si="184"/>
        <v>Customer</v>
      </c>
    </row>
    <row r="2326" spans="1:23" x14ac:dyDescent="0.3">
      <c r="A2326" s="2" t="s">
        <v>5065</v>
      </c>
      <c r="B2326" s="2" t="s">
        <v>5066</v>
      </c>
      <c r="C2326" s="2">
        <v>9361766108</v>
      </c>
      <c r="D2326" s="2" t="s">
        <v>59</v>
      </c>
      <c r="E2326" s="2" t="s">
        <v>648</v>
      </c>
      <c r="F2326" s="2" t="s">
        <v>899</v>
      </c>
      <c r="G2326" s="2" t="s">
        <v>23</v>
      </c>
      <c r="H2326" s="2" t="s">
        <v>4756</v>
      </c>
      <c r="I2326" s="2" t="str">
        <f t="shared" si="180"/>
        <v>Mar</v>
      </c>
      <c r="J2326" s="2">
        <f t="shared" si="181"/>
        <v>3</v>
      </c>
      <c r="K2326" s="2">
        <f t="shared" si="182"/>
        <v>2026</v>
      </c>
      <c r="L2326" s="2">
        <f t="shared" si="183"/>
        <v>1</v>
      </c>
      <c r="M2326" s="2">
        <v>12</v>
      </c>
      <c r="N2326" s="2" t="s">
        <v>5025</v>
      </c>
      <c r="O2326" s="2" t="s">
        <v>27</v>
      </c>
      <c r="P2326" s="3">
        <v>567290</v>
      </c>
      <c r="Q2326" s="2"/>
      <c r="R2326" s="2"/>
      <c r="S2326" s="2" t="s">
        <v>5573</v>
      </c>
      <c r="T2326" s="2">
        <v>4.7</v>
      </c>
      <c r="U2326" s="2" t="s">
        <v>29</v>
      </c>
      <c r="V2326" s="2" t="s">
        <v>202</v>
      </c>
      <c r="W2326" s="67" t="str">
        <f t="shared" si="184"/>
        <v>-</v>
      </c>
    </row>
    <row r="2327" spans="1:23" x14ac:dyDescent="0.3">
      <c r="A2327" s="4" t="s">
        <v>5067</v>
      </c>
      <c r="B2327" s="4" t="s">
        <v>3742</v>
      </c>
      <c r="C2327" s="4">
        <v>9840304880</v>
      </c>
      <c r="D2327" s="4" t="s">
        <v>121</v>
      </c>
      <c r="E2327" s="4" t="s">
        <v>648</v>
      </c>
      <c r="F2327" s="4" t="s">
        <v>822</v>
      </c>
      <c r="G2327" s="4" t="s">
        <v>643</v>
      </c>
      <c r="H2327" s="4" t="s">
        <v>4756</v>
      </c>
      <c r="I2327" s="2" t="str">
        <f t="shared" si="180"/>
        <v>Mar</v>
      </c>
      <c r="J2327" s="2">
        <f t="shared" si="181"/>
        <v>3</v>
      </c>
      <c r="K2327" s="2">
        <f t="shared" si="182"/>
        <v>2026</v>
      </c>
      <c r="L2327" s="2">
        <f t="shared" si="183"/>
        <v>1</v>
      </c>
      <c r="M2327" s="4">
        <v>11</v>
      </c>
      <c r="N2327" s="4" t="s">
        <v>5036</v>
      </c>
      <c r="O2327" s="4" t="s">
        <v>27</v>
      </c>
      <c r="P2327" s="5">
        <v>800900</v>
      </c>
      <c r="Q2327" s="4"/>
      <c r="R2327" s="4"/>
      <c r="S2327" s="4" t="s">
        <v>5819</v>
      </c>
      <c r="T2327" s="4">
        <v>21.4</v>
      </c>
      <c r="U2327" s="4" t="s">
        <v>29</v>
      </c>
      <c r="V2327" s="4" t="s">
        <v>202</v>
      </c>
      <c r="W2327" s="67" t="str">
        <f t="shared" si="184"/>
        <v>-</v>
      </c>
    </row>
    <row r="2328" spans="1:23" x14ac:dyDescent="0.3">
      <c r="A2328" s="2" t="s">
        <v>5068</v>
      </c>
      <c r="B2328" s="2" t="s">
        <v>2915</v>
      </c>
      <c r="C2328" s="2">
        <v>9182386509</v>
      </c>
      <c r="D2328" s="2" t="s">
        <v>20</v>
      </c>
      <c r="E2328" s="2" t="s">
        <v>648</v>
      </c>
      <c r="F2328" s="2" t="s">
        <v>822</v>
      </c>
      <c r="G2328" s="2" t="s">
        <v>52</v>
      </c>
      <c r="H2328" s="2" t="s">
        <v>4756</v>
      </c>
      <c r="I2328" s="2" t="str">
        <f t="shared" si="180"/>
        <v>Mar</v>
      </c>
      <c r="J2328" s="2">
        <f t="shared" si="181"/>
        <v>3</v>
      </c>
      <c r="K2328" s="2">
        <f t="shared" si="182"/>
        <v>2026</v>
      </c>
      <c r="L2328" s="2">
        <f t="shared" si="183"/>
        <v>1</v>
      </c>
      <c r="M2328" s="2">
        <v>3</v>
      </c>
      <c r="N2328" s="2" t="s">
        <v>4808</v>
      </c>
      <c r="O2328" s="2" t="s">
        <v>27</v>
      </c>
      <c r="P2328" s="3">
        <v>251229</v>
      </c>
      <c r="Q2328" s="2"/>
      <c r="R2328" s="2"/>
      <c r="S2328" s="2" t="s">
        <v>5819</v>
      </c>
      <c r="T2328" s="2">
        <v>25.7</v>
      </c>
      <c r="U2328" s="2" t="s">
        <v>47</v>
      </c>
      <c r="V2328" s="2" t="s">
        <v>163</v>
      </c>
      <c r="W2328" s="67" t="str">
        <f t="shared" si="184"/>
        <v>-</v>
      </c>
    </row>
    <row r="2329" spans="1:23" x14ac:dyDescent="0.3">
      <c r="A2329" s="4" t="s">
        <v>5069</v>
      </c>
      <c r="B2329" s="4" t="s">
        <v>3975</v>
      </c>
      <c r="C2329" s="4">
        <v>9848645476</v>
      </c>
      <c r="D2329" s="4" t="s">
        <v>108</v>
      </c>
      <c r="E2329" s="4" t="s">
        <v>648</v>
      </c>
      <c r="F2329" s="4" t="s">
        <v>656</v>
      </c>
      <c r="G2329" s="4" t="s">
        <v>1623</v>
      </c>
      <c r="H2329" s="4" t="s">
        <v>4756</v>
      </c>
      <c r="I2329" s="2" t="str">
        <f t="shared" si="180"/>
        <v>Mar</v>
      </c>
      <c r="J2329" s="2">
        <f t="shared" si="181"/>
        <v>3</v>
      </c>
      <c r="K2329" s="2">
        <f t="shared" si="182"/>
        <v>2026</v>
      </c>
      <c r="L2329" s="2">
        <f t="shared" si="183"/>
        <v>1</v>
      </c>
      <c r="M2329" s="4">
        <v>8</v>
      </c>
      <c r="N2329" s="4" t="s">
        <v>4964</v>
      </c>
      <c r="O2329" s="4" t="s">
        <v>27</v>
      </c>
      <c r="P2329" s="5">
        <v>377136</v>
      </c>
      <c r="Q2329" s="4"/>
      <c r="R2329" s="4"/>
      <c r="S2329" s="4" t="s">
        <v>5819</v>
      </c>
      <c r="T2329" s="4">
        <v>35.1</v>
      </c>
      <c r="U2329" s="4" t="s">
        <v>47</v>
      </c>
      <c r="V2329" s="4" t="s">
        <v>153</v>
      </c>
      <c r="W2329" s="67" t="str">
        <f t="shared" si="184"/>
        <v>-</v>
      </c>
    </row>
    <row r="2330" spans="1:23" x14ac:dyDescent="0.3">
      <c r="A2330" s="6" t="s">
        <v>5070</v>
      </c>
      <c r="B2330" s="6" t="s">
        <v>1416</v>
      </c>
      <c r="C2330" s="6">
        <v>9584422454</v>
      </c>
      <c r="D2330" s="6" t="s">
        <v>51</v>
      </c>
      <c r="E2330" s="6" t="s">
        <v>41</v>
      </c>
      <c r="F2330" s="6" t="s">
        <v>151</v>
      </c>
      <c r="G2330" s="6" t="s">
        <v>643</v>
      </c>
      <c r="H2330" s="6" t="s">
        <v>4756</v>
      </c>
      <c r="I2330" s="2" t="str">
        <f t="shared" si="180"/>
        <v>Mar</v>
      </c>
      <c r="J2330" s="2">
        <f t="shared" si="181"/>
        <v>3</v>
      </c>
      <c r="K2330" s="2">
        <f t="shared" si="182"/>
        <v>2026</v>
      </c>
      <c r="L2330" s="2">
        <f t="shared" si="183"/>
        <v>1</v>
      </c>
      <c r="M2330" s="6">
        <v>0</v>
      </c>
      <c r="N2330" s="6" t="s">
        <v>4955</v>
      </c>
      <c r="O2330" s="6" t="s">
        <v>97</v>
      </c>
      <c r="P2330" s="7">
        <v>1271017</v>
      </c>
      <c r="Q2330" s="7">
        <v>1295944</v>
      </c>
      <c r="R2330" s="6" t="s">
        <v>4939</v>
      </c>
      <c r="S2330" s="6" t="s">
        <v>5819</v>
      </c>
      <c r="T2330" s="6">
        <v>29.4</v>
      </c>
      <c r="U2330" s="6" t="s">
        <v>47</v>
      </c>
      <c r="V2330" s="6" t="s">
        <v>483</v>
      </c>
      <c r="W2330" s="67" t="str">
        <f t="shared" si="184"/>
        <v>Architect</v>
      </c>
    </row>
    <row r="2331" spans="1:23" x14ac:dyDescent="0.3">
      <c r="A2331" s="6" t="s">
        <v>5071</v>
      </c>
      <c r="B2331" s="6" t="s">
        <v>5072</v>
      </c>
      <c r="C2331" s="6">
        <v>9905451150</v>
      </c>
      <c r="D2331" s="6" t="s">
        <v>20</v>
      </c>
      <c r="E2331" s="6" t="s">
        <v>1632</v>
      </c>
      <c r="F2331" s="6" t="s">
        <v>1659</v>
      </c>
      <c r="G2331" s="6" t="s">
        <v>60</v>
      </c>
      <c r="H2331" s="6" t="s">
        <v>4756</v>
      </c>
      <c r="I2331" s="2" t="str">
        <f t="shared" si="180"/>
        <v>Mar</v>
      </c>
      <c r="J2331" s="2">
        <f t="shared" si="181"/>
        <v>3</v>
      </c>
      <c r="K2331" s="2">
        <f t="shared" si="182"/>
        <v>2026</v>
      </c>
      <c r="L2331" s="2">
        <f t="shared" si="183"/>
        <v>1</v>
      </c>
      <c r="M2331" s="6">
        <v>1</v>
      </c>
      <c r="N2331" s="6" t="s">
        <v>4841</v>
      </c>
      <c r="O2331" s="6" t="s">
        <v>97</v>
      </c>
      <c r="P2331" s="7">
        <v>103138</v>
      </c>
      <c r="Q2331" s="7">
        <v>105346</v>
      </c>
      <c r="R2331" s="6" t="s">
        <v>4808</v>
      </c>
      <c r="S2331" s="6" t="s">
        <v>5819</v>
      </c>
      <c r="T2331" s="6">
        <v>29.1</v>
      </c>
      <c r="U2331" s="6" t="s">
        <v>63</v>
      </c>
      <c r="V2331" s="6" t="s">
        <v>99</v>
      </c>
      <c r="W2331" s="67" t="str">
        <f t="shared" si="184"/>
        <v>Customer</v>
      </c>
    </row>
    <row r="2332" spans="1:23" x14ac:dyDescent="0.3">
      <c r="A2332" s="2" t="s">
        <v>5073</v>
      </c>
      <c r="B2332" s="2" t="s">
        <v>1874</v>
      </c>
      <c r="C2332" s="2">
        <v>9708179443</v>
      </c>
      <c r="D2332" s="2" t="s">
        <v>121</v>
      </c>
      <c r="E2332" s="2" t="s">
        <v>41</v>
      </c>
      <c r="F2332" s="2" t="s">
        <v>92</v>
      </c>
      <c r="G2332" s="2" t="s">
        <v>87</v>
      </c>
      <c r="H2332" s="2" t="s">
        <v>4756</v>
      </c>
      <c r="I2332" s="2" t="str">
        <f t="shared" si="180"/>
        <v>Mar</v>
      </c>
      <c r="J2332" s="2">
        <f t="shared" si="181"/>
        <v>3</v>
      </c>
      <c r="K2332" s="2">
        <f t="shared" si="182"/>
        <v>2026</v>
      </c>
      <c r="L2332" s="2">
        <f t="shared" si="183"/>
        <v>1</v>
      </c>
      <c r="M2332" s="2">
        <v>9</v>
      </c>
      <c r="N2332" s="2" t="s">
        <v>5074</v>
      </c>
      <c r="O2332" s="2" t="s">
        <v>45</v>
      </c>
      <c r="P2332" s="3">
        <v>93738</v>
      </c>
      <c r="Q2332" s="2"/>
      <c r="R2332" s="2"/>
      <c r="S2332" s="2" t="s">
        <v>5819</v>
      </c>
      <c r="T2332" s="2">
        <v>20.399999999999999</v>
      </c>
      <c r="U2332" s="2" t="s">
        <v>63</v>
      </c>
      <c r="V2332" s="2" t="s">
        <v>678</v>
      </c>
      <c r="W2332" s="67" t="str">
        <f t="shared" si="184"/>
        <v>-</v>
      </c>
    </row>
    <row r="2333" spans="1:23" x14ac:dyDescent="0.3">
      <c r="A2333" s="4" t="s">
        <v>5075</v>
      </c>
      <c r="B2333" s="4" t="s">
        <v>5076</v>
      </c>
      <c r="C2333" s="4">
        <v>9456771148</v>
      </c>
      <c r="D2333" s="4" t="s">
        <v>108</v>
      </c>
      <c r="E2333" s="4" t="s">
        <v>41</v>
      </c>
      <c r="F2333" s="4" t="s">
        <v>92</v>
      </c>
      <c r="G2333" s="4" t="s">
        <v>1599</v>
      </c>
      <c r="H2333" s="4" t="s">
        <v>4756</v>
      </c>
      <c r="I2333" s="2" t="str">
        <f t="shared" si="180"/>
        <v>Mar</v>
      </c>
      <c r="J2333" s="2">
        <f t="shared" si="181"/>
        <v>3</v>
      </c>
      <c r="K2333" s="2">
        <f t="shared" si="182"/>
        <v>2026</v>
      </c>
      <c r="L2333" s="2">
        <f t="shared" si="183"/>
        <v>1</v>
      </c>
      <c r="M2333" s="4">
        <v>2</v>
      </c>
      <c r="N2333" s="4" t="s">
        <v>4869</v>
      </c>
      <c r="O2333" s="4" t="s">
        <v>45</v>
      </c>
      <c r="P2333" s="5">
        <v>829746</v>
      </c>
      <c r="Q2333" s="4"/>
      <c r="R2333" s="4"/>
      <c r="S2333" s="4" t="s">
        <v>5573</v>
      </c>
      <c r="T2333" s="4">
        <v>31.3</v>
      </c>
      <c r="U2333" s="4" t="s">
        <v>63</v>
      </c>
      <c r="V2333" s="4" t="s">
        <v>221</v>
      </c>
      <c r="W2333" s="67" t="str">
        <f t="shared" si="184"/>
        <v>-</v>
      </c>
    </row>
    <row r="2334" spans="1:23" x14ac:dyDescent="0.3">
      <c r="A2334" s="2" t="s">
        <v>5077</v>
      </c>
      <c r="B2334" s="2" t="s">
        <v>5078</v>
      </c>
      <c r="C2334" s="2">
        <v>9313756178</v>
      </c>
      <c r="D2334" s="2" t="s">
        <v>20</v>
      </c>
      <c r="E2334" s="2" t="s">
        <v>109</v>
      </c>
      <c r="F2334" s="2" t="s">
        <v>217</v>
      </c>
      <c r="G2334" s="2" t="s">
        <v>3302</v>
      </c>
      <c r="H2334" s="2" t="s">
        <v>4784</v>
      </c>
      <c r="I2334" s="2" t="str">
        <f t="shared" si="180"/>
        <v>Mar</v>
      </c>
      <c r="J2334" s="2">
        <f t="shared" si="181"/>
        <v>3</v>
      </c>
      <c r="K2334" s="2">
        <f t="shared" si="182"/>
        <v>2026</v>
      </c>
      <c r="L2334" s="2">
        <f t="shared" si="183"/>
        <v>1</v>
      </c>
      <c r="M2334" s="2">
        <v>4</v>
      </c>
      <c r="N2334" s="2" t="s">
        <v>4953</v>
      </c>
      <c r="O2334" s="2" t="s">
        <v>27</v>
      </c>
      <c r="P2334" s="3">
        <v>2568192</v>
      </c>
      <c r="Q2334" s="2"/>
      <c r="R2334" s="2"/>
      <c r="S2334" s="2" t="s">
        <v>5573</v>
      </c>
      <c r="T2334" s="2">
        <v>24.2</v>
      </c>
      <c r="U2334" s="2" t="s">
        <v>29</v>
      </c>
      <c r="V2334" s="2" t="s">
        <v>157</v>
      </c>
      <c r="W2334" s="67" t="str">
        <f t="shared" si="184"/>
        <v>-</v>
      </c>
    </row>
    <row r="2335" spans="1:23" x14ac:dyDescent="0.3">
      <c r="A2335" s="4" t="s">
        <v>5079</v>
      </c>
      <c r="B2335" s="4" t="s">
        <v>2230</v>
      </c>
      <c r="C2335" s="4">
        <v>9121368612</v>
      </c>
      <c r="D2335" s="4" t="s">
        <v>121</v>
      </c>
      <c r="E2335" s="4" t="s">
        <v>648</v>
      </c>
      <c r="F2335" s="4" t="s">
        <v>822</v>
      </c>
      <c r="G2335" s="4" t="s">
        <v>52</v>
      </c>
      <c r="H2335" s="4" t="s">
        <v>4784</v>
      </c>
      <c r="I2335" s="2" t="str">
        <f t="shared" si="180"/>
        <v>Mar</v>
      </c>
      <c r="J2335" s="2">
        <f t="shared" si="181"/>
        <v>3</v>
      </c>
      <c r="K2335" s="2">
        <f t="shared" si="182"/>
        <v>2026</v>
      </c>
      <c r="L2335" s="2">
        <f t="shared" si="183"/>
        <v>1</v>
      </c>
      <c r="M2335" s="4">
        <v>6</v>
      </c>
      <c r="N2335" s="4" t="s">
        <v>5039</v>
      </c>
      <c r="O2335" s="4" t="s">
        <v>45</v>
      </c>
      <c r="P2335" s="5">
        <v>276652</v>
      </c>
      <c r="Q2335" s="4"/>
      <c r="R2335" s="4"/>
      <c r="S2335" s="4" t="s">
        <v>5573</v>
      </c>
      <c r="T2335" s="4">
        <v>14.7</v>
      </c>
      <c r="U2335" s="4" t="s">
        <v>29</v>
      </c>
      <c r="V2335" s="4" t="s">
        <v>697</v>
      </c>
      <c r="W2335" s="67" t="str">
        <f t="shared" si="184"/>
        <v>-</v>
      </c>
    </row>
    <row r="2336" spans="1:23" x14ac:dyDescent="0.3">
      <c r="A2336" s="2" t="s">
        <v>5080</v>
      </c>
      <c r="B2336" s="2" t="s">
        <v>1124</v>
      </c>
      <c r="C2336" s="2">
        <v>9827646453</v>
      </c>
      <c r="D2336" s="2" t="s">
        <v>59</v>
      </c>
      <c r="E2336" s="2" t="s">
        <v>1632</v>
      </c>
      <c r="F2336" s="2" t="s">
        <v>1633</v>
      </c>
      <c r="G2336" s="2" t="s">
        <v>643</v>
      </c>
      <c r="H2336" s="2" t="s">
        <v>4955</v>
      </c>
      <c r="I2336" s="2" t="str">
        <f t="shared" si="180"/>
        <v>Mar</v>
      </c>
      <c r="J2336" s="2">
        <f t="shared" si="181"/>
        <v>3</v>
      </c>
      <c r="K2336" s="2">
        <f t="shared" si="182"/>
        <v>2026</v>
      </c>
      <c r="L2336" s="2">
        <f t="shared" si="183"/>
        <v>1</v>
      </c>
      <c r="M2336" s="2">
        <v>6</v>
      </c>
      <c r="N2336" s="2" t="s">
        <v>5081</v>
      </c>
      <c r="O2336" s="2" t="s">
        <v>27</v>
      </c>
      <c r="P2336" s="3">
        <v>1513257</v>
      </c>
      <c r="Q2336" s="2"/>
      <c r="R2336" s="2"/>
      <c r="S2336" s="2" t="s">
        <v>5819</v>
      </c>
      <c r="T2336" s="2">
        <v>3.6</v>
      </c>
      <c r="U2336" s="2" t="s">
        <v>29</v>
      </c>
      <c r="V2336" s="2" t="s">
        <v>163</v>
      </c>
      <c r="W2336" s="67" t="str">
        <f t="shared" si="184"/>
        <v>-</v>
      </c>
    </row>
    <row r="2337" spans="1:23" x14ac:dyDescent="0.3">
      <c r="A2337" s="4" t="s">
        <v>5082</v>
      </c>
      <c r="B2337" s="4" t="s">
        <v>2245</v>
      </c>
      <c r="C2337" s="4">
        <v>9410532859</v>
      </c>
      <c r="D2337" s="4" t="s">
        <v>20</v>
      </c>
      <c r="E2337" s="4" t="s">
        <v>1632</v>
      </c>
      <c r="F2337" s="4" t="s">
        <v>1682</v>
      </c>
      <c r="G2337" s="4" t="s">
        <v>643</v>
      </c>
      <c r="H2337" s="4" t="s">
        <v>4955</v>
      </c>
      <c r="I2337" s="2" t="str">
        <f t="shared" si="180"/>
        <v>Mar</v>
      </c>
      <c r="J2337" s="2">
        <f t="shared" si="181"/>
        <v>3</v>
      </c>
      <c r="K2337" s="2">
        <f t="shared" si="182"/>
        <v>2026</v>
      </c>
      <c r="L2337" s="2">
        <f t="shared" si="183"/>
        <v>1</v>
      </c>
      <c r="M2337" s="4">
        <v>12</v>
      </c>
      <c r="N2337" s="4" t="s">
        <v>5025</v>
      </c>
      <c r="O2337" s="4" t="s">
        <v>45</v>
      </c>
      <c r="P2337" s="5">
        <v>1048542</v>
      </c>
      <c r="Q2337" s="4"/>
      <c r="R2337" s="4"/>
      <c r="S2337" s="4" t="s">
        <v>5819</v>
      </c>
      <c r="T2337" s="4">
        <v>32.200000000000003</v>
      </c>
      <c r="U2337" s="4" t="s">
        <v>29</v>
      </c>
      <c r="V2337" s="4" t="s">
        <v>83</v>
      </c>
      <c r="W2337" s="67" t="str">
        <f t="shared" si="184"/>
        <v>-</v>
      </c>
    </row>
    <row r="2338" spans="1:23" x14ac:dyDescent="0.3">
      <c r="A2338" s="2" t="s">
        <v>5083</v>
      </c>
      <c r="B2338" s="2" t="s">
        <v>3550</v>
      </c>
      <c r="C2338" s="2">
        <v>9438709847</v>
      </c>
      <c r="D2338" s="2" t="s">
        <v>20</v>
      </c>
      <c r="E2338" s="2" t="s">
        <v>641</v>
      </c>
      <c r="F2338" s="2" t="s">
        <v>717</v>
      </c>
      <c r="G2338" s="2" t="s">
        <v>616</v>
      </c>
      <c r="H2338" s="2" t="s">
        <v>4955</v>
      </c>
      <c r="I2338" s="2" t="str">
        <f t="shared" si="180"/>
        <v>Mar</v>
      </c>
      <c r="J2338" s="2">
        <f t="shared" si="181"/>
        <v>3</v>
      </c>
      <c r="K2338" s="2">
        <f t="shared" si="182"/>
        <v>2026</v>
      </c>
      <c r="L2338" s="2">
        <f t="shared" si="183"/>
        <v>1</v>
      </c>
      <c r="M2338" s="2">
        <v>8</v>
      </c>
      <c r="N2338" s="2" t="s">
        <v>5039</v>
      </c>
      <c r="O2338" s="2" t="s">
        <v>45</v>
      </c>
      <c r="P2338" s="3">
        <v>393420</v>
      </c>
      <c r="Q2338" s="2"/>
      <c r="R2338" s="2"/>
      <c r="S2338" s="2" t="s">
        <v>5573</v>
      </c>
      <c r="T2338" s="2">
        <v>5.5</v>
      </c>
      <c r="U2338" s="2" t="s">
        <v>47</v>
      </c>
      <c r="V2338" s="2" t="s">
        <v>256</v>
      </c>
      <c r="W2338" s="67" t="str">
        <f t="shared" si="184"/>
        <v>-</v>
      </c>
    </row>
    <row r="2339" spans="1:23" x14ac:dyDescent="0.3">
      <c r="A2339" s="4" t="s">
        <v>5084</v>
      </c>
      <c r="B2339" s="4" t="s">
        <v>4768</v>
      </c>
      <c r="C2339" s="4">
        <v>9895164268</v>
      </c>
      <c r="D2339" s="4" t="s">
        <v>20</v>
      </c>
      <c r="E2339" s="4" t="s">
        <v>109</v>
      </c>
      <c r="F2339" s="4" t="s">
        <v>217</v>
      </c>
      <c r="G2339" s="4" t="s">
        <v>643</v>
      </c>
      <c r="H2339" s="4" t="s">
        <v>4955</v>
      </c>
      <c r="I2339" s="2" t="str">
        <f t="shared" si="180"/>
        <v>Mar</v>
      </c>
      <c r="J2339" s="2">
        <f t="shared" si="181"/>
        <v>3</v>
      </c>
      <c r="K2339" s="2">
        <f t="shared" si="182"/>
        <v>2026</v>
      </c>
      <c r="L2339" s="2">
        <f t="shared" si="183"/>
        <v>1</v>
      </c>
      <c r="M2339" s="4">
        <v>1</v>
      </c>
      <c r="N2339" s="4" t="s">
        <v>4936</v>
      </c>
      <c r="O2339" s="4" t="s">
        <v>27</v>
      </c>
      <c r="P2339" s="5">
        <v>1586658</v>
      </c>
      <c r="Q2339" s="4"/>
      <c r="R2339" s="4"/>
      <c r="S2339" s="4" t="s">
        <v>5819</v>
      </c>
      <c r="T2339" s="4">
        <v>12.6</v>
      </c>
      <c r="U2339" s="4" t="s">
        <v>29</v>
      </c>
      <c r="V2339" s="4" t="s">
        <v>202</v>
      </c>
      <c r="W2339" s="67" t="str">
        <f t="shared" si="184"/>
        <v>-</v>
      </c>
    </row>
    <row r="2340" spans="1:23" x14ac:dyDescent="0.3">
      <c r="A2340" s="6" t="s">
        <v>5085</v>
      </c>
      <c r="B2340" s="6" t="s">
        <v>5086</v>
      </c>
      <c r="C2340" s="6">
        <v>9266823053</v>
      </c>
      <c r="D2340" s="6" t="s">
        <v>59</v>
      </c>
      <c r="E2340" s="6" t="s">
        <v>33</v>
      </c>
      <c r="F2340" s="6" t="s">
        <v>102</v>
      </c>
      <c r="G2340" s="6" t="s">
        <v>1677</v>
      </c>
      <c r="H2340" s="6" t="s">
        <v>4955</v>
      </c>
      <c r="I2340" s="2" t="str">
        <f t="shared" si="180"/>
        <v>Mar</v>
      </c>
      <c r="J2340" s="2">
        <f t="shared" si="181"/>
        <v>3</v>
      </c>
      <c r="K2340" s="2">
        <f t="shared" si="182"/>
        <v>2026</v>
      </c>
      <c r="L2340" s="2">
        <f t="shared" si="183"/>
        <v>1</v>
      </c>
      <c r="M2340" s="6">
        <v>2</v>
      </c>
      <c r="N2340" s="6" t="s">
        <v>4835</v>
      </c>
      <c r="O2340" s="6" t="s">
        <v>97</v>
      </c>
      <c r="P2340" s="7">
        <v>1287781</v>
      </c>
      <c r="Q2340" s="7">
        <v>1324824</v>
      </c>
      <c r="R2340" s="6" t="s">
        <v>5087</v>
      </c>
      <c r="S2340" s="6" t="s">
        <v>5819</v>
      </c>
      <c r="T2340" s="6">
        <v>25.3</v>
      </c>
      <c r="U2340" s="6" t="s">
        <v>47</v>
      </c>
      <c r="V2340" s="6" t="s">
        <v>483</v>
      </c>
      <c r="W2340" s="67" t="str">
        <f t="shared" si="184"/>
        <v>Customer</v>
      </c>
    </row>
    <row r="2341" spans="1:23" x14ac:dyDescent="0.3">
      <c r="A2341" s="4" t="s">
        <v>5088</v>
      </c>
      <c r="B2341" s="4" t="s">
        <v>5089</v>
      </c>
      <c r="C2341" s="4">
        <v>9822656872</v>
      </c>
      <c r="D2341" s="4" t="s">
        <v>121</v>
      </c>
      <c r="E2341" s="4" t="s">
        <v>1632</v>
      </c>
      <c r="F2341" s="4" t="s">
        <v>1849</v>
      </c>
      <c r="G2341" s="4" t="s">
        <v>1621</v>
      </c>
      <c r="H2341" s="4" t="s">
        <v>4955</v>
      </c>
      <c r="I2341" s="2" t="str">
        <f t="shared" si="180"/>
        <v>Mar</v>
      </c>
      <c r="J2341" s="2">
        <f t="shared" si="181"/>
        <v>3</v>
      </c>
      <c r="K2341" s="2">
        <f t="shared" si="182"/>
        <v>2026</v>
      </c>
      <c r="L2341" s="2">
        <f t="shared" si="183"/>
        <v>1</v>
      </c>
      <c r="M2341" s="4">
        <v>0</v>
      </c>
      <c r="N2341" s="4" t="s">
        <v>5030</v>
      </c>
      <c r="O2341" s="4" t="s">
        <v>27</v>
      </c>
      <c r="P2341" s="5">
        <v>316622</v>
      </c>
      <c r="Q2341" s="4"/>
      <c r="R2341" s="4"/>
      <c r="S2341" s="4" t="s">
        <v>5819</v>
      </c>
      <c r="T2341" s="4">
        <v>0.5</v>
      </c>
      <c r="U2341" s="4" t="s">
        <v>29</v>
      </c>
      <c r="V2341" s="4" t="s">
        <v>30</v>
      </c>
      <c r="W2341" s="67" t="str">
        <f t="shared" si="184"/>
        <v>-</v>
      </c>
    </row>
    <row r="2342" spans="1:23" x14ac:dyDescent="0.3">
      <c r="A2342" s="2" t="s">
        <v>5090</v>
      </c>
      <c r="B2342" s="2" t="s">
        <v>1254</v>
      </c>
      <c r="C2342" s="2">
        <v>9103269187</v>
      </c>
      <c r="D2342" s="2" t="s">
        <v>20</v>
      </c>
      <c r="E2342" s="2" t="s">
        <v>41</v>
      </c>
      <c r="F2342" s="2" t="s">
        <v>92</v>
      </c>
      <c r="G2342" s="2" t="s">
        <v>60</v>
      </c>
      <c r="H2342" s="2" t="s">
        <v>4841</v>
      </c>
      <c r="I2342" s="2" t="str">
        <f t="shared" si="180"/>
        <v>Mar</v>
      </c>
      <c r="J2342" s="2">
        <f t="shared" si="181"/>
        <v>3</v>
      </c>
      <c r="K2342" s="2">
        <f t="shared" si="182"/>
        <v>2026</v>
      </c>
      <c r="L2342" s="2">
        <f t="shared" si="183"/>
        <v>1</v>
      </c>
      <c r="M2342" s="2">
        <v>7</v>
      </c>
      <c r="N2342" s="2" t="s">
        <v>5091</v>
      </c>
      <c r="O2342" s="2" t="s">
        <v>45</v>
      </c>
      <c r="P2342" s="3">
        <v>277400</v>
      </c>
      <c r="Q2342" s="2"/>
      <c r="R2342" s="2"/>
      <c r="S2342" s="2" t="s">
        <v>5819</v>
      </c>
      <c r="T2342" s="2">
        <v>24</v>
      </c>
      <c r="U2342" s="2" t="s">
        <v>47</v>
      </c>
      <c r="V2342" s="2"/>
      <c r="W2342" s="67" t="str">
        <f t="shared" si="184"/>
        <v>-</v>
      </c>
    </row>
    <row r="2343" spans="1:23" x14ac:dyDescent="0.3">
      <c r="A2343" s="4" t="s">
        <v>5092</v>
      </c>
      <c r="B2343" s="4" t="s">
        <v>3943</v>
      </c>
      <c r="C2343" s="4">
        <v>9403997801</v>
      </c>
      <c r="D2343" s="4" t="s">
        <v>121</v>
      </c>
      <c r="E2343" s="4" t="s">
        <v>648</v>
      </c>
      <c r="F2343" s="4" t="s">
        <v>649</v>
      </c>
      <c r="G2343" s="4" t="s">
        <v>1599</v>
      </c>
      <c r="H2343" s="4" t="s">
        <v>4841</v>
      </c>
      <c r="I2343" s="2" t="str">
        <f t="shared" si="180"/>
        <v>Mar</v>
      </c>
      <c r="J2343" s="2">
        <f t="shared" si="181"/>
        <v>3</v>
      </c>
      <c r="K2343" s="2">
        <f t="shared" si="182"/>
        <v>2026</v>
      </c>
      <c r="L2343" s="2">
        <f t="shared" si="183"/>
        <v>1</v>
      </c>
      <c r="M2343" s="4">
        <v>3</v>
      </c>
      <c r="N2343" s="4" t="s">
        <v>4835</v>
      </c>
      <c r="O2343" s="4" t="s">
        <v>45</v>
      </c>
      <c r="P2343" s="5">
        <v>726552</v>
      </c>
      <c r="Q2343" s="4"/>
      <c r="R2343" s="4"/>
      <c r="S2343" s="4" t="s">
        <v>5819</v>
      </c>
      <c r="T2343" s="4"/>
      <c r="U2343" s="4" t="s">
        <v>47</v>
      </c>
      <c r="V2343" s="4" t="s">
        <v>89</v>
      </c>
      <c r="W2343" s="67" t="str">
        <f t="shared" si="184"/>
        <v>-</v>
      </c>
    </row>
    <row r="2344" spans="1:23" x14ac:dyDescent="0.3">
      <c r="A2344" s="2" t="s">
        <v>5093</v>
      </c>
      <c r="B2344" s="2" t="s">
        <v>3819</v>
      </c>
      <c r="C2344" s="2">
        <v>9856229902</v>
      </c>
      <c r="D2344" s="2" t="s">
        <v>121</v>
      </c>
      <c r="E2344" s="2" t="s">
        <v>33</v>
      </c>
      <c r="F2344" s="2" t="s">
        <v>201</v>
      </c>
      <c r="G2344" s="2" t="s">
        <v>1599</v>
      </c>
      <c r="H2344" s="2" t="s">
        <v>4841</v>
      </c>
      <c r="I2344" s="2" t="str">
        <f t="shared" si="180"/>
        <v>Mar</v>
      </c>
      <c r="J2344" s="2">
        <f t="shared" si="181"/>
        <v>3</v>
      </c>
      <c r="K2344" s="2">
        <f t="shared" si="182"/>
        <v>2026</v>
      </c>
      <c r="L2344" s="2">
        <f t="shared" si="183"/>
        <v>1</v>
      </c>
      <c r="M2344" s="2">
        <v>0</v>
      </c>
      <c r="N2344" s="2" t="s">
        <v>4958</v>
      </c>
      <c r="O2344" s="2" t="s">
        <v>62</v>
      </c>
      <c r="P2344" s="3">
        <v>782760</v>
      </c>
      <c r="Q2344" s="2"/>
      <c r="R2344" s="2"/>
      <c r="S2344" s="2" t="s">
        <v>5573</v>
      </c>
      <c r="T2344" s="2">
        <v>21.7</v>
      </c>
      <c r="U2344" s="2" t="s">
        <v>47</v>
      </c>
      <c r="V2344" s="2" t="s">
        <v>89</v>
      </c>
      <c r="W2344" s="67" t="str">
        <f t="shared" si="184"/>
        <v>-</v>
      </c>
    </row>
    <row r="2345" spans="1:23" x14ac:dyDescent="0.3">
      <c r="A2345" s="4" t="s">
        <v>5094</v>
      </c>
      <c r="B2345" s="4" t="s">
        <v>3535</v>
      </c>
      <c r="C2345" s="4">
        <v>9860726681</v>
      </c>
      <c r="D2345" s="4" t="s">
        <v>59</v>
      </c>
      <c r="E2345" s="4" t="s">
        <v>1632</v>
      </c>
      <c r="F2345" s="4" t="s">
        <v>1659</v>
      </c>
      <c r="G2345" s="4" t="s">
        <v>1609</v>
      </c>
      <c r="H2345" s="4" t="s">
        <v>4841</v>
      </c>
      <c r="I2345" s="2" t="str">
        <f t="shared" si="180"/>
        <v>Mar</v>
      </c>
      <c r="J2345" s="2">
        <f t="shared" si="181"/>
        <v>3</v>
      </c>
      <c r="K2345" s="2">
        <f t="shared" si="182"/>
        <v>2026</v>
      </c>
      <c r="L2345" s="2">
        <f t="shared" si="183"/>
        <v>1</v>
      </c>
      <c r="M2345" s="4">
        <v>8</v>
      </c>
      <c r="N2345" s="4" t="s">
        <v>5036</v>
      </c>
      <c r="O2345" s="4" t="s">
        <v>27</v>
      </c>
      <c r="P2345" s="5">
        <v>444736</v>
      </c>
      <c r="Q2345" s="4"/>
      <c r="R2345" s="4"/>
      <c r="S2345" s="4" t="s">
        <v>5819</v>
      </c>
      <c r="T2345" s="4">
        <v>28.1</v>
      </c>
      <c r="U2345" s="4" t="s">
        <v>29</v>
      </c>
      <c r="V2345" s="4" t="s">
        <v>153</v>
      </c>
      <c r="W2345" s="67" t="str">
        <f t="shared" si="184"/>
        <v>-</v>
      </c>
    </row>
    <row r="2346" spans="1:23" x14ac:dyDescent="0.3">
      <c r="A2346" s="2" t="s">
        <v>5095</v>
      </c>
      <c r="B2346" s="2" t="s">
        <v>1182</v>
      </c>
      <c r="C2346" s="2">
        <v>9587774390</v>
      </c>
      <c r="D2346" s="2" t="s">
        <v>121</v>
      </c>
      <c r="E2346" s="2" t="s">
        <v>648</v>
      </c>
      <c r="F2346" s="2" t="s">
        <v>649</v>
      </c>
      <c r="G2346" s="2" t="s">
        <v>1609</v>
      </c>
      <c r="H2346" s="2" t="s">
        <v>4841</v>
      </c>
      <c r="I2346" s="2" t="str">
        <f t="shared" si="180"/>
        <v>Mar</v>
      </c>
      <c r="J2346" s="2">
        <f t="shared" si="181"/>
        <v>3</v>
      </c>
      <c r="K2346" s="2">
        <f t="shared" si="182"/>
        <v>2026</v>
      </c>
      <c r="L2346" s="2">
        <f t="shared" si="183"/>
        <v>1</v>
      </c>
      <c r="M2346" s="2">
        <v>9</v>
      </c>
      <c r="N2346" s="2" t="s">
        <v>5002</v>
      </c>
      <c r="O2346" s="2" t="s">
        <v>27</v>
      </c>
      <c r="P2346" s="3">
        <v>573258</v>
      </c>
      <c r="Q2346" s="2"/>
      <c r="R2346" s="2"/>
      <c r="S2346" s="2" t="s">
        <v>5819</v>
      </c>
      <c r="T2346" s="2"/>
      <c r="U2346" s="2" t="s">
        <v>29</v>
      </c>
      <c r="V2346" s="2" t="s">
        <v>202</v>
      </c>
      <c r="W2346" s="67" t="str">
        <f t="shared" si="184"/>
        <v>-</v>
      </c>
    </row>
    <row r="2347" spans="1:23" x14ac:dyDescent="0.3">
      <c r="A2347" s="4" t="s">
        <v>5096</v>
      </c>
      <c r="B2347" s="4" t="s">
        <v>2340</v>
      </c>
      <c r="C2347" s="4">
        <v>9508357016</v>
      </c>
      <c r="D2347" s="4" t="s">
        <v>108</v>
      </c>
      <c r="E2347" s="4" t="s">
        <v>21</v>
      </c>
      <c r="F2347" s="4" t="s">
        <v>22</v>
      </c>
      <c r="G2347" s="4" t="s">
        <v>643</v>
      </c>
      <c r="H2347" s="4" t="s">
        <v>4996</v>
      </c>
      <c r="I2347" s="2" t="str">
        <f t="shared" si="180"/>
        <v>Mar</v>
      </c>
      <c r="J2347" s="2">
        <f t="shared" si="181"/>
        <v>3</v>
      </c>
      <c r="K2347" s="2">
        <f t="shared" si="182"/>
        <v>2026</v>
      </c>
      <c r="L2347" s="2">
        <f t="shared" si="183"/>
        <v>1</v>
      </c>
      <c r="M2347" s="4">
        <v>11</v>
      </c>
      <c r="N2347" s="4" t="s">
        <v>4925</v>
      </c>
      <c r="O2347" s="4" t="s">
        <v>45</v>
      </c>
      <c r="P2347" s="5">
        <v>1114851</v>
      </c>
      <c r="Q2347" s="4"/>
      <c r="R2347" s="4"/>
      <c r="S2347" s="4" t="s">
        <v>5819</v>
      </c>
      <c r="T2347" s="4">
        <v>12.8</v>
      </c>
      <c r="U2347" s="4" t="s">
        <v>63</v>
      </c>
      <c r="V2347" s="4" t="s">
        <v>535</v>
      </c>
      <c r="W2347" s="67" t="str">
        <f t="shared" si="184"/>
        <v>-</v>
      </c>
    </row>
    <row r="2348" spans="1:23" x14ac:dyDescent="0.3">
      <c r="A2348" s="2" t="s">
        <v>5097</v>
      </c>
      <c r="B2348" s="2" t="s">
        <v>4198</v>
      </c>
      <c r="C2348" s="2"/>
      <c r="D2348" s="2" t="s">
        <v>59</v>
      </c>
      <c r="E2348" s="2" t="s">
        <v>1632</v>
      </c>
      <c r="F2348" s="2" t="s">
        <v>1659</v>
      </c>
      <c r="G2348" s="2" t="s">
        <v>1623</v>
      </c>
      <c r="H2348" s="2" t="s">
        <v>4996</v>
      </c>
      <c r="I2348" s="2" t="str">
        <f t="shared" si="180"/>
        <v>Mar</v>
      </c>
      <c r="J2348" s="2">
        <f t="shared" si="181"/>
        <v>3</v>
      </c>
      <c r="K2348" s="2">
        <f t="shared" si="182"/>
        <v>2026</v>
      </c>
      <c r="L2348" s="2">
        <f t="shared" si="183"/>
        <v>1</v>
      </c>
      <c r="M2348" s="2">
        <v>6</v>
      </c>
      <c r="N2348" s="2" t="s">
        <v>4964</v>
      </c>
      <c r="O2348" s="2" t="s">
        <v>55</v>
      </c>
      <c r="P2348" s="3">
        <v>419781</v>
      </c>
      <c r="Q2348" s="2"/>
      <c r="R2348" s="2"/>
      <c r="S2348" s="2" t="s">
        <v>5819</v>
      </c>
      <c r="T2348" s="2">
        <v>15.1</v>
      </c>
      <c r="U2348" s="2" t="s">
        <v>29</v>
      </c>
      <c r="V2348" s="2" t="s">
        <v>1697</v>
      </c>
      <c r="W2348" s="67" t="str">
        <f t="shared" si="184"/>
        <v>-</v>
      </c>
    </row>
    <row r="2349" spans="1:23" x14ac:dyDescent="0.3">
      <c r="A2349" s="6" t="s">
        <v>5098</v>
      </c>
      <c r="B2349" s="6" t="s">
        <v>4248</v>
      </c>
      <c r="C2349" s="6">
        <v>9691864581</v>
      </c>
      <c r="D2349" s="6" t="s">
        <v>59</v>
      </c>
      <c r="E2349" s="6" t="s">
        <v>1632</v>
      </c>
      <c r="F2349" s="6" t="s">
        <v>1694</v>
      </c>
      <c r="G2349" s="6" t="s">
        <v>52</v>
      </c>
      <c r="H2349" s="6" t="s">
        <v>4854</v>
      </c>
      <c r="I2349" s="2" t="str">
        <f t="shared" si="180"/>
        <v>Mar</v>
      </c>
      <c r="J2349" s="2">
        <f t="shared" si="181"/>
        <v>3</v>
      </c>
      <c r="K2349" s="2">
        <f t="shared" si="182"/>
        <v>2026</v>
      </c>
      <c r="L2349" s="2">
        <f t="shared" si="183"/>
        <v>1</v>
      </c>
      <c r="M2349" s="6">
        <v>5</v>
      </c>
      <c r="N2349" s="6" t="s">
        <v>5050</v>
      </c>
      <c r="O2349" s="6" t="s">
        <v>97</v>
      </c>
      <c r="P2349" s="7">
        <v>236792</v>
      </c>
      <c r="Q2349" s="7">
        <v>237040</v>
      </c>
      <c r="R2349" s="6" t="s">
        <v>4856</v>
      </c>
      <c r="S2349" s="6" t="s">
        <v>5819</v>
      </c>
      <c r="T2349" s="6">
        <v>24.9</v>
      </c>
      <c r="U2349" s="6" t="s">
        <v>63</v>
      </c>
      <c r="V2349" s="6" t="s">
        <v>170</v>
      </c>
      <c r="W2349" s="67" t="str">
        <f t="shared" si="184"/>
        <v>Customer</v>
      </c>
    </row>
    <row r="2350" spans="1:23" x14ac:dyDescent="0.3">
      <c r="A2350" s="6" t="s">
        <v>5099</v>
      </c>
      <c r="B2350" s="6" t="s">
        <v>5004</v>
      </c>
      <c r="C2350" s="6">
        <v>9947693532</v>
      </c>
      <c r="D2350" s="6" t="s">
        <v>51</v>
      </c>
      <c r="E2350" s="6" t="s">
        <v>641</v>
      </c>
      <c r="F2350" s="6" t="s">
        <v>642</v>
      </c>
      <c r="G2350" s="6" t="s">
        <v>87</v>
      </c>
      <c r="H2350" s="6" t="s">
        <v>4854</v>
      </c>
      <c r="I2350" s="2" t="str">
        <f t="shared" si="180"/>
        <v>Mar</v>
      </c>
      <c r="J2350" s="2">
        <f t="shared" si="181"/>
        <v>3</v>
      </c>
      <c r="K2350" s="2">
        <f t="shared" si="182"/>
        <v>2026</v>
      </c>
      <c r="L2350" s="2">
        <f t="shared" si="183"/>
        <v>1</v>
      </c>
      <c r="M2350" s="6">
        <v>9</v>
      </c>
      <c r="N2350" s="6" t="s">
        <v>5014</v>
      </c>
      <c r="O2350" s="6" t="s">
        <v>97</v>
      </c>
      <c r="P2350" s="7">
        <v>259129</v>
      </c>
      <c r="Q2350" s="7">
        <v>234433</v>
      </c>
      <c r="R2350" s="6" t="s">
        <v>5025</v>
      </c>
      <c r="S2350" s="6" t="s">
        <v>5573</v>
      </c>
      <c r="T2350" s="6">
        <v>6.6</v>
      </c>
      <c r="U2350" s="6" t="s">
        <v>47</v>
      </c>
      <c r="V2350" s="6" t="s">
        <v>465</v>
      </c>
      <c r="W2350" s="67" t="str">
        <f t="shared" si="184"/>
        <v>Customer</v>
      </c>
    </row>
    <row r="2351" spans="1:23" x14ac:dyDescent="0.3">
      <c r="A2351" s="4" t="s">
        <v>5100</v>
      </c>
      <c r="B2351" s="4" t="s">
        <v>32</v>
      </c>
      <c r="C2351" s="4">
        <v>9810492098</v>
      </c>
      <c r="D2351" s="4" t="s">
        <v>20</v>
      </c>
      <c r="E2351" s="4" t="s">
        <v>641</v>
      </c>
      <c r="F2351" s="4" t="s">
        <v>681</v>
      </c>
      <c r="G2351" s="4" t="s">
        <v>616</v>
      </c>
      <c r="H2351" s="4" t="s">
        <v>4854</v>
      </c>
      <c r="I2351" s="2" t="str">
        <f t="shared" si="180"/>
        <v>Mar</v>
      </c>
      <c r="J2351" s="2">
        <f t="shared" si="181"/>
        <v>3</v>
      </c>
      <c r="K2351" s="2">
        <f t="shared" si="182"/>
        <v>2026</v>
      </c>
      <c r="L2351" s="2">
        <f t="shared" si="183"/>
        <v>1</v>
      </c>
      <c r="M2351" s="4">
        <v>11</v>
      </c>
      <c r="N2351" s="4" t="s">
        <v>4924</v>
      </c>
      <c r="O2351" s="4" t="s">
        <v>27</v>
      </c>
      <c r="P2351" s="5">
        <v>145698</v>
      </c>
      <c r="Q2351" s="4"/>
      <c r="R2351" s="4"/>
      <c r="S2351" s="4" t="s">
        <v>5819</v>
      </c>
      <c r="T2351" s="4">
        <v>11.2</v>
      </c>
      <c r="U2351" s="4" t="s">
        <v>29</v>
      </c>
      <c r="V2351" s="4" t="s">
        <v>30</v>
      </c>
      <c r="W2351" s="67" t="str">
        <f t="shared" si="184"/>
        <v>-</v>
      </c>
    </row>
    <row r="2352" spans="1:23" x14ac:dyDescent="0.3">
      <c r="A2352" s="2" t="s">
        <v>5101</v>
      </c>
      <c r="B2352" s="2" t="s">
        <v>5102</v>
      </c>
      <c r="C2352" s="2"/>
      <c r="D2352" s="2" t="s">
        <v>108</v>
      </c>
      <c r="E2352" s="2" t="s">
        <v>1632</v>
      </c>
      <c r="F2352" s="2" t="s">
        <v>1694</v>
      </c>
      <c r="G2352" s="2" t="s">
        <v>69</v>
      </c>
      <c r="H2352" s="2" t="s">
        <v>4854</v>
      </c>
      <c r="I2352" s="2" t="str">
        <f t="shared" si="180"/>
        <v>Mar</v>
      </c>
      <c r="J2352" s="2">
        <f t="shared" si="181"/>
        <v>3</v>
      </c>
      <c r="K2352" s="2">
        <f t="shared" si="182"/>
        <v>2026</v>
      </c>
      <c r="L2352" s="2">
        <f t="shared" si="183"/>
        <v>1</v>
      </c>
      <c r="M2352" s="2">
        <v>5</v>
      </c>
      <c r="N2352" s="2" t="s">
        <v>4948</v>
      </c>
      <c r="O2352" s="2" t="s">
        <v>27</v>
      </c>
      <c r="P2352" s="3">
        <v>246514</v>
      </c>
      <c r="Q2352" s="2"/>
      <c r="R2352" s="2"/>
      <c r="S2352" s="2" t="s">
        <v>5573</v>
      </c>
      <c r="T2352" s="2">
        <v>21.3</v>
      </c>
      <c r="U2352" s="2" t="s">
        <v>29</v>
      </c>
      <c r="V2352" s="2" t="s">
        <v>1685</v>
      </c>
      <c r="W2352" s="67" t="str">
        <f t="shared" si="184"/>
        <v>-</v>
      </c>
    </row>
    <row r="2353" spans="1:23" x14ac:dyDescent="0.3">
      <c r="A2353" s="4" t="s">
        <v>5103</v>
      </c>
      <c r="B2353" s="4" t="s">
        <v>5104</v>
      </c>
      <c r="C2353" s="4">
        <v>9294059834</v>
      </c>
      <c r="D2353" s="4" t="s">
        <v>121</v>
      </c>
      <c r="E2353" s="4" t="s">
        <v>1632</v>
      </c>
      <c r="F2353" s="4" t="s">
        <v>1694</v>
      </c>
      <c r="G2353" s="4" t="s">
        <v>616</v>
      </c>
      <c r="H2353" s="4" t="s">
        <v>4757</v>
      </c>
      <c r="I2353" s="2" t="str">
        <f t="shared" si="180"/>
        <v>Mar</v>
      </c>
      <c r="J2353" s="2">
        <f t="shared" si="181"/>
        <v>3</v>
      </c>
      <c r="K2353" s="2">
        <f t="shared" si="182"/>
        <v>2026</v>
      </c>
      <c r="L2353" s="2">
        <f t="shared" si="183"/>
        <v>1</v>
      </c>
      <c r="M2353" s="4">
        <v>1</v>
      </c>
      <c r="N2353" s="4" t="s">
        <v>4808</v>
      </c>
      <c r="O2353" s="4" t="s">
        <v>27</v>
      </c>
      <c r="P2353" s="5">
        <v>206695</v>
      </c>
      <c r="Q2353" s="4"/>
      <c r="R2353" s="4"/>
      <c r="S2353" s="4" t="s">
        <v>5573</v>
      </c>
      <c r="T2353" s="4">
        <v>31.5</v>
      </c>
      <c r="U2353" s="4" t="s">
        <v>29</v>
      </c>
      <c r="V2353" s="4" t="s">
        <v>238</v>
      </c>
      <c r="W2353" s="67" t="str">
        <f t="shared" si="184"/>
        <v>-</v>
      </c>
    </row>
    <row r="2354" spans="1:23" x14ac:dyDescent="0.3">
      <c r="A2354" s="6" t="s">
        <v>5105</v>
      </c>
      <c r="B2354" s="6" t="s">
        <v>5106</v>
      </c>
      <c r="C2354" s="6">
        <v>9889594467</v>
      </c>
      <c r="D2354" s="6" t="s">
        <v>20</v>
      </c>
      <c r="E2354" s="6" t="s">
        <v>641</v>
      </c>
      <c r="F2354" s="6" t="s">
        <v>717</v>
      </c>
      <c r="G2354" s="6" t="s">
        <v>1599</v>
      </c>
      <c r="H2354" s="6" t="s">
        <v>4757</v>
      </c>
      <c r="I2354" s="2" t="str">
        <f t="shared" si="180"/>
        <v>Mar</v>
      </c>
      <c r="J2354" s="2">
        <f t="shared" si="181"/>
        <v>3</v>
      </c>
      <c r="K2354" s="2">
        <f t="shared" si="182"/>
        <v>2026</v>
      </c>
      <c r="L2354" s="2">
        <f t="shared" si="183"/>
        <v>1</v>
      </c>
      <c r="M2354" s="6">
        <v>6</v>
      </c>
      <c r="N2354" s="6" t="s">
        <v>4936</v>
      </c>
      <c r="O2354" s="6" t="s">
        <v>97</v>
      </c>
      <c r="P2354" s="7">
        <v>812671</v>
      </c>
      <c r="Q2354" s="7">
        <v>778671</v>
      </c>
      <c r="R2354" s="6" t="s">
        <v>5107</v>
      </c>
      <c r="S2354" s="6" t="s">
        <v>5573</v>
      </c>
      <c r="T2354" s="6">
        <v>8</v>
      </c>
      <c r="U2354" s="6" t="s">
        <v>47</v>
      </c>
      <c r="V2354" s="6" t="s">
        <v>99</v>
      </c>
      <c r="W2354" s="67" t="str">
        <f t="shared" si="184"/>
        <v>Customer</v>
      </c>
    </row>
    <row r="2355" spans="1:23" x14ac:dyDescent="0.3">
      <c r="A2355" s="4" t="s">
        <v>5108</v>
      </c>
      <c r="B2355" s="4" t="s">
        <v>2524</v>
      </c>
      <c r="C2355" s="4">
        <v>9530107281</v>
      </c>
      <c r="D2355" s="4" t="s">
        <v>108</v>
      </c>
      <c r="E2355" s="4" t="s">
        <v>648</v>
      </c>
      <c r="F2355" s="4" t="s">
        <v>656</v>
      </c>
      <c r="G2355" s="4" t="s">
        <v>1735</v>
      </c>
      <c r="H2355" s="4" t="s">
        <v>4757</v>
      </c>
      <c r="I2355" s="2" t="str">
        <f t="shared" si="180"/>
        <v>Mar</v>
      </c>
      <c r="J2355" s="2">
        <f t="shared" si="181"/>
        <v>3</v>
      </c>
      <c r="K2355" s="2">
        <f t="shared" si="182"/>
        <v>2026</v>
      </c>
      <c r="L2355" s="2">
        <f t="shared" si="183"/>
        <v>1</v>
      </c>
      <c r="M2355" s="4">
        <v>11</v>
      </c>
      <c r="N2355" s="4" t="s">
        <v>5025</v>
      </c>
      <c r="O2355" s="4" t="s">
        <v>27</v>
      </c>
      <c r="P2355" s="5">
        <v>1773331</v>
      </c>
      <c r="Q2355" s="4"/>
      <c r="R2355" s="4"/>
      <c r="S2355" s="4" t="s">
        <v>5573</v>
      </c>
      <c r="T2355" s="4">
        <v>32.1</v>
      </c>
      <c r="U2355" s="4" t="s">
        <v>29</v>
      </c>
      <c r="V2355" s="4"/>
      <c r="W2355" s="67" t="str">
        <f t="shared" si="184"/>
        <v>-</v>
      </c>
    </row>
    <row r="2356" spans="1:23" x14ac:dyDescent="0.3">
      <c r="A2356" s="2" t="s">
        <v>5109</v>
      </c>
      <c r="B2356" s="2" t="s">
        <v>2386</v>
      </c>
      <c r="C2356" s="2">
        <v>9821375594</v>
      </c>
      <c r="D2356" s="2" t="s">
        <v>59</v>
      </c>
      <c r="E2356" s="2" t="s">
        <v>1632</v>
      </c>
      <c r="F2356" s="2" t="s">
        <v>1717</v>
      </c>
      <c r="G2356" s="2" t="s">
        <v>643</v>
      </c>
      <c r="H2356" s="2" t="s">
        <v>4757</v>
      </c>
      <c r="I2356" s="2" t="str">
        <f t="shared" si="180"/>
        <v>Mar</v>
      </c>
      <c r="J2356" s="2">
        <f t="shared" si="181"/>
        <v>3</v>
      </c>
      <c r="K2356" s="2">
        <f t="shared" si="182"/>
        <v>2026</v>
      </c>
      <c r="L2356" s="2">
        <f t="shared" si="183"/>
        <v>1</v>
      </c>
      <c r="M2356" s="2">
        <v>9</v>
      </c>
      <c r="N2356" s="2" t="s">
        <v>5047</v>
      </c>
      <c r="O2356" s="2" t="s">
        <v>45</v>
      </c>
      <c r="P2356" s="3">
        <v>1367588</v>
      </c>
      <c r="Q2356" s="2"/>
      <c r="R2356" s="2"/>
      <c r="S2356" s="2" t="s">
        <v>5819</v>
      </c>
      <c r="T2356" s="2">
        <v>35.799999999999997</v>
      </c>
      <c r="U2356" s="2" t="s">
        <v>47</v>
      </c>
      <c r="V2356" s="2" t="s">
        <v>302</v>
      </c>
      <c r="W2356" s="67" t="str">
        <f t="shared" si="184"/>
        <v>-</v>
      </c>
    </row>
    <row r="2357" spans="1:23" x14ac:dyDescent="0.3">
      <c r="A2357" s="4" t="s">
        <v>5110</v>
      </c>
      <c r="B2357" s="4" t="s">
        <v>5111</v>
      </c>
      <c r="C2357" s="4">
        <v>9316317220</v>
      </c>
      <c r="D2357" s="4" t="s">
        <v>20</v>
      </c>
      <c r="E2357" s="4" t="s">
        <v>641</v>
      </c>
      <c r="F2357" s="4" t="s">
        <v>681</v>
      </c>
      <c r="G2357" s="4" t="s">
        <v>1609</v>
      </c>
      <c r="H2357" s="4" t="s">
        <v>4869</v>
      </c>
      <c r="I2357" s="2" t="str">
        <f t="shared" si="180"/>
        <v>Mar</v>
      </c>
      <c r="J2357" s="2">
        <f t="shared" si="181"/>
        <v>3</v>
      </c>
      <c r="K2357" s="2">
        <f t="shared" si="182"/>
        <v>2026</v>
      </c>
      <c r="L2357" s="2">
        <f t="shared" si="183"/>
        <v>1</v>
      </c>
      <c r="M2357" s="4">
        <v>0</v>
      </c>
      <c r="N2357" s="4" t="s">
        <v>4808</v>
      </c>
      <c r="O2357" s="4" t="s">
        <v>45</v>
      </c>
      <c r="P2357" s="5">
        <v>272020</v>
      </c>
      <c r="Q2357" s="4"/>
      <c r="R2357" s="4"/>
      <c r="S2357" s="4" t="s">
        <v>5573</v>
      </c>
      <c r="T2357" s="4">
        <v>30.7</v>
      </c>
      <c r="U2357" s="4" t="s">
        <v>63</v>
      </c>
      <c r="V2357" s="4" t="s">
        <v>678</v>
      </c>
      <c r="W2357" s="67" t="str">
        <f t="shared" si="184"/>
        <v>-</v>
      </c>
    </row>
    <row r="2358" spans="1:23" x14ac:dyDescent="0.3">
      <c r="A2358" s="2" t="s">
        <v>5112</v>
      </c>
      <c r="B2358" s="2" t="s">
        <v>5113</v>
      </c>
      <c r="C2358" s="2">
        <v>9537139309</v>
      </c>
      <c r="D2358" s="2" t="s">
        <v>51</v>
      </c>
      <c r="E2358" s="2" t="s">
        <v>41</v>
      </c>
      <c r="F2358" s="2" t="s">
        <v>151</v>
      </c>
      <c r="G2358" s="2" t="s">
        <v>616</v>
      </c>
      <c r="H2358" s="2" t="s">
        <v>4869</v>
      </c>
      <c r="I2358" s="2" t="str">
        <f t="shared" si="180"/>
        <v>Mar</v>
      </c>
      <c r="J2358" s="2">
        <f t="shared" si="181"/>
        <v>3</v>
      </c>
      <c r="K2358" s="2">
        <f t="shared" si="182"/>
        <v>2026</v>
      </c>
      <c r="L2358" s="2">
        <f t="shared" si="183"/>
        <v>1</v>
      </c>
      <c r="M2358" s="2">
        <v>1</v>
      </c>
      <c r="N2358" s="2" t="s">
        <v>4808</v>
      </c>
      <c r="O2358" s="2" t="s">
        <v>27</v>
      </c>
      <c r="P2358" s="3">
        <v>187736</v>
      </c>
      <c r="Q2358" s="2"/>
      <c r="R2358" s="2"/>
      <c r="S2358" s="2" t="s">
        <v>5819</v>
      </c>
      <c r="T2358" s="2">
        <v>14.6</v>
      </c>
      <c r="U2358" s="2" t="s">
        <v>29</v>
      </c>
      <c r="V2358" s="2" t="s">
        <v>163</v>
      </c>
      <c r="W2358" s="67" t="str">
        <f t="shared" si="184"/>
        <v>-</v>
      </c>
    </row>
    <row r="2359" spans="1:23" x14ac:dyDescent="0.3">
      <c r="A2359" s="6" t="s">
        <v>5114</v>
      </c>
      <c r="B2359" s="6" t="s">
        <v>3623</v>
      </c>
      <c r="C2359" s="6">
        <v>9555581188</v>
      </c>
      <c r="D2359" s="6" t="s">
        <v>20</v>
      </c>
      <c r="E2359" s="6" t="s">
        <v>641</v>
      </c>
      <c r="F2359" s="6" t="s">
        <v>727</v>
      </c>
      <c r="G2359" s="6" t="s">
        <v>1735</v>
      </c>
      <c r="H2359" s="6" t="s">
        <v>4869</v>
      </c>
      <c r="I2359" s="2" t="str">
        <f t="shared" si="180"/>
        <v>Mar</v>
      </c>
      <c r="J2359" s="2">
        <f t="shared" si="181"/>
        <v>3</v>
      </c>
      <c r="K2359" s="2">
        <f t="shared" si="182"/>
        <v>2026</v>
      </c>
      <c r="L2359" s="2">
        <f t="shared" si="183"/>
        <v>1</v>
      </c>
      <c r="M2359" s="6">
        <v>3</v>
      </c>
      <c r="N2359" s="6" t="s">
        <v>4808</v>
      </c>
      <c r="O2359" s="6" t="s">
        <v>97</v>
      </c>
      <c r="P2359" s="7">
        <v>1802374</v>
      </c>
      <c r="Q2359" s="7">
        <v>1820670</v>
      </c>
      <c r="R2359" s="6" t="s">
        <v>4850</v>
      </c>
      <c r="S2359" s="6" t="s">
        <v>5573</v>
      </c>
      <c r="T2359" s="6">
        <v>5.4</v>
      </c>
      <c r="U2359" s="6" t="s">
        <v>63</v>
      </c>
      <c r="V2359" s="6"/>
      <c r="W2359" s="67" t="str">
        <f t="shared" si="184"/>
        <v>Customer</v>
      </c>
    </row>
    <row r="2360" spans="1:23" x14ac:dyDescent="0.3">
      <c r="A2360" s="2" t="s">
        <v>5115</v>
      </c>
      <c r="B2360" s="2" t="s">
        <v>3887</v>
      </c>
      <c r="C2360" s="2">
        <v>9939782179</v>
      </c>
      <c r="D2360" s="2" t="s">
        <v>121</v>
      </c>
      <c r="E2360" s="2" t="s">
        <v>1632</v>
      </c>
      <c r="F2360" s="2" t="s">
        <v>1849</v>
      </c>
      <c r="G2360" s="2" t="s">
        <v>1599</v>
      </c>
      <c r="H2360" s="2" t="s">
        <v>4869</v>
      </c>
      <c r="I2360" s="2" t="str">
        <f t="shared" si="180"/>
        <v>Mar</v>
      </c>
      <c r="J2360" s="2">
        <f t="shared" si="181"/>
        <v>3</v>
      </c>
      <c r="K2360" s="2">
        <f t="shared" si="182"/>
        <v>2026</v>
      </c>
      <c r="L2360" s="2">
        <f t="shared" si="183"/>
        <v>1</v>
      </c>
      <c r="M2360" s="2">
        <v>3</v>
      </c>
      <c r="N2360" s="2" t="s">
        <v>4920</v>
      </c>
      <c r="O2360" s="2" t="s">
        <v>27</v>
      </c>
      <c r="P2360" s="2"/>
      <c r="Q2360" s="2"/>
      <c r="R2360" s="2"/>
      <c r="S2360" s="2" t="s">
        <v>5573</v>
      </c>
      <c r="T2360" s="2">
        <v>27.5</v>
      </c>
      <c r="U2360" s="2" t="s">
        <v>29</v>
      </c>
      <c r="V2360" s="2" t="s">
        <v>153</v>
      </c>
      <c r="W2360" s="67" t="str">
        <f t="shared" si="184"/>
        <v>-</v>
      </c>
    </row>
    <row r="2361" spans="1:23" x14ac:dyDescent="0.3">
      <c r="A2361" s="6" t="s">
        <v>5116</v>
      </c>
      <c r="B2361" s="6" t="s">
        <v>2167</v>
      </c>
      <c r="C2361" s="6">
        <v>9993808608</v>
      </c>
      <c r="D2361" s="6" t="s">
        <v>20</v>
      </c>
      <c r="E2361" s="6" t="s">
        <v>41</v>
      </c>
      <c r="F2361" s="6" t="s">
        <v>86</v>
      </c>
      <c r="G2361" s="6" t="s">
        <v>1609</v>
      </c>
      <c r="H2361" s="6" t="s">
        <v>4939</v>
      </c>
      <c r="I2361" s="2" t="str">
        <f t="shared" si="180"/>
        <v>Mar</v>
      </c>
      <c r="J2361" s="2">
        <f t="shared" si="181"/>
        <v>3</v>
      </c>
      <c r="K2361" s="2">
        <f t="shared" si="182"/>
        <v>2026</v>
      </c>
      <c r="L2361" s="2">
        <f t="shared" si="183"/>
        <v>1</v>
      </c>
      <c r="M2361" s="6">
        <v>12</v>
      </c>
      <c r="N2361" s="6" t="s">
        <v>5025</v>
      </c>
      <c r="O2361" s="6" t="s">
        <v>97</v>
      </c>
      <c r="P2361" s="7">
        <v>195264</v>
      </c>
      <c r="Q2361" s="7">
        <v>180482</v>
      </c>
      <c r="R2361" s="6" t="s">
        <v>5025</v>
      </c>
      <c r="S2361" s="6" t="s">
        <v>5819</v>
      </c>
      <c r="T2361" s="6">
        <v>26.2</v>
      </c>
      <c r="U2361" s="6" t="s">
        <v>47</v>
      </c>
      <c r="V2361" s="6" t="s">
        <v>286</v>
      </c>
      <c r="W2361" s="67" t="str">
        <f t="shared" si="184"/>
        <v>Customer</v>
      </c>
    </row>
    <row r="2362" spans="1:23" x14ac:dyDescent="0.3">
      <c r="A2362" s="6" t="s">
        <v>5117</v>
      </c>
      <c r="B2362" s="6" t="s">
        <v>5118</v>
      </c>
      <c r="C2362" s="6">
        <v>9867947476</v>
      </c>
      <c r="D2362" s="6" t="s">
        <v>20</v>
      </c>
      <c r="E2362" s="6" t="s">
        <v>73</v>
      </c>
      <c r="F2362" s="6" t="s">
        <v>74</v>
      </c>
      <c r="G2362" s="6" t="s">
        <v>35</v>
      </c>
      <c r="H2362" s="6" t="s">
        <v>4939</v>
      </c>
      <c r="I2362" s="2" t="str">
        <f t="shared" si="180"/>
        <v>Mar</v>
      </c>
      <c r="J2362" s="2">
        <f t="shared" si="181"/>
        <v>3</v>
      </c>
      <c r="K2362" s="2">
        <f t="shared" si="182"/>
        <v>2026</v>
      </c>
      <c r="L2362" s="2">
        <f t="shared" si="183"/>
        <v>1</v>
      </c>
      <c r="M2362" s="6">
        <v>1</v>
      </c>
      <c r="N2362" s="6" t="s">
        <v>4913</v>
      </c>
      <c r="O2362" s="6" t="s">
        <v>97</v>
      </c>
      <c r="P2362" s="7">
        <v>313984</v>
      </c>
      <c r="Q2362" s="7">
        <v>294612</v>
      </c>
      <c r="R2362" s="6" t="s">
        <v>4936</v>
      </c>
      <c r="S2362" s="6" t="s">
        <v>5573</v>
      </c>
      <c r="T2362" s="6">
        <v>18.100000000000001</v>
      </c>
      <c r="U2362" s="6" t="s">
        <v>47</v>
      </c>
      <c r="V2362" s="6" t="s">
        <v>465</v>
      </c>
      <c r="W2362" s="67" t="str">
        <f t="shared" si="184"/>
        <v>Customer</v>
      </c>
    </row>
    <row r="2363" spans="1:23" x14ac:dyDescent="0.3">
      <c r="A2363" s="4" t="s">
        <v>5119</v>
      </c>
      <c r="B2363" s="4" t="s">
        <v>5120</v>
      </c>
      <c r="C2363" s="4"/>
      <c r="D2363" s="4" t="s">
        <v>121</v>
      </c>
      <c r="E2363" s="4" t="s">
        <v>1632</v>
      </c>
      <c r="F2363" s="4" t="s">
        <v>1659</v>
      </c>
      <c r="G2363" s="4" t="s">
        <v>643</v>
      </c>
      <c r="H2363" s="4" t="s">
        <v>4832</v>
      </c>
      <c r="I2363" s="2" t="str">
        <f t="shared" si="180"/>
        <v>Mar</v>
      </c>
      <c r="J2363" s="2">
        <f t="shared" si="181"/>
        <v>3</v>
      </c>
      <c r="K2363" s="2">
        <f t="shared" si="182"/>
        <v>2026</v>
      </c>
      <c r="L2363" s="2">
        <f t="shared" si="183"/>
        <v>1</v>
      </c>
      <c r="M2363" s="4">
        <v>6</v>
      </c>
      <c r="N2363" s="4" t="s">
        <v>4925</v>
      </c>
      <c r="O2363" s="4" t="s">
        <v>27</v>
      </c>
      <c r="P2363" s="5">
        <v>1056749</v>
      </c>
      <c r="Q2363" s="4"/>
      <c r="R2363" s="4"/>
      <c r="S2363" s="4" t="s">
        <v>5819</v>
      </c>
      <c r="T2363" s="4">
        <v>28.9</v>
      </c>
      <c r="U2363" s="4" t="s">
        <v>29</v>
      </c>
      <c r="V2363" s="4" t="s">
        <v>1685</v>
      </c>
      <c r="W2363" s="67" t="str">
        <f t="shared" si="184"/>
        <v>-</v>
      </c>
    </row>
    <row r="2364" spans="1:23" x14ac:dyDescent="0.3">
      <c r="A2364" s="2" t="s">
        <v>5121</v>
      </c>
      <c r="B2364" s="2" t="s">
        <v>165</v>
      </c>
      <c r="C2364" s="2">
        <v>9321724661</v>
      </c>
      <c r="D2364" s="2" t="s">
        <v>59</v>
      </c>
      <c r="E2364" s="2" t="s">
        <v>33</v>
      </c>
      <c r="F2364" s="2" t="s">
        <v>34</v>
      </c>
      <c r="G2364" s="2" t="s">
        <v>60</v>
      </c>
      <c r="H2364" s="2" t="s">
        <v>5030</v>
      </c>
      <c r="I2364" s="2" t="str">
        <f t="shared" si="180"/>
        <v>Mar</v>
      </c>
      <c r="J2364" s="2">
        <f t="shared" si="181"/>
        <v>3</v>
      </c>
      <c r="K2364" s="2">
        <f t="shared" si="182"/>
        <v>2026</v>
      </c>
      <c r="L2364" s="2">
        <f t="shared" si="183"/>
        <v>1</v>
      </c>
      <c r="M2364" s="2">
        <v>8</v>
      </c>
      <c r="N2364" s="2" t="s">
        <v>4924</v>
      </c>
      <c r="O2364" s="2" t="s">
        <v>27</v>
      </c>
      <c r="P2364" s="3">
        <v>103260</v>
      </c>
      <c r="Q2364" s="2"/>
      <c r="R2364" s="2"/>
      <c r="S2364" s="2" t="s">
        <v>5819</v>
      </c>
      <c r="T2364" s="2">
        <v>11.2</v>
      </c>
      <c r="U2364" s="2" t="s">
        <v>29</v>
      </c>
      <c r="V2364" s="2" t="s">
        <v>202</v>
      </c>
      <c r="W2364" s="67" t="str">
        <f t="shared" si="184"/>
        <v>-</v>
      </c>
    </row>
    <row r="2365" spans="1:23" x14ac:dyDescent="0.3">
      <c r="A2365" s="4" t="s">
        <v>5122</v>
      </c>
      <c r="B2365" s="4" t="s">
        <v>5123</v>
      </c>
      <c r="C2365" s="4">
        <v>9384250200</v>
      </c>
      <c r="D2365" s="4" t="s">
        <v>121</v>
      </c>
      <c r="E2365" s="4" t="s">
        <v>1632</v>
      </c>
      <c r="F2365" s="4" t="s">
        <v>1849</v>
      </c>
      <c r="G2365" s="4" t="s">
        <v>60</v>
      </c>
      <c r="H2365" s="4" t="s">
        <v>4967</v>
      </c>
      <c r="I2365" s="2" t="str">
        <f t="shared" si="180"/>
        <v>Mar</v>
      </c>
      <c r="J2365" s="2">
        <f t="shared" si="181"/>
        <v>3</v>
      </c>
      <c r="K2365" s="2">
        <f t="shared" si="182"/>
        <v>2026</v>
      </c>
      <c r="L2365" s="2">
        <f t="shared" si="183"/>
        <v>1</v>
      </c>
      <c r="M2365" s="4">
        <v>0</v>
      </c>
      <c r="N2365" s="4" t="s">
        <v>4936</v>
      </c>
      <c r="O2365" s="4" t="s">
        <v>45</v>
      </c>
      <c r="P2365" s="5">
        <v>208503</v>
      </c>
      <c r="Q2365" s="4"/>
      <c r="R2365" s="4"/>
      <c r="S2365" s="4" t="s">
        <v>5819</v>
      </c>
      <c r="T2365" s="4">
        <v>34.799999999999997</v>
      </c>
      <c r="U2365" s="4" t="s">
        <v>47</v>
      </c>
      <c r="V2365" s="4" t="s">
        <v>174</v>
      </c>
      <c r="W2365" s="67" t="str">
        <f t="shared" si="184"/>
        <v>-</v>
      </c>
    </row>
    <row r="2366" spans="1:23" x14ac:dyDescent="0.3">
      <c r="A2366" s="2" t="s">
        <v>5124</v>
      </c>
      <c r="B2366" s="2" t="s">
        <v>5125</v>
      </c>
      <c r="C2366" s="2">
        <v>9146225778</v>
      </c>
      <c r="D2366" s="2" t="s">
        <v>20</v>
      </c>
      <c r="E2366" s="2" t="s">
        <v>33</v>
      </c>
      <c r="F2366" s="2" t="s">
        <v>34</v>
      </c>
      <c r="G2366" s="2" t="s">
        <v>1677</v>
      </c>
      <c r="H2366" s="2" t="s">
        <v>4967</v>
      </c>
      <c r="I2366" s="2" t="str">
        <f t="shared" si="180"/>
        <v>Mar</v>
      </c>
      <c r="J2366" s="2">
        <f t="shared" si="181"/>
        <v>3</v>
      </c>
      <c r="K2366" s="2">
        <f t="shared" si="182"/>
        <v>2026</v>
      </c>
      <c r="L2366" s="2">
        <f t="shared" si="183"/>
        <v>1</v>
      </c>
      <c r="M2366" s="2">
        <v>10</v>
      </c>
      <c r="N2366" s="2" t="s">
        <v>5025</v>
      </c>
      <c r="O2366" s="2" t="s">
        <v>27</v>
      </c>
      <c r="P2366" s="3">
        <v>1508647</v>
      </c>
      <c r="Q2366" s="2"/>
      <c r="R2366" s="2"/>
      <c r="S2366" s="2" t="s">
        <v>5573</v>
      </c>
      <c r="T2366" s="2">
        <v>30</v>
      </c>
      <c r="U2366" s="2" t="s">
        <v>47</v>
      </c>
      <c r="V2366" s="2" t="s">
        <v>118</v>
      </c>
      <c r="W2366" s="67" t="str">
        <f t="shared" si="184"/>
        <v>-</v>
      </c>
    </row>
    <row r="2367" spans="1:23" x14ac:dyDescent="0.3">
      <c r="A2367" s="4" t="s">
        <v>5126</v>
      </c>
      <c r="B2367" s="4" t="s">
        <v>859</v>
      </c>
      <c r="C2367" s="4">
        <v>9488356472</v>
      </c>
      <c r="D2367" s="4" t="s">
        <v>59</v>
      </c>
      <c r="E2367" s="4" t="s">
        <v>1632</v>
      </c>
      <c r="F2367" s="4" t="s">
        <v>1659</v>
      </c>
      <c r="G2367" s="4" t="s">
        <v>23</v>
      </c>
      <c r="H2367" s="4" t="s">
        <v>4967</v>
      </c>
      <c r="I2367" s="2" t="str">
        <f t="shared" si="180"/>
        <v>Mar</v>
      </c>
      <c r="J2367" s="2">
        <f t="shared" si="181"/>
        <v>3</v>
      </c>
      <c r="K2367" s="2">
        <f t="shared" si="182"/>
        <v>2026</v>
      </c>
      <c r="L2367" s="2">
        <f t="shared" si="183"/>
        <v>1</v>
      </c>
      <c r="M2367" s="4">
        <v>1</v>
      </c>
      <c r="N2367" s="4" t="s">
        <v>5000</v>
      </c>
      <c r="O2367" s="4" t="s">
        <v>27</v>
      </c>
      <c r="P2367" s="5">
        <v>666692</v>
      </c>
      <c r="Q2367" s="4"/>
      <c r="R2367" s="4"/>
      <c r="S2367" s="4" t="s">
        <v>5819</v>
      </c>
      <c r="T2367" s="4">
        <v>11.2</v>
      </c>
      <c r="U2367" s="4" t="s">
        <v>29</v>
      </c>
      <c r="V2367" s="4" t="s">
        <v>163</v>
      </c>
      <c r="W2367" s="67" t="str">
        <f t="shared" si="184"/>
        <v>-</v>
      </c>
    </row>
    <row r="2368" spans="1:23" x14ac:dyDescent="0.3">
      <c r="A2368" s="2" t="s">
        <v>5127</v>
      </c>
      <c r="B2368" s="2" t="s">
        <v>2022</v>
      </c>
      <c r="C2368" s="2">
        <v>9321848791</v>
      </c>
      <c r="D2368" s="2" t="s">
        <v>20</v>
      </c>
      <c r="E2368" s="2" t="s">
        <v>1632</v>
      </c>
      <c r="F2368" s="2" t="s">
        <v>1659</v>
      </c>
      <c r="G2368" s="2" t="s">
        <v>643</v>
      </c>
      <c r="H2368" s="2" t="s">
        <v>4808</v>
      </c>
      <c r="I2368" s="2" t="str">
        <f t="shared" si="180"/>
        <v>Mar</v>
      </c>
      <c r="J2368" s="2">
        <f t="shared" si="181"/>
        <v>3</v>
      </c>
      <c r="K2368" s="2">
        <f t="shared" si="182"/>
        <v>2026</v>
      </c>
      <c r="L2368" s="2">
        <f t="shared" si="183"/>
        <v>1</v>
      </c>
      <c r="M2368" s="2">
        <v>0</v>
      </c>
      <c r="N2368" s="2" t="s">
        <v>4936</v>
      </c>
      <c r="O2368" s="2" t="s">
        <v>45</v>
      </c>
      <c r="P2368" s="3">
        <v>831578</v>
      </c>
      <c r="Q2368" s="2"/>
      <c r="R2368" s="2"/>
      <c r="S2368" s="2" t="s">
        <v>5819</v>
      </c>
      <c r="T2368" s="2">
        <v>18.3</v>
      </c>
      <c r="U2368" s="2" t="s">
        <v>63</v>
      </c>
      <c r="V2368" s="2"/>
      <c r="W2368" s="67" t="str">
        <f t="shared" si="184"/>
        <v>-</v>
      </c>
    </row>
    <row r="2369" spans="1:23" x14ac:dyDescent="0.3">
      <c r="A2369" s="6" t="s">
        <v>5128</v>
      </c>
      <c r="B2369" s="6" t="s">
        <v>4668</v>
      </c>
      <c r="C2369" s="6">
        <v>9433645851</v>
      </c>
      <c r="D2369" s="6" t="s">
        <v>121</v>
      </c>
      <c r="E2369" s="6" t="s">
        <v>73</v>
      </c>
      <c r="F2369" s="6" t="s">
        <v>74</v>
      </c>
      <c r="G2369" s="6" t="s">
        <v>643</v>
      </c>
      <c r="H2369" s="6" t="s">
        <v>4808</v>
      </c>
      <c r="I2369" s="2" t="str">
        <f t="shared" si="180"/>
        <v>Mar</v>
      </c>
      <c r="J2369" s="2">
        <f t="shared" si="181"/>
        <v>3</v>
      </c>
      <c r="K2369" s="2">
        <f t="shared" si="182"/>
        <v>2026</v>
      </c>
      <c r="L2369" s="2">
        <f t="shared" si="183"/>
        <v>1</v>
      </c>
      <c r="M2369" s="6">
        <v>9</v>
      </c>
      <c r="N2369" s="6" t="s">
        <v>5025</v>
      </c>
      <c r="O2369" s="6" t="s">
        <v>97</v>
      </c>
      <c r="P2369" s="7">
        <v>873849</v>
      </c>
      <c r="Q2369" s="7">
        <v>891037</v>
      </c>
      <c r="R2369" s="6" t="s">
        <v>5025</v>
      </c>
      <c r="S2369" s="6" t="s">
        <v>5819</v>
      </c>
      <c r="T2369" s="6">
        <v>5.2</v>
      </c>
      <c r="U2369" s="6" t="s">
        <v>63</v>
      </c>
      <c r="V2369" s="6" t="s">
        <v>99</v>
      </c>
      <c r="W2369" s="67" t="str">
        <f t="shared" si="184"/>
        <v>Customer</v>
      </c>
    </row>
    <row r="2370" spans="1:23" x14ac:dyDescent="0.3">
      <c r="A2370" s="6" t="s">
        <v>5129</v>
      </c>
      <c r="B2370" s="6" t="s">
        <v>1679</v>
      </c>
      <c r="C2370" s="6">
        <v>9377382737</v>
      </c>
      <c r="D2370" s="6" t="s">
        <v>59</v>
      </c>
      <c r="E2370" s="6" t="s">
        <v>41</v>
      </c>
      <c r="F2370" s="6" t="s">
        <v>86</v>
      </c>
      <c r="G2370" s="6" t="s">
        <v>52</v>
      </c>
      <c r="H2370" s="6" t="s">
        <v>4808</v>
      </c>
      <c r="I2370" s="2" t="str">
        <f t="shared" ref="I2370:I2433" si="185">TEXT(H2370,"mmm")</f>
        <v>Mar</v>
      </c>
      <c r="J2370" s="2">
        <f t="shared" ref="J2370:J2433" si="186">MONTH(H2370)</f>
        <v>3</v>
      </c>
      <c r="K2370" s="2">
        <f t="shared" ref="K2370:K2433" si="187">YEAR(H2370)</f>
        <v>2026</v>
      </c>
      <c r="L2370" s="2">
        <f t="shared" ref="L2370:L2433" si="188">ROUNDUP(MONTH(H2370)/3,0)</f>
        <v>1</v>
      </c>
      <c r="M2370" s="6">
        <v>9</v>
      </c>
      <c r="N2370" s="6" t="s">
        <v>5025</v>
      </c>
      <c r="O2370" s="6" t="s">
        <v>97</v>
      </c>
      <c r="P2370" s="7">
        <v>230588</v>
      </c>
      <c r="Q2370" s="7">
        <v>223991</v>
      </c>
      <c r="R2370" s="6" t="s">
        <v>5025</v>
      </c>
      <c r="S2370" s="6" t="s">
        <v>5573</v>
      </c>
      <c r="T2370" s="6">
        <v>4.3</v>
      </c>
      <c r="U2370" s="6" t="s">
        <v>63</v>
      </c>
      <c r="V2370" s="6" t="s">
        <v>286</v>
      </c>
      <c r="W2370" s="67" t="str">
        <f t="shared" ref="W2370:W2433" si="189">IF($O2370&lt;&gt;"Converted","-",IF(ISNUMBER(SEARCH("Architect",$F2370)),"Architect","Customer"))</f>
        <v>Customer</v>
      </c>
    </row>
    <row r="2371" spans="1:23" x14ac:dyDescent="0.3">
      <c r="A2371" s="4" t="s">
        <v>5130</v>
      </c>
      <c r="B2371" s="4" t="s">
        <v>843</v>
      </c>
      <c r="C2371" s="4">
        <v>9658313840</v>
      </c>
      <c r="D2371" s="4" t="s">
        <v>108</v>
      </c>
      <c r="E2371" s="4" t="s">
        <v>648</v>
      </c>
      <c r="F2371" s="4" t="s">
        <v>899</v>
      </c>
      <c r="G2371" s="4" t="s">
        <v>69</v>
      </c>
      <c r="H2371" s="4" t="s">
        <v>4808</v>
      </c>
      <c r="I2371" s="2" t="str">
        <f t="shared" si="185"/>
        <v>Mar</v>
      </c>
      <c r="J2371" s="2">
        <f t="shared" si="186"/>
        <v>3</v>
      </c>
      <c r="K2371" s="2">
        <f t="shared" si="187"/>
        <v>2026</v>
      </c>
      <c r="L2371" s="2">
        <f t="shared" si="188"/>
        <v>1</v>
      </c>
      <c r="M2371" s="4">
        <v>11</v>
      </c>
      <c r="N2371" s="4" t="s">
        <v>5042</v>
      </c>
      <c r="O2371" s="4" t="s">
        <v>27</v>
      </c>
      <c r="P2371" s="5">
        <v>153465</v>
      </c>
      <c r="Q2371" s="4"/>
      <c r="R2371" s="4"/>
      <c r="S2371" s="4" t="s">
        <v>5573</v>
      </c>
      <c r="T2371" s="4">
        <v>16.899999999999999</v>
      </c>
      <c r="U2371" s="4" t="s">
        <v>29</v>
      </c>
      <c r="V2371" s="4" t="s">
        <v>38</v>
      </c>
      <c r="W2371" s="67" t="str">
        <f t="shared" si="189"/>
        <v>-</v>
      </c>
    </row>
    <row r="2372" spans="1:23" x14ac:dyDescent="0.3">
      <c r="A2372" s="2" t="s">
        <v>5131</v>
      </c>
      <c r="B2372" s="2" t="s">
        <v>2733</v>
      </c>
      <c r="C2372" s="2"/>
      <c r="D2372" s="2" t="s">
        <v>121</v>
      </c>
      <c r="E2372" s="2" t="s">
        <v>1632</v>
      </c>
      <c r="F2372" s="2" t="s">
        <v>1659</v>
      </c>
      <c r="G2372" s="2" t="s">
        <v>87</v>
      </c>
      <c r="H2372" s="2" t="s">
        <v>4953</v>
      </c>
      <c r="I2372" s="2" t="str">
        <f t="shared" si="185"/>
        <v>Mar</v>
      </c>
      <c r="J2372" s="2">
        <f t="shared" si="186"/>
        <v>3</v>
      </c>
      <c r="K2372" s="2">
        <f t="shared" si="187"/>
        <v>2026</v>
      </c>
      <c r="L2372" s="2">
        <f t="shared" si="188"/>
        <v>1</v>
      </c>
      <c r="M2372" s="2">
        <v>8</v>
      </c>
      <c r="N2372" s="2" t="s">
        <v>4925</v>
      </c>
      <c r="O2372" s="2" t="s">
        <v>27</v>
      </c>
      <c r="P2372" s="3">
        <v>194812</v>
      </c>
      <c r="Q2372" s="2"/>
      <c r="R2372" s="2"/>
      <c r="S2372" s="2" t="s">
        <v>5573</v>
      </c>
      <c r="T2372" s="2">
        <v>6.4</v>
      </c>
      <c r="U2372" s="2" t="s">
        <v>29</v>
      </c>
      <c r="V2372" s="2" t="s">
        <v>1685</v>
      </c>
      <c r="W2372" s="67" t="str">
        <f t="shared" si="189"/>
        <v>-</v>
      </c>
    </row>
    <row r="2373" spans="1:23" x14ac:dyDescent="0.3">
      <c r="A2373" s="6" t="s">
        <v>5132</v>
      </c>
      <c r="B2373" s="6" t="s">
        <v>1273</v>
      </c>
      <c r="C2373" s="6">
        <v>9433627454</v>
      </c>
      <c r="D2373" s="6" t="s">
        <v>121</v>
      </c>
      <c r="E2373" s="6" t="s">
        <v>1632</v>
      </c>
      <c r="F2373" s="6" t="s">
        <v>1694</v>
      </c>
      <c r="G2373" s="6" t="s">
        <v>1599</v>
      </c>
      <c r="H2373" s="6" t="s">
        <v>4953</v>
      </c>
      <c r="I2373" s="2" t="str">
        <f t="shared" si="185"/>
        <v>Mar</v>
      </c>
      <c r="J2373" s="2">
        <f t="shared" si="186"/>
        <v>3</v>
      </c>
      <c r="K2373" s="2">
        <f t="shared" si="187"/>
        <v>2026</v>
      </c>
      <c r="L2373" s="2">
        <f t="shared" si="188"/>
        <v>1</v>
      </c>
      <c r="M2373" s="6">
        <v>6</v>
      </c>
      <c r="N2373" s="6" t="s">
        <v>4982</v>
      </c>
      <c r="O2373" s="6" t="s">
        <v>97</v>
      </c>
      <c r="P2373" s="7">
        <v>1061068</v>
      </c>
      <c r="Q2373" s="7">
        <v>976421</v>
      </c>
      <c r="R2373" s="6" t="s">
        <v>5025</v>
      </c>
      <c r="S2373" s="6" t="s">
        <v>5819</v>
      </c>
      <c r="T2373" s="6">
        <v>3.2</v>
      </c>
      <c r="U2373" s="6" t="s">
        <v>63</v>
      </c>
      <c r="V2373" s="6" t="s">
        <v>341</v>
      </c>
      <c r="W2373" s="67" t="str">
        <f t="shared" si="189"/>
        <v>Customer</v>
      </c>
    </row>
    <row r="2374" spans="1:23" x14ac:dyDescent="0.3">
      <c r="A2374" s="6" t="s">
        <v>5133</v>
      </c>
      <c r="B2374" s="6" t="s">
        <v>5134</v>
      </c>
      <c r="C2374" s="6">
        <v>9946388991</v>
      </c>
      <c r="D2374" s="6" t="s">
        <v>51</v>
      </c>
      <c r="E2374" s="6" t="s">
        <v>67</v>
      </c>
      <c r="F2374" s="6" t="s">
        <v>68</v>
      </c>
      <c r="G2374" s="6" t="s">
        <v>23</v>
      </c>
      <c r="H2374" s="6" t="s">
        <v>4953</v>
      </c>
      <c r="I2374" s="2" t="str">
        <f t="shared" si="185"/>
        <v>Mar</v>
      </c>
      <c r="J2374" s="2">
        <f t="shared" si="186"/>
        <v>3</v>
      </c>
      <c r="K2374" s="2">
        <f t="shared" si="187"/>
        <v>2026</v>
      </c>
      <c r="L2374" s="2">
        <f t="shared" si="188"/>
        <v>1</v>
      </c>
      <c r="M2374" s="6">
        <v>10</v>
      </c>
      <c r="N2374" s="6" t="s">
        <v>4924</v>
      </c>
      <c r="O2374" s="6" t="s">
        <v>97</v>
      </c>
      <c r="P2374" s="7">
        <v>809599</v>
      </c>
      <c r="Q2374" s="7">
        <v>761596</v>
      </c>
      <c r="R2374" s="6" t="s">
        <v>4974</v>
      </c>
      <c r="S2374" s="6" t="s">
        <v>5573</v>
      </c>
      <c r="T2374" s="6">
        <v>2.2000000000000002</v>
      </c>
      <c r="U2374" s="6" t="s">
        <v>63</v>
      </c>
      <c r="V2374" s="6" t="s">
        <v>341</v>
      </c>
      <c r="W2374" s="67" t="str">
        <f t="shared" si="189"/>
        <v>Customer</v>
      </c>
    </row>
    <row r="2375" spans="1:23" x14ac:dyDescent="0.3">
      <c r="A2375" s="4" t="s">
        <v>5135</v>
      </c>
      <c r="B2375" s="4" t="s">
        <v>5136</v>
      </c>
      <c r="C2375" s="4">
        <v>9754890392</v>
      </c>
      <c r="D2375" s="4" t="s">
        <v>51</v>
      </c>
      <c r="E2375" s="4" t="s">
        <v>1632</v>
      </c>
      <c r="F2375" s="4" t="s">
        <v>1633</v>
      </c>
      <c r="G2375" s="4" t="s">
        <v>23</v>
      </c>
      <c r="H2375" s="4" t="s">
        <v>4958</v>
      </c>
      <c r="I2375" s="2" t="str">
        <f t="shared" si="185"/>
        <v>Mar</v>
      </c>
      <c r="J2375" s="2">
        <f t="shared" si="186"/>
        <v>3</v>
      </c>
      <c r="K2375" s="2">
        <f t="shared" si="187"/>
        <v>2026</v>
      </c>
      <c r="L2375" s="2">
        <f t="shared" si="188"/>
        <v>1</v>
      </c>
      <c r="M2375" s="4">
        <v>9</v>
      </c>
      <c r="N2375" s="4" t="s">
        <v>5025</v>
      </c>
      <c r="O2375" s="4" t="s">
        <v>27</v>
      </c>
      <c r="P2375" s="5">
        <v>417455</v>
      </c>
      <c r="Q2375" s="4"/>
      <c r="R2375" s="4"/>
      <c r="S2375" s="4" t="s">
        <v>5573</v>
      </c>
      <c r="T2375" s="4">
        <v>32.4</v>
      </c>
      <c r="U2375" s="4" t="s">
        <v>47</v>
      </c>
      <c r="V2375" s="4" t="s">
        <v>105</v>
      </c>
      <c r="W2375" s="67" t="str">
        <f t="shared" si="189"/>
        <v>-</v>
      </c>
    </row>
    <row r="2376" spans="1:23" x14ac:dyDescent="0.3">
      <c r="A2376" s="2" t="s">
        <v>5137</v>
      </c>
      <c r="B2376" s="2" t="s">
        <v>3127</v>
      </c>
      <c r="C2376" s="2">
        <v>9536065321</v>
      </c>
      <c r="D2376" s="2" t="s">
        <v>121</v>
      </c>
      <c r="E2376" s="2" t="s">
        <v>1632</v>
      </c>
      <c r="F2376" s="2" t="s">
        <v>1694</v>
      </c>
      <c r="G2376" s="2" t="s">
        <v>87</v>
      </c>
      <c r="H2376" s="2" t="s">
        <v>4958</v>
      </c>
      <c r="I2376" s="2" t="str">
        <f t="shared" si="185"/>
        <v>Mar</v>
      </c>
      <c r="J2376" s="2">
        <f t="shared" si="186"/>
        <v>3</v>
      </c>
      <c r="K2376" s="2">
        <f t="shared" si="187"/>
        <v>2026</v>
      </c>
      <c r="L2376" s="2">
        <f t="shared" si="188"/>
        <v>1</v>
      </c>
      <c r="M2376" s="2">
        <v>1</v>
      </c>
      <c r="N2376" s="2" t="s">
        <v>4916</v>
      </c>
      <c r="O2376" s="2" t="s">
        <v>45</v>
      </c>
      <c r="P2376" s="3">
        <v>300226</v>
      </c>
      <c r="Q2376" s="2"/>
      <c r="R2376" s="2"/>
      <c r="S2376" s="2" t="s">
        <v>5819</v>
      </c>
      <c r="T2376" s="2">
        <v>11.3</v>
      </c>
      <c r="U2376" s="2" t="s">
        <v>63</v>
      </c>
      <c r="V2376" s="2" t="s">
        <v>621</v>
      </c>
      <c r="W2376" s="67" t="str">
        <f t="shared" si="189"/>
        <v>-</v>
      </c>
    </row>
    <row r="2377" spans="1:23" x14ac:dyDescent="0.3">
      <c r="A2377" s="6" t="s">
        <v>5138</v>
      </c>
      <c r="B2377" s="6" t="s">
        <v>3384</v>
      </c>
      <c r="C2377" s="6">
        <v>9614907944</v>
      </c>
      <c r="D2377" s="6" t="s">
        <v>108</v>
      </c>
      <c r="E2377" s="6" t="s">
        <v>21</v>
      </c>
      <c r="F2377" s="6" t="s">
        <v>160</v>
      </c>
      <c r="G2377" s="6" t="s">
        <v>1677</v>
      </c>
      <c r="H2377" s="6" t="s">
        <v>4958</v>
      </c>
      <c r="I2377" s="2" t="str">
        <f t="shared" si="185"/>
        <v>Mar</v>
      </c>
      <c r="J2377" s="2">
        <f t="shared" si="186"/>
        <v>3</v>
      </c>
      <c r="K2377" s="2">
        <f t="shared" si="187"/>
        <v>2026</v>
      </c>
      <c r="L2377" s="2">
        <f t="shared" si="188"/>
        <v>1</v>
      </c>
      <c r="M2377" s="6">
        <v>3</v>
      </c>
      <c r="N2377" s="6" t="s">
        <v>5045</v>
      </c>
      <c r="O2377" s="6" t="s">
        <v>97</v>
      </c>
      <c r="P2377" s="7">
        <v>1848570</v>
      </c>
      <c r="Q2377" s="7">
        <v>1891994</v>
      </c>
      <c r="R2377" s="6" t="s">
        <v>5139</v>
      </c>
      <c r="S2377" s="6" t="s">
        <v>5819</v>
      </c>
      <c r="T2377" s="6">
        <v>5.4</v>
      </c>
      <c r="U2377" s="6" t="s">
        <v>63</v>
      </c>
      <c r="V2377" s="6" t="s">
        <v>483</v>
      </c>
      <c r="W2377" s="67" t="str">
        <f t="shared" si="189"/>
        <v>Customer</v>
      </c>
    </row>
    <row r="2378" spans="1:23" x14ac:dyDescent="0.3">
      <c r="A2378" s="6" t="s">
        <v>5140</v>
      </c>
      <c r="B2378" s="6" t="s">
        <v>5141</v>
      </c>
      <c r="C2378" s="6">
        <v>9584704191</v>
      </c>
      <c r="D2378" s="6" t="s">
        <v>20</v>
      </c>
      <c r="E2378" s="6" t="s">
        <v>641</v>
      </c>
      <c r="F2378" s="6" t="s">
        <v>727</v>
      </c>
      <c r="G2378" s="6" t="s">
        <v>23</v>
      </c>
      <c r="H2378" s="6" t="s">
        <v>4958</v>
      </c>
      <c r="I2378" s="2" t="str">
        <f t="shared" si="185"/>
        <v>Mar</v>
      </c>
      <c r="J2378" s="2">
        <f t="shared" si="186"/>
        <v>3</v>
      </c>
      <c r="K2378" s="2">
        <f t="shared" si="187"/>
        <v>2026</v>
      </c>
      <c r="L2378" s="2">
        <f t="shared" si="188"/>
        <v>1</v>
      </c>
      <c r="M2378" s="6">
        <v>11</v>
      </c>
      <c r="N2378" s="6" t="s">
        <v>4925</v>
      </c>
      <c r="O2378" s="6" t="s">
        <v>97</v>
      </c>
      <c r="P2378" s="7">
        <v>711164</v>
      </c>
      <c r="Q2378" s="7">
        <v>662620</v>
      </c>
      <c r="R2378" s="6" t="s">
        <v>5025</v>
      </c>
      <c r="S2378" s="6" t="s">
        <v>5573</v>
      </c>
      <c r="T2378" s="6">
        <v>31.6</v>
      </c>
      <c r="U2378" s="6" t="s">
        <v>47</v>
      </c>
      <c r="V2378" s="6" t="s">
        <v>465</v>
      </c>
      <c r="W2378" s="67" t="str">
        <f t="shared" si="189"/>
        <v>Customer</v>
      </c>
    </row>
    <row r="2379" spans="1:23" x14ac:dyDescent="0.3">
      <c r="A2379" s="6" t="s">
        <v>5142</v>
      </c>
      <c r="B2379" s="6" t="s">
        <v>5143</v>
      </c>
      <c r="C2379" s="6">
        <v>9725881418</v>
      </c>
      <c r="D2379" s="6" t="s">
        <v>59</v>
      </c>
      <c r="E2379" s="6" t="s">
        <v>648</v>
      </c>
      <c r="F2379" s="6" t="s">
        <v>899</v>
      </c>
      <c r="G2379" s="6" t="s">
        <v>23</v>
      </c>
      <c r="H2379" s="6" t="s">
        <v>4958</v>
      </c>
      <c r="I2379" s="2" t="str">
        <f t="shared" si="185"/>
        <v>Mar</v>
      </c>
      <c r="J2379" s="2">
        <f t="shared" si="186"/>
        <v>3</v>
      </c>
      <c r="K2379" s="2">
        <f t="shared" si="187"/>
        <v>2026</v>
      </c>
      <c r="L2379" s="2">
        <f t="shared" si="188"/>
        <v>1</v>
      </c>
      <c r="M2379" s="6">
        <v>1</v>
      </c>
      <c r="N2379" s="6" t="s">
        <v>4852</v>
      </c>
      <c r="O2379" s="6" t="s">
        <v>97</v>
      </c>
      <c r="P2379" s="7">
        <v>779552</v>
      </c>
      <c r="Q2379" s="7">
        <v>768574</v>
      </c>
      <c r="R2379" s="6" t="s">
        <v>5144</v>
      </c>
      <c r="S2379" s="6" t="s">
        <v>5819</v>
      </c>
      <c r="T2379" s="6">
        <v>2.9</v>
      </c>
      <c r="U2379" s="6" t="s">
        <v>63</v>
      </c>
      <c r="V2379" s="6" t="s">
        <v>286</v>
      </c>
      <c r="W2379" s="67" t="str">
        <f t="shared" si="189"/>
        <v>Customer</v>
      </c>
    </row>
    <row r="2380" spans="1:23" x14ac:dyDescent="0.3">
      <c r="A2380" s="6" t="s">
        <v>5145</v>
      </c>
      <c r="B2380" s="6" t="s">
        <v>5146</v>
      </c>
      <c r="C2380" s="6">
        <v>9313125037</v>
      </c>
      <c r="D2380" s="6" t="s">
        <v>59</v>
      </c>
      <c r="E2380" s="6" t="s">
        <v>41</v>
      </c>
      <c r="F2380" s="6" t="s">
        <v>86</v>
      </c>
      <c r="G2380" s="6" t="s">
        <v>1621</v>
      </c>
      <c r="H2380" s="6" t="s">
        <v>4958</v>
      </c>
      <c r="I2380" s="2" t="str">
        <f t="shared" si="185"/>
        <v>Mar</v>
      </c>
      <c r="J2380" s="2">
        <f t="shared" si="186"/>
        <v>3</v>
      </c>
      <c r="K2380" s="2">
        <f t="shared" si="187"/>
        <v>2026</v>
      </c>
      <c r="L2380" s="2">
        <f t="shared" si="188"/>
        <v>1</v>
      </c>
      <c r="M2380" s="6">
        <v>11</v>
      </c>
      <c r="N2380" s="6" t="s">
        <v>5091</v>
      </c>
      <c r="O2380" s="6" t="s">
        <v>97</v>
      </c>
      <c r="P2380" s="7">
        <v>567201</v>
      </c>
      <c r="Q2380" s="7">
        <v>566068</v>
      </c>
      <c r="R2380" s="6" t="s">
        <v>5025</v>
      </c>
      <c r="S2380" s="6" t="s">
        <v>5573</v>
      </c>
      <c r="T2380" s="6">
        <v>22.7</v>
      </c>
      <c r="U2380" s="6" t="s">
        <v>63</v>
      </c>
      <c r="V2380" s="6" t="s">
        <v>99</v>
      </c>
      <c r="W2380" s="67" t="str">
        <f t="shared" si="189"/>
        <v>Customer</v>
      </c>
    </row>
    <row r="2381" spans="1:23" x14ac:dyDescent="0.3">
      <c r="A2381" s="6" t="s">
        <v>5147</v>
      </c>
      <c r="B2381" s="6" t="s">
        <v>2163</v>
      </c>
      <c r="C2381" s="6">
        <v>9382012140</v>
      </c>
      <c r="D2381" s="6" t="s">
        <v>59</v>
      </c>
      <c r="E2381" s="6" t="s">
        <v>109</v>
      </c>
      <c r="F2381" s="6" t="s">
        <v>110</v>
      </c>
      <c r="G2381" s="6" t="s">
        <v>1609</v>
      </c>
      <c r="H2381" s="6" t="s">
        <v>4958</v>
      </c>
      <c r="I2381" s="2" t="str">
        <f t="shared" si="185"/>
        <v>Mar</v>
      </c>
      <c r="J2381" s="2">
        <f t="shared" si="186"/>
        <v>3</v>
      </c>
      <c r="K2381" s="2">
        <f t="shared" si="187"/>
        <v>2026</v>
      </c>
      <c r="L2381" s="2">
        <f t="shared" si="188"/>
        <v>1</v>
      </c>
      <c r="M2381" s="6">
        <v>2</v>
      </c>
      <c r="N2381" s="6" t="s">
        <v>4856</v>
      </c>
      <c r="O2381" s="6" t="s">
        <v>97</v>
      </c>
      <c r="P2381" s="7">
        <v>440169</v>
      </c>
      <c r="Q2381" s="7">
        <v>405675</v>
      </c>
      <c r="R2381" s="6" t="s">
        <v>5087</v>
      </c>
      <c r="S2381" s="6" t="s">
        <v>5819</v>
      </c>
      <c r="T2381" s="6">
        <v>35.700000000000003</v>
      </c>
      <c r="U2381" s="6" t="s">
        <v>63</v>
      </c>
      <c r="V2381" s="6" t="s">
        <v>113</v>
      </c>
      <c r="W2381" s="67" t="str">
        <f t="shared" si="189"/>
        <v>Customer</v>
      </c>
    </row>
    <row r="2382" spans="1:23" x14ac:dyDescent="0.3">
      <c r="A2382" s="6" t="s">
        <v>5148</v>
      </c>
      <c r="B2382" s="6" t="s">
        <v>5149</v>
      </c>
      <c r="C2382" s="6">
        <v>9414382610</v>
      </c>
      <c r="D2382" s="6" t="s">
        <v>121</v>
      </c>
      <c r="E2382" s="6" t="s">
        <v>1632</v>
      </c>
      <c r="F2382" s="6" t="s">
        <v>1682</v>
      </c>
      <c r="G2382" s="6" t="s">
        <v>52</v>
      </c>
      <c r="H2382" s="6" t="s">
        <v>4835</v>
      </c>
      <c r="I2382" s="2" t="str">
        <f t="shared" si="185"/>
        <v>Mar</v>
      </c>
      <c r="J2382" s="2">
        <f t="shared" si="186"/>
        <v>3</v>
      </c>
      <c r="K2382" s="2">
        <f t="shared" si="187"/>
        <v>2026</v>
      </c>
      <c r="L2382" s="2">
        <f t="shared" si="188"/>
        <v>1</v>
      </c>
      <c r="M2382" s="6">
        <v>12</v>
      </c>
      <c r="N2382" s="6" t="s">
        <v>5025</v>
      </c>
      <c r="O2382" s="6" t="s">
        <v>97</v>
      </c>
      <c r="P2382" s="7">
        <v>203057</v>
      </c>
      <c r="Q2382" s="7">
        <v>178986</v>
      </c>
      <c r="R2382" s="6" t="s">
        <v>5025</v>
      </c>
      <c r="S2382" s="6" t="s">
        <v>5573</v>
      </c>
      <c r="T2382" s="6">
        <v>21.7</v>
      </c>
      <c r="U2382" s="6" t="s">
        <v>47</v>
      </c>
      <c r="V2382" s="6" t="s">
        <v>341</v>
      </c>
      <c r="W2382" s="67" t="str">
        <f t="shared" si="189"/>
        <v>Customer</v>
      </c>
    </row>
    <row r="2383" spans="1:23" x14ac:dyDescent="0.3">
      <c r="A2383" s="4" t="s">
        <v>5150</v>
      </c>
      <c r="B2383" s="4" t="s">
        <v>5151</v>
      </c>
      <c r="C2383" s="4">
        <v>9630466269</v>
      </c>
      <c r="D2383" s="4" t="s">
        <v>59</v>
      </c>
      <c r="E2383" s="4" t="s">
        <v>1632</v>
      </c>
      <c r="F2383" s="4" t="s">
        <v>1633</v>
      </c>
      <c r="G2383" s="4" t="s">
        <v>643</v>
      </c>
      <c r="H2383" s="4" t="s">
        <v>4835</v>
      </c>
      <c r="I2383" s="2" t="str">
        <f t="shared" si="185"/>
        <v>Mar</v>
      </c>
      <c r="J2383" s="2">
        <f t="shared" si="186"/>
        <v>3</v>
      </c>
      <c r="K2383" s="2">
        <f t="shared" si="187"/>
        <v>2026</v>
      </c>
      <c r="L2383" s="2">
        <f t="shared" si="188"/>
        <v>1</v>
      </c>
      <c r="M2383" s="4">
        <v>7</v>
      </c>
      <c r="N2383" s="4" t="s">
        <v>5025</v>
      </c>
      <c r="O2383" s="4" t="s">
        <v>62</v>
      </c>
      <c r="P2383" s="5">
        <v>1314280</v>
      </c>
      <c r="Q2383" s="4"/>
      <c r="R2383" s="4"/>
      <c r="S2383" s="4" t="s">
        <v>5819</v>
      </c>
      <c r="T2383" s="4">
        <v>5.4</v>
      </c>
      <c r="U2383" s="4" t="s">
        <v>63</v>
      </c>
      <c r="V2383" s="4" t="s">
        <v>668</v>
      </c>
      <c r="W2383" s="67" t="str">
        <f t="shared" si="189"/>
        <v>-</v>
      </c>
    </row>
    <row r="2384" spans="1:23" x14ac:dyDescent="0.3">
      <c r="A2384" s="2" t="s">
        <v>5152</v>
      </c>
      <c r="B2384" s="2" t="s">
        <v>85</v>
      </c>
      <c r="C2384" s="2">
        <v>9390566576</v>
      </c>
      <c r="D2384" s="2" t="s">
        <v>20</v>
      </c>
      <c r="E2384" s="2" t="s">
        <v>648</v>
      </c>
      <c r="F2384" s="2" t="s">
        <v>656</v>
      </c>
      <c r="G2384" s="2" t="s">
        <v>35</v>
      </c>
      <c r="H2384" s="2" t="s">
        <v>4936</v>
      </c>
      <c r="I2384" s="2" t="str">
        <f t="shared" si="185"/>
        <v>Mar</v>
      </c>
      <c r="J2384" s="2">
        <f t="shared" si="186"/>
        <v>3</v>
      </c>
      <c r="K2384" s="2">
        <f t="shared" si="187"/>
        <v>2026</v>
      </c>
      <c r="L2384" s="2">
        <f t="shared" si="188"/>
        <v>1</v>
      </c>
      <c r="M2384" s="2">
        <v>8</v>
      </c>
      <c r="N2384" s="2" t="s">
        <v>5025</v>
      </c>
      <c r="O2384" s="2" t="s">
        <v>45</v>
      </c>
      <c r="P2384" s="3">
        <v>337612</v>
      </c>
      <c r="Q2384" s="2"/>
      <c r="R2384" s="2"/>
      <c r="S2384" s="2" t="s">
        <v>5573</v>
      </c>
      <c r="T2384" s="2">
        <v>15</v>
      </c>
      <c r="U2384" s="2" t="s">
        <v>29</v>
      </c>
      <c r="V2384" s="2" t="s">
        <v>187</v>
      </c>
      <c r="W2384" s="67" t="str">
        <f t="shared" si="189"/>
        <v>-</v>
      </c>
    </row>
    <row r="2385" spans="1:23" x14ac:dyDescent="0.3">
      <c r="A2385" s="4" t="s">
        <v>5153</v>
      </c>
      <c r="B2385" s="4" t="s">
        <v>2213</v>
      </c>
      <c r="C2385" s="4">
        <v>9883194721</v>
      </c>
      <c r="D2385" s="4" t="s">
        <v>20</v>
      </c>
      <c r="E2385" s="4" t="s">
        <v>1632</v>
      </c>
      <c r="F2385" s="4" t="s">
        <v>1717</v>
      </c>
      <c r="G2385" s="4" t="s">
        <v>1609</v>
      </c>
      <c r="H2385" s="4" t="s">
        <v>4936</v>
      </c>
      <c r="I2385" s="2" t="str">
        <f t="shared" si="185"/>
        <v>Mar</v>
      </c>
      <c r="J2385" s="2">
        <f t="shared" si="186"/>
        <v>3</v>
      </c>
      <c r="K2385" s="2">
        <f t="shared" si="187"/>
        <v>2026</v>
      </c>
      <c r="L2385" s="2">
        <f t="shared" si="188"/>
        <v>1</v>
      </c>
      <c r="M2385" s="4">
        <v>5</v>
      </c>
      <c r="N2385" s="4" t="s">
        <v>4982</v>
      </c>
      <c r="O2385" s="4" t="s">
        <v>27</v>
      </c>
      <c r="P2385" s="5">
        <v>358610</v>
      </c>
      <c r="Q2385" s="4"/>
      <c r="R2385" s="4"/>
      <c r="S2385" s="4" t="s">
        <v>5573</v>
      </c>
      <c r="T2385" s="4">
        <v>20.8</v>
      </c>
      <c r="U2385" s="4" t="s">
        <v>29</v>
      </c>
      <c r="V2385" s="4" t="s">
        <v>30</v>
      </c>
      <c r="W2385" s="67" t="str">
        <f t="shared" si="189"/>
        <v>-</v>
      </c>
    </row>
    <row r="2386" spans="1:23" x14ac:dyDescent="0.3">
      <c r="A2386" s="2" t="s">
        <v>5154</v>
      </c>
      <c r="B2386" s="2" t="s">
        <v>2376</v>
      </c>
      <c r="C2386" s="2">
        <v>9798471185</v>
      </c>
      <c r="D2386" s="2" t="s">
        <v>108</v>
      </c>
      <c r="E2386" s="2" t="s">
        <v>1632</v>
      </c>
      <c r="F2386" s="2" t="s">
        <v>1849</v>
      </c>
      <c r="G2386" s="2" t="s">
        <v>23</v>
      </c>
      <c r="H2386" s="2" t="s">
        <v>4936</v>
      </c>
      <c r="I2386" s="2" t="str">
        <f t="shared" si="185"/>
        <v>Mar</v>
      </c>
      <c r="J2386" s="2">
        <f t="shared" si="186"/>
        <v>3</v>
      </c>
      <c r="K2386" s="2">
        <f t="shared" si="187"/>
        <v>2026</v>
      </c>
      <c r="L2386" s="2">
        <f t="shared" si="188"/>
        <v>1</v>
      </c>
      <c r="M2386" s="2">
        <v>6</v>
      </c>
      <c r="N2386" s="2" t="s">
        <v>5081</v>
      </c>
      <c r="O2386" s="2" t="s">
        <v>27</v>
      </c>
      <c r="P2386" s="3">
        <v>827907</v>
      </c>
      <c r="Q2386" s="2"/>
      <c r="R2386" s="2"/>
      <c r="S2386" s="2" t="s">
        <v>5819</v>
      </c>
      <c r="T2386" s="2">
        <v>17.3</v>
      </c>
      <c r="U2386" s="2" t="s">
        <v>29</v>
      </c>
      <c r="V2386" s="2" t="s">
        <v>153</v>
      </c>
      <c r="W2386" s="67" t="str">
        <f t="shared" si="189"/>
        <v>-</v>
      </c>
    </row>
    <row r="2387" spans="1:23" x14ac:dyDescent="0.3">
      <c r="A2387" s="4" t="s">
        <v>5155</v>
      </c>
      <c r="B2387" s="4" t="s">
        <v>2025</v>
      </c>
      <c r="C2387" s="4">
        <v>9357694501</v>
      </c>
      <c r="D2387" s="4" t="s">
        <v>108</v>
      </c>
      <c r="E2387" s="4" t="s">
        <v>1632</v>
      </c>
      <c r="F2387" s="4" t="s">
        <v>1682</v>
      </c>
      <c r="G2387" s="4" t="s">
        <v>60</v>
      </c>
      <c r="H2387" s="4" t="s">
        <v>4936</v>
      </c>
      <c r="I2387" s="2" t="str">
        <f t="shared" si="185"/>
        <v>Mar</v>
      </c>
      <c r="J2387" s="2">
        <f t="shared" si="186"/>
        <v>3</v>
      </c>
      <c r="K2387" s="2">
        <f t="shared" si="187"/>
        <v>2026</v>
      </c>
      <c r="L2387" s="2">
        <f t="shared" si="188"/>
        <v>1</v>
      </c>
      <c r="M2387" s="4">
        <v>6</v>
      </c>
      <c r="N2387" s="4" t="s">
        <v>4973</v>
      </c>
      <c r="O2387" s="4" t="s">
        <v>45</v>
      </c>
      <c r="P2387" s="5">
        <v>133718</v>
      </c>
      <c r="Q2387" s="4"/>
      <c r="R2387" s="4"/>
      <c r="S2387" s="4" t="s">
        <v>5819</v>
      </c>
      <c r="T2387" s="4">
        <v>34</v>
      </c>
      <c r="U2387" s="4" t="s">
        <v>63</v>
      </c>
      <c r="V2387" s="4"/>
      <c r="W2387" s="67" t="str">
        <f t="shared" si="189"/>
        <v>-</v>
      </c>
    </row>
    <row r="2388" spans="1:23" x14ac:dyDescent="0.3">
      <c r="A2388" s="2" t="s">
        <v>5156</v>
      </c>
      <c r="B2388" s="2" t="s">
        <v>419</v>
      </c>
      <c r="C2388" s="2">
        <v>9935278804</v>
      </c>
      <c r="D2388" s="2" t="s">
        <v>108</v>
      </c>
      <c r="E2388" s="2" t="s">
        <v>1632</v>
      </c>
      <c r="F2388" s="2" t="s">
        <v>1659</v>
      </c>
      <c r="G2388" s="2" t="s">
        <v>87</v>
      </c>
      <c r="H2388" s="2" t="s">
        <v>4991</v>
      </c>
      <c r="I2388" s="2" t="str">
        <f t="shared" si="185"/>
        <v>Mar</v>
      </c>
      <c r="J2388" s="2">
        <f t="shared" si="186"/>
        <v>3</v>
      </c>
      <c r="K2388" s="2">
        <f t="shared" si="187"/>
        <v>2026</v>
      </c>
      <c r="L2388" s="2">
        <f t="shared" si="188"/>
        <v>1</v>
      </c>
      <c r="M2388" s="2">
        <v>8</v>
      </c>
      <c r="N2388" s="2" t="s">
        <v>5157</v>
      </c>
      <c r="O2388" s="2" t="s">
        <v>45</v>
      </c>
      <c r="P2388" s="3">
        <v>247975</v>
      </c>
      <c r="Q2388" s="2"/>
      <c r="R2388" s="2"/>
      <c r="S2388" s="2" t="s">
        <v>5819</v>
      </c>
      <c r="T2388" s="2">
        <v>1.8</v>
      </c>
      <c r="U2388" s="2" t="s">
        <v>47</v>
      </c>
      <c r="V2388" s="2" t="s">
        <v>89</v>
      </c>
      <c r="W2388" s="67" t="str">
        <f t="shared" si="189"/>
        <v>-</v>
      </c>
    </row>
    <row r="2389" spans="1:23" x14ac:dyDescent="0.3">
      <c r="A2389" s="4" t="s">
        <v>5158</v>
      </c>
      <c r="B2389" s="4" t="s">
        <v>5159</v>
      </c>
      <c r="C2389" s="4">
        <v>9197731327</v>
      </c>
      <c r="D2389" s="4" t="s">
        <v>20</v>
      </c>
      <c r="E2389" s="4" t="s">
        <v>1632</v>
      </c>
      <c r="F2389" s="4" t="s">
        <v>1694</v>
      </c>
      <c r="G2389" s="4" t="s">
        <v>23</v>
      </c>
      <c r="H2389" s="4" t="s">
        <v>5000</v>
      </c>
      <c r="I2389" s="2" t="str">
        <f t="shared" si="185"/>
        <v>Mar</v>
      </c>
      <c r="J2389" s="2">
        <f t="shared" si="186"/>
        <v>3</v>
      </c>
      <c r="K2389" s="2">
        <f t="shared" si="187"/>
        <v>2026</v>
      </c>
      <c r="L2389" s="2">
        <f t="shared" si="188"/>
        <v>1</v>
      </c>
      <c r="M2389" s="4">
        <v>5</v>
      </c>
      <c r="N2389" s="4" t="s">
        <v>5157</v>
      </c>
      <c r="O2389" s="4" t="s">
        <v>45</v>
      </c>
      <c r="P2389" s="5">
        <v>759769</v>
      </c>
      <c r="Q2389" s="4"/>
      <c r="R2389" s="4"/>
      <c r="S2389" s="4" t="s">
        <v>5819</v>
      </c>
      <c r="T2389" s="4">
        <v>11.2</v>
      </c>
      <c r="U2389" s="4" t="s">
        <v>47</v>
      </c>
      <c r="V2389" s="4" t="s">
        <v>212</v>
      </c>
      <c r="W2389" s="67" t="str">
        <f t="shared" si="189"/>
        <v>-</v>
      </c>
    </row>
    <row r="2390" spans="1:23" x14ac:dyDescent="0.3">
      <c r="A2390" s="2" t="s">
        <v>5160</v>
      </c>
      <c r="B2390" s="2" t="s">
        <v>745</v>
      </c>
      <c r="C2390" s="2">
        <v>9136106103</v>
      </c>
      <c r="D2390" s="2" t="s">
        <v>108</v>
      </c>
      <c r="E2390" s="2" t="s">
        <v>41</v>
      </c>
      <c r="F2390" s="2" t="s">
        <v>151</v>
      </c>
      <c r="G2390" s="2" t="s">
        <v>1621</v>
      </c>
      <c r="H2390" s="2" t="s">
        <v>5000</v>
      </c>
      <c r="I2390" s="2" t="str">
        <f t="shared" si="185"/>
        <v>Mar</v>
      </c>
      <c r="J2390" s="2">
        <f t="shared" si="186"/>
        <v>3</v>
      </c>
      <c r="K2390" s="2">
        <f t="shared" si="187"/>
        <v>2026</v>
      </c>
      <c r="L2390" s="2">
        <f t="shared" si="188"/>
        <v>1</v>
      </c>
      <c r="M2390" s="2">
        <v>2</v>
      </c>
      <c r="N2390" s="2" t="s">
        <v>5036</v>
      </c>
      <c r="O2390" s="2" t="s">
        <v>45</v>
      </c>
      <c r="P2390" s="3">
        <v>600705</v>
      </c>
      <c r="Q2390" s="2"/>
      <c r="R2390" s="2"/>
      <c r="S2390" s="2" t="s">
        <v>5573</v>
      </c>
      <c r="T2390" s="2">
        <v>23.8</v>
      </c>
      <c r="U2390" s="2" t="s">
        <v>63</v>
      </c>
      <c r="V2390" s="2" t="s">
        <v>260</v>
      </c>
      <c r="W2390" s="67" t="str">
        <f t="shared" si="189"/>
        <v>-</v>
      </c>
    </row>
    <row r="2391" spans="1:23" x14ac:dyDescent="0.3">
      <c r="A2391" s="4" t="s">
        <v>5161</v>
      </c>
      <c r="B2391" s="4" t="s">
        <v>1755</v>
      </c>
      <c r="C2391" s="4">
        <v>9548587990</v>
      </c>
      <c r="D2391" s="4" t="s">
        <v>59</v>
      </c>
      <c r="E2391" s="4" t="s">
        <v>648</v>
      </c>
      <c r="F2391" s="4" t="s">
        <v>822</v>
      </c>
      <c r="G2391" s="4" t="s">
        <v>23</v>
      </c>
      <c r="H2391" s="4" t="s">
        <v>5000</v>
      </c>
      <c r="I2391" s="2" t="str">
        <f t="shared" si="185"/>
        <v>Mar</v>
      </c>
      <c r="J2391" s="2">
        <f t="shared" si="186"/>
        <v>3</v>
      </c>
      <c r="K2391" s="2">
        <f t="shared" si="187"/>
        <v>2026</v>
      </c>
      <c r="L2391" s="2">
        <f t="shared" si="188"/>
        <v>1</v>
      </c>
      <c r="M2391" s="4">
        <v>11</v>
      </c>
      <c r="N2391" s="4" t="s">
        <v>5025</v>
      </c>
      <c r="O2391" s="4" t="s">
        <v>55</v>
      </c>
      <c r="P2391" s="5">
        <v>679706</v>
      </c>
      <c r="Q2391" s="4"/>
      <c r="R2391" s="4"/>
      <c r="S2391" s="4" t="s">
        <v>5573</v>
      </c>
      <c r="T2391" s="4">
        <v>3.3</v>
      </c>
      <c r="U2391" s="4" t="s">
        <v>29</v>
      </c>
      <c r="V2391" s="4" t="s">
        <v>697</v>
      </c>
      <c r="W2391" s="67" t="str">
        <f t="shared" si="189"/>
        <v>-</v>
      </c>
    </row>
    <row r="2392" spans="1:23" x14ac:dyDescent="0.3">
      <c r="A2392" s="2" t="s">
        <v>5162</v>
      </c>
      <c r="B2392" s="2" t="s">
        <v>1938</v>
      </c>
      <c r="C2392" s="2">
        <v>9784269713</v>
      </c>
      <c r="D2392" s="2" t="s">
        <v>51</v>
      </c>
      <c r="E2392" s="2" t="s">
        <v>109</v>
      </c>
      <c r="F2392" s="2" t="s">
        <v>110</v>
      </c>
      <c r="G2392" s="2" t="s">
        <v>1609</v>
      </c>
      <c r="H2392" s="2" t="s">
        <v>4852</v>
      </c>
      <c r="I2392" s="2" t="str">
        <f t="shared" si="185"/>
        <v>Mar</v>
      </c>
      <c r="J2392" s="2">
        <f t="shared" si="186"/>
        <v>3</v>
      </c>
      <c r="K2392" s="2">
        <f t="shared" si="187"/>
        <v>2026</v>
      </c>
      <c r="L2392" s="2">
        <f t="shared" si="188"/>
        <v>1</v>
      </c>
      <c r="M2392" s="2">
        <v>5</v>
      </c>
      <c r="N2392" s="2" t="s">
        <v>4964</v>
      </c>
      <c r="O2392" s="2" t="s">
        <v>62</v>
      </c>
      <c r="P2392" s="3">
        <v>504114</v>
      </c>
      <c r="Q2392" s="2"/>
      <c r="R2392" s="2"/>
      <c r="S2392" s="2" t="s">
        <v>5573</v>
      </c>
      <c r="T2392" s="2">
        <v>34</v>
      </c>
      <c r="U2392" s="2" t="s">
        <v>47</v>
      </c>
      <c r="V2392" s="2" t="s">
        <v>137</v>
      </c>
      <c r="W2392" s="67" t="str">
        <f t="shared" si="189"/>
        <v>-</v>
      </c>
    </row>
    <row r="2393" spans="1:23" x14ac:dyDescent="0.3">
      <c r="A2393" s="4" t="s">
        <v>5163</v>
      </c>
      <c r="B2393" s="4" t="s">
        <v>1701</v>
      </c>
      <c r="C2393" s="4"/>
      <c r="D2393" s="4" t="s">
        <v>51</v>
      </c>
      <c r="E2393" s="4" t="s">
        <v>641</v>
      </c>
      <c r="F2393" s="4" t="s">
        <v>642</v>
      </c>
      <c r="G2393" s="4" t="s">
        <v>1621</v>
      </c>
      <c r="H2393" s="4" t="s">
        <v>5050</v>
      </c>
      <c r="I2393" s="2" t="str">
        <f t="shared" si="185"/>
        <v>Mar</v>
      </c>
      <c r="J2393" s="2">
        <f t="shared" si="186"/>
        <v>3</v>
      </c>
      <c r="K2393" s="2">
        <f t="shared" si="187"/>
        <v>2026</v>
      </c>
      <c r="L2393" s="2">
        <f t="shared" si="188"/>
        <v>1</v>
      </c>
      <c r="M2393" s="4">
        <v>6</v>
      </c>
      <c r="N2393" s="4" t="s">
        <v>5025</v>
      </c>
      <c r="O2393" s="4" t="s">
        <v>27</v>
      </c>
      <c r="P2393" s="5">
        <v>255825</v>
      </c>
      <c r="Q2393" s="4"/>
      <c r="R2393" s="4"/>
      <c r="S2393" s="4" t="s">
        <v>5819</v>
      </c>
      <c r="T2393" s="4">
        <v>35.6</v>
      </c>
      <c r="U2393" s="4" t="s">
        <v>29</v>
      </c>
      <c r="V2393" s="4" t="s">
        <v>1169</v>
      </c>
      <c r="W2393" s="67" t="str">
        <f t="shared" si="189"/>
        <v>-</v>
      </c>
    </row>
    <row r="2394" spans="1:23" x14ac:dyDescent="0.3">
      <c r="A2394" s="2" t="s">
        <v>5164</v>
      </c>
      <c r="B2394" s="2" t="s">
        <v>3989</v>
      </c>
      <c r="C2394" s="2">
        <v>9934621005</v>
      </c>
      <c r="D2394" s="2" t="s">
        <v>51</v>
      </c>
      <c r="E2394" s="2" t="s">
        <v>109</v>
      </c>
      <c r="F2394" s="2" t="s">
        <v>110</v>
      </c>
      <c r="G2394" s="2" t="s">
        <v>23</v>
      </c>
      <c r="H2394" s="2" t="s">
        <v>4916</v>
      </c>
      <c r="I2394" s="2" t="str">
        <f t="shared" si="185"/>
        <v>Mar</v>
      </c>
      <c r="J2394" s="2">
        <f t="shared" si="186"/>
        <v>3</v>
      </c>
      <c r="K2394" s="2">
        <f t="shared" si="187"/>
        <v>2026</v>
      </c>
      <c r="L2394" s="2">
        <f t="shared" si="188"/>
        <v>1</v>
      </c>
      <c r="M2394" s="2">
        <v>7</v>
      </c>
      <c r="N2394" s="2" t="s">
        <v>5165</v>
      </c>
      <c r="O2394" s="2" t="s">
        <v>45</v>
      </c>
      <c r="P2394" s="3">
        <v>567628</v>
      </c>
      <c r="Q2394" s="2"/>
      <c r="R2394" s="2"/>
      <c r="S2394" s="2" t="s">
        <v>5573</v>
      </c>
      <c r="T2394" s="2">
        <v>18.5</v>
      </c>
      <c r="U2394" s="2" t="s">
        <v>63</v>
      </c>
      <c r="V2394" s="2"/>
      <c r="W2394" s="67" t="str">
        <f t="shared" si="189"/>
        <v>-</v>
      </c>
    </row>
    <row r="2395" spans="1:23" x14ac:dyDescent="0.3">
      <c r="A2395" s="4" t="s">
        <v>5166</v>
      </c>
      <c r="B2395" s="4" t="s">
        <v>125</v>
      </c>
      <c r="C2395" s="4">
        <v>9144144469</v>
      </c>
      <c r="D2395" s="4" t="s">
        <v>59</v>
      </c>
      <c r="E2395" s="4" t="s">
        <v>1632</v>
      </c>
      <c r="F2395" s="4" t="s">
        <v>1633</v>
      </c>
      <c r="G2395" s="4" t="s">
        <v>1735</v>
      </c>
      <c r="H2395" s="4" t="s">
        <v>4916</v>
      </c>
      <c r="I2395" s="2" t="str">
        <f t="shared" si="185"/>
        <v>Mar</v>
      </c>
      <c r="J2395" s="2">
        <f t="shared" si="186"/>
        <v>3</v>
      </c>
      <c r="K2395" s="2">
        <f t="shared" si="187"/>
        <v>2026</v>
      </c>
      <c r="L2395" s="2">
        <f t="shared" si="188"/>
        <v>1</v>
      </c>
      <c r="M2395" s="4">
        <v>10</v>
      </c>
      <c r="N2395" s="4" t="s">
        <v>5025</v>
      </c>
      <c r="O2395" s="4" t="s">
        <v>27</v>
      </c>
      <c r="P2395" s="5">
        <v>1788666</v>
      </c>
      <c r="Q2395" s="4"/>
      <c r="R2395" s="4"/>
      <c r="S2395" s="4" t="s">
        <v>5573</v>
      </c>
      <c r="T2395" s="4">
        <v>13.3</v>
      </c>
      <c r="U2395" s="4" t="s">
        <v>29</v>
      </c>
      <c r="V2395" s="4" t="s">
        <v>123</v>
      </c>
      <c r="W2395" s="67" t="str">
        <f t="shared" si="189"/>
        <v>-</v>
      </c>
    </row>
    <row r="2396" spans="1:23" x14ac:dyDescent="0.3">
      <c r="A2396" s="2" t="s">
        <v>5167</v>
      </c>
      <c r="B2396" s="2" t="s">
        <v>2762</v>
      </c>
      <c r="C2396" s="2">
        <v>9948332363</v>
      </c>
      <c r="D2396" s="2" t="s">
        <v>20</v>
      </c>
      <c r="E2396" s="2" t="s">
        <v>641</v>
      </c>
      <c r="F2396" s="2" t="s">
        <v>717</v>
      </c>
      <c r="G2396" s="2" t="s">
        <v>23</v>
      </c>
      <c r="H2396" s="2" t="s">
        <v>4916</v>
      </c>
      <c r="I2396" s="2" t="str">
        <f t="shared" si="185"/>
        <v>Mar</v>
      </c>
      <c r="J2396" s="2">
        <f t="shared" si="186"/>
        <v>3</v>
      </c>
      <c r="K2396" s="2">
        <f t="shared" si="187"/>
        <v>2026</v>
      </c>
      <c r="L2396" s="2">
        <f t="shared" si="188"/>
        <v>1</v>
      </c>
      <c r="M2396" s="2">
        <v>0</v>
      </c>
      <c r="N2396" s="2" t="s">
        <v>5002</v>
      </c>
      <c r="O2396" s="2" t="s">
        <v>27</v>
      </c>
      <c r="P2396" s="3">
        <v>825348</v>
      </c>
      <c r="Q2396" s="2"/>
      <c r="R2396" s="2"/>
      <c r="S2396" s="2" t="s">
        <v>5573</v>
      </c>
      <c r="T2396" s="2">
        <v>1.4</v>
      </c>
      <c r="U2396" s="2" t="s">
        <v>29</v>
      </c>
      <c r="V2396" s="2" t="s">
        <v>123</v>
      </c>
      <c r="W2396" s="67" t="str">
        <f t="shared" si="189"/>
        <v>-</v>
      </c>
    </row>
    <row r="2397" spans="1:23" x14ac:dyDescent="0.3">
      <c r="A2397" s="6" t="s">
        <v>5168</v>
      </c>
      <c r="B2397" s="6" t="s">
        <v>1712</v>
      </c>
      <c r="C2397" s="6">
        <v>9574705412</v>
      </c>
      <c r="D2397" s="6" t="s">
        <v>20</v>
      </c>
      <c r="E2397" s="6" t="s">
        <v>109</v>
      </c>
      <c r="F2397" s="6" t="s">
        <v>331</v>
      </c>
      <c r="G2397" s="6" t="s">
        <v>60</v>
      </c>
      <c r="H2397" s="6" t="s">
        <v>4916</v>
      </c>
      <c r="I2397" s="2" t="str">
        <f t="shared" si="185"/>
        <v>Mar</v>
      </c>
      <c r="J2397" s="2">
        <f t="shared" si="186"/>
        <v>3</v>
      </c>
      <c r="K2397" s="2">
        <f t="shared" si="187"/>
        <v>2026</v>
      </c>
      <c r="L2397" s="2">
        <f t="shared" si="188"/>
        <v>1</v>
      </c>
      <c r="M2397" s="6">
        <v>9</v>
      </c>
      <c r="N2397" s="6" t="s">
        <v>4924</v>
      </c>
      <c r="O2397" s="6" t="s">
        <v>97</v>
      </c>
      <c r="P2397" s="7">
        <v>221853</v>
      </c>
      <c r="Q2397" s="7">
        <v>222861</v>
      </c>
      <c r="R2397" s="6" t="s">
        <v>5169</v>
      </c>
      <c r="S2397" s="6" t="s">
        <v>5573</v>
      </c>
      <c r="T2397" s="6">
        <v>1.8</v>
      </c>
      <c r="U2397" s="6" t="s">
        <v>63</v>
      </c>
      <c r="V2397" s="6" t="s">
        <v>483</v>
      </c>
      <c r="W2397" s="67" t="str">
        <f t="shared" si="189"/>
        <v>Customer</v>
      </c>
    </row>
    <row r="2398" spans="1:23" x14ac:dyDescent="0.3">
      <c r="A2398" s="2" t="s">
        <v>5170</v>
      </c>
      <c r="B2398" s="2" t="s">
        <v>5171</v>
      </c>
      <c r="C2398" s="2">
        <v>9690836590</v>
      </c>
      <c r="D2398" s="2" t="s">
        <v>108</v>
      </c>
      <c r="E2398" s="2" t="s">
        <v>41</v>
      </c>
      <c r="F2398" s="2" t="s">
        <v>151</v>
      </c>
      <c r="G2398" s="2" t="s">
        <v>52</v>
      </c>
      <c r="H2398" s="2" t="s">
        <v>4856</v>
      </c>
      <c r="I2398" s="2" t="str">
        <f t="shared" si="185"/>
        <v>Mar</v>
      </c>
      <c r="J2398" s="2">
        <f t="shared" si="186"/>
        <v>3</v>
      </c>
      <c r="K2398" s="2">
        <f t="shared" si="187"/>
        <v>2026</v>
      </c>
      <c r="L2398" s="2">
        <f t="shared" si="188"/>
        <v>1</v>
      </c>
      <c r="M2398" s="2">
        <v>10</v>
      </c>
      <c r="N2398" s="2" t="s">
        <v>5025</v>
      </c>
      <c r="O2398" s="2" t="s">
        <v>27</v>
      </c>
      <c r="P2398" s="3">
        <v>310100</v>
      </c>
      <c r="Q2398" s="2"/>
      <c r="R2398" s="2"/>
      <c r="S2398" s="2" t="s">
        <v>5573</v>
      </c>
      <c r="T2398" s="2">
        <v>29</v>
      </c>
      <c r="U2398" s="2" t="s">
        <v>29</v>
      </c>
      <c r="V2398" s="2" t="s">
        <v>123</v>
      </c>
      <c r="W2398" s="67" t="str">
        <f t="shared" si="189"/>
        <v>-</v>
      </c>
    </row>
    <row r="2399" spans="1:23" x14ac:dyDescent="0.3">
      <c r="A2399" s="4" t="s">
        <v>5172</v>
      </c>
      <c r="B2399" s="4" t="s">
        <v>945</v>
      </c>
      <c r="C2399" s="4">
        <v>9482561704</v>
      </c>
      <c r="D2399" s="4" t="s">
        <v>59</v>
      </c>
      <c r="E2399" s="4" t="s">
        <v>641</v>
      </c>
      <c r="F2399" s="4" t="s">
        <v>717</v>
      </c>
      <c r="G2399" s="4" t="s">
        <v>1677</v>
      </c>
      <c r="H2399" s="4" t="s">
        <v>4856</v>
      </c>
      <c r="I2399" s="2" t="str">
        <f t="shared" si="185"/>
        <v>Mar</v>
      </c>
      <c r="J2399" s="2">
        <f t="shared" si="186"/>
        <v>3</v>
      </c>
      <c r="K2399" s="2">
        <f t="shared" si="187"/>
        <v>2026</v>
      </c>
      <c r="L2399" s="2">
        <f t="shared" si="188"/>
        <v>1</v>
      </c>
      <c r="M2399" s="4">
        <v>4</v>
      </c>
      <c r="N2399" s="4" t="s">
        <v>5042</v>
      </c>
      <c r="O2399" s="4" t="s">
        <v>45</v>
      </c>
      <c r="P2399" s="5">
        <v>1887479</v>
      </c>
      <c r="Q2399" s="4"/>
      <c r="R2399" s="4"/>
      <c r="S2399" s="4" t="s">
        <v>5819</v>
      </c>
      <c r="T2399" s="4">
        <v>2.9</v>
      </c>
      <c r="U2399" s="4" t="s">
        <v>29</v>
      </c>
      <c r="V2399" s="4"/>
      <c r="W2399" s="67" t="str">
        <f t="shared" si="189"/>
        <v>-</v>
      </c>
    </row>
    <row r="2400" spans="1:23" x14ac:dyDescent="0.3">
      <c r="A2400" s="6" t="s">
        <v>5173</v>
      </c>
      <c r="B2400" s="6" t="s">
        <v>72</v>
      </c>
      <c r="C2400" s="6">
        <v>9322298442</v>
      </c>
      <c r="D2400" s="6" t="s">
        <v>108</v>
      </c>
      <c r="E2400" s="6" t="s">
        <v>1632</v>
      </c>
      <c r="F2400" s="6" t="s">
        <v>1717</v>
      </c>
      <c r="G2400" s="6" t="s">
        <v>643</v>
      </c>
      <c r="H2400" s="6" t="s">
        <v>4856</v>
      </c>
      <c r="I2400" s="2" t="str">
        <f t="shared" si="185"/>
        <v>Mar</v>
      </c>
      <c r="J2400" s="2">
        <f t="shared" si="186"/>
        <v>3</v>
      </c>
      <c r="K2400" s="2">
        <f t="shared" si="187"/>
        <v>2026</v>
      </c>
      <c r="L2400" s="2">
        <f t="shared" si="188"/>
        <v>1</v>
      </c>
      <c r="M2400" s="6">
        <v>11</v>
      </c>
      <c r="N2400" s="6" t="s">
        <v>5025</v>
      </c>
      <c r="O2400" s="6" t="s">
        <v>97</v>
      </c>
      <c r="P2400" s="7">
        <v>905495</v>
      </c>
      <c r="Q2400" s="7">
        <v>929782</v>
      </c>
      <c r="R2400" s="6" t="s">
        <v>5025</v>
      </c>
      <c r="S2400" s="6" t="s">
        <v>5819</v>
      </c>
      <c r="T2400" s="6">
        <v>11.1</v>
      </c>
      <c r="U2400" s="6" t="s">
        <v>63</v>
      </c>
      <c r="V2400" s="6" t="s">
        <v>341</v>
      </c>
      <c r="W2400" s="67" t="str">
        <f t="shared" si="189"/>
        <v>Customer</v>
      </c>
    </row>
    <row r="2401" spans="1:23" x14ac:dyDescent="0.3">
      <c r="A2401" s="6" t="s">
        <v>5174</v>
      </c>
      <c r="B2401" s="6" t="s">
        <v>1296</v>
      </c>
      <c r="C2401" s="6">
        <v>9484200671</v>
      </c>
      <c r="D2401" s="6" t="s">
        <v>121</v>
      </c>
      <c r="E2401" s="6" t="s">
        <v>41</v>
      </c>
      <c r="F2401" s="6" t="s">
        <v>86</v>
      </c>
      <c r="G2401" s="6" t="s">
        <v>23</v>
      </c>
      <c r="H2401" s="6" t="s">
        <v>4856</v>
      </c>
      <c r="I2401" s="2" t="str">
        <f t="shared" si="185"/>
        <v>Mar</v>
      </c>
      <c r="J2401" s="2">
        <f t="shared" si="186"/>
        <v>3</v>
      </c>
      <c r="K2401" s="2">
        <f t="shared" si="187"/>
        <v>2026</v>
      </c>
      <c r="L2401" s="2">
        <f t="shared" si="188"/>
        <v>1</v>
      </c>
      <c r="M2401" s="6">
        <v>7</v>
      </c>
      <c r="N2401" s="6" t="s">
        <v>5039</v>
      </c>
      <c r="O2401" s="6" t="s">
        <v>97</v>
      </c>
      <c r="P2401" s="7">
        <v>823835</v>
      </c>
      <c r="Q2401" s="7">
        <v>803197</v>
      </c>
      <c r="R2401" s="6" t="s">
        <v>4973</v>
      </c>
      <c r="S2401" s="6" t="s">
        <v>5819</v>
      </c>
      <c r="T2401" s="6">
        <v>25.7</v>
      </c>
      <c r="U2401" s="6" t="s">
        <v>63</v>
      </c>
      <c r="V2401" s="6" t="s">
        <v>483</v>
      </c>
      <c r="W2401" s="67" t="str">
        <f t="shared" si="189"/>
        <v>Customer</v>
      </c>
    </row>
    <row r="2402" spans="1:23" x14ac:dyDescent="0.3">
      <c r="A2402" s="2" t="s">
        <v>5175</v>
      </c>
      <c r="B2402" s="2" t="s">
        <v>444</v>
      </c>
      <c r="C2402" s="2">
        <v>9680996937</v>
      </c>
      <c r="D2402" s="2" t="s">
        <v>59</v>
      </c>
      <c r="E2402" s="2" t="s">
        <v>41</v>
      </c>
      <c r="F2402" s="2" t="s">
        <v>151</v>
      </c>
      <c r="G2402" s="2" t="s">
        <v>1609</v>
      </c>
      <c r="H2402" s="2" t="s">
        <v>4856</v>
      </c>
      <c r="I2402" s="2" t="str">
        <f t="shared" si="185"/>
        <v>Mar</v>
      </c>
      <c r="J2402" s="2">
        <f t="shared" si="186"/>
        <v>3</v>
      </c>
      <c r="K2402" s="2">
        <f t="shared" si="187"/>
        <v>2026</v>
      </c>
      <c r="L2402" s="2">
        <f t="shared" si="188"/>
        <v>1</v>
      </c>
      <c r="M2402" s="2">
        <v>1</v>
      </c>
      <c r="N2402" s="2" t="s">
        <v>4948</v>
      </c>
      <c r="O2402" s="2" t="s">
        <v>62</v>
      </c>
      <c r="P2402" s="3">
        <v>310061</v>
      </c>
      <c r="Q2402" s="2"/>
      <c r="R2402" s="2"/>
      <c r="S2402" s="2" t="s">
        <v>5819</v>
      </c>
      <c r="T2402" s="2">
        <v>7.3</v>
      </c>
      <c r="U2402" s="2" t="s">
        <v>63</v>
      </c>
      <c r="V2402" s="2" t="s">
        <v>195</v>
      </c>
      <c r="W2402" s="67" t="str">
        <f t="shared" si="189"/>
        <v>-</v>
      </c>
    </row>
    <row r="2403" spans="1:23" x14ac:dyDescent="0.3">
      <c r="A2403" s="4" t="s">
        <v>5176</v>
      </c>
      <c r="B2403" s="4" t="s">
        <v>861</v>
      </c>
      <c r="C2403" s="4">
        <v>9771217487</v>
      </c>
      <c r="D2403" s="4" t="s">
        <v>20</v>
      </c>
      <c r="E2403" s="4" t="s">
        <v>109</v>
      </c>
      <c r="F2403" s="4" t="s">
        <v>110</v>
      </c>
      <c r="G2403" s="4" t="s">
        <v>1609</v>
      </c>
      <c r="H2403" s="4" t="s">
        <v>4856</v>
      </c>
      <c r="I2403" s="2" t="str">
        <f t="shared" si="185"/>
        <v>Mar</v>
      </c>
      <c r="J2403" s="2">
        <f t="shared" si="186"/>
        <v>3</v>
      </c>
      <c r="K2403" s="2">
        <f t="shared" si="187"/>
        <v>2026</v>
      </c>
      <c r="L2403" s="2">
        <f t="shared" si="188"/>
        <v>1</v>
      </c>
      <c r="M2403" s="4">
        <v>11</v>
      </c>
      <c r="N2403" s="4" t="s">
        <v>5025</v>
      </c>
      <c r="O2403" s="4" t="s">
        <v>45</v>
      </c>
      <c r="P2403" s="5">
        <v>279051</v>
      </c>
      <c r="Q2403" s="4"/>
      <c r="R2403" s="4"/>
      <c r="S2403" s="4" t="s">
        <v>5573</v>
      </c>
      <c r="T2403" s="4">
        <v>23.7</v>
      </c>
      <c r="U2403" s="4" t="s">
        <v>47</v>
      </c>
      <c r="V2403" s="4"/>
      <c r="W2403" s="67" t="str">
        <f t="shared" si="189"/>
        <v>-</v>
      </c>
    </row>
    <row r="2404" spans="1:23" x14ac:dyDescent="0.3">
      <c r="A2404" s="2" t="s">
        <v>5177</v>
      </c>
      <c r="B2404" s="2" t="s">
        <v>452</v>
      </c>
      <c r="C2404" s="2">
        <v>9730848243</v>
      </c>
      <c r="D2404" s="2" t="s">
        <v>108</v>
      </c>
      <c r="E2404" s="2" t="s">
        <v>41</v>
      </c>
      <c r="F2404" s="2" t="s">
        <v>151</v>
      </c>
      <c r="G2404" s="2" t="s">
        <v>23</v>
      </c>
      <c r="H2404" s="2" t="s">
        <v>4856</v>
      </c>
      <c r="I2404" s="2" t="str">
        <f t="shared" si="185"/>
        <v>Mar</v>
      </c>
      <c r="J2404" s="2">
        <f t="shared" si="186"/>
        <v>3</v>
      </c>
      <c r="K2404" s="2">
        <f t="shared" si="187"/>
        <v>2026</v>
      </c>
      <c r="L2404" s="2">
        <f t="shared" si="188"/>
        <v>1</v>
      </c>
      <c r="M2404" s="2">
        <v>11</v>
      </c>
      <c r="N2404" s="2" t="s">
        <v>5025</v>
      </c>
      <c r="O2404" s="2" t="s">
        <v>27</v>
      </c>
      <c r="P2404" s="3">
        <v>881199</v>
      </c>
      <c r="Q2404" s="2"/>
      <c r="R2404" s="2"/>
      <c r="S2404" s="2" t="s">
        <v>5819</v>
      </c>
      <c r="T2404" s="2">
        <v>8.1999999999999993</v>
      </c>
      <c r="U2404" s="2" t="s">
        <v>29</v>
      </c>
      <c r="V2404" s="2" t="s">
        <v>30</v>
      </c>
      <c r="W2404" s="67" t="str">
        <f t="shared" si="189"/>
        <v>-</v>
      </c>
    </row>
    <row r="2405" spans="1:23" x14ac:dyDescent="0.3">
      <c r="A2405" s="6" t="s">
        <v>5178</v>
      </c>
      <c r="B2405" s="6" t="s">
        <v>2854</v>
      </c>
      <c r="C2405" s="6">
        <v>9714790762</v>
      </c>
      <c r="D2405" s="6" t="s">
        <v>121</v>
      </c>
      <c r="E2405" s="6" t="s">
        <v>648</v>
      </c>
      <c r="F2405" s="6" t="s">
        <v>649</v>
      </c>
      <c r="G2405" s="6" t="s">
        <v>1599</v>
      </c>
      <c r="H2405" s="6" t="s">
        <v>5036</v>
      </c>
      <c r="I2405" s="2" t="str">
        <f t="shared" si="185"/>
        <v>Mar</v>
      </c>
      <c r="J2405" s="2">
        <f t="shared" si="186"/>
        <v>3</v>
      </c>
      <c r="K2405" s="2">
        <f t="shared" si="187"/>
        <v>2026</v>
      </c>
      <c r="L2405" s="2">
        <f t="shared" si="188"/>
        <v>1</v>
      </c>
      <c r="M2405" s="6">
        <v>5</v>
      </c>
      <c r="N2405" s="6" t="s">
        <v>5169</v>
      </c>
      <c r="O2405" s="6" t="s">
        <v>97</v>
      </c>
      <c r="P2405" s="7">
        <v>787142</v>
      </c>
      <c r="Q2405" s="7">
        <v>726574</v>
      </c>
      <c r="R2405" s="6" t="s">
        <v>5024</v>
      </c>
      <c r="S2405" s="6" t="s">
        <v>5819</v>
      </c>
      <c r="T2405" s="6">
        <v>33.299999999999997</v>
      </c>
      <c r="U2405" s="6" t="s">
        <v>63</v>
      </c>
      <c r="V2405" s="6" t="s">
        <v>907</v>
      </c>
      <c r="W2405" s="67" t="str">
        <f t="shared" si="189"/>
        <v>Customer</v>
      </c>
    </row>
    <row r="2406" spans="1:23" x14ac:dyDescent="0.3">
      <c r="A2406" s="2" t="s">
        <v>5179</v>
      </c>
      <c r="B2406" s="2" t="s">
        <v>4641</v>
      </c>
      <c r="C2406" s="2">
        <v>9354996562</v>
      </c>
      <c r="D2406" s="2" t="s">
        <v>121</v>
      </c>
      <c r="E2406" s="2" t="s">
        <v>1632</v>
      </c>
      <c r="F2406" s="2" t="s">
        <v>1849</v>
      </c>
      <c r="G2406" s="2" t="s">
        <v>1623</v>
      </c>
      <c r="H2406" s="2" t="s">
        <v>5036</v>
      </c>
      <c r="I2406" s="2" t="str">
        <f t="shared" si="185"/>
        <v>Mar</v>
      </c>
      <c r="J2406" s="2">
        <f t="shared" si="186"/>
        <v>3</v>
      </c>
      <c r="K2406" s="2">
        <f t="shared" si="187"/>
        <v>2026</v>
      </c>
      <c r="L2406" s="2">
        <f t="shared" si="188"/>
        <v>1</v>
      </c>
      <c r="M2406" s="2">
        <v>11</v>
      </c>
      <c r="N2406" s="2" t="s">
        <v>5025</v>
      </c>
      <c r="O2406" s="2" t="s">
        <v>45</v>
      </c>
      <c r="P2406" s="3">
        <v>263003</v>
      </c>
      <c r="Q2406" s="2"/>
      <c r="R2406" s="2"/>
      <c r="S2406" s="2" t="s">
        <v>5819</v>
      </c>
      <c r="T2406" s="2">
        <v>20.3</v>
      </c>
      <c r="U2406" s="2" t="s">
        <v>63</v>
      </c>
      <c r="V2406" s="2" t="s">
        <v>64</v>
      </c>
      <c r="W2406" s="67" t="str">
        <f t="shared" si="189"/>
        <v>-</v>
      </c>
    </row>
    <row r="2407" spans="1:23" x14ac:dyDescent="0.3">
      <c r="A2407" s="4" t="s">
        <v>5180</v>
      </c>
      <c r="B2407" s="4" t="s">
        <v>5181</v>
      </c>
      <c r="C2407" s="4">
        <v>9587352476</v>
      </c>
      <c r="D2407" s="4" t="s">
        <v>59</v>
      </c>
      <c r="E2407" s="4" t="s">
        <v>41</v>
      </c>
      <c r="F2407" s="4" t="s">
        <v>92</v>
      </c>
      <c r="G2407" s="4" t="s">
        <v>60</v>
      </c>
      <c r="H2407" s="4" t="s">
        <v>4920</v>
      </c>
      <c r="I2407" s="2" t="str">
        <f t="shared" si="185"/>
        <v>Apr</v>
      </c>
      <c r="J2407" s="2">
        <f t="shared" si="186"/>
        <v>4</v>
      </c>
      <c r="K2407" s="2">
        <f t="shared" si="187"/>
        <v>2026</v>
      </c>
      <c r="L2407" s="2">
        <f t="shared" si="188"/>
        <v>2</v>
      </c>
      <c r="M2407" s="4">
        <v>0</v>
      </c>
      <c r="N2407" s="4" t="s">
        <v>5006</v>
      </c>
      <c r="O2407" s="4" t="s">
        <v>45</v>
      </c>
      <c r="P2407" s="5">
        <v>272287</v>
      </c>
      <c r="Q2407" s="4"/>
      <c r="R2407" s="4"/>
      <c r="S2407" s="4" t="s">
        <v>5573</v>
      </c>
      <c r="T2407" s="4">
        <v>5.2</v>
      </c>
      <c r="U2407" s="4" t="s">
        <v>47</v>
      </c>
      <c r="V2407" s="4" t="s">
        <v>77</v>
      </c>
      <c r="W2407" s="67" t="str">
        <f t="shared" si="189"/>
        <v>-</v>
      </c>
    </row>
    <row r="2408" spans="1:23" x14ac:dyDescent="0.3">
      <c r="A2408" s="6" t="s">
        <v>5182</v>
      </c>
      <c r="B2408" s="6" t="s">
        <v>5183</v>
      </c>
      <c r="C2408" s="6">
        <v>9244326995</v>
      </c>
      <c r="D2408" s="6" t="s">
        <v>20</v>
      </c>
      <c r="E2408" s="6" t="s">
        <v>1632</v>
      </c>
      <c r="F2408" s="6" t="s">
        <v>1694</v>
      </c>
      <c r="G2408" s="6" t="s">
        <v>1609</v>
      </c>
      <c r="H2408" s="6" t="s">
        <v>4920</v>
      </c>
      <c r="I2408" s="2" t="str">
        <f t="shared" si="185"/>
        <v>Apr</v>
      </c>
      <c r="J2408" s="2">
        <f t="shared" si="186"/>
        <v>4</v>
      </c>
      <c r="K2408" s="2">
        <f t="shared" si="187"/>
        <v>2026</v>
      </c>
      <c r="L2408" s="2">
        <f t="shared" si="188"/>
        <v>2</v>
      </c>
      <c r="M2408" s="6">
        <v>2</v>
      </c>
      <c r="N2408" s="6" t="s">
        <v>5042</v>
      </c>
      <c r="O2408" s="6" t="s">
        <v>97</v>
      </c>
      <c r="P2408" s="7">
        <v>487124</v>
      </c>
      <c r="Q2408" s="7">
        <v>453112</v>
      </c>
      <c r="R2408" s="6" t="s">
        <v>5184</v>
      </c>
      <c r="S2408" s="6" t="s">
        <v>5573</v>
      </c>
      <c r="T2408" s="6">
        <v>8.5</v>
      </c>
      <c r="U2408" s="6" t="s">
        <v>63</v>
      </c>
      <c r="V2408" s="6" t="s">
        <v>243</v>
      </c>
      <c r="W2408" s="67" t="str">
        <f t="shared" si="189"/>
        <v>Customer</v>
      </c>
    </row>
    <row r="2409" spans="1:23" x14ac:dyDescent="0.3">
      <c r="A2409" s="4" t="s">
        <v>5185</v>
      </c>
      <c r="B2409" s="4" t="s">
        <v>5186</v>
      </c>
      <c r="C2409" s="4">
        <v>9127332786</v>
      </c>
      <c r="D2409" s="4" t="s">
        <v>59</v>
      </c>
      <c r="E2409" s="4" t="s">
        <v>73</v>
      </c>
      <c r="F2409" s="4" t="s">
        <v>74</v>
      </c>
      <c r="G2409" s="4" t="s">
        <v>1621</v>
      </c>
      <c r="H2409" s="4" t="s">
        <v>5045</v>
      </c>
      <c r="I2409" s="2" t="str">
        <f t="shared" si="185"/>
        <v>Apr</v>
      </c>
      <c r="J2409" s="2">
        <f t="shared" si="186"/>
        <v>4</v>
      </c>
      <c r="K2409" s="2">
        <f t="shared" si="187"/>
        <v>2026</v>
      </c>
      <c r="L2409" s="2">
        <f t="shared" si="188"/>
        <v>2</v>
      </c>
      <c r="M2409" s="4">
        <v>4</v>
      </c>
      <c r="N2409" s="4" t="s">
        <v>5074</v>
      </c>
      <c r="O2409" s="4" t="s">
        <v>27</v>
      </c>
      <c r="P2409" s="5">
        <v>664271</v>
      </c>
      <c r="Q2409" s="4"/>
      <c r="R2409" s="4"/>
      <c r="S2409" s="4" t="s">
        <v>5573</v>
      </c>
      <c r="T2409" s="4">
        <v>2.7</v>
      </c>
      <c r="U2409" s="4" t="s">
        <v>29</v>
      </c>
      <c r="V2409" s="4" t="s">
        <v>202</v>
      </c>
      <c r="W2409" s="67" t="str">
        <f t="shared" si="189"/>
        <v>-</v>
      </c>
    </row>
    <row r="2410" spans="1:23" x14ac:dyDescent="0.3">
      <c r="A2410" s="6" t="s">
        <v>5187</v>
      </c>
      <c r="B2410" s="6" t="s">
        <v>2883</v>
      </c>
      <c r="C2410" s="6">
        <v>9384739014</v>
      </c>
      <c r="D2410" s="6" t="s">
        <v>59</v>
      </c>
      <c r="E2410" s="6" t="s">
        <v>41</v>
      </c>
      <c r="F2410" s="6" t="s">
        <v>42</v>
      </c>
      <c r="G2410" s="6" t="s">
        <v>616</v>
      </c>
      <c r="H2410" s="6" t="s">
        <v>5045</v>
      </c>
      <c r="I2410" s="2" t="str">
        <f t="shared" si="185"/>
        <v>Apr</v>
      </c>
      <c r="J2410" s="2">
        <f t="shared" si="186"/>
        <v>4</v>
      </c>
      <c r="K2410" s="2">
        <f t="shared" si="187"/>
        <v>2026</v>
      </c>
      <c r="L2410" s="2">
        <f t="shared" si="188"/>
        <v>2</v>
      </c>
      <c r="M2410" s="6">
        <v>4</v>
      </c>
      <c r="N2410" s="6" t="s">
        <v>5139</v>
      </c>
      <c r="O2410" s="6" t="s">
        <v>97</v>
      </c>
      <c r="P2410" s="7">
        <v>240804</v>
      </c>
      <c r="Q2410" s="7">
        <v>241235</v>
      </c>
      <c r="R2410" s="6" t="s">
        <v>4982</v>
      </c>
      <c r="S2410" s="6" t="s">
        <v>5195</v>
      </c>
      <c r="T2410" s="6">
        <v>23.5</v>
      </c>
      <c r="U2410" s="6" t="s">
        <v>63</v>
      </c>
      <c r="V2410" s="6" t="s">
        <v>465</v>
      </c>
      <c r="W2410" s="67" t="str">
        <f t="shared" si="189"/>
        <v>Customer</v>
      </c>
    </row>
    <row r="2411" spans="1:23" x14ac:dyDescent="0.3">
      <c r="A2411" s="6" t="s">
        <v>5188</v>
      </c>
      <c r="B2411" s="6" t="s">
        <v>5189</v>
      </c>
      <c r="C2411" s="6">
        <v>9301637057</v>
      </c>
      <c r="D2411" s="6" t="s">
        <v>59</v>
      </c>
      <c r="E2411" s="6" t="s">
        <v>73</v>
      </c>
      <c r="F2411" s="6" t="s">
        <v>74</v>
      </c>
      <c r="G2411" s="6" t="s">
        <v>1735</v>
      </c>
      <c r="H2411" s="6" t="s">
        <v>5045</v>
      </c>
      <c r="I2411" s="2" t="str">
        <f t="shared" si="185"/>
        <v>Apr</v>
      </c>
      <c r="J2411" s="2">
        <f t="shared" si="186"/>
        <v>4</v>
      </c>
      <c r="K2411" s="2">
        <f t="shared" si="187"/>
        <v>2026</v>
      </c>
      <c r="L2411" s="2">
        <f t="shared" si="188"/>
        <v>2</v>
      </c>
      <c r="M2411" s="6">
        <v>11</v>
      </c>
      <c r="N2411" s="6" t="s">
        <v>5025</v>
      </c>
      <c r="O2411" s="6" t="s">
        <v>97</v>
      </c>
      <c r="P2411" s="7">
        <v>1978459</v>
      </c>
      <c r="Q2411" s="7">
        <v>2010971</v>
      </c>
      <c r="R2411" s="6" t="s">
        <v>5025</v>
      </c>
      <c r="S2411" s="6" t="s">
        <v>5573</v>
      </c>
      <c r="T2411" s="6">
        <v>22.4</v>
      </c>
      <c r="U2411" s="6" t="s">
        <v>63</v>
      </c>
      <c r="V2411" s="6" t="s">
        <v>99</v>
      </c>
      <c r="W2411" s="67" t="str">
        <f t="shared" si="189"/>
        <v>Customer</v>
      </c>
    </row>
    <row r="2412" spans="1:23" x14ac:dyDescent="0.3">
      <c r="A2412" s="6" t="s">
        <v>5190</v>
      </c>
      <c r="B2412" s="6" t="s">
        <v>5191</v>
      </c>
      <c r="C2412" s="6">
        <v>9676913468</v>
      </c>
      <c r="D2412" s="6" t="s">
        <v>59</v>
      </c>
      <c r="E2412" s="6" t="s">
        <v>21</v>
      </c>
      <c r="F2412" s="6" t="s">
        <v>230</v>
      </c>
      <c r="G2412" s="6" t="s">
        <v>23</v>
      </c>
      <c r="H2412" s="6" t="s">
        <v>5045</v>
      </c>
      <c r="I2412" s="2" t="str">
        <f t="shared" si="185"/>
        <v>Apr</v>
      </c>
      <c r="J2412" s="2">
        <f t="shared" si="186"/>
        <v>4</v>
      </c>
      <c r="K2412" s="2">
        <f t="shared" si="187"/>
        <v>2026</v>
      </c>
      <c r="L2412" s="2">
        <f t="shared" si="188"/>
        <v>2</v>
      </c>
      <c r="M2412" s="6">
        <v>6</v>
      </c>
      <c r="N2412" s="6" t="s">
        <v>5184</v>
      </c>
      <c r="O2412" s="6" t="s">
        <v>97</v>
      </c>
      <c r="P2412" s="7">
        <v>608349</v>
      </c>
      <c r="Q2412" s="7">
        <v>559088</v>
      </c>
      <c r="R2412" s="6" t="s">
        <v>5025</v>
      </c>
      <c r="S2412" s="6" t="s">
        <v>5195</v>
      </c>
      <c r="T2412" s="6">
        <v>35.299999999999997</v>
      </c>
      <c r="U2412" s="6" t="s">
        <v>47</v>
      </c>
      <c r="V2412" s="6"/>
      <c r="W2412" s="67" t="str">
        <f t="shared" si="189"/>
        <v>Customer</v>
      </c>
    </row>
    <row r="2413" spans="1:23" x14ac:dyDescent="0.3">
      <c r="A2413" s="4" t="s">
        <v>5192</v>
      </c>
      <c r="B2413" s="4" t="s">
        <v>5193</v>
      </c>
      <c r="C2413" s="4">
        <v>9923672521</v>
      </c>
      <c r="D2413" s="4" t="s">
        <v>59</v>
      </c>
      <c r="E2413" s="4" t="s">
        <v>41</v>
      </c>
      <c r="F2413" s="4" t="s">
        <v>42</v>
      </c>
      <c r="G2413" s="4" t="s">
        <v>23</v>
      </c>
      <c r="H2413" s="4" t="s">
        <v>5045</v>
      </c>
      <c r="I2413" s="2" t="str">
        <f t="shared" si="185"/>
        <v>Apr</v>
      </c>
      <c r="J2413" s="2">
        <f t="shared" si="186"/>
        <v>4</v>
      </c>
      <c r="K2413" s="2">
        <f t="shared" si="187"/>
        <v>2026</v>
      </c>
      <c r="L2413" s="2">
        <f t="shared" si="188"/>
        <v>2</v>
      </c>
      <c r="M2413" s="4">
        <v>10</v>
      </c>
      <c r="N2413" s="4" t="s">
        <v>5184</v>
      </c>
      <c r="O2413" s="4" t="s">
        <v>45</v>
      </c>
      <c r="P2413" s="5">
        <v>401054</v>
      </c>
      <c r="Q2413" s="4"/>
      <c r="R2413" s="4"/>
      <c r="S2413" s="4" t="s">
        <v>5195</v>
      </c>
      <c r="T2413" s="4">
        <v>21.9</v>
      </c>
      <c r="U2413" s="4" t="s">
        <v>47</v>
      </c>
      <c r="V2413" s="4" t="s">
        <v>174</v>
      </c>
      <c r="W2413" s="67" t="str">
        <f t="shared" si="189"/>
        <v>-</v>
      </c>
    </row>
    <row r="2414" spans="1:23" x14ac:dyDescent="0.3">
      <c r="A2414" s="10" t="s">
        <v>5194</v>
      </c>
      <c r="B2414" s="10" t="s">
        <v>1391</v>
      </c>
      <c r="C2414" s="10">
        <v>9272296624</v>
      </c>
      <c r="D2414" s="10" t="s">
        <v>59</v>
      </c>
      <c r="E2414" s="10" t="s">
        <v>41</v>
      </c>
      <c r="F2414" s="10" t="s">
        <v>86</v>
      </c>
      <c r="G2414" s="10" t="s">
        <v>52</v>
      </c>
      <c r="H2414" s="10" t="s">
        <v>5087</v>
      </c>
      <c r="I2414" s="2" t="str">
        <f t="shared" si="185"/>
        <v>Apr</v>
      </c>
      <c r="J2414" s="2">
        <f t="shared" si="186"/>
        <v>4</v>
      </c>
      <c r="K2414" s="2">
        <f t="shared" si="187"/>
        <v>2026</v>
      </c>
      <c r="L2414" s="2">
        <f t="shared" si="188"/>
        <v>2</v>
      </c>
      <c r="M2414" s="10">
        <v>3</v>
      </c>
      <c r="N2414" s="10" t="s">
        <v>4982</v>
      </c>
      <c r="O2414" s="10" t="s">
        <v>62</v>
      </c>
      <c r="P2414" s="11">
        <v>282537</v>
      </c>
      <c r="Q2414" s="10"/>
      <c r="R2414" s="10"/>
      <c r="S2414" s="10" t="s">
        <v>5819</v>
      </c>
      <c r="T2414" s="10">
        <v>15</v>
      </c>
      <c r="U2414" s="10" t="s">
        <v>47</v>
      </c>
      <c r="V2414" s="10" t="s">
        <v>212</v>
      </c>
      <c r="W2414" s="67" t="str">
        <f t="shared" si="189"/>
        <v>-</v>
      </c>
    </row>
    <row r="2415" spans="1:23" x14ac:dyDescent="0.3">
      <c r="A2415" s="4" t="s">
        <v>5196</v>
      </c>
      <c r="B2415" s="4" t="s">
        <v>1859</v>
      </c>
      <c r="C2415" s="4">
        <v>9430899648</v>
      </c>
      <c r="D2415" s="4" t="s">
        <v>59</v>
      </c>
      <c r="E2415" s="4" t="s">
        <v>1632</v>
      </c>
      <c r="F2415" s="4" t="s">
        <v>1682</v>
      </c>
      <c r="G2415" s="4" t="s">
        <v>643</v>
      </c>
      <c r="H2415" s="4" t="s">
        <v>5081</v>
      </c>
      <c r="I2415" s="2" t="str">
        <f t="shared" si="185"/>
        <v>Apr</v>
      </c>
      <c r="J2415" s="2">
        <f t="shared" si="186"/>
        <v>4</v>
      </c>
      <c r="K2415" s="2">
        <f t="shared" si="187"/>
        <v>2026</v>
      </c>
      <c r="L2415" s="2">
        <f t="shared" si="188"/>
        <v>2</v>
      </c>
      <c r="M2415" s="4">
        <v>10</v>
      </c>
      <c r="N2415" s="4" t="s">
        <v>5025</v>
      </c>
      <c r="O2415" s="4" t="s">
        <v>27</v>
      </c>
      <c r="P2415" s="4"/>
      <c r="Q2415" s="4"/>
      <c r="R2415" s="4"/>
      <c r="S2415" s="4" t="s">
        <v>5195</v>
      </c>
      <c r="T2415" s="4">
        <v>24.6</v>
      </c>
      <c r="U2415" s="4" t="s">
        <v>47</v>
      </c>
      <c r="V2415" s="4" t="s">
        <v>238</v>
      </c>
      <c r="W2415" s="67" t="str">
        <f t="shared" si="189"/>
        <v>-</v>
      </c>
    </row>
    <row r="2416" spans="1:23" x14ac:dyDescent="0.3">
      <c r="A2416" s="6" t="s">
        <v>5197</v>
      </c>
      <c r="B2416" s="6" t="s">
        <v>501</v>
      </c>
      <c r="C2416" s="6">
        <v>9156335905</v>
      </c>
      <c r="D2416" s="6" t="s">
        <v>59</v>
      </c>
      <c r="E2416" s="6" t="s">
        <v>1632</v>
      </c>
      <c r="F2416" s="6" t="s">
        <v>1717</v>
      </c>
      <c r="G2416" s="6" t="s">
        <v>1609</v>
      </c>
      <c r="H2416" s="6" t="s">
        <v>5081</v>
      </c>
      <c r="I2416" s="2" t="str">
        <f t="shared" si="185"/>
        <v>Apr</v>
      </c>
      <c r="J2416" s="2">
        <f t="shared" si="186"/>
        <v>4</v>
      </c>
      <c r="K2416" s="2">
        <f t="shared" si="187"/>
        <v>2026</v>
      </c>
      <c r="L2416" s="2">
        <f t="shared" si="188"/>
        <v>2</v>
      </c>
      <c r="M2416" s="6">
        <v>6</v>
      </c>
      <c r="N2416" s="6" t="s">
        <v>5025</v>
      </c>
      <c r="O2416" s="6" t="s">
        <v>27</v>
      </c>
      <c r="P2416" s="7">
        <v>308553</v>
      </c>
      <c r="Q2416" s="7"/>
      <c r="R2416" s="6"/>
      <c r="S2416" s="6" t="s">
        <v>5819</v>
      </c>
      <c r="T2416" s="6">
        <v>18.899999999999999</v>
      </c>
      <c r="U2416" s="6" t="s">
        <v>63</v>
      </c>
      <c r="V2416" s="6" t="s">
        <v>5575</v>
      </c>
      <c r="W2416" s="67" t="str">
        <f t="shared" si="189"/>
        <v>-</v>
      </c>
    </row>
    <row r="2417" spans="1:23" x14ac:dyDescent="0.3">
      <c r="A2417" s="10" t="s">
        <v>5198</v>
      </c>
      <c r="B2417" s="10" t="s">
        <v>1716</v>
      </c>
      <c r="C2417" s="10">
        <v>9750123761</v>
      </c>
      <c r="D2417" s="10" t="s">
        <v>20</v>
      </c>
      <c r="E2417" s="10" t="s">
        <v>41</v>
      </c>
      <c r="F2417" s="10" t="s">
        <v>92</v>
      </c>
      <c r="G2417" s="10" t="s">
        <v>616</v>
      </c>
      <c r="H2417" s="10" t="s">
        <v>5081</v>
      </c>
      <c r="I2417" s="2" t="str">
        <f t="shared" si="185"/>
        <v>Apr</v>
      </c>
      <c r="J2417" s="2">
        <f t="shared" si="186"/>
        <v>4</v>
      </c>
      <c r="K2417" s="2">
        <f t="shared" si="187"/>
        <v>2026</v>
      </c>
      <c r="L2417" s="2">
        <f t="shared" si="188"/>
        <v>2</v>
      </c>
      <c r="M2417" s="10">
        <v>7</v>
      </c>
      <c r="N2417" s="10" t="s">
        <v>5025</v>
      </c>
      <c r="O2417" s="10" t="s">
        <v>27</v>
      </c>
      <c r="P2417" s="11">
        <v>153529</v>
      </c>
      <c r="Q2417" s="10"/>
      <c r="R2417" s="10"/>
      <c r="S2417" s="10" t="s">
        <v>5195</v>
      </c>
      <c r="T2417" s="10">
        <v>17.2</v>
      </c>
      <c r="U2417" s="10" t="s">
        <v>29</v>
      </c>
      <c r="V2417" s="10" t="s">
        <v>5576</v>
      </c>
      <c r="W2417" s="67" t="str">
        <f t="shared" si="189"/>
        <v>-</v>
      </c>
    </row>
    <row r="2418" spans="1:23" x14ac:dyDescent="0.3">
      <c r="A2418" s="6" t="s">
        <v>5200</v>
      </c>
      <c r="B2418" s="6" t="s">
        <v>4494</v>
      </c>
      <c r="C2418" s="6">
        <v>9253709122</v>
      </c>
      <c r="D2418" s="6" t="s">
        <v>20</v>
      </c>
      <c r="E2418" s="6" t="s">
        <v>21</v>
      </c>
      <c r="F2418" s="6" t="s">
        <v>22</v>
      </c>
      <c r="G2418" s="6" t="s">
        <v>1599</v>
      </c>
      <c r="H2418" s="6" t="s">
        <v>5081</v>
      </c>
      <c r="I2418" s="2" t="str">
        <f t="shared" si="185"/>
        <v>Apr</v>
      </c>
      <c r="J2418" s="2">
        <f t="shared" si="186"/>
        <v>4</v>
      </c>
      <c r="K2418" s="2">
        <f t="shared" si="187"/>
        <v>2026</v>
      </c>
      <c r="L2418" s="2">
        <f t="shared" si="188"/>
        <v>2</v>
      </c>
      <c r="M2418" s="6">
        <v>6</v>
      </c>
      <c r="N2418" s="6" t="s">
        <v>5025</v>
      </c>
      <c r="O2418" s="6" t="s">
        <v>27</v>
      </c>
      <c r="P2418" s="7">
        <v>680655</v>
      </c>
      <c r="Q2418" s="7"/>
      <c r="R2418" s="6"/>
      <c r="S2418" s="6" t="s">
        <v>5819</v>
      </c>
      <c r="T2418" s="6">
        <v>30.4</v>
      </c>
      <c r="U2418" s="6" t="s">
        <v>63</v>
      </c>
      <c r="V2418" s="6" t="s">
        <v>5575</v>
      </c>
      <c r="W2418" s="67" t="str">
        <f t="shared" si="189"/>
        <v>-</v>
      </c>
    </row>
    <row r="2419" spans="1:23" x14ac:dyDescent="0.3">
      <c r="A2419" s="6" t="s">
        <v>5201</v>
      </c>
      <c r="B2419" s="6" t="s">
        <v>5202</v>
      </c>
      <c r="C2419" s="6">
        <v>9402088262</v>
      </c>
      <c r="D2419" s="6" t="s">
        <v>59</v>
      </c>
      <c r="E2419" s="6" t="s">
        <v>641</v>
      </c>
      <c r="F2419" s="6" t="s">
        <v>727</v>
      </c>
      <c r="G2419" s="6" t="s">
        <v>52</v>
      </c>
      <c r="H2419" s="6" t="s">
        <v>5199</v>
      </c>
      <c r="I2419" s="2" t="str">
        <f t="shared" si="185"/>
        <v>Apr</v>
      </c>
      <c r="J2419" s="2">
        <f t="shared" si="186"/>
        <v>4</v>
      </c>
      <c r="K2419" s="2">
        <f t="shared" si="187"/>
        <v>2026</v>
      </c>
      <c r="L2419" s="2">
        <f t="shared" si="188"/>
        <v>2</v>
      </c>
      <c r="M2419" s="6">
        <v>3</v>
      </c>
      <c r="N2419" s="6" t="s">
        <v>5184</v>
      </c>
      <c r="O2419" s="6" t="s">
        <v>97</v>
      </c>
      <c r="P2419" s="7">
        <v>446323</v>
      </c>
      <c r="Q2419" s="7">
        <v>410511</v>
      </c>
      <c r="R2419" s="6" t="s">
        <v>5025</v>
      </c>
      <c r="S2419" s="6" t="s">
        <v>5819</v>
      </c>
      <c r="T2419" s="6">
        <v>33.5</v>
      </c>
      <c r="U2419" s="6" t="s">
        <v>63</v>
      </c>
      <c r="V2419" s="6" t="s">
        <v>243</v>
      </c>
      <c r="W2419" s="67" t="str">
        <f t="shared" si="189"/>
        <v>Customer</v>
      </c>
    </row>
    <row r="2420" spans="1:23" x14ac:dyDescent="0.3">
      <c r="A2420" s="10" t="s">
        <v>5203</v>
      </c>
      <c r="B2420" s="10" t="s">
        <v>5204</v>
      </c>
      <c r="C2420" s="10">
        <v>9701623488</v>
      </c>
      <c r="D2420" s="10" t="s">
        <v>5577</v>
      </c>
      <c r="E2420" s="10" t="s">
        <v>648</v>
      </c>
      <c r="F2420" s="10" t="s">
        <v>822</v>
      </c>
      <c r="G2420" s="10" t="s">
        <v>616</v>
      </c>
      <c r="H2420" s="10" t="s">
        <v>5047</v>
      </c>
      <c r="I2420" s="2" t="str">
        <f t="shared" si="185"/>
        <v>Apr</v>
      </c>
      <c r="J2420" s="2">
        <f t="shared" si="186"/>
        <v>4</v>
      </c>
      <c r="K2420" s="2">
        <f t="shared" si="187"/>
        <v>2026</v>
      </c>
      <c r="L2420" s="2">
        <f t="shared" si="188"/>
        <v>2</v>
      </c>
      <c r="M2420" s="10">
        <v>5</v>
      </c>
      <c r="N2420" s="10" t="s">
        <v>5024</v>
      </c>
      <c r="O2420" s="10" t="s">
        <v>45</v>
      </c>
      <c r="P2420" s="11">
        <v>272124</v>
      </c>
      <c r="Q2420" s="10"/>
      <c r="R2420" s="10"/>
      <c r="S2420" s="10" t="s">
        <v>5819</v>
      </c>
      <c r="T2420" s="10">
        <v>5.2</v>
      </c>
      <c r="U2420" s="10" t="s">
        <v>47</v>
      </c>
      <c r="V2420" s="10" t="s">
        <v>5578</v>
      </c>
      <c r="W2420" s="67" t="str">
        <f t="shared" si="189"/>
        <v>-</v>
      </c>
    </row>
    <row r="2421" spans="1:23" x14ac:dyDescent="0.3">
      <c r="A2421" s="10" t="s">
        <v>5206</v>
      </c>
      <c r="B2421" s="10" t="s">
        <v>945</v>
      </c>
      <c r="C2421" s="10">
        <v>9412230171</v>
      </c>
      <c r="D2421" s="10" t="s">
        <v>59</v>
      </c>
      <c r="E2421" s="10" t="s">
        <v>1632</v>
      </c>
      <c r="F2421" s="10" t="s">
        <v>1694</v>
      </c>
      <c r="G2421" s="10" t="s">
        <v>1609</v>
      </c>
      <c r="H2421" s="10" t="s">
        <v>5047</v>
      </c>
      <c r="I2421" s="2" t="str">
        <f t="shared" si="185"/>
        <v>Apr</v>
      </c>
      <c r="J2421" s="2">
        <f t="shared" si="186"/>
        <v>4</v>
      </c>
      <c r="K2421" s="2">
        <f t="shared" si="187"/>
        <v>2026</v>
      </c>
      <c r="L2421" s="2">
        <f t="shared" si="188"/>
        <v>2</v>
      </c>
      <c r="M2421" s="10">
        <v>8</v>
      </c>
      <c r="N2421" s="10" t="s">
        <v>5025</v>
      </c>
      <c r="O2421" s="10" t="s">
        <v>27</v>
      </c>
      <c r="P2421" s="11">
        <v>514301</v>
      </c>
      <c r="Q2421" s="11"/>
      <c r="R2421" s="10"/>
      <c r="S2421" s="10" t="s">
        <v>5573</v>
      </c>
      <c r="T2421" s="10">
        <v>4</v>
      </c>
      <c r="U2421" s="10" t="s">
        <v>63</v>
      </c>
      <c r="V2421" s="10" t="s">
        <v>5579</v>
      </c>
      <c r="W2421" s="67" t="str">
        <f t="shared" si="189"/>
        <v>-</v>
      </c>
    </row>
    <row r="2422" spans="1:23" x14ac:dyDescent="0.3">
      <c r="A2422" s="2" t="s">
        <v>5207</v>
      </c>
      <c r="B2422" s="2" t="s">
        <v>419</v>
      </c>
      <c r="C2422" s="2">
        <v>9156110507</v>
      </c>
      <c r="D2422" s="2" t="s">
        <v>5577</v>
      </c>
      <c r="E2422" s="2" t="s">
        <v>648</v>
      </c>
      <c r="F2422" s="2" t="s">
        <v>899</v>
      </c>
      <c r="G2422" s="2" t="s">
        <v>643</v>
      </c>
      <c r="H2422" s="2" t="s">
        <v>5047</v>
      </c>
      <c r="I2422" s="2" t="str">
        <f t="shared" si="185"/>
        <v>Apr</v>
      </c>
      <c r="J2422" s="2">
        <f t="shared" si="186"/>
        <v>4</v>
      </c>
      <c r="K2422" s="2">
        <f t="shared" si="187"/>
        <v>2026</v>
      </c>
      <c r="L2422" s="2">
        <f t="shared" si="188"/>
        <v>2</v>
      </c>
      <c r="M2422" s="2">
        <v>1</v>
      </c>
      <c r="N2422" s="2" t="s">
        <v>5042</v>
      </c>
      <c r="O2422" s="2" t="s">
        <v>27</v>
      </c>
      <c r="P2422" s="3">
        <v>831296</v>
      </c>
      <c r="Q2422" s="2"/>
      <c r="R2422" s="2"/>
      <c r="S2422" s="2" t="s">
        <v>5819</v>
      </c>
      <c r="T2422" s="2">
        <v>26.2</v>
      </c>
      <c r="U2422" s="2" t="s">
        <v>29</v>
      </c>
      <c r="V2422" s="2" t="s">
        <v>5576</v>
      </c>
      <c r="W2422" s="67" t="str">
        <f t="shared" si="189"/>
        <v>-</v>
      </c>
    </row>
    <row r="2423" spans="1:23" x14ac:dyDescent="0.3">
      <c r="A2423" s="10" t="s">
        <v>5208</v>
      </c>
      <c r="B2423" s="10" t="s">
        <v>3487</v>
      </c>
      <c r="C2423" s="10"/>
      <c r="D2423" s="10" t="s">
        <v>20</v>
      </c>
      <c r="E2423" s="10" t="s">
        <v>1632</v>
      </c>
      <c r="F2423" s="10" t="s">
        <v>1717</v>
      </c>
      <c r="G2423" s="10" t="s">
        <v>3302</v>
      </c>
      <c r="H2423" s="10" t="s">
        <v>5041</v>
      </c>
      <c r="I2423" s="2" t="str">
        <f t="shared" si="185"/>
        <v>Apr</v>
      </c>
      <c r="J2423" s="2">
        <f t="shared" si="186"/>
        <v>4</v>
      </c>
      <c r="K2423" s="2">
        <f t="shared" si="187"/>
        <v>2026</v>
      </c>
      <c r="L2423" s="2">
        <f t="shared" si="188"/>
        <v>2</v>
      </c>
      <c r="M2423" s="10">
        <v>1</v>
      </c>
      <c r="N2423" s="10" t="s">
        <v>4981</v>
      </c>
      <c r="O2423" s="10" t="s">
        <v>27</v>
      </c>
      <c r="P2423" s="11">
        <v>2018040</v>
      </c>
      <c r="Q2423" s="10"/>
      <c r="R2423" s="10"/>
      <c r="S2423" s="10" t="s">
        <v>5573</v>
      </c>
      <c r="T2423" s="10">
        <v>30.1</v>
      </c>
      <c r="U2423" s="10" t="s">
        <v>29</v>
      </c>
      <c r="V2423" s="10" t="s">
        <v>5580</v>
      </c>
      <c r="W2423" s="67" t="str">
        <f t="shared" si="189"/>
        <v>-</v>
      </c>
    </row>
    <row r="2424" spans="1:23" x14ac:dyDescent="0.3">
      <c r="A2424" s="10" t="s">
        <v>5209</v>
      </c>
      <c r="B2424" s="10" t="s">
        <v>5210</v>
      </c>
      <c r="C2424" s="10">
        <v>9779448672</v>
      </c>
      <c r="D2424" s="10" t="s">
        <v>59</v>
      </c>
      <c r="E2424" s="10" t="s">
        <v>41</v>
      </c>
      <c r="F2424" s="10" t="s">
        <v>86</v>
      </c>
      <c r="G2424" s="10" t="s">
        <v>1735</v>
      </c>
      <c r="H2424" s="10" t="s">
        <v>5041</v>
      </c>
      <c r="I2424" s="2" t="str">
        <f t="shared" si="185"/>
        <v>Apr</v>
      </c>
      <c r="J2424" s="2">
        <f t="shared" si="186"/>
        <v>4</v>
      </c>
      <c r="K2424" s="2">
        <f t="shared" si="187"/>
        <v>2026</v>
      </c>
      <c r="L2424" s="2">
        <f t="shared" si="188"/>
        <v>2</v>
      </c>
      <c r="M2424" s="10">
        <v>3</v>
      </c>
      <c r="N2424" s="10" t="s">
        <v>5139</v>
      </c>
      <c r="O2424" s="10" t="s">
        <v>97</v>
      </c>
      <c r="P2424" s="11">
        <v>2023685</v>
      </c>
      <c r="Q2424" s="11">
        <v>2079554</v>
      </c>
      <c r="R2424" s="10" t="s">
        <v>5025</v>
      </c>
      <c r="S2424" s="10" t="s">
        <v>5819</v>
      </c>
      <c r="T2424" s="10">
        <v>35.5</v>
      </c>
      <c r="U2424" s="10" t="s">
        <v>63</v>
      </c>
      <c r="V2424" s="10" t="s">
        <v>295</v>
      </c>
      <c r="W2424" s="67" t="str">
        <f t="shared" si="189"/>
        <v>Customer</v>
      </c>
    </row>
    <row r="2425" spans="1:23" x14ac:dyDescent="0.3">
      <c r="A2425" s="10" t="s">
        <v>5211</v>
      </c>
      <c r="B2425" s="10" t="s">
        <v>1037</v>
      </c>
      <c r="C2425" s="10">
        <v>9747231351</v>
      </c>
      <c r="D2425" s="10" t="s">
        <v>20</v>
      </c>
      <c r="E2425" s="10" t="s">
        <v>1632</v>
      </c>
      <c r="F2425" s="10" t="s">
        <v>1659</v>
      </c>
      <c r="G2425" s="10" t="s">
        <v>643</v>
      </c>
      <c r="H2425" s="10" t="s">
        <v>5041</v>
      </c>
      <c r="I2425" s="2" t="str">
        <f t="shared" si="185"/>
        <v>Apr</v>
      </c>
      <c r="J2425" s="2">
        <f t="shared" si="186"/>
        <v>4</v>
      </c>
      <c r="K2425" s="2">
        <f t="shared" si="187"/>
        <v>2026</v>
      </c>
      <c r="L2425" s="2">
        <f t="shared" si="188"/>
        <v>2</v>
      </c>
      <c r="M2425" s="10">
        <v>1</v>
      </c>
      <c r="N2425" s="10" t="s">
        <v>4925</v>
      </c>
      <c r="O2425" s="10" t="s">
        <v>97</v>
      </c>
      <c r="P2425" s="11">
        <v>916110</v>
      </c>
      <c r="Q2425" s="11">
        <v>872283</v>
      </c>
      <c r="R2425" s="10" t="s">
        <v>5025</v>
      </c>
      <c r="S2425" s="10" t="s">
        <v>5573</v>
      </c>
      <c r="T2425" s="10">
        <v>3</v>
      </c>
      <c r="U2425" s="10" t="s">
        <v>63</v>
      </c>
      <c r="V2425" s="10" t="s">
        <v>341</v>
      </c>
      <c r="W2425" s="67" t="str">
        <f t="shared" si="189"/>
        <v>Customer</v>
      </c>
    </row>
    <row r="2426" spans="1:23" x14ac:dyDescent="0.3">
      <c r="A2426" s="2" t="s">
        <v>5212</v>
      </c>
      <c r="B2426" s="2" t="s">
        <v>1795</v>
      </c>
      <c r="C2426" s="2">
        <v>9243825399</v>
      </c>
      <c r="D2426" s="2" t="s">
        <v>59</v>
      </c>
      <c r="E2426" s="2" t="s">
        <v>109</v>
      </c>
      <c r="F2426" s="2" t="s">
        <v>331</v>
      </c>
      <c r="G2426" s="2" t="s">
        <v>1735</v>
      </c>
      <c r="H2426" s="2" t="s">
        <v>4948</v>
      </c>
      <c r="I2426" s="2" t="str">
        <f t="shared" si="185"/>
        <v>Apr</v>
      </c>
      <c r="J2426" s="2">
        <f t="shared" si="186"/>
        <v>4</v>
      </c>
      <c r="K2426" s="2">
        <f t="shared" si="187"/>
        <v>2026</v>
      </c>
      <c r="L2426" s="2">
        <f t="shared" si="188"/>
        <v>2</v>
      </c>
      <c r="M2426" s="2">
        <v>7</v>
      </c>
      <c r="N2426" s="2" t="s">
        <v>5025</v>
      </c>
      <c r="O2426" s="2" t="s">
        <v>27</v>
      </c>
      <c r="P2426" s="3">
        <v>1776631</v>
      </c>
      <c r="Q2426" s="2"/>
      <c r="R2426" s="2"/>
      <c r="S2426" s="2" t="s">
        <v>5819</v>
      </c>
      <c r="T2426" s="2">
        <v>6.5</v>
      </c>
      <c r="U2426" s="2" t="s">
        <v>29</v>
      </c>
      <c r="V2426" s="2" t="s">
        <v>30</v>
      </c>
      <c r="W2426" s="67" t="str">
        <f t="shared" si="189"/>
        <v>-</v>
      </c>
    </row>
    <row r="2427" spans="1:23" x14ac:dyDescent="0.3">
      <c r="A2427" s="4" t="s">
        <v>5214</v>
      </c>
      <c r="B2427" s="4" t="s">
        <v>1018</v>
      </c>
      <c r="C2427" s="4">
        <v>9479713694</v>
      </c>
      <c r="D2427" s="4" t="s">
        <v>20</v>
      </c>
      <c r="E2427" s="4" t="s">
        <v>41</v>
      </c>
      <c r="F2427" s="4" t="s">
        <v>42</v>
      </c>
      <c r="G2427" s="4" t="s">
        <v>23</v>
      </c>
      <c r="H2427" s="4" t="s">
        <v>4948</v>
      </c>
      <c r="I2427" s="2" t="str">
        <f t="shared" si="185"/>
        <v>Apr</v>
      </c>
      <c r="J2427" s="2">
        <f t="shared" si="186"/>
        <v>4</v>
      </c>
      <c r="K2427" s="2">
        <f t="shared" si="187"/>
        <v>2026</v>
      </c>
      <c r="L2427" s="2">
        <f t="shared" si="188"/>
        <v>2</v>
      </c>
      <c r="M2427" s="4">
        <v>9</v>
      </c>
      <c r="N2427" s="4" t="s">
        <v>5024</v>
      </c>
      <c r="O2427" s="4" t="s">
        <v>45</v>
      </c>
      <c r="P2427" s="5">
        <v>640168</v>
      </c>
      <c r="Q2427" s="4"/>
      <c r="R2427" s="4"/>
      <c r="S2427" s="4" t="s">
        <v>5819</v>
      </c>
      <c r="T2427" s="4">
        <v>3.2</v>
      </c>
      <c r="U2427" s="4" t="s">
        <v>47</v>
      </c>
      <c r="V2427" s="4" t="s">
        <v>276</v>
      </c>
      <c r="W2427" s="67" t="str">
        <f t="shared" si="189"/>
        <v>-</v>
      </c>
    </row>
    <row r="2428" spans="1:23" x14ac:dyDescent="0.3">
      <c r="A2428" s="2" t="s">
        <v>5215</v>
      </c>
      <c r="B2428" s="2" t="s">
        <v>2725</v>
      </c>
      <c r="C2428" s="2">
        <v>9783564290</v>
      </c>
      <c r="D2428" s="2" t="s">
        <v>20</v>
      </c>
      <c r="E2428" s="2" t="s">
        <v>648</v>
      </c>
      <c r="F2428" s="2" t="s">
        <v>649</v>
      </c>
      <c r="G2428" s="2" t="s">
        <v>643</v>
      </c>
      <c r="H2428" s="2" t="s">
        <v>4948</v>
      </c>
      <c r="I2428" s="2" t="str">
        <f t="shared" si="185"/>
        <v>Apr</v>
      </c>
      <c r="J2428" s="2">
        <f t="shared" si="186"/>
        <v>4</v>
      </c>
      <c r="K2428" s="2">
        <f t="shared" si="187"/>
        <v>2026</v>
      </c>
      <c r="L2428" s="2">
        <f t="shared" si="188"/>
        <v>2</v>
      </c>
      <c r="M2428" s="2">
        <v>0</v>
      </c>
      <c r="N2428" s="2" t="s">
        <v>5139</v>
      </c>
      <c r="O2428" s="2" t="s">
        <v>27</v>
      </c>
      <c r="P2428" s="3">
        <v>939597</v>
      </c>
      <c r="Q2428" s="2"/>
      <c r="R2428" s="2"/>
      <c r="S2428" s="2" t="s">
        <v>5573</v>
      </c>
      <c r="T2428" s="2">
        <v>9.8000000000000007</v>
      </c>
      <c r="U2428" s="2" t="s">
        <v>29</v>
      </c>
      <c r="V2428" s="2" t="s">
        <v>5580</v>
      </c>
      <c r="W2428" s="67" t="str">
        <f t="shared" si="189"/>
        <v>-</v>
      </c>
    </row>
    <row r="2429" spans="1:23" x14ac:dyDescent="0.3">
      <c r="A2429" s="4" t="s">
        <v>5216</v>
      </c>
      <c r="B2429" s="4" t="s">
        <v>4123</v>
      </c>
      <c r="C2429" s="4">
        <v>9191220927</v>
      </c>
      <c r="D2429" s="4" t="s">
        <v>20</v>
      </c>
      <c r="E2429" s="4" t="s">
        <v>1632</v>
      </c>
      <c r="F2429" s="4" t="s">
        <v>1633</v>
      </c>
      <c r="G2429" s="4" t="s">
        <v>23</v>
      </c>
      <c r="H2429" s="4" t="s">
        <v>4948</v>
      </c>
      <c r="I2429" s="2" t="str">
        <f t="shared" si="185"/>
        <v>Apr</v>
      </c>
      <c r="J2429" s="2">
        <f t="shared" si="186"/>
        <v>4</v>
      </c>
      <c r="K2429" s="2">
        <f t="shared" si="187"/>
        <v>2026</v>
      </c>
      <c r="L2429" s="2">
        <f t="shared" si="188"/>
        <v>2</v>
      </c>
      <c r="M2429" s="4">
        <v>10</v>
      </c>
      <c r="N2429" s="4" t="s">
        <v>5025</v>
      </c>
      <c r="O2429" s="4" t="s">
        <v>45</v>
      </c>
      <c r="P2429" s="5">
        <v>834606</v>
      </c>
      <c r="Q2429" s="4"/>
      <c r="R2429" s="4"/>
      <c r="S2429" s="4" t="s">
        <v>5195</v>
      </c>
      <c r="T2429" s="4">
        <v>33.5</v>
      </c>
      <c r="U2429" s="4" t="s">
        <v>63</v>
      </c>
      <c r="V2429" s="4" t="s">
        <v>5581</v>
      </c>
      <c r="W2429" s="67" t="str">
        <f t="shared" si="189"/>
        <v>-</v>
      </c>
    </row>
    <row r="2430" spans="1:23" x14ac:dyDescent="0.3">
      <c r="A2430" s="6" t="s">
        <v>5217</v>
      </c>
      <c r="B2430" s="6" t="s">
        <v>5218</v>
      </c>
      <c r="C2430" s="6">
        <v>9311636860</v>
      </c>
      <c r="D2430" s="6" t="s">
        <v>59</v>
      </c>
      <c r="E2430" s="6" t="s">
        <v>73</v>
      </c>
      <c r="F2430" s="6" t="s">
        <v>74</v>
      </c>
      <c r="G2430" s="6" t="s">
        <v>1735</v>
      </c>
      <c r="H2430" s="6" t="s">
        <v>4948</v>
      </c>
      <c r="I2430" s="2" t="str">
        <f t="shared" si="185"/>
        <v>Apr</v>
      </c>
      <c r="J2430" s="2">
        <f t="shared" si="186"/>
        <v>4</v>
      </c>
      <c r="K2430" s="2">
        <f t="shared" si="187"/>
        <v>2026</v>
      </c>
      <c r="L2430" s="2">
        <f t="shared" si="188"/>
        <v>2</v>
      </c>
      <c r="M2430" s="6">
        <v>10</v>
      </c>
      <c r="N2430" s="6" t="s">
        <v>5025</v>
      </c>
      <c r="O2430" s="6" t="s">
        <v>27</v>
      </c>
      <c r="P2430" s="7">
        <v>2072760</v>
      </c>
      <c r="Q2430" s="7"/>
      <c r="R2430" s="6"/>
      <c r="S2430" s="6" t="s">
        <v>5573</v>
      </c>
      <c r="T2430" s="6">
        <v>20.9</v>
      </c>
      <c r="U2430" s="6" t="s">
        <v>63</v>
      </c>
      <c r="V2430" s="6" t="s">
        <v>5580</v>
      </c>
      <c r="W2430" s="67" t="str">
        <f t="shared" si="189"/>
        <v>-</v>
      </c>
    </row>
    <row r="2431" spans="1:23" x14ac:dyDescent="0.3">
      <c r="A2431" s="6" t="s">
        <v>5219</v>
      </c>
      <c r="B2431" s="6" t="s">
        <v>2381</v>
      </c>
      <c r="C2431" s="6">
        <v>9193703094</v>
      </c>
      <c r="D2431" s="6" t="s">
        <v>59</v>
      </c>
      <c r="E2431" s="6" t="s">
        <v>1632</v>
      </c>
      <c r="F2431" s="6" t="s">
        <v>1633</v>
      </c>
      <c r="G2431" s="6" t="s">
        <v>35</v>
      </c>
      <c r="H2431" s="6" t="s">
        <v>4948</v>
      </c>
      <c r="I2431" s="2" t="str">
        <f t="shared" si="185"/>
        <v>Apr</v>
      </c>
      <c r="J2431" s="2">
        <f t="shared" si="186"/>
        <v>4</v>
      </c>
      <c r="K2431" s="2">
        <f t="shared" si="187"/>
        <v>2026</v>
      </c>
      <c r="L2431" s="2">
        <f t="shared" si="188"/>
        <v>2</v>
      </c>
      <c r="M2431" s="6">
        <v>7</v>
      </c>
      <c r="N2431" s="6" t="s">
        <v>5220</v>
      </c>
      <c r="O2431" s="6" t="s">
        <v>97</v>
      </c>
      <c r="P2431" s="7">
        <v>308377</v>
      </c>
      <c r="Q2431" s="7">
        <v>290888</v>
      </c>
      <c r="R2431" s="6" t="s">
        <v>5025</v>
      </c>
      <c r="S2431" s="6" t="s">
        <v>5195</v>
      </c>
      <c r="T2431" s="6">
        <v>5.3</v>
      </c>
      <c r="U2431" s="6" t="s">
        <v>47</v>
      </c>
      <c r="V2431" s="6" t="s">
        <v>341</v>
      </c>
      <c r="W2431" s="67" t="str">
        <f t="shared" si="189"/>
        <v>Customer</v>
      </c>
    </row>
    <row r="2432" spans="1:23" x14ac:dyDescent="0.3">
      <c r="A2432" s="2" t="s">
        <v>5221</v>
      </c>
      <c r="B2432" s="2" t="s">
        <v>720</v>
      </c>
      <c r="C2432" s="2">
        <v>9215657761</v>
      </c>
      <c r="D2432" s="2" t="s">
        <v>20</v>
      </c>
      <c r="E2432" s="2" t="s">
        <v>41</v>
      </c>
      <c r="F2432" s="2" t="s">
        <v>42</v>
      </c>
      <c r="G2432" s="2" t="s">
        <v>52</v>
      </c>
      <c r="H2432" s="2" t="s">
        <v>5205</v>
      </c>
      <c r="I2432" s="2" t="str">
        <f t="shared" si="185"/>
        <v>Apr</v>
      </c>
      <c r="J2432" s="2">
        <f t="shared" si="186"/>
        <v>4</v>
      </c>
      <c r="K2432" s="2">
        <f t="shared" si="187"/>
        <v>2026</v>
      </c>
      <c r="L2432" s="2">
        <f t="shared" si="188"/>
        <v>2</v>
      </c>
      <c r="M2432" s="2">
        <v>2</v>
      </c>
      <c r="N2432" s="2" t="s">
        <v>4925</v>
      </c>
      <c r="O2432" s="2" t="s">
        <v>27</v>
      </c>
      <c r="P2432" s="3">
        <v>216901</v>
      </c>
      <c r="Q2432" s="2"/>
      <c r="R2432" s="2"/>
      <c r="S2432" s="2" t="s">
        <v>5573</v>
      </c>
      <c r="T2432" s="2">
        <v>6.9</v>
      </c>
      <c r="U2432" s="2" t="s">
        <v>29</v>
      </c>
      <c r="V2432" s="2" t="s">
        <v>5575</v>
      </c>
      <c r="W2432" s="67" t="str">
        <f t="shared" si="189"/>
        <v>-</v>
      </c>
    </row>
    <row r="2433" spans="1:23" x14ac:dyDescent="0.3">
      <c r="A2433" s="10" t="s">
        <v>5222</v>
      </c>
      <c r="B2433" s="10" t="s">
        <v>5223</v>
      </c>
      <c r="C2433" s="10">
        <v>9907706435</v>
      </c>
      <c r="D2433" s="10" t="s">
        <v>5577</v>
      </c>
      <c r="E2433" s="10" t="s">
        <v>41</v>
      </c>
      <c r="F2433" s="10" t="s">
        <v>86</v>
      </c>
      <c r="G2433" s="10" t="s">
        <v>643</v>
      </c>
      <c r="H2433" s="10" t="s">
        <v>5205</v>
      </c>
      <c r="I2433" s="2" t="str">
        <f t="shared" si="185"/>
        <v>Apr</v>
      </c>
      <c r="J2433" s="2">
        <f t="shared" si="186"/>
        <v>4</v>
      </c>
      <c r="K2433" s="2">
        <f t="shared" si="187"/>
        <v>2026</v>
      </c>
      <c r="L2433" s="2">
        <f t="shared" si="188"/>
        <v>2</v>
      </c>
      <c r="M2433" s="10">
        <v>10</v>
      </c>
      <c r="N2433" s="10" t="s">
        <v>5025</v>
      </c>
      <c r="O2433" s="10" t="s">
        <v>55</v>
      </c>
      <c r="P2433" s="11">
        <v>820736</v>
      </c>
      <c r="Q2433" s="10"/>
      <c r="R2433" s="10"/>
      <c r="S2433" s="10" t="s">
        <v>5573</v>
      </c>
      <c r="T2433" s="10">
        <v>26.7</v>
      </c>
      <c r="U2433" s="10" t="s">
        <v>29</v>
      </c>
      <c r="V2433" s="10" t="s">
        <v>187</v>
      </c>
      <c r="W2433" s="67" t="str">
        <f t="shared" si="189"/>
        <v>-</v>
      </c>
    </row>
    <row r="2434" spans="1:23" x14ac:dyDescent="0.3">
      <c r="A2434" s="10" t="s">
        <v>5224</v>
      </c>
      <c r="B2434" s="10" t="s">
        <v>3365</v>
      </c>
      <c r="C2434" s="10">
        <v>9270038592</v>
      </c>
      <c r="D2434" s="10" t="s">
        <v>59</v>
      </c>
      <c r="E2434" s="10" t="s">
        <v>41</v>
      </c>
      <c r="F2434" s="10" t="s">
        <v>92</v>
      </c>
      <c r="G2434" s="10" t="s">
        <v>616</v>
      </c>
      <c r="H2434" s="10" t="s">
        <v>5205</v>
      </c>
      <c r="I2434" s="2" t="str">
        <f t="shared" ref="I2434:I2471" si="190">TEXT(H2434,"mmm")</f>
        <v>Apr</v>
      </c>
      <c r="J2434" s="2">
        <f t="shared" ref="J2434:J2471" si="191">MONTH(H2434)</f>
        <v>4</v>
      </c>
      <c r="K2434" s="2">
        <f t="shared" ref="K2434:K2471" si="192">YEAR(H2434)</f>
        <v>2026</v>
      </c>
      <c r="L2434" s="2">
        <f t="shared" ref="L2434:L2471" si="193">ROUNDUP(MONTH(H2434)/3,0)</f>
        <v>2</v>
      </c>
      <c r="M2434" s="10">
        <v>3</v>
      </c>
      <c r="N2434" s="10" t="s">
        <v>5025</v>
      </c>
      <c r="O2434" s="10" t="s">
        <v>45</v>
      </c>
      <c r="P2434" s="11">
        <v>224110</v>
      </c>
      <c r="Q2434" s="10"/>
      <c r="R2434" s="10"/>
      <c r="S2434" s="10" t="s">
        <v>5195</v>
      </c>
      <c r="T2434" s="10">
        <v>33.6</v>
      </c>
      <c r="U2434" s="10" t="s">
        <v>47</v>
      </c>
      <c r="V2434" s="10" t="s">
        <v>302</v>
      </c>
      <c r="W2434" s="67" t="str">
        <f t="shared" ref="W2434:W2497" si="194">IF($O2434&lt;&gt;"Converted","-",IF(ISNUMBER(SEARCH("Architect",$F2434)),"Architect","Customer"))</f>
        <v>-</v>
      </c>
    </row>
    <row r="2435" spans="1:23" x14ac:dyDescent="0.3">
      <c r="A2435" s="4" t="s">
        <v>5225</v>
      </c>
      <c r="B2435" s="4" t="s">
        <v>739</v>
      </c>
      <c r="C2435" s="4">
        <v>9963799681</v>
      </c>
      <c r="D2435" s="4" t="s">
        <v>20</v>
      </c>
      <c r="E2435" s="4" t="s">
        <v>1632</v>
      </c>
      <c r="F2435" s="4" t="s">
        <v>1849</v>
      </c>
      <c r="G2435" s="4" t="s">
        <v>23</v>
      </c>
      <c r="H2435" s="4" t="s">
        <v>5205</v>
      </c>
      <c r="I2435" s="2" t="str">
        <f t="shared" si="190"/>
        <v>Apr</v>
      </c>
      <c r="J2435" s="2">
        <f t="shared" si="191"/>
        <v>4</v>
      </c>
      <c r="K2435" s="2">
        <f t="shared" si="192"/>
        <v>2026</v>
      </c>
      <c r="L2435" s="2">
        <f t="shared" si="193"/>
        <v>2</v>
      </c>
      <c r="M2435" s="4">
        <v>12</v>
      </c>
      <c r="N2435" s="4" t="s">
        <v>5025</v>
      </c>
      <c r="O2435" s="4" t="s">
        <v>27</v>
      </c>
      <c r="P2435" s="5">
        <v>906460</v>
      </c>
      <c r="Q2435" s="4"/>
      <c r="R2435" s="4"/>
      <c r="S2435" s="4" t="s">
        <v>5819</v>
      </c>
      <c r="T2435" s="4">
        <v>32.299999999999997</v>
      </c>
      <c r="U2435" s="4" t="s">
        <v>47</v>
      </c>
      <c r="V2435" s="4" t="s">
        <v>5579</v>
      </c>
      <c r="W2435" s="67" t="str">
        <f t="shared" si="194"/>
        <v>-</v>
      </c>
    </row>
    <row r="2436" spans="1:23" x14ac:dyDescent="0.3">
      <c r="A2436" s="2" t="s">
        <v>5226</v>
      </c>
      <c r="B2436" s="2" t="s">
        <v>5227</v>
      </c>
      <c r="C2436" s="2">
        <v>9713583280</v>
      </c>
      <c r="D2436" s="2" t="s">
        <v>59</v>
      </c>
      <c r="E2436" s="2" t="s">
        <v>1632</v>
      </c>
      <c r="F2436" s="2" t="s">
        <v>1659</v>
      </c>
      <c r="G2436" s="2" t="s">
        <v>52</v>
      </c>
      <c r="H2436" s="2" t="s">
        <v>5039</v>
      </c>
      <c r="I2436" s="2" t="str">
        <f t="shared" si="190"/>
        <v>Apr</v>
      </c>
      <c r="J2436" s="2">
        <f t="shared" si="191"/>
        <v>4</v>
      </c>
      <c r="K2436" s="2">
        <f t="shared" si="192"/>
        <v>2026</v>
      </c>
      <c r="L2436" s="2">
        <f t="shared" si="193"/>
        <v>2</v>
      </c>
      <c r="M2436" s="2">
        <v>5</v>
      </c>
      <c r="N2436" s="2" t="s">
        <v>5165</v>
      </c>
      <c r="O2436" s="2" t="s">
        <v>27</v>
      </c>
      <c r="P2436" s="3">
        <v>598142</v>
      </c>
      <c r="Q2436" s="2"/>
      <c r="R2436" s="2"/>
      <c r="S2436" s="2" t="s">
        <v>5819</v>
      </c>
      <c r="T2436" s="2">
        <v>18.5</v>
      </c>
      <c r="U2436" s="2" t="s">
        <v>29</v>
      </c>
      <c r="V2436" s="2" t="s">
        <v>38</v>
      </c>
      <c r="W2436" s="67" t="str">
        <f t="shared" si="194"/>
        <v>-</v>
      </c>
    </row>
    <row r="2437" spans="1:23" x14ac:dyDescent="0.3">
      <c r="A2437" s="4" t="s">
        <v>5228</v>
      </c>
      <c r="B2437" s="4" t="s">
        <v>2258</v>
      </c>
      <c r="C2437" s="4">
        <v>9490436316</v>
      </c>
      <c r="D2437" s="4" t="s">
        <v>59</v>
      </c>
      <c r="E2437" s="4" t="s">
        <v>1632</v>
      </c>
      <c r="F2437" s="4" t="s">
        <v>1633</v>
      </c>
      <c r="G2437" s="4" t="s">
        <v>1609</v>
      </c>
      <c r="H2437" s="4" t="s">
        <v>5039</v>
      </c>
      <c r="I2437" s="2" t="str">
        <f t="shared" si="190"/>
        <v>Apr</v>
      </c>
      <c r="J2437" s="2">
        <f t="shared" si="191"/>
        <v>4</v>
      </c>
      <c r="K2437" s="2">
        <f t="shared" si="192"/>
        <v>2026</v>
      </c>
      <c r="L2437" s="2">
        <f t="shared" si="193"/>
        <v>2</v>
      </c>
      <c r="M2437" s="4">
        <v>12</v>
      </c>
      <c r="N2437" s="4" t="s">
        <v>5025</v>
      </c>
      <c r="O2437" s="4" t="s">
        <v>27</v>
      </c>
      <c r="P2437" s="5">
        <v>378373</v>
      </c>
      <c r="Q2437" s="4"/>
      <c r="R2437" s="4"/>
      <c r="S2437" s="4" t="s">
        <v>5819</v>
      </c>
      <c r="T2437" s="4">
        <v>34.700000000000003</v>
      </c>
      <c r="U2437" s="4" t="s">
        <v>29</v>
      </c>
      <c r="V2437" s="4" t="s">
        <v>38</v>
      </c>
      <c r="W2437" s="67" t="str">
        <f t="shared" si="194"/>
        <v>-</v>
      </c>
    </row>
    <row r="2438" spans="1:23" x14ac:dyDescent="0.3">
      <c r="A2438" s="2" t="s">
        <v>5229</v>
      </c>
      <c r="B2438" s="2" t="s">
        <v>4888</v>
      </c>
      <c r="C2438" s="2">
        <v>9884155879</v>
      </c>
      <c r="D2438" s="2" t="s">
        <v>59</v>
      </c>
      <c r="E2438" s="2" t="s">
        <v>1632</v>
      </c>
      <c r="F2438" s="2" t="s">
        <v>1849</v>
      </c>
      <c r="G2438" s="2" t="s">
        <v>3302</v>
      </c>
      <c r="H2438" s="2" t="s">
        <v>5213</v>
      </c>
      <c r="I2438" s="2" t="str">
        <f t="shared" si="190"/>
        <v>Apr</v>
      </c>
      <c r="J2438" s="2">
        <f t="shared" si="191"/>
        <v>4</v>
      </c>
      <c r="K2438" s="2">
        <f t="shared" si="192"/>
        <v>2026</v>
      </c>
      <c r="L2438" s="2">
        <f t="shared" si="193"/>
        <v>2</v>
      </c>
      <c r="M2438" s="2">
        <v>3</v>
      </c>
      <c r="N2438" s="2" t="s">
        <v>5025</v>
      </c>
      <c r="O2438" s="2" t="s">
        <v>27</v>
      </c>
      <c r="P2438" s="3">
        <v>2329073</v>
      </c>
      <c r="Q2438" s="2"/>
      <c r="R2438" s="2"/>
      <c r="S2438" s="2" t="s">
        <v>5819</v>
      </c>
      <c r="T2438" s="2">
        <v>8.6999999999999993</v>
      </c>
      <c r="U2438" s="2" t="s">
        <v>29</v>
      </c>
      <c r="V2438" s="2" t="s">
        <v>5575</v>
      </c>
      <c r="W2438" s="67" t="str">
        <f t="shared" si="194"/>
        <v>-</v>
      </c>
    </row>
    <row r="2439" spans="1:23" x14ac:dyDescent="0.3">
      <c r="A2439" s="4" t="s">
        <v>5230</v>
      </c>
      <c r="B2439" s="4" t="s">
        <v>5231</v>
      </c>
      <c r="C2439" s="4">
        <v>9587354623</v>
      </c>
      <c r="D2439" s="4" t="s">
        <v>20</v>
      </c>
      <c r="E2439" s="4" t="s">
        <v>1632</v>
      </c>
      <c r="F2439" s="4" t="s">
        <v>1659</v>
      </c>
      <c r="G2439" s="4" t="s">
        <v>616</v>
      </c>
      <c r="H2439" s="4" t="s">
        <v>5213</v>
      </c>
      <c r="I2439" s="2" t="str">
        <f t="shared" si="190"/>
        <v>Apr</v>
      </c>
      <c r="J2439" s="2">
        <f t="shared" si="191"/>
        <v>4</v>
      </c>
      <c r="K2439" s="2">
        <f t="shared" si="192"/>
        <v>2026</v>
      </c>
      <c r="L2439" s="2">
        <f t="shared" si="193"/>
        <v>2</v>
      </c>
      <c r="M2439" s="4">
        <v>12</v>
      </c>
      <c r="N2439" s="4" t="s">
        <v>5025</v>
      </c>
      <c r="O2439" s="4" t="s">
        <v>62</v>
      </c>
      <c r="P2439" s="5">
        <v>406442</v>
      </c>
      <c r="Q2439" s="4"/>
      <c r="R2439" s="4"/>
      <c r="S2439" s="4" t="s">
        <v>5195</v>
      </c>
      <c r="T2439" s="4">
        <v>8.8000000000000007</v>
      </c>
      <c r="U2439" s="4" t="s">
        <v>47</v>
      </c>
      <c r="V2439" s="4" t="s">
        <v>597</v>
      </c>
      <c r="W2439" s="67" t="str">
        <f t="shared" si="194"/>
        <v>-</v>
      </c>
    </row>
    <row r="2440" spans="1:23" x14ac:dyDescent="0.3">
      <c r="A2440" s="2" t="s">
        <v>5232</v>
      </c>
      <c r="B2440" s="2" t="s">
        <v>5233</v>
      </c>
      <c r="C2440" s="2">
        <v>9561744257</v>
      </c>
      <c r="D2440" s="2" t="s">
        <v>5577</v>
      </c>
      <c r="E2440" s="2" t="s">
        <v>1632</v>
      </c>
      <c r="F2440" s="2" t="s">
        <v>1849</v>
      </c>
      <c r="G2440" s="2" t="s">
        <v>1621</v>
      </c>
      <c r="H2440" s="2" t="s">
        <v>4973</v>
      </c>
      <c r="I2440" s="2" t="str">
        <f t="shared" si="190"/>
        <v>Apr</v>
      </c>
      <c r="J2440" s="2">
        <f t="shared" si="191"/>
        <v>4</v>
      </c>
      <c r="K2440" s="2">
        <f t="shared" si="192"/>
        <v>2026</v>
      </c>
      <c r="L2440" s="2">
        <f t="shared" si="193"/>
        <v>2</v>
      </c>
      <c r="M2440" s="2">
        <v>2</v>
      </c>
      <c r="N2440" s="2" t="s">
        <v>4982</v>
      </c>
      <c r="O2440" s="2" t="s">
        <v>62</v>
      </c>
      <c r="P2440" s="3">
        <v>462538</v>
      </c>
      <c r="Q2440" s="2"/>
      <c r="R2440" s="2"/>
      <c r="S2440" s="2" t="s">
        <v>5195</v>
      </c>
      <c r="T2440" s="2">
        <v>21.6</v>
      </c>
      <c r="U2440" s="2" t="s">
        <v>63</v>
      </c>
      <c r="V2440" s="2"/>
      <c r="W2440" s="67" t="str">
        <f t="shared" si="194"/>
        <v>-</v>
      </c>
    </row>
    <row r="2441" spans="1:23" x14ac:dyDescent="0.3">
      <c r="A2441" s="6" t="s">
        <v>5234</v>
      </c>
      <c r="B2441" s="6" t="s">
        <v>4886</v>
      </c>
      <c r="C2441" s="6">
        <v>9813816530</v>
      </c>
      <c r="D2441" s="6" t="s">
        <v>59</v>
      </c>
      <c r="E2441" s="6" t="s">
        <v>41</v>
      </c>
      <c r="F2441" s="6" t="s">
        <v>86</v>
      </c>
      <c r="G2441" s="6" t="s">
        <v>52</v>
      </c>
      <c r="H2441" s="6" t="s">
        <v>4973</v>
      </c>
      <c r="I2441" s="2" t="str">
        <f t="shared" si="190"/>
        <v>Apr</v>
      </c>
      <c r="J2441" s="2">
        <f t="shared" si="191"/>
        <v>4</v>
      </c>
      <c r="K2441" s="2">
        <f t="shared" si="192"/>
        <v>2026</v>
      </c>
      <c r="L2441" s="2">
        <f t="shared" si="193"/>
        <v>2</v>
      </c>
      <c r="M2441" s="6">
        <v>5</v>
      </c>
      <c r="N2441" s="6" t="s">
        <v>5025</v>
      </c>
      <c r="O2441" s="6" t="s">
        <v>97</v>
      </c>
      <c r="P2441" s="7">
        <v>276801</v>
      </c>
      <c r="Q2441" s="7">
        <v>269339</v>
      </c>
      <c r="R2441" s="6" t="s">
        <v>5025</v>
      </c>
      <c r="S2441" s="6" t="s">
        <v>5573</v>
      </c>
      <c r="T2441" s="6">
        <v>28.3</v>
      </c>
      <c r="U2441" s="6" t="s">
        <v>63</v>
      </c>
      <c r="V2441" s="6" t="s">
        <v>243</v>
      </c>
      <c r="W2441" s="67" t="str">
        <f t="shared" si="194"/>
        <v>Customer</v>
      </c>
    </row>
    <row r="2442" spans="1:23" x14ac:dyDescent="0.3">
      <c r="A2442" s="10" t="s">
        <v>5235</v>
      </c>
      <c r="B2442" s="10" t="s">
        <v>2614</v>
      </c>
      <c r="C2442" s="10"/>
      <c r="D2442" s="10" t="s">
        <v>59</v>
      </c>
      <c r="E2442" s="10" t="s">
        <v>1632</v>
      </c>
      <c r="F2442" s="10" t="s">
        <v>1717</v>
      </c>
      <c r="G2442" s="10" t="s">
        <v>1677</v>
      </c>
      <c r="H2442" s="10" t="s">
        <v>4981</v>
      </c>
      <c r="I2442" s="2" t="str">
        <f t="shared" si="190"/>
        <v>Apr</v>
      </c>
      <c r="J2442" s="2">
        <f t="shared" si="191"/>
        <v>4</v>
      </c>
      <c r="K2442" s="2">
        <f t="shared" si="192"/>
        <v>2026</v>
      </c>
      <c r="L2442" s="2">
        <f t="shared" si="193"/>
        <v>2</v>
      </c>
      <c r="M2442" s="10">
        <v>12</v>
      </c>
      <c r="N2442" s="10" t="s">
        <v>5025</v>
      </c>
      <c r="O2442" s="10" t="s">
        <v>27</v>
      </c>
      <c r="P2442" s="11">
        <v>1202644</v>
      </c>
      <c r="Q2442" s="10"/>
      <c r="R2442" s="10"/>
      <c r="S2442" s="10" t="s">
        <v>5573</v>
      </c>
      <c r="T2442" s="10">
        <v>16</v>
      </c>
      <c r="U2442" s="10" t="s">
        <v>29</v>
      </c>
      <c r="V2442" s="10" t="s">
        <v>2847</v>
      </c>
      <c r="W2442" s="67" t="str">
        <f t="shared" si="194"/>
        <v>-</v>
      </c>
    </row>
    <row r="2443" spans="1:23" x14ac:dyDescent="0.3">
      <c r="A2443" s="10" t="s">
        <v>5236</v>
      </c>
      <c r="B2443" s="10" t="s">
        <v>5237</v>
      </c>
      <c r="C2443" s="10">
        <v>9785931052</v>
      </c>
      <c r="D2443" s="10" t="s">
        <v>59</v>
      </c>
      <c r="E2443" s="10" t="s">
        <v>41</v>
      </c>
      <c r="F2443" s="10" t="s">
        <v>151</v>
      </c>
      <c r="G2443" s="10" t="s">
        <v>23</v>
      </c>
      <c r="H2443" s="10" t="s">
        <v>4981</v>
      </c>
      <c r="I2443" s="2" t="str">
        <f t="shared" si="190"/>
        <v>Apr</v>
      </c>
      <c r="J2443" s="2">
        <f t="shared" si="191"/>
        <v>4</v>
      </c>
      <c r="K2443" s="2">
        <f t="shared" si="192"/>
        <v>2026</v>
      </c>
      <c r="L2443" s="2">
        <f t="shared" si="193"/>
        <v>2</v>
      </c>
      <c r="M2443" s="10">
        <v>10</v>
      </c>
      <c r="N2443" s="10" t="s">
        <v>5025</v>
      </c>
      <c r="O2443" s="10" t="s">
        <v>97</v>
      </c>
      <c r="P2443" s="11">
        <v>654447</v>
      </c>
      <c r="Q2443" s="11">
        <v>586659</v>
      </c>
      <c r="R2443" s="10" t="s">
        <v>5025</v>
      </c>
      <c r="S2443" s="10" t="s">
        <v>5195</v>
      </c>
      <c r="T2443" s="10">
        <v>14.9</v>
      </c>
      <c r="U2443" s="10" t="s">
        <v>63</v>
      </c>
      <c r="V2443" s="10" t="s">
        <v>465</v>
      </c>
      <c r="W2443" s="67" t="str">
        <f t="shared" si="194"/>
        <v>Architect</v>
      </c>
    </row>
    <row r="2444" spans="1:23" x14ac:dyDescent="0.3">
      <c r="A2444" s="6" t="s">
        <v>5238</v>
      </c>
      <c r="B2444" s="6" t="s">
        <v>855</v>
      </c>
      <c r="C2444" s="6">
        <v>9535095663</v>
      </c>
      <c r="D2444" s="6" t="s">
        <v>59</v>
      </c>
      <c r="E2444" s="6" t="s">
        <v>41</v>
      </c>
      <c r="F2444" s="6" t="s">
        <v>151</v>
      </c>
      <c r="G2444" s="6" t="s">
        <v>52</v>
      </c>
      <c r="H2444" s="6" t="s">
        <v>4924</v>
      </c>
      <c r="I2444" s="2" t="str">
        <f t="shared" si="190"/>
        <v>Apr</v>
      </c>
      <c r="J2444" s="2">
        <f t="shared" si="191"/>
        <v>4</v>
      </c>
      <c r="K2444" s="2">
        <f t="shared" si="192"/>
        <v>2026</v>
      </c>
      <c r="L2444" s="2">
        <f t="shared" si="193"/>
        <v>2</v>
      </c>
      <c r="M2444" s="6">
        <v>7</v>
      </c>
      <c r="N2444" s="6" t="s">
        <v>5025</v>
      </c>
      <c r="O2444" s="6" t="s">
        <v>97</v>
      </c>
      <c r="P2444" s="7">
        <v>170185</v>
      </c>
      <c r="Q2444" s="7">
        <v>162797</v>
      </c>
      <c r="R2444" s="6" t="s">
        <v>5025</v>
      </c>
      <c r="S2444" s="6" t="s">
        <v>5573</v>
      </c>
      <c r="T2444" s="6">
        <v>9.6</v>
      </c>
      <c r="U2444" s="6" t="s">
        <v>63</v>
      </c>
      <c r="V2444" s="6"/>
      <c r="W2444" s="67" t="str">
        <f t="shared" si="194"/>
        <v>Architect</v>
      </c>
    </row>
    <row r="2445" spans="1:23" x14ac:dyDescent="0.3">
      <c r="A2445" s="4" t="s">
        <v>5239</v>
      </c>
      <c r="B2445" s="4" t="s">
        <v>3891</v>
      </c>
      <c r="C2445" s="4">
        <v>9932388060</v>
      </c>
      <c r="D2445" s="4" t="s">
        <v>20</v>
      </c>
      <c r="E2445" s="4" t="s">
        <v>1632</v>
      </c>
      <c r="F2445" s="4" t="s">
        <v>1633</v>
      </c>
      <c r="G2445" s="4" t="s">
        <v>643</v>
      </c>
      <c r="H2445" s="4" t="s">
        <v>4924</v>
      </c>
      <c r="I2445" s="2" t="str">
        <f t="shared" si="190"/>
        <v>Apr</v>
      </c>
      <c r="J2445" s="2">
        <f t="shared" si="191"/>
        <v>4</v>
      </c>
      <c r="K2445" s="2">
        <f t="shared" si="192"/>
        <v>2026</v>
      </c>
      <c r="L2445" s="2">
        <f t="shared" si="193"/>
        <v>2</v>
      </c>
      <c r="M2445" s="4">
        <v>9</v>
      </c>
      <c r="N2445" s="4" t="s">
        <v>5025</v>
      </c>
      <c r="O2445" s="4" t="s">
        <v>27</v>
      </c>
      <c r="P2445" s="5">
        <v>832753</v>
      </c>
      <c r="Q2445" s="4"/>
      <c r="R2445" s="4"/>
      <c r="S2445" s="4" t="s">
        <v>5819</v>
      </c>
      <c r="T2445" s="4">
        <v>25.3</v>
      </c>
      <c r="U2445" s="4" t="s">
        <v>29</v>
      </c>
      <c r="V2445" s="4" t="s">
        <v>5575</v>
      </c>
      <c r="W2445" s="67" t="str">
        <f t="shared" si="194"/>
        <v>-</v>
      </c>
    </row>
    <row r="2446" spans="1:23" x14ac:dyDescent="0.3">
      <c r="A2446" s="2" t="s">
        <v>5240</v>
      </c>
      <c r="B2446" s="2" t="s">
        <v>829</v>
      </c>
      <c r="C2446" s="2">
        <v>9235250387</v>
      </c>
      <c r="D2446" s="2" t="s">
        <v>59</v>
      </c>
      <c r="E2446" s="2" t="s">
        <v>41</v>
      </c>
      <c r="F2446" s="2" t="s">
        <v>151</v>
      </c>
      <c r="G2446" s="2" t="s">
        <v>1609</v>
      </c>
      <c r="H2446" s="2" t="s">
        <v>4924</v>
      </c>
      <c r="I2446" s="2" t="str">
        <f t="shared" si="190"/>
        <v>Apr</v>
      </c>
      <c r="J2446" s="2">
        <f t="shared" si="191"/>
        <v>4</v>
      </c>
      <c r="K2446" s="2">
        <f t="shared" si="192"/>
        <v>2026</v>
      </c>
      <c r="L2446" s="2">
        <f t="shared" si="193"/>
        <v>2</v>
      </c>
      <c r="M2446" s="2">
        <v>2</v>
      </c>
      <c r="N2446" s="2" t="s">
        <v>5025</v>
      </c>
      <c r="O2446" s="2" t="s">
        <v>45</v>
      </c>
      <c r="P2446" s="3">
        <v>327868</v>
      </c>
      <c r="Q2446" s="2"/>
      <c r="R2446" s="2"/>
      <c r="S2446" s="2" t="s">
        <v>5573</v>
      </c>
      <c r="T2446" s="2">
        <v>20.8</v>
      </c>
      <c r="U2446" s="2" t="s">
        <v>63</v>
      </c>
      <c r="V2446" s="2" t="s">
        <v>64</v>
      </c>
      <c r="W2446" s="67" t="str">
        <f t="shared" si="194"/>
        <v>-</v>
      </c>
    </row>
    <row r="2447" spans="1:23" x14ac:dyDescent="0.3">
      <c r="A2447" s="10" t="s">
        <v>5241</v>
      </c>
      <c r="B2447" s="10" t="s">
        <v>5242</v>
      </c>
      <c r="C2447" s="10">
        <v>9961267322</v>
      </c>
      <c r="D2447" s="10" t="s">
        <v>59</v>
      </c>
      <c r="E2447" s="10" t="s">
        <v>41</v>
      </c>
      <c r="F2447" s="10" t="s">
        <v>92</v>
      </c>
      <c r="G2447" s="10" t="s">
        <v>643</v>
      </c>
      <c r="H2447" s="10" t="s">
        <v>4924</v>
      </c>
      <c r="I2447" s="2" t="str">
        <f t="shared" si="190"/>
        <v>Apr</v>
      </c>
      <c r="J2447" s="2">
        <f t="shared" si="191"/>
        <v>4</v>
      </c>
      <c r="K2447" s="2">
        <f t="shared" si="192"/>
        <v>2026</v>
      </c>
      <c r="L2447" s="2">
        <f t="shared" si="193"/>
        <v>2</v>
      </c>
      <c r="M2447" s="10">
        <v>4</v>
      </c>
      <c r="N2447" s="10" t="s">
        <v>5025</v>
      </c>
      <c r="O2447" s="10" t="s">
        <v>27</v>
      </c>
      <c r="P2447" s="11">
        <v>1299716</v>
      </c>
      <c r="Q2447" s="10"/>
      <c r="R2447" s="10"/>
      <c r="S2447" s="10" t="s">
        <v>5573</v>
      </c>
      <c r="T2447" s="10">
        <v>23.8</v>
      </c>
      <c r="U2447" s="10" t="s">
        <v>29</v>
      </c>
      <c r="V2447" s="10" t="s">
        <v>5576</v>
      </c>
      <c r="W2447" s="67" t="str">
        <f t="shared" si="194"/>
        <v>-</v>
      </c>
    </row>
    <row r="2448" spans="1:23" x14ac:dyDescent="0.3">
      <c r="A2448" s="2" t="s">
        <v>5243</v>
      </c>
      <c r="B2448" s="2" t="s">
        <v>1042</v>
      </c>
      <c r="C2448" s="2">
        <v>9127105755</v>
      </c>
      <c r="D2448" s="2" t="s">
        <v>59</v>
      </c>
      <c r="E2448" s="2" t="s">
        <v>41</v>
      </c>
      <c r="F2448" s="2" t="s">
        <v>42</v>
      </c>
      <c r="G2448" s="2" t="s">
        <v>643</v>
      </c>
      <c r="H2448" s="2" t="s">
        <v>4924</v>
      </c>
      <c r="I2448" s="2" t="str">
        <f t="shared" si="190"/>
        <v>Apr</v>
      </c>
      <c r="J2448" s="2">
        <f t="shared" si="191"/>
        <v>4</v>
      </c>
      <c r="K2448" s="2">
        <f t="shared" si="192"/>
        <v>2026</v>
      </c>
      <c r="L2448" s="2">
        <f t="shared" si="193"/>
        <v>2</v>
      </c>
      <c r="M2448" s="2">
        <v>5</v>
      </c>
      <c r="N2448" s="2" t="s">
        <v>5025</v>
      </c>
      <c r="O2448" s="2" t="s">
        <v>27</v>
      </c>
      <c r="P2448" s="3">
        <v>1089843</v>
      </c>
      <c r="Q2448" s="2"/>
      <c r="R2448" s="2"/>
      <c r="S2448" s="2" t="s">
        <v>5195</v>
      </c>
      <c r="T2448" s="2">
        <v>1.3</v>
      </c>
      <c r="U2448" s="2" t="s">
        <v>29</v>
      </c>
      <c r="V2448" s="2" t="s">
        <v>5582</v>
      </c>
      <c r="W2448" s="67" t="str">
        <f t="shared" si="194"/>
        <v>-</v>
      </c>
    </row>
    <row r="2449" spans="1:23" x14ac:dyDescent="0.3">
      <c r="A2449" s="4" t="s">
        <v>5244</v>
      </c>
      <c r="B2449" s="4" t="s">
        <v>5245</v>
      </c>
      <c r="C2449" s="4">
        <v>9768472118</v>
      </c>
      <c r="D2449" s="4" t="s">
        <v>59</v>
      </c>
      <c r="E2449" s="4" t="s">
        <v>41</v>
      </c>
      <c r="F2449" s="4" t="s">
        <v>151</v>
      </c>
      <c r="G2449" s="4" t="s">
        <v>52</v>
      </c>
      <c r="H2449" s="4" t="s">
        <v>4924</v>
      </c>
      <c r="I2449" s="2" t="str">
        <f t="shared" si="190"/>
        <v>Apr</v>
      </c>
      <c r="J2449" s="2">
        <f t="shared" si="191"/>
        <v>4</v>
      </c>
      <c r="K2449" s="2">
        <f t="shared" si="192"/>
        <v>2026</v>
      </c>
      <c r="L2449" s="2">
        <f t="shared" si="193"/>
        <v>2</v>
      </c>
      <c r="M2449" s="4">
        <v>11</v>
      </c>
      <c r="N2449" s="4" t="s">
        <v>5025</v>
      </c>
      <c r="O2449" s="4" t="s">
        <v>27</v>
      </c>
      <c r="P2449" s="5">
        <v>338303</v>
      </c>
      <c r="Q2449" s="4"/>
      <c r="R2449" s="4"/>
      <c r="S2449" s="4" t="s">
        <v>5195</v>
      </c>
      <c r="T2449" s="4">
        <v>11.3</v>
      </c>
      <c r="U2449" s="4" t="s">
        <v>29</v>
      </c>
      <c r="V2449" s="4" t="s">
        <v>163</v>
      </c>
      <c r="W2449" s="67" t="str">
        <f t="shared" si="194"/>
        <v>-</v>
      </c>
    </row>
    <row r="2450" spans="1:23" x14ac:dyDescent="0.3">
      <c r="A2450" s="6" t="s">
        <v>5246</v>
      </c>
      <c r="B2450" s="6" t="s">
        <v>4736</v>
      </c>
      <c r="C2450" s="6">
        <v>9862324754</v>
      </c>
      <c r="D2450" s="6" t="s">
        <v>59</v>
      </c>
      <c r="E2450" s="6" t="s">
        <v>1632</v>
      </c>
      <c r="F2450" s="6" t="s">
        <v>1682</v>
      </c>
      <c r="G2450" s="6" t="s">
        <v>35</v>
      </c>
      <c r="H2450" s="6" t="s">
        <v>4924</v>
      </c>
      <c r="I2450" s="2" t="str">
        <f t="shared" si="190"/>
        <v>Apr</v>
      </c>
      <c r="J2450" s="2">
        <f t="shared" si="191"/>
        <v>4</v>
      </c>
      <c r="K2450" s="2">
        <f t="shared" si="192"/>
        <v>2026</v>
      </c>
      <c r="L2450" s="2">
        <f t="shared" si="193"/>
        <v>2</v>
      </c>
      <c r="M2450" s="6">
        <v>3</v>
      </c>
      <c r="N2450" s="6" t="s">
        <v>5025</v>
      </c>
      <c r="O2450" s="6" t="s">
        <v>97</v>
      </c>
      <c r="P2450" s="7">
        <v>154099</v>
      </c>
      <c r="Q2450" s="7">
        <v>154176</v>
      </c>
      <c r="R2450" s="6" t="s">
        <v>5025</v>
      </c>
      <c r="S2450" s="6" t="s">
        <v>5819</v>
      </c>
      <c r="T2450" s="6">
        <v>11.1</v>
      </c>
      <c r="U2450" s="6" t="s">
        <v>63</v>
      </c>
      <c r="V2450" s="6" t="s">
        <v>286</v>
      </c>
      <c r="W2450" s="67" t="str">
        <f t="shared" si="194"/>
        <v>Customer</v>
      </c>
    </row>
    <row r="2451" spans="1:23" x14ac:dyDescent="0.3">
      <c r="A2451" s="4" t="s">
        <v>5247</v>
      </c>
      <c r="B2451" s="4" t="s">
        <v>1902</v>
      </c>
      <c r="C2451" s="4">
        <v>9207351908</v>
      </c>
      <c r="D2451" s="4" t="s">
        <v>20</v>
      </c>
      <c r="E2451" s="4" t="s">
        <v>1632</v>
      </c>
      <c r="F2451" s="4" t="s">
        <v>1849</v>
      </c>
      <c r="G2451" s="4" t="s">
        <v>1677</v>
      </c>
      <c r="H2451" s="4" t="s">
        <v>5139</v>
      </c>
      <c r="I2451" s="2" t="str">
        <f t="shared" si="190"/>
        <v>Apr</v>
      </c>
      <c r="J2451" s="2">
        <f t="shared" si="191"/>
        <v>4</v>
      </c>
      <c r="K2451" s="2">
        <f t="shared" si="192"/>
        <v>2026</v>
      </c>
      <c r="L2451" s="2">
        <f t="shared" si="193"/>
        <v>2</v>
      </c>
      <c r="M2451" s="4">
        <v>7</v>
      </c>
      <c r="N2451" s="4" t="s">
        <v>5025</v>
      </c>
      <c r="O2451" s="4" t="s">
        <v>27</v>
      </c>
      <c r="P2451" s="5">
        <v>1226876</v>
      </c>
      <c r="Q2451" s="4"/>
      <c r="R2451" s="4"/>
      <c r="S2451" s="4" t="s">
        <v>5195</v>
      </c>
      <c r="T2451" s="4">
        <v>33.6</v>
      </c>
      <c r="U2451" s="4" t="s">
        <v>29</v>
      </c>
      <c r="V2451" s="4" t="s">
        <v>163</v>
      </c>
      <c r="W2451" s="67" t="str">
        <f t="shared" si="194"/>
        <v>-</v>
      </c>
    </row>
    <row r="2452" spans="1:23" x14ac:dyDescent="0.3">
      <c r="A2452" s="10" t="s">
        <v>5248</v>
      </c>
      <c r="B2452" s="10" t="s">
        <v>2342</v>
      </c>
      <c r="C2452" s="10">
        <v>9176480267</v>
      </c>
      <c r="D2452" s="10" t="s">
        <v>59</v>
      </c>
      <c r="E2452" s="10" t="s">
        <v>41</v>
      </c>
      <c r="F2452" s="10" t="s">
        <v>42</v>
      </c>
      <c r="G2452" s="10" t="s">
        <v>52</v>
      </c>
      <c r="H2452" s="10" t="s">
        <v>5139</v>
      </c>
      <c r="I2452" s="2" t="str">
        <f t="shared" si="190"/>
        <v>Apr</v>
      </c>
      <c r="J2452" s="2">
        <f t="shared" si="191"/>
        <v>4</v>
      </c>
      <c r="K2452" s="2">
        <f t="shared" si="192"/>
        <v>2026</v>
      </c>
      <c r="L2452" s="2">
        <f t="shared" si="193"/>
        <v>2</v>
      </c>
      <c r="M2452" s="10">
        <v>11</v>
      </c>
      <c r="N2452" s="10" t="s">
        <v>5025</v>
      </c>
      <c r="O2452" s="10" t="s">
        <v>27</v>
      </c>
      <c r="P2452" s="11">
        <v>413918</v>
      </c>
      <c r="Q2452" s="10"/>
      <c r="R2452" s="10"/>
      <c r="S2452" s="10" t="s">
        <v>5573</v>
      </c>
      <c r="T2452" s="10">
        <v>3.5</v>
      </c>
      <c r="U2452" s="10" t="s">
        <v>29</v>
      </c>
      <c r="V2452" s="10" t="s">
        <v>153</v>
      </c>
      <c r="W2452" s="67" t="str">
        <f t="shared" si="194"/>
        <v>-</v>
      </c>
    </row>
    <row r="2453" spans="1:23" x14ac:dyDescent="0.3">
      <c r="A2453" s="10" t="s">
        <v>5249</v>
      </c>
      <c r="B2453" s="10" t="s">
        <v>3413</v>
      </c>
      <c r="C2453" s="10">
        <v>9856826828</v>
      </c>
      <c r="D2453" s="10" t="s">
        <v>59</v>
      </c>
      <c r="E2453" s="10" t="s">
        <v>33</v>
      </c>
      <c r="F2453" s="10" t="s">
        <v>102</v>
      </c>
      <c r="G2453" s="10" t="s">
        <v>69</v>
      </c>
      <c r="H2453" s="10" t="s">
        <v>5014</v>
      </c>
      <c r="I2453" s="2" t="str">
        <f t="shared" si="190"/>
        <v>Apr</v>
      </c>
      <c r="J2453" s="2">
        <f t="shared" si="191"/>
        <v>4</v>
      </c>
      <c r="K2453" s="2">
        <f t="shared" si="192"/>
        <v>2026</v>
      </c>
      <c r="L2453" s="2">
        <f t="shared" si="193"/>
        <v>2</v>
      </c>
      <c r="M2453" s="10">
        <v>10</v>
      </c>
      <c r="N2453" s="10" t="s">
        <v>5025</v>
      </c>
      <c r="O2453" s="10" t="s">
        <v>55</v>
      </c>
      <c r="P2453" s="11">
        <v>130365</v>
      </c>
      <c r="Q2453" s="10"/>
      <c r="R2453" s="10"/>
      <c r="S2453" s="10" t="s">
        <v>5819</v>
      </c>
      <c r="T2453" s="10">
        <v>4.0999999999999996</v>
      </c>
      <c r="U2453" s="10" t="s">
        <v>29</v>
      </c>
      <c r="V2453" s="10"/>
      <c r="W2453" s="67" t="str">
        <f t="shared" si="194"/>
        <v>-</v>
      </c>
    </row>
    <row r="2454" spans="1:23" x14ac:dyDescent="0.3">
      <c r="A2454" s="6" t="s">
        <v>5250</v>
      </c>
      <c r="B2454" s="6" t="s">
        <v>5251</v>
      </c>
      <c r="C2454" s="6">
        <v>9712326946</v>
      </c>
      <c r="D2454" s="6" t="s">
        <v>59</v>
      </c>
      <c r="E2454" s="6" t="s">
        <v>41</v>
      </c>
      <c r="F2454" s="6" t="s">
        <v>86</v>
      </c>
      <c r="G2454" s="6" t="s">
        <v>643</v>
      </c>
      <c r="H2454" s="6" t="s">
        <v>5014</v>
      </c>
      <c r="I2454" s="2" t="str">
        <f t="shared" si="190"/>
        <v>Apr</v>
      </c>
      <c r="J2454" s="2">
        <f t="shared" si="191"/>
        <v>4</v>
      </c>
      <c r="K2454" s="2">
        <f t="shared" si="192"/>
        <v>2026</v>
      </c>
      <c r="L2454" s="2">
        <f t="shared" si="193"/>
        <v>2</v>
      </c>
      <c r="M2454" s="6">
        <v>1</v>
      </c>
      <c r="N2454" s="6" t="s">
        <v>5025</v>
      </c>
      <c r="O2454" s="6" t="s">
        <v>97</v>
      </c>
      <c r="P2454" s="7">
        <v>1374363</v>
      </c>
      <c r="Q2454" s="7">
        <v>1360798</v>
      </c>
      <c r="R2454" s="6" t="s">
        <v>5025</v>
      </c>
      <c r="S2454" s="6" t="s">
        <v>5195</v>
      </c>
      <c r="T2454" s="6">
        <v>18.600000000000001</v>
      </c>
      <c r="U2454" s="6" t="s">
        <v>63</v>
      </c>
      <c r="V2454" s="6" t="s">
        <v>243</v>
      </c>
      <c r="W2454" s="67" t="str">
        <f t="shared" si="194"/>
        <v>Customer</v>
      </c>
    </row>
    <row r="2455" spans="1:23" x14ac:dyDescent="0.3">
      <c r="A2455" s="10" t="s">
        <v>5252</v>
      </c>
      <c r="B2455" s="10" t="s">
        <v>5253</v>
      </c>
      <c r="C2455" s="10">
        <v>9117889229</v>
      </c>
      <c r="D2455" s="10" t="s">
        <v>59</v>
      </c>
      <c r="E2455" s="10" t="s">
        <v>41</v>
      </c>
      <c r="F2455" s="10" t="s">
        <v>86</v>
      </c>
      <c r="G2455" s="10" t="s">
        <v>643</v>
      </c>
      <c r="H2455" s="10" t="s">
        <v>5014</v>
      </c>
      <c r="I2455" s="2" t="str">
        <f t="shared" si="190"/>
        <v>Apr</v>
      </c>
      <c r="J2455" s="2">
        <f t="shared" si="191"/>
        <v>4</v>
      </c>
      <c r="K2455" s="2">
        <f t="shared" si="192"/>
        <v>2026</v>
      </c>
      <c r="L2455" s="2">
        <f t="shared" si="193"/>
        <v>2</v>
      </c>
      <c r="M2455" s="10">
        <v>11</v>
      </c>
      <c r="N2455" s="10" t="s">
        <v>5025</v>
      </c>
      <c r="O2455" s="10" t="s">
        <v>62</v>
      </c>
      <c r="P2455" s="11">
        <v>1525267</v>
      </c>
      <c r="Q2455" s="10"/>
      <c r="R2455" s="10"/>
      <c r="S2455" s="10" t="s">
        <v>5195</v>
      </c>
      <c r="T2455" s="10">
        <v>21.5</v>
      </c>
      <c r="U2455" s="10" t="s">
        <v>47</v>
      </c>
      <c r="V2455" s="10" t="s">
        <v>183</v>
      </c>
      <c r="W2455" s="67" t="str">
        <f t="shared" si="194"/>
        <v>-</v>
      </c>
    </row>
    <row r="2456" spans="1:23" x14ac:dyDescent="0.3">
      <c r="A2456" s="6" t="s">
        <v>5254</v>
      </c>
      <c r="B2456" s="6" t="s">
        <v>4875</v>
      </c>
      <c r="C2456" s="6">
        <v>9299614275</v>
      </c>
      <c r="D2456" s="6" t="s">
        <v>20</v>
      </c>
      <c r="E2456" s="6" t="s">
        <v>1632</v>
      </c>
      <c r="F2456" s="6" t="s">
        <v>1633</v>
      </c>
      <c r="G2456" s="6" t="s">
        <v>1677</v>
      </c>
      <c r="H2456" s="6" t="s">
        <v>5042</v>
      </c>
      <c r="I2456" s="2" t="str">
        <f t="shared" si="190"/>
        <v>Apr</v>
      </c>
      <c r="J2456" s="2">
        <f t="shared" si="191"/>
        <v>4</v>
      </c>
      <c r="K2456" s="2">
        <f t="shared" si="192"/>
        <v>2026</v>
      </c>
      <c r="L2456" s="2">
        <f t="shared" si="193"/>
        <v>2</v>
      </c>
      <c r="M2456" s="6">
        <v>0</v>
      </c>
      <c r="N2456" s="6" t="s">
        <v>4925</v>
      </c>
      <c r="O2456" s="6" t="s">
        <v>97</v>
      </c>
      <c r="P2456" s="7">
        <v>1637117</v>
      </c>
      <c r="Q2456" s="7">
        <v>1587222</v>
      </c>
      <c r="R2456" s="6" t="s">
        <v>5025</v>
      </c>
      <c r="S2456" s="6" t="s">
        <v>5195</v>
      </c>
      <c r="T2456" s="6">
        <v>9</v>
      </c>
      <c r="U2456" s="6" t="s">
        <v>47</v>
      </c>
      <c r="V2456" s="6" t="s">
        <v>295</v>
      </c>
      <c r="W2456" s="67" t="str">
        <f t="shared" si="194"/>
        <v>Customer</v>
      </c>
    </row>
    <row r="2457" spans="1:23" x14ac:dyDescent="0.3">
      <c r="A2457" s="10" t="s">
        <v>5255</v>
      </c>
      <c r="B2457" s="10" t="s">
        <v>125</v>
      </c>
      <c r="C2457" s="10">
        <v>9569461351</v>
      </c>
      <c r="D2457" s="10" t="s">
        <v>20</v>
      </c>
      <c r="E2457" s="10" t="s">
        <v>1632</v>
      </c>
      <c r="F2457" s="10" t="s">
        <v>1694</v>
      </c>
      <c r="G2457" s="10" t="s">
        <v>1621</v>
      </c>
      <c r="H2457" s="10" t="s">
        <v>4925</v>
      </c>
      <c r="I2457" s="2" t="str">
        <f t="shared" si="190"/>
        <v>Apr</v>
      </c>
      <c r="J2457" s="2">
        <f t="shared" si="191"/>
        <v>4</v>
      </c>
      <c r="K2457" s="2">
        <f t="shared" si="192"/>
        <v>2026</v>
      </c>
      <c r="L2457" s="2">
        <f t="shared" si="193"/>
        <v>2</v>
      </c>
      <c r="M2457" s="10">
        <v>8</v>
      </c>
      <c r="N2457" s="10" t="s">
        <v>5025</v>
      </c>
      <c r="O2457" s="10" t="s">
        <v>97</v>
      </c>
      <c r="P2457" s="11">
        <v>192588</v>
      </c>
      <c r="Q2457" s="11">
        <v>195643</v>
      </c>
      <c r="R2457" s="10" t="s">
        <v>5025</v>
      </c>
      <c r="S2457" s="10" t="s">
        <v>5195</v>
      </c>
      <c r="T2457" s="10">
        <v>15.4</v>
      </c>
      <c r="U2457" s="10" t="s">
        <v>63</v>
      </c>
      <c r="V2457" s="10" t="s">
        <v>341</v>
      </c>
      <c r="W2457" s="67" t="str">
        <f t="shared" si="194"/>
        <v>Customer</v>
      </c>
    </row>
    <row r="2458" spans="1:23" x14ac:dyDescent="0.3">
      <c r="A2458" s="6" t="s">
        <v>5256</v>
      </c>
      <c r="B2458" s="6" t="s">
        <v>2718</v>
      </c>
      <c r="C2458" s="6">
        <v>9441138045</v>
      </c>
      <c r="D2458" s="6" t="s">
        <v>20</v>
      </c>
      <c r="E2458" s="6" t="s">
        <v>41</v>
      </c>
      <c r="F2458" s="6" t="s">
        <v>42</v>
      </c>
      <c r="G2458" s="6" t="s">
        <v>69</v>
      </c>
      <c r="H2458" s="6" t="s">
        <v>4925</v>
      </c>
      <c r="I2458" s="2" t="str">
        <f t="shared" si="190"/>
        <v>Apr</v>
      </c>
      <c r="J2458" s="2">
        <f t="shared" si="191"/>
        <v>4</v>
      </c>
      <c r="K2458" s="2">
        <f t="shared" si="192"/>
        <v>2026</v>
      </c>
      <c r="L2458" s="2">
        <f t="shared" si="193"/>
        <v>2</v>
      </c>
      <c r="M2458" s="6">
        <v>2</v>
      </c>
      <c r="N2458" s="6" t="s">
        <v>5025</v>
      </c>
      <c r="O2458" s="6" t="s">
        <v>97</v>
      </c>
      <c r="P2458" s="7">
        <v>401685</v>
      </c>
      <c r="Q2458" s="7">
        <v>407308</v>
      </c>
      <c r="R2458" s="6" t="s">
        <v>5025</v>
      </c>
      <c r="S2458" s="6" t="s">
        <v>5819</v>
      </c>
      <c r="T2458" s="6">
        <v>18.2</v>
      </c>
      <c r="U2458" s="6" t="s">
        <v>63</v>
      </c>
      <c r="V2458" s="6" t="s">
        <v>295</v>
      </c>
      <c r="W2458" s="67" t="str">
        <f t="shared" si="194"/>
        <v>Customer</v>
      </c>
    </row>
    <row r="2459" spans="1:23" x14ac:dyDescent="0.3">
      <c r="A2459" s="4" t="s">
        <v>5258</v>
      </c>
      <c r="B2459" s="4" t="s">
        <v>5259</v>
      </c>
      <c r="C2459" s="4">
        <v>9252706996</v>
      </c>
      <c r="D2459" s="4" t="s">
        <v>20</v>
      </c>
      <c r="E2459" s="4" t="s">
        <v>1632</v>
      </c>
      <c r="F2459" s="4" t="s">
        <v>1659</v>
      </c>
      <c r="G2459" s="4" t="s">
        <v>69</v>
      </c>
      <c r="H2459" s="4" t="s">
        <v>4925</v>
      </c>
      <c r="I2459" s="2" t="str">
        <f t="shared" si="190"/>
        <v>Apr</v>
      </c>
      <c r="J2459" s="2">
        <f t="shared" si="191"/>
        <v>4</v>
      </c>
      <c r="K2459" s="2">
        <f t="shared" si="192"/>
        <v>2026</v>
      </c>
      <c r="L2459" s="2">
        <f t="shared" si="193"/>
        <v>2</v>
      </c>
      <c r="M2459" s="4"/>
      <c r="N2459" s="4" t="s">
        <v>5025</v>
      </c>
      <c r="O2459" s="4" t="s">
        <v>27</v>
      </c>
      <c r="P2459" s="5">
        <v>254554</v>
      </c>
      <c r="Q2459" s="4"/>
      <c r="R2459" s="4"/>
      <c r="S2459" s="4" t="s">
        <v>5195</v>
      </c>
      <c r="T2459" s="4">
        <v>18.5</v>
      </c>
      <c r="U2459" s="4" t="s">
        <v>29</v>
      </c>
      <c r="V2459" s="4" t="s">
        <v>5582</v>
      </c>
      <c r="W2459" s="67" t="str">
        <f t="shared" si="194"/>
        <v>-</v>
      </c>
    </row>
    <row r="2460" spans="1:23" x14ac:dyDescent="0.3">
      <c r="A2460" s="6" t="s">
        <v>5260</v>
      </c>
      <c r="B2460" s="6" t="s">
        <v>2383</v>
      </c>
      <c r="C2460" s="6">
        <v>9505771287</v>
      </c>
      <c r="D2460" s="6" t="s">
        <v>59</v>
      </c>
      <c r="E2460" s="6" t="s">
        <v>21</v>
      </c>
      <c r="F2460" s="6" t="s">
        <v>230</v>
      </c>
      <c r="G2460" s="6" t="s">
        <v>23</v>
      </c>
      <c r="H2460" s="6" t="s">
        <v>5169</v>
      </c>
      <c r="I2460" s="2" t="str">
        <f t="shared" si="190"/>
        <v>Apr</v>
      </c>
      <c r="J2460" s="2">
        <f t="shared" si="191"/>
        <v>4</v>
      </c>
      <c r="K2460" s="2">
        <f t="shared" si="192"/>
        <v>2026</v>
      </c>
      <c r="L2460" s="2">
        <f t="shared" si="193"/>
        <v>2</v>
      </c>
      <c r="M2460" s="6">
        <v>8</v>
      </c>
      <c r="N2460" s="6" t="s">
        <v>5025</v>
      </c>
      <c r="O2460" s="6" t="s">
        <v>97</v>
      </c>
      <c r="P2460" s="7">
        <v>430135</v>
      </c>
      <c r="Q2460" s="7">
        <v>430429</v>
      </c>
      <c r="R2460" s="6" t="s">
        <v>5025</v>
      </c>
      <c r="S2460" s="6" t="s">
        <v>5195</v>
      </c>
      <c r="T2460" s="6">
        <v>30.4</v>
      </c>
      <c r="U2460" s="6" t="s">
        <v>47</v>
      </c>
      <c r="V2460" s="6" t="s">
        <v>113</v>
      </c>
      <c r="W2460" s="67" t="str">
        <f t="shared" si="194"/>
        <v>Customer</v>
      </c>
    </row>
    <row r="2461" spans="1:23" x14ac:dyDescent="0.3">
      <c r="A2461" s="4" t="s">
        <v>5261</v>
      </c>
      <c r="B2461" s="4" t="s">
        <v>5262</v>
      </c>
      <c r="C2461" s="4">
        <v>9700778451</v>
      </c>
      <c r="D2461" s="4" t="s">
        <v>59</v>
      </c>
      <c r="E2461" s="4" t="s">
        <v>1632</v>
      </c>
      <c r="F2461" s="4" t="s">
        <v>1717</v>
      </c>
      <c r="G2461" s="4" t="s">
        <v>1621</v>
      </c>
      <c r="H2461" s="4" t="s">
        <v>5169</v>
      </c>
      <c r="I2461" s="2" t="str">
        <f t="shared" si="190"/>
        <v>Apr</v>
      </c>
      <c r="J2461" s="2">
        <f t="shared" si="191"/>
        <v>4</v>
      </c>
      <c r="K2461" s="2">
        <f t="shared" si="192"/>
        <v>2026</v>
      </c>
      <c r="L2461" s="2">
        <f t="shared" si="193"/>
        <v>2</v>
      </c>
      <c r="M2461" s="4">
        <v>9</v>
      </c>
      <c r="N2461" s="4" t="s">
        <v>5025</v>
      </c>
      <c r="O2461" s="4" t="s">
        <v>62</v>
      </c>
      <c r="P2461" s="5">
        <v>561110</v>
      </c>
      <c r="Q2461" s="4"/>
      <c r="R2461" s="4"/>
      <c r="S2461" s="4" t="s">
        <v>5195</v>
      </c>
      <c r="T2461" s="4">
        <v>4.0999999999999996</v>
      </c>
      <c r="U2461" s="4" t="s">
        <v>47</v>
      </c>
      <c r="V2461" s="4" t="s">
        <v>137</v>
      </c>
      <c r="W2461" s="67" t="str">
        <f t="shared" si="194"/>
        <v>-</v>
      </c>
    </row>
    <row r="2462" spans="1:23" x14ac:dyDescent="0.3">
      <c r="A2462" s="2" t="s">
        <v>5263</v>
      </c>
      <c r="B2462" s="2" t="s">
        <v>5264</v>
      </c>
      <c r="C2462" s="2">
        <v>9484085741</v>
      </c>
      <c r="D2462" s="2" t="s">
        <v>59</v>
      </c>
      <c r="E2462" s="2" t="s">
        <v>41</v>
      </c>
      <c r="F2462" s="2" t="s">
        <v>151</v>
      </c>
      <c r="G2462" s="2" t="s">
        <v>1599</v>
      </c>
      <c r="H2462" s="2" t="s">
        <v>5169</v>
      </c>
      <c r="I2462" s="2" t="str">
        <f t="shared" si="190"/>
        <v>Apr</v>
      </c>
      <c r="J2462" s="2">
        <f t="shared" si="191"/>
        <v>4</v>
      </c>
      <c r="K2462" s="2">
        <f t="shared" si="192"/>
        <v>2026</v>
      </c>
      <c r="L2462" s="2">
        <f t="shared" si="193"/>
        <v>2</v>
      </c>
      <c r="M2462" s="2">
        <v>7</v>
      </c>
      <c r="N2462" s="2" t="s">
        <v>5025</v>
      </c>
      <c r="O2462" s="2" t="s">
        <v>62</v>
      </c>
      <c r="P2462" s="3">
        <v>1041449</v>
      </c>
      <c r="Q2462" s="2"/>
      <c r="R2462" s="2"/>
      <c r="S2462" s="2" t="s">
        <v>5819</v>
      </c>
      <c r="T2462" s="2">
        <v>24.5</v>
      </c>
      <c r="U2462" s="2" t="s">
        <v>63</v>
      </c>
      <c r="V2462" s="2" t="s">
        <v>678</v>
      </c>
      <c r="W2462" s="67" t="str">
        <f t="shared" si="194"/>
        <v>-</v>
      </c>
    </row>
    <row r="2463" spans="1:23" x14ac:dyDescent="0.3">
      <c r="A2463" s="6" t="s">
        <v>5265</v>
      </c>
      <c r="B2463" s="6" t="s">
        <v>480</v>
      </c>
      <c r="C2463" s="6">
        <v>9419797541</v>
      </c>
      <c r="D2463" s="6" t="s">
        <v>20</v>
      </c>
      <c r="E2463" s="6" t="s">
        <v>1632</v>
      </c>
      <c r="F2463" s="6" t="s">
        <v>1633</v>
      </c>
      <c r="G2463" s="6" t="s">
        <v>60</v>
      </c>
      <c r="H2463" s="6" t="s">
        <v>5157</v>
      </c>
      <c r="I2463" s="2" t="str">
        <f t="shared" si="190"/>
        <v>Apr</v>
      </c>
      <c r="J2463" s="2">
        <f t="shared" si="191"/>
        <v>4</v>
      </c>
      <c r="K2463" s="2">
        <f t="shared" si="192"/>
        <v>2026</v>
      </c>
      <c r="L2463" s="2">
        <f t="shared" si="193"/>
        <v>2</v>
      </c>
      <c r="M2463" s="6">
        <v>3</v>
      </c>
      <c r="N2463" s="6" t="s">
        <v>5025</v>
      </c>
      <c r="O2463" s="6" t="s">
        <v>27</v>
      </c>
      <c r="P2463" s="7">
        <v>83780</v>
      </c>
      <c r="Q2463" s="7"/>
      <c r="R2463" s="6"/>
      <c r="S2463" s="6" t="s">
        <v>5819</v>
      </c>
      <c r="T2463" s="6">
        <v>5.0999999999999996</v>
      </c>
      <c r="U2463" s="6" t="s">
        <v>63</v>
      </c>
      <c r="V2463" s="6" t="s">
        <v>5579</v>
      </c>
      <c r="W2463" s="67" t="str">
        <f t="shared" si="194"/>
        <v>-</v>
      </c>
    </row>
    <row r="2464" spans="1:23" x14ac:dyDescent="0.3">
      <c r="A2464" s="2" t="s">
        <v>5266</v>
      </c>
      <c r="B2464" s="2" t="s">
        <v>2459</v>
      </c>
      <c r="C2464" s="2"/>
      <c r="D2464" s="2" t="s">
        <v>20</v>
      </c>
      <c r="E2464" s="2" t="s">
        <v>641</v>
      </c>
      <c r="F2464" s="2" t="s">
        <v>681</v>
      </c>
      <c r="G2464" s="2" t="s">
        <v>1599</v>
      </c>
      <c r="H2464" s="2" t="s">
        <v>5157</v>
      </c>
      <c r="I2464" s="2" t="str">
        <f t="shared" si="190"/>
        <v>Apr</v>
      </c>
      <c r="J2464" s="2">
        <f t="shared" si="191"/>
        <v>4</v>
      </c>
      <c r="K2464" s="2">
        <f t="shared" si="192"/>
        <v>2026</v>
      </c>
      <c r="L2464" s="2">
        <f t="shared" si="193"/>
        <v>2</v>
      </c>
      <c r="M2464" s="2">
        <v>0</v>
      </c>
      <c r="N2464" s="2" t="s">
        <v>5025</v>
      </c>
      <c r="O2464" s="2" t="s">
        <v>27</v>
      </c>
      <c r="P2464" s="3">
        <v>862494</v>
      </c>
      <c r="Q2464" s="2"/>
      <c r="R2464" s="2"/>
      <c r="S2464" s="2" t="s">
        <v>5819</v>
      </c>
      <c r="T2464" s="2">
        <v>35.9</v>
      </c>
      <c r="U2464" s="2" t="s">
        <v>29</v>
      </c>
      <c r="V2464" s="2" t="s">
        <v>2286</v>
      </c>
      <c r="W2464" s="67" t="str">
        <f t="shared" si="194"/>
        <v>-</v>
      </c>
    </row>
    <row r="2465" spans="1:23" x14ac:dyDescent="0.3">
      <c r="A2465" s="6" t="s">
        <v>5267</v>
      </c>
      <c r="B2465" s="6" t="s">
        <v>945</v>
      </c>
      <c r="C2465" s="6">
        <v>9832037433</v>
      </c>
      <c r="D2465" s="6" t="s">
        <v>20</v>
      </c>
      <c r="E2465" s="6" t="s">
        <v>21</v>
      </c>
      <c r="F2465" s="6" t="s">
        <v>22</v>
      </c>
      <c r="G2465" s="6" t="s">
        <v>52</v>
      </c>
      <c r="H2465" s="6" t="s">
        <v>5257</v>
      </c>
      <c r="I2465" s="2" t="str">
        <f t="shared" si="190"/>
        <v>May</v>
      </c>
      <c r="J2465" s="2">
        <f t="shared" si="191"/>
        <v>5</v>
      </c>
      <c r="K2465" s="2">
        <f t="shared" si="192"/>
        <v>2026</v>
      </c>
      <c r="L2465" s="2">
        <f t="shared" si="193"/>
        <v>2</v>
      </c>
      <c r="M2465" s="6">
        <v>7</v>
      </c>
      <c r="N2465" s="6" t="s">
        <v>5025</v>
      </c>
      <c r="O2465" s="6" t="s">
        <v>97</v>
      </c>
      <c r="P2465" s="7">
        <v>343411</v>
      </c>
      <c r="Q2465" s="7">
        <v>340198</v>
      </c>
      <c r="R2465" s="6" t="s">
        <v>5025</v>
      </c>
      <c r="S2465" s="6" t="s">
        <v>5819</v>
      </c>
      <c r="T2465" s="6">
        <v>17</v>
      </c>
      <c r="U2465" s="6" t="s">
        <v>63</v>
      </c>
      <c r="V2465" s="6" t="s">
        <v>465</v>
      </c>
      <c r="W2465" s="67" t="str">
        <f t="shared" si="194"/>
        <v>Customer</v>
      </c>
    </row>
    <row r="2466" spans="1:23" x14ac:dyDescent="0.3">
      <c r="A2466" s="2" t="s">
        <v>5268</v>
      </c>
      <c r="B2466" s="2" t="s">
        <v>5269</v>
      </c>
      <c r="C2466" s="2">
        <v>9761730178</v>
      </c>
      <c r="D2466" s="2" t="s">
        <v>20</v>
      </c>
      <c r="E2466" s="2" t="s">
        <v>1632</v>
      </c>
      <c r="F2466" s="2" t="s">
        <v>1717</v>
      </c>
      <c r="G2466" s="2" t="s">
        <v>616</v>
      </c>
      <c r="H2466" s="2" t="s">
        <v>5257</v>
      </c>
      <c r="I2466" s="2" t="str">
        <f t="shared" si="190"/>
        <v>May</v>
      </c>
      <c r="J2466" s="2">
        <f t="shared" si="191"/>
        <v>5</v>
      </c>
      <c r="K2466" s="2">
        <f t="shared" si="192"/>
        <v>2026</v>
      </c>
      <c r="L2466" s="2">
        <f t="shared" si="193"/>
        <v>2</v>
      </c>
      <c r="M2466" s="2">
        <v>3</v>
      </c>
      <c r="N2466" s="2" t="s">
        <v>5025</v>
      </c>
      <c r="O2466" s="2" t="s">
        <v>45</v>
      </c>
      <c r="P2466" s="3">
        <v>206582</v>
      </c>
      <c r="Q2466" s="2"/>
      <c r="R2466" s="2"/>
      <c r="S2466" s="2" t="s">
        <v>5819</v>
      </c>
      <c r="T2466" s="2">
        <v>21.9</v>
      </c>
      <c r="U2466" s="2" t="s">
        <v>47</v>
      </c>
      <c r="V2466" s="2" t="s">
        <v>89</v>
      </c>
      <c r="W2466" s="67" t="str">
        <f t="shared" si="194"/>
        <v>-</v>
      </c>
    </row>
    <row r="2467" spans="1:23" x14ac:dyDescent="0.3">
      <c r="A2467" s="4" t="s">
        <v>5270</v>
      </c>
      <c r="B2467" s="4" t="s">
        <v>1690</v>
      </c>
      <c r="C2467" s="4">
        <v>9449825146</v>
      </c>
      <c r="D2467" s="4" t="s">
        <v>59</v>
      </c>
      <c r="E2467" s="4" t="s">
        <v>1632</v>
      </c>
      <c r="F2467" s="4" t="s">
        <v>1659</v>
      </c>
      <c r="G2467" s="4" t="s">
        <v>1599</v>
      </c>
      <c r="H2467" s="4" t="s">
        <v>5024</v>
      </c>
      <c r="I2467" s="2" t="str">
        <f t="shared" si="190"/>
        <v>May</v>
      </c>
      <c r="J2467" s="2">
        <f t="shared" si="191"/>
        <v>5</v>
      </c>
      <c r="K2467" s="2">
        <f t="shared" si="192"/>
        <v>2026</v>
      </c>
      <c r="L2467" s="2">
        <f t="shared" si="193"/>
        <v>2</v>
      </c>
      <c r="M2467" s="4">
        <v>1</v>
      </c>
      <c r="N2467" s="4" t="s">
        <v>5025</v>
      </c>
      <c r="O2467" s="4" t="s">
        <v>27</v>
      </c>
      <c r="P2467" s="5">
        <v>762956</v>
      </c>
      <c r="Q2467" s="4"/>
      <c r="R2467" s="4"/>
      <c r="S2467" s="4" t="s">
        <v>5573</v>
      </c>
      <c r="T2467" s="4">
        <v>18.8</v>
      </c>
      <c r="U2467" s="4" t="s">
        <v>47</v>
      </c>
      <c r="V2467" s="4" t="s">
        <v>5576</v>
      </c>
      <c r="W2467" s="67" t="str">
        <f t="shared" si="194"/>
        <v>-</v>
      </c>
    </row>
    <row r="2468" spans="1:23" x14ac:dyDescent="0.3">
      <c r="A2468" s="2" t="s">
        <v>5271</v>
      </c>
      <c r="B2468" s="2" t="s">
        <v>5272</v>
      </c>
      <c r="C2468" s="2">
        <v>9933554216</v>
      </c>
      <c r="D2468" s="2" t="s">
        <v>59</v>
      </c>
      <c r="E2468" s="2" t="s">
        <v>1632</v>
      </c>
      <c r="F2468" s="2" t="s">
        <v>1682</v>
      </c>
      <c r="G2468" s="2" t="s">
        <v>23</v>
      </c>
      <c r="H2468" s="2" t="s">
        <v>5024</v>
      </c>
      <c r="I2468" s="2" t="str">
        <f t="shared" si="190"/>
        <v>May</v>
      </c>
      <c r="J2468" s="2">
        <f t="shared" si="191"/>
        <v>5</v>
      </c>
      <c r="K2468" s="2">
        <f t="shared" si="192"/>
        <v>2026</v>
      </c>
      <c r="L2468" s="2">
        <f t="shared" si="193"/>
        <v>2</v>
      </c>
      <c r="M2468" s="2">
        <v>5</v>
      </c>
      <c r="N2468" s="2" t="s">
        <v>5025</v>
      </c>
      <c r="O2468" s="2" t="s">
        <v>62</v>
      </c>
      <c r="P2468" s="3">
        <v>523285</v>
      </c>
      <c r="Q2468" s="2"/>
      <c r="R2468" s="2"/>
      <c r="S2468" s="2" t="s">
        <v>5819</v>
      </c>
      <c r="T2468" s="2">
        <v>23.9</v>
      </c>
      <c r="U2468" s="2" t="s">
        <v>47</v>
      </c>
      <c r="V2468" s="2" t="s">
        <v>174</v>
      </c>
      <c r="W2468" s="67" t="str">
        <f t="shared" si="194"/>
        <v>-</v>
      </c>
    </row>
    <row r="2469" spans="1:23" x14ac:dyDescent="0.3">
      <c r="A2469" s="4" t="s">
        <v>5273</v>
      </c>
      <c r="B2469" s="4" t="s">
        <v>290</v>
      </c>
      <c r="C2469" s="4">
        <v>9111563398</v>
      </c>
      <c r="D2469" s="4" t="s">
        <v>20</v>
      </c>
      <c r="E2469" s="4" t="s">
        <v>1632</v>
      </c>
      <c r="F2469" s="4" t="s">
        <v>1849</v>
      </c>
      <c r="G2469" s="4" t="s">
        <v>52</v>
      </c>
      <c r="H2469" s="4" t="s">
        <v>5165</v>
      </c>
      <c r="I2469" s="2" t="str">
        <f t="shared" si="190"/>
        <v>May</v>
      </c>
      <c r="J2469" s="2">
        <f t="shared" si="191"/>
        <v>5</v>
      </c>
      <c r="K2469" s="2">
        <f t="shared" si="192"/>
        <v>2026</v>
      </c>
      <c r="L2469" s="2">
        <f t="shared" si="193"/>
        <v>2</v>
      </c>
      <c r="M2469" s="4">
        <v>8</v>
      </c>
      <c r="N2469" s="4" t="s">
        <v>5025</v>
      </c>
      <c r="O2469" s="4" t="s">
        <v>27</v>
      </c>
      <c r="P2469" s="5">
        <v>201143</v>
      </c>
      <c r="Q2469" s="4"/>
      <c r="R2469" s="4"/>
      <c r="S2469" s="4" t="s">
        <v>5573</v>
      </c>
      <c r="T2469" s="4">
        <v>15.9</v>
      </c>
      <c r="U2469" s="4" t="s">
        <v>29</v>
      </c>
      <c r="V2469" s="4" t="s">
        <v>123</v>
      </c>
      <c r="W2469" s="67" t="str">
        <f t="shared" si="194"/>
        <v>-</v>
      </c>
    </row>
    <row r="2470" spans="1:23" x14ac:dyDescent="0.3">
      <c r="A2470" s="10" t="s">
        <v>5274</v>
      </c>
      <c r="B2470" s="10" t="s">
        <v>1902</v>
      </c>
      <c r="C2470" s="10">
        <v>9611805163</v>
      </c>
      <c r="D2470" s="10" t="s">
        <v>59</v>
      </c>
      <c r="E2470" s="10" t="s">
        <v>41</v>
      </c>
      <c r="F2470" s="10" t="s">
        <v>42</v>
      </c>
      <c r="G2470" s="10" t="s">
        <v>643</v>
      </c>
      <c r="H2470" s="10" t="s">
        <v>5025</v>
      </c>
      <c r="I2470" s="2" t="str">
        <f t="shared" si="190"/>
        <v>May</v>
      </c>
      <c r="J2470" s="2">
        <f t="shared" si="191"/>
        <v>5</v>
      </c>
      <c r="K2470" s="2">
        <f t="shared" si="192"/>
        <v>2026</v>
      </c>
      <c r="L2470" s="2">
        <f t="shared" si="193"/>
        <v>2</v>
      </c>
      <c r="M2470" s="10">
        <v>8</v>
      </c>
      <c r="N2470" s="10" t="s">
        <v>5025</v>
      </c>
      <c r="O2470" s="10" t="s">
        <v>27</v>
      </c>
      <c r="P2470" s="11">
        <v>751018</v>
      </c>
      <c r="Q2470" s="10"/>
      <c r="R2470" s="10"/>
      <c r="S2470" s="10" t="s">
        <v>5195</v>
      </c>
      <c r="T2470" s="10">
        <v>21.8</v>
      </c>
      <c r="U2470" s="10" t="s">
        <v>29</v>
      </c>
      <c r="V2470" s="10" t="s">
        <v>5583</v>
      </c>
      <c r="W2470" s="67" t="str">
        <f t="shared" si="194"/>
        <v>-</v>
      </c>
    </row>
    <row r="2471" spans="1:23" x14ac:dyDescent="0.3">
      <c r="A2471" s="51" t="s">
        <v>5275</v>
      </c>
      <c r="B2471" s="51" t="s">
        <v>4895</v>
      </c>
      <c r="C2471" s="51">
        <v>9166130265</v>
      </c>
      <c r="D2471" s="51" t="s">
        <v>20</v>
      </c>
      <c r="E2471" s="51" t="s">
        <v>109</v>
      </c>
      <c r="F2471" s="51" t="s">
        <v>331</v>
      </c>
      <c r="G2471" s="51" t="s">
        <v>60</v>
      </c>
      <c r="H2471" s="51" t="s">
        <v>5025</v>
      </c>
      <c r="I2471" s="52" t="str">
        <f t="shared" si="190"/>
        <v>May</v>
      </c>
      <c r="J2471" s="52">
        <f t="shared" si="191"/>
        <v>5</v>
      </c>
      <c r="K2471" s="52">
        <f t="shared" si="192"/>
        <v>2026</v>
      </c>
      <c r="L2471" s="52">
        <f t="shared" si="193"/>
        <v>2</v>
      </c>
      <c r="M2471" s="51">
        <v>9</v>
      </c>
      <c r="N2471" s="51" t="s">
        <v>5025</v>
      </c>
      <c r="O2471" s="51" t="s">
        <v>97</v>
      </c>
      <c r="P2471" s="53">
        <v>177125</v>
      </c>
      <c r="Q2471" s="54">
        <v>157876</v>
      </c>
      <c r="R2471" s="55" t="s">
        <v>5025</v>
      </c>
      <c r="S2471" s="55" t="s">
        <v>5195</v>
      </c>
      <c r="T2471" s="55">
        <v>35.200000000000003</v>
      </c>
      <c r="U2471" s="55" t="s">
        <v>63</v>
      </c>
      <c r="V2471" s="55" t="s">
        <v>286</v>
      </c>
      <c r="W2471" s="67" t="str">
        <f t="shared" si="194"/>
        <v>Customer</v>
      </c>
    </row>
    <row r="2472" spans="1:23" x14ac:dyDescent="0.3">
      <c r="A2472" s="56" t="s">
        <v>5358</v>
      </c>
      <c r="B2472" s="56" t="s">
        <v>5359</v>
      </c>
      <c r="C2472" s="56">
        <v>7136505587</v>
      </c>
      <c r="D2472" s="56" t="s">
        <v>5577</v>
      </c>
      <c r="E2472" s="56" t="s">
        <v>1632</v>
      </c>
      <c r="F2472" s="56" t="s">
        <v>1717</v>
      </c>
      <c r="G2472" s="56" t="s">
        <v>52</v>
      </c>
      <c r="H2472" s="58">
        <v>46150</v>
      </c>
      <c r="I2472" s="56" t="s">
        <v>5337</v>
      </c>
      <c r="J2472" s="56">
        <v>5</v>
      </c>
      <c r="K2472" s="56">
        <v>2026</v>
      </c>
      <c r="L2472" s="56">
        <v>2</v>
      </c>
      <c r="M2472" s="56">
        <v>0</v>
      </c>
      <c r="N2472" s="58">
        <v>46155</v>
      </c>
      <c r="O2472" s="56" t="s">
        <v>45</v>
      </c>
      <c r="P2472" s="59">
        <v>204000</v>
      </c>
      <c r="Q2472" s="56"/>
      <c r="R2472" s="56"/>
      <c r="S2472" s="56" t="s">
        <v>5195</v>
      </c>
      <c r="T2472" s="56">
        <v>11.7</v>
      </c>
      <c r="U2472" s="56" t="s">
        <v>47</v>
      </c>
      <c r="V2472" s="56" t="s">
        <v>5361</v>
      </c>
      <c r="W2472" s="67" t="str">
        <f t="shared" si="194"/>
        <v>-</v>
      </c>
    </row>
    <row r="2473" spans="1:23" x14ac:dyDescent="0.3">
      <c r="A2473" s="56" t="s">
        <v>5362</v>
      </c>
      <c r="B2473" s="56" t="s">
        <v>5363</v>
      </c>
      <c r="C2473" s="56">
        <v>9998485882</v>
      </c>
      <c r="D2473" s="56" t="s">
        <v>5577</v>
      </c>
      <c r="E2473" s="56" t="s">
        <v>41</v>
      </c>
      <c r="F2473" s="56" t="s">
        <v>92</v>
      </c>
      <c r="G2473" s="56" t="s">
        <v>60</v>
      </c>
      <c r="H2473" s="58">
        <v>46150</v>
      </c>
      <c r="I2473" s="56" t="s">
        <v>5337</v>
      </c>
      <c r="J2473" s="56">
        <v>5</v>
      </c>
      <c r="K2473" s="56">
        <v>2026</v>
      </c>
      <c r="L2473" s="56">
        <v>2</v>
      </c>
      <c r="M2473" s="56">
        <v>6</v>
      </c>
      <c r="N2473" s="60">
        <v>46153</v>
      </c>
      <c r="O2473" s="56" t="s">
        <v>27</v>
      </c>
      <c r="P2473" s="61">
        <v>101000</v>
      </c>
      <c r="Q2473" s="56"/>
      <c r="R2473" s="56"/>
      <c r="S2473" s="56" t="s">
        <v>5819</v>
      </c>
      <c r="T2473" s="56">
        <v>21.6</v>
      </c>
      <c r="U2473" s="56" t="s">
        <v>47</v>
      </c>
      <c r="V2473" s="56" t="s">
        <v>5365</v>
      </c>
      <c r="W2473" s="67" t="str">
        <f t="shared" si="194"/>
        <v>-</v>
      </c>
    </row>
    <row r="2474" spans="1:23" x14ac:dyDescent="0.3">
      <c r="A2474" s="56" t="s">
        <v>5366</v>
      </c>
      <c r="B2474" s="56" t="s">
        <v>5367</v>
      </c>
      <c r="C2474" s="56">
        <v>7338444264</v>
      </c>
      <c r="D2474" s="56" t="s">
        <v>20</v>
      </c>
      <c r="E2474" s="56" t="s">
        <v>1632</v>
      </c>
      <c r="F2474" s="56" t="s">
        <v>5368</v>
      </c>
      <c r="G2474" s="56" t="s">
        <v>69</v>
      </c>
      <c r="H2474" s="58">
        <v>46150</v>
      </c>
      <c r="I2474" s="56" t="s">
        <v>5337</v>
      </c>
      <c r="J2474" s="56">
        <v>5</v>
      </c>
      <c r="K2474" s="56">
        <v>2026</v>
      </c>
      <c r="L2474" s="56">
        <v>2</v>
      </c>
      <c r="M2474" s="56">
        <v>8</v>
      </c>
      <c r="N2474" s="60">
        <v>46153</v>
      </c>
      <c r="O2474" s="56" t="s">
        <v>45</v>
      </c>
      <c r="P2474" s="61">
        <v>253000</v>
      </c>
      <c r="Q2474" s="56"/>
      <c r="R2474" s="56"/>
      <c r="S2474" s="56" t="s">
        <v>5195</v>
      </c>
      <c r="T2474" s="56">
        <v>19.7</v>
      </c>
      <c r="U2474" s="56" t="s">
        <v>29</v>
      </c>
      <c r="V2474" s="56" t="s">
        <v>5369</v>
      </c>
      <c r="W2474" s="67" t="str">
        <f t="shared" si="194"/>
        <v>-</v>
      </c>
    </row>
    <row r="2475" spans="1:23" x14ac:dyDescent="0.3">
      <c r="A2475" s="56" t="s">
        <v>5370</v>
      </c>
      <c r="B2475" s="56" t="s">
        <v>2347</v>
      </c>
      <c r="C2475" s="56">
        <v>8947382419</v>
      </c>
      <c r="D2475" s="56" t="s">
        <v>20</v>
      </c>
      <c r="E2475" s="56" t="s">
        <v>33</v>
      </c>
      <c r="F2475" s="56" t="s">
        <v>5371</v>
      </c>
      <c r="G2475" s="56" t="s">
        <v>52</v>
      </c>
      <c r="H2475" s="58">
        <v>46150</v>
      </c>
      <c r="I2475" s="56" t="s">
        <v>5337</v>
      </c>
      <c r="J2475" s="56">
        <v>5</v>
      </c>
      <c r="K2475" s="56">
        <v>2026</v>
      </c>
      <c r="L2475" s="56">
        <v>2</v>
      </c>
      <c r="M2475" s="56">
        <v>10</v>
      </c>
      <c r="N2475" s="60">
        <v>46153</v>
      </c>
      <c r="O2475" s="56" t="s">
        <v>27</v>
      </c>
      <c r="P2475" s="61">
        <v>179000</v>
      </c>
      <c r="Q2475" s="56"/>
      <c r="R2475" s="56"/>
      <c r="S2475" s="56" t="s">
        <v>5819</v>
      </c>
      <c r="T2475" s="56">
        <v>41.4</v>
      </c>
      <c r="U2475" s="56" t="s">
        <v>63</v>
      </c>
      <c r="V2475" s="56" t="s">
        <v>5369</v>
      </c>
      <c r="W2475" s="67" t="str">
        <f t="shared" si="194"/>
        <v>-</v>
      </c>
    </row>
    <row r="2476" spans="1:23" x14ac:dyDescent="0.3">
      <c r="A2476" s="56" t="s">
        <v>5372</v>
      </c>
      <c r="B2476" s="56" t="s">
        <v>3479</v>
      </c>
      <c r="C2476" s="56">
        <v>8629748727</v>
      </c>
      <c r="D2476" s="56" t="s">
        <v>59</v>
      </c>
      <c r="E2476" s="56" t="s">
        <v>33</v>
      </c>
      <c r="F2476" s="56" t="s">
        <v>5371</v>
      </c>
      <c r="G2476" s="56" t="s">
        <v>87</v>
      </c>
      <c r="H2476" s="58">
        <v>46150</v>
      </c>
      <c r="I2476" s="56" t="s">
        <v>5337</v>
      </c>
      <c r="J2476" s="56">
        <v>5</v>
      </c>
      <c r="K2476" s="56">
        <v>2026</v>
      </c>
      <c r="L2476" s="56">
        <v>2</v>
      </c>
      <c r="M2476" s="56">
        <v>4</v>
      </c>
      <c r="N2476" s="60">
        <v>46155</v>
      </c>
      <c r="O2476" s="56" t="s">
        <v>27</v>
      </c>
      <c r="P2476" s="61">
        <v>298000</v>
      </c>
      <c r="Q2476" s="56"/>
      <c r="R2476" s="56"/>
      <c r="S2476" s="56" t="s">
        <v>5195</v>
      </c>
      <c r="T2476" s="56">
        <v>47.6</v>
      </c>
      <c r="U2476" s="56" t="s">
        <v>47</v>
      </c>
      <c r="V2476" s="56" t="s">
        <v>5582</v>
      </c>
      <c r="W2476" s="67" t="str">
        <f t="shared" si="194"/>
        <v>-</v>
      </c>
    </row>
    <row r="2477" spans="1:23" x14ac:dyDescent="0.3">
      <c r="A2477" s="56" t="s">
        <v>5373</v>
      </c>
      <c r="B2477" s="56" t="s">
        <v>2913</v>
      </c>
      <c r="C2477" s="56">
        <v>9144181937</v>
      </c>
      <c r="D2477" s="56" t="s">
        <v>20</v>
      </c>
      <c r="E2477" s="56" t="s">
        <v>109</v>
      </c>
      <c r="F2477" s="56" t="s">
        <v>5374</v>
      </c>
      <c r="G2477" s="56" t="s">
        <v>643</v>
      </c>
      <c r="H2477" s="58">
        <v>46150</v>
      </c>
      <c r="I2477" s="56" t="s">
        <v>5337</v>
      </c>
      <c r="J2477" s="56">
        <v>5</v>
      </c>
      <c r="K2477" s="56">
        <v>2026</v>
      </c>
      <c r="L2477" s="56">
        <v>2</v>
      </c>
      <c r="M2477" s="56">
        <v>6</v>
      </c>
      <c r="N2477" s="60">
        <v>46153</v>
      </c>
      <c r="O2477" s="56" t="s">
        <v>97</v>
      </c>
      <c r="P2477" s="61">
        <v>794000</v>
      </c>
      <c r="Q2477" s="56">
        <v>496000</v>
      </c>
      <c r="R2477" s="56" t="s">
        <v>5364</v>
      </c>
      <c r="S2477" s="56" t="s">
        <v>5573</v>
      </c>
      <c r="T2477" s="56">
        <v>43.4</v>
      </c>
      <c r="U2477" s="56" t="s">
        <v>29</v>
      </c>
      <c r="V2477" s="56"/>
      <c r="W2477" s="67" t="str">
        <f t="shared" si="194"/>
        <v>Customer</v>
      </c>
    </row>
    <row r="2478" spans="1:23" x14ac:dyDescent="0.3">
      <c r="A2478" s="56" t="s">
        <v>5375</v>
      </c>
      <c r="B2478" s="56" t="s">
        <v>2421</v>
      </c>
      <c r="C2478" s="56">
        <v>7390452952</v>
      </c>
      <c r="D2478" s="56" t="s">
        <v>5577</v>
      </c>
      <c r="E2478" s="56" t="s">
        <v>41</v>
      </c>
      <c r="F2478" s="56" t="s">
        <v>92</v>
      </c>
      <c r="G2478" s="56" t="s">
        <v>643</v>
      </c>
      <c r="H2478" s="58">
        <v>46150</v>
      </c>
      <c r="I2478" s="56" t="s">
        <v>5337</v>
      </c>
      <c r="J2478" s="56">
        <v>5</v>
      </c>
      <c r="K2478" s="56">
        <v>2026</v>
      </c>
      <c r="L2478" s="56">
        <v>2</v>
      </c>
      <c r="M2478" s="56">
        <v>12</v>
      </c>
      <c r="N2478" s="60">
        <v>46153</v>
      </c>
      <c r="O2478" s="56" t="s">
        <v>45</v>
      </c>
      <c r="P2478" s="61">
        <v>368000</v>
      </c>
      <c r="Q2478" s="56"/>
      <c r="R2478" s="56"/>
      <c r="S2478" s="56" t="s">
        <v>5819</v>
      </c>
      <c r="T2478" s="56">
        <v>9.9</v>
      </c>
      <c r="U2478" s="56" t="s">
        <v>47</v>
      </c>
      <c r="V2478" s="56" t="s">
        <v>5376</v>
      </c>
      <c r="W2478" s="67" t="str">
        <f t="shared" si="194"/>
        <v>-</v>
      </c>
    </row>
    <row r="2479" spans="1:23" x14ac:dyDescent="0.3">
      <c r="A2479" s="56" t="s">
        <v>5377</v>
      </c>
      <c r="B2479" s="56" t="s">
        <v>5378</v>
      </c>
      <c r="C2479" s="56">
        <v>7491995979</v>
      </c>
      <c r="D2479" s="56" t="s">
        <v>20</v>
      </c>
      <c r="E2479" s="56" t="s">
        <v>41</v>
      </c>
      <c r="F2479" s="56" t="s">
        <v>92</v>
      </c>
      <c r="G2479" s="56" t="s">
        <v>87</v>
      </c>
      <c r="H2479" s="58">
        <v>46151</v>
      </c>
      <c r="I2479" s="56" t="s">
        <v>5337</v>
      </c>
      <c r="J2479" s="56">
        <v>5</v>
      </c>
      <c r="K2479" s="56">
        <v>2026</v>
      </c>
      <c r="L2479" s="56">
        <v>2</v>
      </c>
      <c r="M2479" s="56">
        <v>10</v>
      </c>
      <c r="N2479" s="60">
        <v>46154</v>
      </c>
      <c r="O2479" s="56" t="s">
        <v>27</v>
      </c>
      <c r="P2479" s="61">
        <v>335000</v>
      </c>
      <c r="Q2479" s="56"/>
      <c r="R2479" s="56"/>
      <c r="S2479" s="56" t="s">
        <v>5573</v>
      </c>
      <c r="T2479" s="56">
        <v>43.4</v>
      </c>
      <c r="U2479" s="56" t="s">
        <v>63</v>
      </c>
      <c r="V2479" s="56" t="s">
        <v>5365</v>
      </c>
      <c r="W2479" s="67" t="str">
        <f t="shared" si="194"/>
        <v>-</v>
      </c>
    </row>
    <row r="2480" spans="1:23" x14ac:dyDescent="0.3">
      <c r="A2480" s="56" t="s">
        <v>5379</v>
      </c>
      <c r="B2480" s="56" t="s">
        <v>3044</v>
      </c>
      <c r="C2480" s="56">
        <v>9685643886</v>
      </c>
      <c r="D2480" s="56" t="s">
        <v>59</v>
      </c>
      <c r="E2480" s="56" t="s">
        <v>641</v>
      </c>
      <c r="F2480" s="56" t="s">
        <v>642</v>
      </c>
      <c r="G2480" s="56" t="s">
        <v>23</v>
      </c>
      <c r="H2480" s="58">
        <v>46151</v>
      </c>
      <c r="I2480" s="56" t="s">
        <v>5337</v>
      </c>
      <c r="J2480" s="56">
        <v>5</v>
      </c>
      <c r="K2480" s="56">
        <v>2026</v>
      </c>
      <c r="L2480" s="56">
        <v>2</v>
      </c>
      <c r="M2480" s="56">
        <v>4</v>
      </c>
      <c r="N2480" s="60">
        <v>46153</v>
      </c>
      <c r="O2480" s="56" t="s">
        <v>45</v>
      </c>
      <c r="P2480" s="61">
        <v>444000</v>
      </c>
      <c r="Q2480" s="56"/>
      <c r="R2480" s="56"/>
      <c r="S2480" s="56" t="s">
        <v>5573</v>
      </c>
      <c r="T2480" s="56">
        <v>41.7</v>
      </c>
      <c r="U2480" s="56" t="s">
        <v>29</v>
      </c>
      <c r="V2480" s="56" t="s">
        <v>5380</v>
      </c>
      <c r="W2480" s="67" t="str">
        <f t="shared" si="194"/>
        <v>-</v>
      </c>
    </row>
    <row r="2481" spans="1:23" x14ac:dyDescent="0.3">
      <c r="A2481" s="56" t="s">
        <v>5381</v>
      </c>
      <c r="B2481" s="56" t="s">
        <v>5382</v>
      </c>
      <c r="C2481" s="56">
        <v>8558990517</v>
      </c>
      <c r="D2481" s="56" t="s">
        <v>59</v>
      </c>
      <c r="E2481" s="56" t="s">
        <v>641</v>
      </c>
      <c r="F2481" s="56" t="s">
        <v>5383</v>
      </c>
      <c r="G2481" s="56" t="s">
        <v>616</v>
      </c>
      <c r="H2481" s="58">
        <v>46151</v>
      </c>
      <c r="I2481" s="56" t="s">
        <v>5337</v>
      </c>
      <c r="J2481" s="56">
        <v>5</v>
      </c>
      <c r="K2481" s="56">
        <v>2026</v>
      </c>
      <c r="L2481" s="56">
        <v>2</v>
      </c>
      <c r="M2481" s="56">
        <v>12</v>
      </c>
      <c r="N2481" s="60">
        <v>46156</v>
      </c>
      <c r="O2481" s="56" t="s">
        <v>62</v>
      </c>
      <c r="P2481" s="61">
        <v>117000</v>
      </c>
      <c r="Q2481" s="56"/>
      <c r="R2481" s="56"/>
      <c r="S2481" s="56" t="s">
        <v>5195</v>
      </c>
      <c r="T2481" s="56">
        <v>20.3</v>
      </c>
      <c r="U2481" s="56" t="s">
        <v>29</v>
      </c>
      <c r="V2481" s="56" t="s">
        <v>5365</v>
      </c>
      <c r="W2481" s="67" t="str">
        <f t="shared" si="194"/>
        <v>-</v>
      </c>
    </row>
    <row r="2482" spans="1:23" x14ac:dyDescent="0.3">
      <c r="A2482" s="56" t="s">
        <v>5385</v>
      </c>
      <c r="B2482" s="56" t="s">
        <v>5386</v>
      </c>
      <c r="C2482" s="56">
        <v>8138409539</v>
      </c>
      <c r="D2482" s="56" t="s">
        <v>20</v>
      </c>
      <c r="E2482" s="56" t="s">
        <v>1632</v>
      </c>
      <c r="F2482" s="56" t="s">
        <v>5387</v>
      </c>
      <c r="G2482" s="56" t="s">
        <v>23</v>
      </c>
      <c r="H2482" s="58">
        <v>46151</v>
      </c>
      <c r="I2482" s="56" t="s">
        <v>5337</v>
      </c>
      <c r="J2482" s="56">
        <v>5</v>
      </c>
      <c r="K2482" s="56">
        <v>2026</v>
      </c>
      <c r="L2482" s="56">
        <v>2</v>
      </c>
      <c r="M2482" s="56">
        <v>8</v>
      </c>
      <c r="N2482" s="60">
        <v>46153</v>
      </c>
      <c r="O2482" s="56" t="s">
        <v>45</v>
      </c>
      <c r="P2482" s="61">
        <v>397000</v>
      </c>
      <c r="Q2482" s="56"/>
      <c r="R2482" s="56"/>
      <c r="S2482" s="56" t="s">
        <v>5819</v>
      </c>
      <c r="T2482" s="56">
        <v>42.9</v>
      </c>
      <c r="U2482" s="56" t="s">
        <v>29</v>
      </c>
      <c r="V2482" s="56"/>
      <c r="W2482" s="67" t="str">
        <f t="shared" si="194"/>
        <v>-</v>
      </c>
    </row>
    <row r="2483" spans="1:23" x14ac:dyDescent="0.3">
      <c r="A2483" s="56" t="s">
        <v>5388</v>
      </c>
      <c r="B2483" s="56" t="s">
        <v>3851</v>
      </c>
      <c r="C2483" s="56">
        <v>8452066459</v>
      </c>
      <c r="D2483" s="56" t="s">
        <v>59</v>
      </c>
      <c r="E2483" s="56" t="s">
        <v>33</v>
      </c>
      <c r="F2483" s="56" t="s">
        <v>5371</v>
      </c>
      <c r="G2483" s="56" t="s">
        <v>87</v>
      </c>
      <c r="H2483" s="58">
        <v>46151</v>
      </c>
      <c r="I2483" s="56" t="s">
        <v>5337</v>
      </c>
      <c r="J2483" s="56">
        <v>5</v>
      </c>
      <c r="K2483" s="56">
        <v>2026</v>
      </c>
      <c r="L2483" s="56">
        <v>2</v>
      </c>
      <c r="M2483" s="56">
        <v>0</v>
      </c>
      <c r="N2483" s="60">
        <v>46155</v>
      </c>
      <c r="O2483" s="56" t="s">
        <v>27</v>
      </c>
      <c r="P2483" s="61">
        <v>158000</v>
      </c>
      <c r="Q2483" s="56"/>
      <c r="R2483" s="56"/>
      <c r="S2483" s="56" t="s">
        <v>5195</v>
      </c>
      <c r="T2483" s="56">
        <v>31.5</v>
      </c>
      <c r="U2483" s="56" t="s">
        <v>29</v>
      </c>
      <c r="V2483" s="56" t="s">
        <v>5361</v>
      </c>
      <c r="W2483" s="67" t="str">
        <f t="shared" si="194"/>
        <v>-</v>
      </c>
    </row>
    <row r="2484" spans="1:23" x14ac:dyDescent="0.3">
      <c r="A2484" s="56" t="s">
        <v>5389</v>
      </c>
      <c r="B2484" s="56" t="s">
        <v>5390</v>
      </c>
      <c r="C2484" s="56">
        <v>9084839399</v>
      </c>
      <c r="D2484" s="56" t="s">
        <v>5577</v>
      </c>
      <c r="E2484" s="56" t="s">
        <v>1632</v>
      </c>
      <c r="F2484" s="56" t="s">
        <v>1717</v>
      </c>
      <c r="G2484" s="56" t="s">
        <v>52</v>
      </c>
      <c r="H2484" s="58">
        <v>46151</v>
      </c>
      <c r="I2484" s="56" t="s">
        <v>5337</v>
      </c>
      <c r="J2484" s="56">
        <v>5</v>
      </c>
      <c r="K2484" s="56">
        <v>2026</v>
      </c>
      <c r="L2484" s="56">
        <v>2</v>
      </c>
      <c r="M2484" s="56">
        <v>3</v>
      </c>
      <c r="N2484" s="60">
        <v>46158</v>
      </c>
      <c r="O2484" s="56" t="s">
        <v>62</v>
      </c>
      <c r="P2484" s="61">
        <v>380000</v>
      </c>
      <c r="Q2484" s="56"/>
      <c r="R2484" s="56"/>
      <c r="S2484" s="56" t="s">
        <v>5819</v>
      </c>
      <c r="T2484" s="56">
        <v>29.6</v>
      </c>
      <c r="U2484" s="56" t="s">
        <v>29</v>
      </c>
      <c r="V2484" s="56" t="s">
        <v>5581</v>
      </c>
      <c r="W2484" s="67" t="str">
        <f t="shared" si="194"/>
        <v>-</v>
      </c>
    </row>
    <row r="2485" spans="1:23" x14ac:dyDescent="0.3">
      <c r="A2485" s="56" t="s">
        <v>5392</v>
      </c>
      <c r="B2485" s="56" t="s">
        <v>1506</v>
      </c>
      <c r="C2485" s="56">
        <v>7232663462</v>
      </c>
      <c r="D2485" s="56" t="s">
        <v>59</v>
      </c>
      <c r="E2485" s="56" t="s">
        <v>641</v>
      </c>
      <c r="F2485" s="56" t="s">
        <v>5383</v>
      </c>
      <c r="G2485" s="56" t="s">
        <v>643</v>
      </c>
      <c r="H2485" s="58">
        <v>46153</v>
      </c>
      <c r="I2485" s="56" t="s">
        <v>5337</v>
      </c>
      <c r="J2485" s="56">
        <v>5</v>
      </c>
      <c r="K2485" s="56">
        <v>2026</v>
      </c>
      <c r="L2485" s="56">
        <v>2</v>
      </c>
      <c r="M2485" s="56">
        <v>10</v>
      </c>
      <c r="N2485" s="60">
        <v>46154</v>
      </c>
      <c r="O2485" s="56" t="s">
        <v>27</v>
      </c>
      <c r="P2485" s="61">
        <v>797000</v>
      </c>
      <c r="Q2485" s="56"/>
      <c r="R2485" s="56"/>
      <c r="S2485" s="56" t="s">
        <v>5819</v>
      </c>
      <c r="T2485" s="56">
        <v>34.1</v>
      </c>
      <c r="U2485" s="56" t="s">
        <v>47</v>
      </c>
      <c r="V2485" s="56" t="s">
        <v>5580</v>
      </c>
      <c r="W2485" s="67" t="str">
        <f t="shared" si="194"/>
        <v>-</v>
      </c>
    </row>
    <row r="2486" spans="1:23" x14ac:dyDescent="0.3">
      <c r="A2486" s="56" t="s">
        <v>5393</v>
      </c>
      <c r="B2486" s="56" t="s">
        <v>5394</v>
      </c>
      <c r="C2486" s="56">
        <v>7420514789</v>
      </c>
      <c r="D2486" s="56" t="s">
        <v>20</v>
      </c>
      <c r="E2486" s="56" t="s">
        <v>641</v>
      </c>
      <c r="F2486" s="56" t="s">
        <v>642</v>
      </c>
      <c r="G2486" s="56" t="s">
        <v>643</v>
      </c>
      <c r="H2486" s="58">
        <v>46153</v>
      </c>
      <c r="I2486" s="56" t="s">
        <v>5337</v>
      </c>
      <c r="J2486" s="56">
        <v>5</v>
      </c>
      <c r="K2486" s="56">
        <v>2026</v>
      </c>
      <c r="L2486" s="56">
        <v>2</v>
      </c>
      <c r="M2486" s="56">
        <v>0</v>
      </c>
      <c r="N2486" s="60">
        <v>46154</v>
      </c>
      <c r="O2486" s="56" t="s">
        <v>27</v>
      </c>
      <c r="P2486" s="61">
        <v>712000</v>
      </c>
      <c r="Q2486" s="56"/>
      <c r="R2486" s="56"/>
      <c r="S2486" s="56" t="s">
        <v>5819</v>
      </c>
      <c r="T2486" s="56">
        <v>34.1</v>
      </c>
      <c r="U2486" s="56" t="s">
        <v>63</v>
      </c>
      <c r="V2486" s="56" t="s">
        <v>5579</v>
      </c>
      <c r="W2486" s="67" t="str">
        <f t="shared" si="194"/>
        <v>-</v>
      </c>
    </row>
    <row r="2487" spans="1:23" x14ac:dyDescent="0.3">
      <c r="A2487" s="56" t="s">
        <v>5395</v>
      </c>
      <c r="B2487" s="56" t="s">
        <v>4123</v>
      </c>
      <c r="C2487" s="56">
        <v>7009257255</v>
      </c>
      <c r="D2487" s="56" t="s">
        <v>20</v>
      </c>
      <c r="E2487" s="56" t="s">
        <v>21</v>
      </c>
      <c r="F2487" s="56" t="s">
        <v>21</v>
      </c>
      <c r="G2487" s="56" t="s">
        <v>23</v>
      </c>
      <c r="H2487" s="58">
        <v>46153</v>
      </c>
      <c r="I2487" s="56" t="s">
        <v>5337</v>
      </c>
      <c r="J2487" s="56">
        <v>5</v>
      </c>
      <c r="K2487" s="56">
        <v>2026</v>
      </c>
      <c r="L2487" s="56">
        <v>2</v>
      </c>
      <c r="M2487" s="56">
        <v>6</v>
      </c>
      <c r="N2487" s="60">
        <v>46157</v>
      </c>
      <c r="O2487" s="56" t="s">
        <v>27</v>
      </c>
      <c r="P2487" s="61">
        <v>599000</v>
      </c>
      <c r="Q2487" s="56"/>
      <c r="R2487" s="56"/>
      <c r="S2487" s="56" t="s">
        <v>5573</v>
      </c>
      <c r="T2487" s="56">
        <v>18.600000000000001</v>
      </c>
      <c r="U2487" s="56" t="s">
        <v>63</v>
      </c>
      <c r="V2487" s="56" t="s">
        <v>5580</v>
      </c>
      <c r="W2487" s="67" t="str">
        <f t="shared" si="194"/>
        <v>-</v>
      </c>
    </row>
    <row r="2488" spans="1:23" x14ac:dyDescent="0.3">
      <c r="A2488" s="56" t="s">
        <v>5398</v>
      </c>
      <c r="B2488" s="56" t="s">
        <v>5399</v>
      </c>
      <c r="C2488" s="56">
        <v>9487560384</v>
      </c>
      <c r="D2488" s="56" t="s">
        <v>59</v>
      </c>
      <c r="E2488" s="56" t="s">
        <v>41</v>
      </c>
      <c r="F2488" s="56" t="s">
        <v>151</v>
      </c>
      <c r="G2488" s="56" t="s">
        <v>1609</v>
      </c>
      <c r="H2488" s="58">
        <v>46153</v>
      </c>
      <c r="I2488" s="56" t="s">
        <v>5337</v>
      </c>
      <c r="J2488" s="56">
        <v>5</v>
      </c>
      <c r="K2488" s="56">
        <v>2026</v>
      </c>
      <c r="L2488" s="56">
        <v>2</v>
      </c>
      <c r="M2488" s="56">
        <v>11</v>
      </c>
      <c r="N2488" s="60">
        <v>46154</v>
      </c>
      <c r="O2488" s="56" t="s">
        <v>27</v>
      </c>
      <c r="P2488" s="61">
        <v>485000</v>
      </c>
      <c r="Q2488" s="56"/>
      <c r="R2488" s="56"/>
      <c r="S2488" s="56" t="s">
        <v>5195</v>
      </c>
      <c r="T2488" s="56">
        <v>29.7</v>
      </c>
      <c r="U2488" s="56" t="s">
        <v>29</v>
      </c>
      <c r="V2488" s="56" t="s">
        <v>5583</v>
      </c>
      <c r="W2488" s="67" t="str">
        <f t="shared" si="194"/>
        <v>-</v>
      </c>
    </row>
    <row r="2489" spans="1:23" x14ac:dyDescent="0.3">
      <c r="A2489" s="56" t="s">
        <v>5400</v>
      </c>
      <c r="B2489" s="56" t="s">
        <v>5401</v>
      </c>
      <c r="C2489" s="56">
        <v>8010193046</v>
      </c>
      <c r="D2489" s="56" t="s">
        <v>59</v>
      </c>
      <c r="E2489" s="56" t="s">
        <v>41</v>
      </c>
      <c r="F2489" s="56" t="s">
        <v>86</v>
      </c>
      <c r="G2489" s="56" t="s">
        <v>23</v>
      </c>
      <c r="H2489" s="58">
        <v>46153</v>
      </c>
      <c r="I2489" s="56" t="s">
        <v>5337</v>
      </c>
      <c r="J2489" s="56">
        <v>5</v>
      </c>
      <c r="K2489" s="56">
        <v>2026</v>
      </c>
      <c r="L2489" s="56">
        <v>2</v>
      </c>
      <c r="M2489" s="56">
        <v>6</v>
      </c>
      <c r="N2489" s="60">
        <v>46156</v>
      </c>
      <c r="O2489" s="56" t="s">
        <v>55</v>
      </c>
      <c r="P2489" s="61">
        <v>659000</v>
      </c>
      <c r="Q2489" s="56"/>
      <c r="R2489" s="56"/>
      <c r="S2489" s="56" t="s">
        <v>5819</v>
      </c>
      <c r="T2489" s="56">
        <v>12.8</v>
      </c>
      <c r="U2489" s="56" t="s">
        <v>63</v>
      </c>
      <c r="V2489" s="56" t="s">
        <v>5361</v>
      </c>
      <c r="W2489" s="67" t="str">
        <f t="shared" si="194"/>
        <v>-</v>
      </c>
    </row>
    <row r="2490" spans="1:23" x14ac:dyDescent="0.3">
      <c r="A2490" s="56" t="s">
        <v>5402</v>
      </c>
      <c r="B2490" s="56" t="s">
        <v>5403</v>
      </c>
      <c r="C2490" s="56">
        <v>8699887270</v>
      </c>
      <c r="D2490" s="56" t="s">
        <v>59</v>
      </c>
      <c r="E2490" s="56" t="s">
        <v>33</v>
      </c>
      <c r="F2490" s="56" t="s">
        <v>5404</v>
      </c>
      <c r="G2490" s="56" t="s">
        <v>87</v>
      </c>
      <c r="H2490" s="58">
        <v>46153</v>
      </c>
      <c r="I2490" s="56" t="s">
        <v>5337</v>
      </c>
      <c r="J2490" s="56">
        <v>5</v>
      </c>
      <c r="K2490" s="56">
        <v>2026</v>
      </c>
      <c r="L2490" s="56">
        <v>2</v>
      </c>
      <c r="M2490" s="56">
        <v>2</v>
      </c>
      <c r="N2490" s="60">
        <v>46157</v>
      </c>
      <c r="O2490" s="56" t="s">
        <v>27</v>
      </c>
      <c r="P2490" s="61">
        <v>182000</v>
      </c>
      <c r="Q2490" s="56"/>
      <c r="R2490" s="56"/>
      <c r="S2490" s="56" t="s">
        <v>5195</v>
      </c>
      <c r="T2490" s="56">
        <v>34.9</v>
      </c>
      <c r="U2490" s="56" t="s">
        <v>29</v>
      </c>
      <c r="V2490" s="56" t="s">
        <v>5365</v>
      </c>
      <c r="W2490" s="67" t="str">
        <f t="shared" si="194"/>
        <v>-</v>
      </c>
    </row>
    <row r="2491" spans="1:23" x14ac:dyDescent="0.3">
      <c r="A2491" s="56" t="s">
        <v>5405</v>
      </c>
      <c r="B2491" s="56" t="s">
        <v>575</v>
      </c>
      <c r="C2491" s="56">
        <v>7295456419</v>
      </c>
      <c r="D2491" s="56" t="s">
        <v>20</v>
      </c>
      <c r="E2491" s="56" t="s">
        <v>1632</v>
      </c>
      <c r="F2491" s="56" t="s">
        <v>1717</v>
      </c>
      <c r="G2491" s="56" t="s">
        <v>87</v>
      </c>
      <c r="H2491" s="58">
        <v>46154</v>
      </c>
      <c r="I2491" s="56" t="s">
        <v>5337</v>
      </c>
      <c r="J2491" s="56">
        <v>5</v>
      </c>
      <c r="K2491" s="56">
        <v>2026</v>
      </c>
      <c r="L2491" s="56">
        <v>2</v>
      </c>
      <c r="M2491" s="56">
        <v>3</v>
      </c>
      <c r="N2491" s="60">
        <v>46159</v>
      </c>
      <c r="O2491" s="56" t="s">
        <v>97</v>
      </c>
      <c r="P2491" s="61">
        <v>134000</v>
      </c>
      <c r="Q2491" s="56">
        <v>276000</v>
      </c>
      <c r="R2491" s="56" t="s">
        <v>5360</v>
      </c>
      <c r="S2491" s="56" t="s">
        <v>5819</v>
      </c>
      <c r="T2491" s="56">
        <v>22.8</v>
      </c>
      <c r="U2491" s="56" t="s">
        <v>47</v>
      </c>
      <c r="V2491" s="56"/>
      <c r="W2491" s="67" t="str">
        <f t="shared" si="194"/>
        <v>Customer</v>
      </c>
    </row>
    <row r="2492" spans="1:23" x14ac:dyDescent="0.3">
      <c r="A2492" s="56" t="s">
        <v>5406</v>
      </c>
      <c r="B2492" s="56" t="s">
        <v>1881</v>
      </c>
      <c r="C2492" s="56">
        <v>8210133979</v>
      </c>
      <c r="D2492" s="56" t="s">
        <v>5577</v>
      </c>
      <c r="E2492" s="56" t="s">
        <v>641</v>
      </c>
      <c r="F2492" s="56" t="s">
        <v>5407</v>
      </c>
      <c r="G2492" s="56" t="s">
        <v>35</v>
      </c>
      <c r="H2492" s="58">
        <v>46154</v>
      </c>
      <c r="I2492" s="56" t="s">
        <v>5337</v>
      </c>
      <c r="J2492" s="56">
        <v>5</v>
      </c>
      <c r="K2492" s="56">
        <v>2026</v>
      </c>
      <c r="L2492" s="56">
        <v>2</v>
      </c>
      <c r="M2492" s="56">
        <v>9</v>
      </c>
      <c r="N2492" s="60">
        <v>46157</v>
      </c>
      <c r="O2492" s="56" t="s">
        <v>97</v>
      </c>
      <c r="P2492" s="61">
        <v>127000</v>
      </c>
      <c r="Q2492" s="56">
        <v>146000</v>
      </c>
      <c r="R2492" s="56" t="s">
        <v>5396</v>
      </c>
      <c r="S2492" s="56" t="s">
        <v>5195</v>
      </c>
      <c r="T2492" s="56">
        <v>16.399999999999999</v>
      </c>
      <c r="U2492" s="56" t="s">
        <v>63</v>
      </c>
      <c r="V2492" s="56" t="s">
        <v>5361</v>
      </c>
      <c r="W2492" s="67" t="str">
        <f t="shared" si="194"/>
        <v>Customer</v>
      </c>
    </row>
    <row r="2493" spans="1:23" x14ac:dyDescent="0.3">
      <c r="A2493" s="56" t="s">
        <v>5408</v>
      </c>
      <c r="B2493" s="56" t="s">
        <v>2078</v>
      </c>
      <c r="C2493" s="56">
        <v>8897669065</v>
      </c>
      <c r="D2493" s="56" t="s">
        <v>5577</v>
      </c>
      <c r="E2493" s="56" t="s">
        <v>1632</v>
      </c>
      <c r="F2493" s="56" t="s">
        <v>5387</v>
      </c>
      <c r="G2493" s="56" t="s">
        <v>52</v>
      </c>
      <c r="H2493" s="58">
        <v>46154</v>
      </c>
      <c r="I2493" s="56" t="s">
        <v>5337</v>
      </c>
      <c r="J2493" s="56">
        <v>5</v>
      </c>
      <c r="K2493" s="56">
        <v>2026</v>
      </c>
      <c r="L2493" s="56">
        <v>2</v>
      </c>
      <c r="M2493" s="56">
        <v>8</v>
      </c>
      <c r="N2493" s="60">
        <v>46155</v>
      </c>
      <c r="O2493" s="56" t="s">
        <v>97</v>
      </c>
      <c r="P2493" s="61">
        <v>322000</v>
      </c>
      <c r="Q2493" s="56">
        <v>169000</v>
      </c>
      <c r="R2493" s="56" t="s">
        <v>5384</v>
      </c>
      <c r="S2493" s="56" t="s">
        <v>5195</v>
      </c>
      <c r="T2493" s="56">
        <v>36.200000000000003</v>
      </c>
      <c r="U2493" s="56" t="s">
        <v>29</v>
      </c>
      <c r="V2493" s="56"/>
      <c r="W2493" s="67" t="str">
        <f t="shared" si="194"/>
        <v>Customer</v>
      </c>
    </row>
    <row r="2494" spans="1:23" x14ac:dyDescent="0.3">
      <c r="A2494" s="56" t="s">
        <v>5409</v>
      </c>
      <c r="B2494" s="56" t="s">
        <v>5410</v>
      </c>
      <c r="C2494" s="56">
        <v>7902271852</v>
      </c>
      <c r="D2494" s="56" t="s">
        <v>59</v>
      </c>
      <c r="E2494" s="56" t="s">
        <v>1632</v>
      </c>
      <c r="F2494" s="56" t="s">
        <v>1717</v>
      </c>
      <c r="G2494" s="56" t="s">
        <v>643</v>
      </c>
      <c r="H2494" s="58">
        <v>46154</v>
      </c>
      <c r="I2494" s="56" t="s">
        <v>5337</v>
      </c>
      <c r="J2494" s="56">
        <v>5</v>
      </c>
      <c r="K2494" s="56">
        <v>2026</v>
      </c>
      <c r="L2494" s="56">
        <v>2</v>
      </c>
      <c r="M2494" s="56">
        <v>10</v>
      </c>
      <c r="N2494" s="60">
        <v>46159</v>
      </c>
      <c r="O2494" s="56" t="s">
        <v>27</v>
      </c>
      <c r="P2494" s="61">
        <v>362000</v>
      </c>
      <c r="Q2494" s="56"/>
      <c r="R2494" s="56"/>
      <c r="S2494" s="56" t="s">
        <v>5819</v>
      </c>
      <c r="T2494" s="56">
        <v>18</v>
      </c>
      <c r="U2494" s="56" t="s">
        <v>63</v>
      </c>
      <c r="V2494" s="56" t="s">
        <v>5580</v>
      </c>
      <c r="W2494" s="67" t="str">
        <f t="shared" si="194"/>
        <v>-</v>
      </c>
    </row>
    <row r="2495" spans="1:23" x14ac:dyDescent="0.3">
      <c r="A2495" s="56" t="s">
        <v>5411</v>
      </c>
      <c r="B2495" s="56" t="s">
        <v>5412</v>
      </c>
      <c r="C2495" s="56">
        <v>7106456634</v>
      </c>
      <c r="D2495" s="56" t="s">
        <v>59</v>
      </c>
      <c r="E2495" s="56" t="s">
        <v>73</v>
      </c>
      <c r="F2495" s="56" t="s">
        <v>5413</v>
      </c>
      <c r="G2495" s="56" t="s">
        <v>35</v>
      </c>
      <c r="H2495" s="58">
        <v>46154</v>
      </c>
      <c r="I2495" s="56" t="s">
        <v>5337</v>
      </c>
      <c r="J2495" s="56">
        <v>5</v>
      </c>
      <c r="K2495" s="56">
        <v>2026</v>
      </c>
      <c r="L2495" s="56">
        <v>2</v>
      </c>
      <c r="M2495" s="56">
        <v>2</v>
      </c>
      <c r="N2495" s="60">
        <v>46158</v>
      </c>
      <c r="O2495" s="56" t="s">
        <v>97</v>
      </c>
      <c r="P2495" s="61">
        <v>125000</v>
      </c>
      <c r="Q2495" s="56">
        <v>190000</v>
      </c>
      <c r="R2495" s="56" t="s">
        <v>5384</v>
      </c>
      <c r="S2495" s="56" t="s">
        <v>5195</v>
      </c>
      <c r="T2495" s="56">
        <v>37.5</v>
      </c>
      <c r="U2495" s="56" t="s">
        <v>63</v>
      </c>
      <c r="V2495" s="56" t="s">
        <v>5397</v>
      </c>
      <c r="W2495" s="67" t="str">
        <f t="shared" si="194"/>
        <v>Customer</v>
      </c>
    </row>
    <row r="2496" spans="1:23" x14ac:dyDescent="0.3">
      <c r="A2496" s="56" t="s">
        <v>5414</v>
      </c>
      <c r="B2496" s="56" t="s">
        <v>5415</v>
      </c>
      <c r="C2496" s="56">
        <v>7977515194</v>
      </c>
      <c r="D2496" s="56" t="s">
        <v>59</v>
      </c>
      <c r="E2496" s="56" t="s">
        <v>1632</v>
      </c>
      <c r="F2496" s="56" t="s">
        <v>5387</v>
      </c>
      <c r="G2496" s="56" t="s">
        <v>52</v>
      </c>
      <c r="H2496" s="58">
        <v>46154</v>
      </c>
      <c r="I2496" s="56" t="s">
        <v>5337</v>
      </c>
      <c r="J2496" s="56">
        <v>5</v>
      </c>
      <c r="K2496" s="56">
        <v>2026</v>
      </c>
      <c r="L2496" s="56">
        <v>2</v>
      </c>
      <c r="M2496" s="56">
        <v>3</v>
      </c>
      <c r="N2496" s="60">
        <v>46157</v>
      </c>
      <c r="O2496" s="56" t="s">
        <v>97</v>
      </c>
      <c r="P2496" s="61">
        <v>190000</v>
      </c>
      <c r="Q2496" s="56">
        <v>220000</v>
      </c>
      <c r="R2496" s="56" t="s">
        <v>5360</v>
      </c>
      <c r="S2496" s="56" t="s">
        <v>5819</v>
      </c>
      <c r="T2496" s="56">
        <v>8.9</v>
      </c>
      <c r="U2496" s="56" t="s">
        <v>47</v>
      </c>
      <c r="V2496" s="56" t="s">
        <v>5397</v>
      </c>
      <c r="W2496" s="67" t="str">
        <f t="shared" si="194"/>
        <v>Customer</v>
      </c>
    </row>
    <row r="2497" spans="1:23" x14ac:dyDescent="0.3">
      <c r="A2497" s="56" t="s">
        <v>5416</v>
      </c>
      <c r="B2497" s="56" t="s">
        <v>5417</v>
      </c>
      <c r="C2497" s="56">
        <v>8140169349</v>
      </c>
      <c r="D2497" s="56" t="s">
        <v>20</v>
      </c>
      <c r="E2497" s="56" t="s">
        <v>33</v>
      </c>
      <c r="F2497" s="56" t="s">
        <v>5404</v>
      </c>
      <c r="G2497" s="56" t="s">
        <v>1609</v>
      </c>
      <c r="H2497" s="58">
        <v>46154</v>
      </c>
      <c r="I2497" s="56" t="s">
        <v>5337</v>
      </c>
      <c r="J2497" s="56">
        <v>5</v>
      </c>
      <c r="K2497" s="56">
        <v>2026</v>
      </c>
      <c r="L2497" s="56">
        <v>2</v>
      </c>
      <c r="M2497" s="56">
        <v>0</v>
      </c>
      <c r="N2497" s="60">
        <v>46158</v>
      </c>
      <c r="O2497" s="56" t="s">
        <v>27</v>
      </c>
      <c r="P2497" s="61">
        <v>342000</v>
      </c>
      <c r="Q2497" s="56"/>
      <c r="R2497" s="56"/>
      <c r="S2497" s="56" t="s">
        <v>5195</v>
      </c>
      <c r="T2497" s="56">
        <v>12.3</v>
      </c>
      <c r="U2497" s="56" t="s">
        <v>29</v>
      </c>
      <c r="V2497" s="56" t="s">
        <v>5576</v>
      </c>
      <c r="W2497" s="67" t="str">
        <f t="shared" si="194"/>
        <v>-</v>
      </c>
    </row>
    <row r="2498" spans="1:23" x14ac:dyDescent="0.3">
      <c r="A2498" s="56" t="s">
        <v>5418</v>
      </c>
      <c r="B2498" s="56" t="s">
        <v>5419</v>
      </c>
      <c r="C2498" s="56">
        <v>9950028965</v>
      </c>
      <c r="D2498" s="56" t="s">
        <v>59</v>
      </c>
      <c r="E2498" s="56" t="s">
        <v>41</v>
      </c>
      <c r="F2498" s="56" t="s">
        <v>92</v>
      </c>
      <c r="G2498" s="56" t="s">
        <v>52</v>
      </c>
      <c r="H2498" s="58">
        <v>46155</v>
      </c>
      <c r="I2498" s="56" t="s">
        <v>5337</v>
      </c>
      <c r="J2498" s="56">
        <v>5</v>
      </c>
      <c r="K2498" s="56">
        <v>2026</v>
      </c>
      <c r="L2498" s="56">
        <v>2</v>
      </c>
      <c r="M2498" s="56">
        <v>11</v>
      </c>
      <c r="N2498" s="60">
        <v>46157</v>
      </c>
      <c r="O2498" s="56" t="s">
        <v>27</v>
      </c>
      <c r="P2498" s="61">
        <v>385000</v>
      </c>
      <c r="Q2498" s="56"/>
      <c r="R2498" s="56"/>
      <c r="S2498" s="56" t="s">
        <v>5819</v>
      </c>
      <c r="T2498" s="56">
        <v>45.6</v>
      </c>
      <c r="U2498" s="56" t="s">
        <v>63</v>
      </c>
      <c r="V2498" s="56" t="s">
        <v>5420</v>
      </c>
      <c r="W2498" s="67" t="str">
        <f t="shared" ref="W2498:W2561" si="195">IF($O2498&lt;&gt;"Converted","-",IF(ISNUMBER(SEARCH("Architect",$F2498)),"Architect","Customer"))</f>
        <v>-</v>
      </c>
    </row>
    <row r="2499" spans="1:23" x14ac:dyDescent="0.3">
      <c r="A2499" s="56" t="s">
        <v>5421</v>
      </c>
      <c r="B2499" s="56" t="s">
        <v>5422</v>
      </c>
      <c r="C2499" s="56">
        <v>9864283209</v>
      </c>
      <c r="D2499" s="56" t="s">
        <v>5577</v>
      </c>
      <c r="E2499" s="56" t="s">
        <v>41</v>
      </c>
      <c r="F2499" s="56" t="s">
        <v>151</v>
      </c>
      <c r="G2499" s="56" t="s">
        <v>35</v>
      </c>
      <c r="H2499" s="58">
        <v>46155</v>
      </c>
      <c r="I2499" s="56" t="s">
        <v>5337</v>
      </c>
      <c r="J2499" s="56">
        <v>5</v>
      </c>
      <c r="K2499" s="56">
        <v>2026</v>
      </c>
      <c r="L2499" s="56">
        <v>2</v>
      </c>
      <c r="M2499" s="56">
        <v>6</v>
      </c>
      <c r="N2499" s="60">
        <v>46160</v>
      </c>
      <c r="O2499" s="56" t="s">
        <v>45</v>
      </c>
      <c r="P2499" s="61">
        <v>201000</v>
      </c>
      <c r="Q2499" s="56"/>
      <c r="R2499" s="56"/>
      <c r="S2499" s="56" t="s">
        <v>5195</v>
      </c>
      <c r="T2499" s="56">
        <v>21</v>
      </c>
      <c r="U2499" s="56" t="s">
        <v>47</v>
      </c>
      <c r="V2499" s="56" t="s">
        <v>5584</v>
      </c>
      <c r="W2499" s="67" t="str">
        <f t="shared" si="195"/>
        <v>-</v>
      </c>
    </row>
    <row r="2500" spans="1:23" x14ac:dyDescent="0.3">
      <c r="A2500" s="56" t="s">
        <v>5424</v>
      </c>
      <c r="B2500" s="56" t="s">
        <v>5425</v>
      </c>
      <c r="C2500" s="56">
        <v>8305132983</v>
      </c>
      <c r="D2500" s="56" t="s">
        <v>20</v>
      </c>
      <c r="E2500" s="56" t="s">
        <v>1632</v>
      </c>
      <c r="F2500" s="56" t="s">
        <v>5387</v>
      </c>
      <c r="G2500" s="56" t="s">
        <v>52</v>
      </c>
      <c r="H2500" s="58">
        <v>46155</v>
      </c>
      <c r="I2500" s="56" t="s">
        <v>5337</v>
      </c>
      <c r="J2500" s="56">
        <v>5</v>
      </c>
      <c r="K2500" s="56">
        <v>2026</v>
      </c>
      <c r="L2500" s="56">
        <v>2</v>
      </c>
      <c r="M2500" s="56">
        <v>4</v>
      </c>
      <c r="N2500" s="60">
        <v>46160</v>
      </c>
      <c r="O2500" s="56" t="s">
        <v>45</v>
      </c>
      <c r="P2500" s="61">
        <v>403000</v>
      </c>
      <c r="Q2500" s="56"/>
      <c r="R2500" s="56"/>
      <c r="S2500" s="56" t="s">
        <v>5819</v>
      </c>
      <c r="T2500" s="56">
        <v>16.399999999999999</v>
      </c>
      <c r="U2500" s="56" t="s">
        <v>63</v>
      </c>
      <c r="V2500" s="56" t="s">
        <v>5420</v>
      </c>
      <c r="W2500" s="67" t="str">
        <f t="shared" si="195"/>
        <v>-</v>
      </c>
    </row>
    <row r="2501" spans="1:23" x14ac:dyDescent="0.3">
      <c r="A2501" s="56" t="s">
        <v>5426</v>
      </c>
      <c r="B2501" s="56" t="s">
        <v>5427</v>
      </c>
      <c r="C2501" s="56">
        <v>8218853328</v>
      </c>
      <c r="D2501" s="56" t="s">
        <v>20</v>
      </c>
      <c r="E2501" s="56" t="s">
        <v>41</v>
      </c>
      <c r="F2501" s="56" t="s">
        <v>92</v>
      </c>
      <c r="G2501" s="56" t="s">
        <v>23</v>
      </c>
      <c r="H2501" s="58">
        <v>46155</v>
      </c>
      <c r="I2501" s="56" t="s">
        <v>5337</v>
      </c>
      <c r="J2501" s="56">
        <v>5</v>
      </c>
      <c r="K2501" s="56">
        <v>2026</v>
      </c>
      <c r="L2501" s="56">
        <v>2</v>
      </c>
      <c r="M2501" s="56">
        <v>8</v>
      </c>
      <c r="N2501" s="60">
        <v>46156</v>
      </c>
      <c r="O2501" s="56" t="s">
        <v>27</v>
      </c>
      <c r="P2501" s="61">
        <v>507000</v>
      </c>
      <c r="Q2501" s="56"/>
      <c r="R2501" s="56"/>
      <c r="S2501" s="56" t="s">
        <v>5195</v>
      </c>
      <c r="T2501" s="56">
        <v>34.6</v>
      </c>
      <c r="U2501" s="56" t="s">
        <v>29</v>
      </c>
      <c r="V2501" s="56" t="s">
        <v>5369</v>
      </c>
      <c r="W2501" s="67" t="str">
        <f t="shared" si="195"/>
        <v>-</v>
      </c>
    </row>
    <row r="2502" spans="1:23" x14ac:dyDescent="0.3">
      <c r="A2502" s="56" t="s">
        <v>5428</v>
      </c>
      <c r="B2502" s="56" t="s">
        <v>799</v>
      </c>
      <c r="C2502" s="56">
        <v>9704821724</v>
      </c>
      <c r="D2502" s="56" t="s">
        <v>20</v>
      </c>
      <c r="E2502" s="56" t="s">
        <v>33</v>
      </c>
      <c r="F2502" s="56" t="s">
        <v>5371</v>
      </c>
      <c r="G2502" s="56" t="s">
        <v>23</v>
      </c>
      <c r="H2502" s="58">
        <v>46155</v>
      </c>
      <c r="I2502" s="56" t="s">
        <v>5337</v>
      </c>
      <c r="J2502" s="56">
        <v>5</v>
      </c>
      <c r="K2502" s="56">
        <v>2026</v>
      </c>
      <c r="L2502" s="56">
        <v>2</v>
      </c>
      <c r="M2502" s="56">
        <v>9</v>
      </c>
      <c r="N2502" s="60">
        <v>46159</v>
      </c>
      <c r="O2502" s="56" t="s">
        <v>97</v>
      </c>
      <c r="P2502" s="61">
        <v>550000</v>
      </c>
      <c r="Q2502" s="56">
        <v>360000</v>
      </c>
      <c r="R2502" s="56" t="s">
        <v>5396</v>
      </c>
      <c r="S2502" s="56" t="s">
        <v>5573</v>
      </c>
      <c r="T2502" s="56">
        <v>15.8</v>
      </c>
      <c r="U2502" s="56" t="s">
        <v>63</v>
      </c>
      <c r="V2502" s="56" t="s">
        <v>5361</v>
      </c>
      <c r="W2502" s="67" t="str">
        <f t="shared" si="195"/>
        <v>Customer</v>
      </c>
    </row>
    <row r="2503" spans="1:23" x14ac:dyDescent="0.3">
      <c r="A2503" s="56" t="s">
        <v>5429</v>
      </c>
      <c r="B2503" s="56" t="s">
        <v>5430</v>
      </c>
      <c r="C2503" s="56">
        <v>7215686308</v>
      </c>
      <c r="D2503" s="56" t="s">
        <v>5577</v>
      </c>
      <c r="E2503" s="56" t="s">
        <v>648</v>
      </c>
      <c r="F2503" s="56" t="s">
        <v>899</v>
      </c>
      <c r="G2503" s="56" t="s">
        <v>3302</v>
      </c>
      <c r="H2503" s="58">
        <v>46155</v>
      </c>
      <c r="I2503" s="56" t="s">
        <v>5337</v>
      </c>
      <c r="J2503" s="56">
        <v>5</v>
      </c>
      <c r="K2503" s="56">
        <v>2026</v>
      </c>
      <c r="L2503" s="56">
        <v>2</v>
      </c>
      <c r="M2503" s="56">
        <v>8</v>
      </c>
      <c r="N2503" s="60">
        <v>46159</v>
      </c>
      <c r="O2503" s="56" t="s">
        <v>45</v>
      </c>
      <c r="P2503" s="61">
        <v>2109000</v>
      </c>
      <c r="Q2503" s="56"/>
      <c r="R2503" s="56"/>
      <c r="S2503" s="56" t="s">
        <v>5195</v>
      </c>
      <c r="T2503" s="56">
        <v>18</v>
      </c>
      <c r="U2503" s="56" t="s">
        <v>63</v>
      </c>
      <c r="V2503" s="56" t="s">
        <v>5380</v>
      </c>
      <c r="W2503" s="67" t="str">
        <f t="shared" si="195"/>
        <v>-</v>
      </c>
    </row>
    <row r="2504" spans="1:23" x14ac:dyDescent="0.3">
      <c r="A2504" s="56" t="s">
        <v>5431</v>
      </c>
      <c r="B2504" s="56" t="s">
        <v>5432</v>
      </c>
      <c r="C2504" s="56">
        <v>8915184358</v>
      </c>
      <c r="D2504" s="56" t="s">
        <v>59</v>
      </c>
      <c r="E2504" s="56" t="s">
        <v>33</v>
      </c>
      <c r="F2504" s="56" t="s">
        <v>5404</v>
      </c>
      <c r="G2504" s="56" t="s">
        <v>87</v>
      </c>
      <c r="H2504" s="58">
        <v>46155</v>
      </c>
      <c r="I2504" s="56" t="s">
        <v>5337</v>
      </c>
      <c r="J2504" s="56">
        <v>5</v>
      </c>
      <c r="K2504" s="56">
        <v>2026</v>
      </c>
      <c r="L2504" s="56">
        <v>2</v>
      </c>
      <c r="M2504" s="56">
        <v>2</v>
      </c>
      <c r="N2504" s="60">
        <v>46159</v>
      </c>
      <c r="O2504" s="56" t="s">
        <v>55</v>
      </c>
      <c r="P2504" s="61">
        <v>241000</v>
      </c>
      <c r="Q2504" s="56"/>
      <c r="R2504" s="56"/>
      <c r="S2504" s="56" t="s">
        <v>5195</v>
      </c>
      <c r="T2504" s="56">
        <v>37.700000000000003</v>
      </c>
      <c r="U2504" s="56" t="s">
        <v>29</v>
      </c>
      <c r="V2504" s="56" t="s">
        <v>5369</v>
      </c>
      <c r="W2504" s="67" t="str">
        <f t="shared" si="195"/>
        <v>-</v>
      </c>
    </row>
    <row r="2505" spans="1:23" x14ac:dyDescent="0.3">
      <c r="A2505" s="56" t="s">
        <v>5433</v>
      </c>
      <c r="B2505" s="56" t="s">
        <v>4931</v>
      </c>
      <c r="C2505" s="56">
        <v>8167007513</v>
      </c>
      <c r="D2505" s="56" t="s">
        <v>59</v>
      </c>
      <c r="E2505" s="56" t="s">
        <v>648</v>
      </c>
      <c r="F2505" s="56" t="s">
        <v>899</v>
      </c>
      <c r="G2505" s="56" t="s">
        <v>60</v>
      </c>
      <c r="H2505" s="58">
        <v>46156</v>
      </c>
      <c r="I2505" s="56" t="s">
        <v>5337</v>
      </c>
      <c r="J2505" s="56">
        <v>5</v>
      </c>
      <c r="K2505" s="56">
        <v>2026</v>
      </c>
      <c r="L2505" s="56">
        <v>2</v>
      </c>
      <c r="M2505" s="56">
        <v>5</v>
      </c>
      <c r="N2505" s="60">
        <v>46158</v>
      </c>
      <c r="O2505" s="56" t="s">
        <v>27</v>
      </c>
      <c r="P2505" s="61">
        <v>191000</v>
      </c>
      <c r="Q2505" s="56"/>
      <c r="R2505" s="56"/>
      <c r="S2505" s="56" t="s">
        <v>5195</v>
      </c>
      <c r="T2505" s="56">
        <v>20.8</v>
      </c>
      <c r="U2505" s="56" t="s">
        <v>63</v>
      </c>
      <c r="V2505" s="56" t="s">
        <v>5579</v>
      </c>
      <c r="W2505" s="67" t="str">
        <f t="shared" si="195"/>
        <v>-</v>
      </c>
    </row>
    <row r="2506" spans="1:23" x14ac:dyDescent="0.3">
      <c r="A2506" s="56" t="s">
        <v>5434</v>
      </c>
      <c r="B2506" s="56" t="s">
        <v>5435</v>
      </c>
      <c r="C2506" s="56">
        <v>8804502687</v>
      </c>
      <c r="D2506" s="56" t="s">
        <v>59</v>
      </c>
      <c r="E2506" s="56" t="s">
        <v>641</v>
      </c>
      <c r="F2506" s="56" t="s">
        <v>5383</v>
      </c>
      <c r="G2506" s="56" t="s">
        <v>60</v>
      </c>
      <c r="H2506" s="58">
        <v>46156</v>
      </c>
      <c r="I2506" s="56" t="s">
        <v>5337</v>
      </c>
      <c r="J2506" s="56">
        <v>5</v>
      </c>
      <c r="K2506" s="56">
        <v>2026</v>
      </c>
      <c r="L2506" s="56">
        <v>2</v>
      </c>
      <c r="M2506" s="56">
        <v>6</v>
      </c>
      <c r="N2506" s="60">
        <v>46157</v>
      </c>
      <c r="O2506" s="56" t="s">
        <v>97</v>
      </c>
      <c r="P2506" s="61">
        <v>202000</v>
      </c>
      <c r="Q2506" s="56">
        <v>226000</v>
      </c>
      <c r="R2506" s="56" t="s">
        <v>5423</v>
      </c>
      <c r="S2506" s="56" t="s">
        <v>5819</v>
      </c>
      <c r="T2506" s="56">
        <v>44.2</v>
      </c>
      <c r="U2506" s="56" t="s">
        <v>47</v>
      </c>
      <c r="V2506" s="56" t="s">
        <v>5391</v>
      </c>
      <c r="W2506" s="67" t="str">
        <f t="shared" si="195"/>
        <v>Customer</v>
      </c>
    </row>
    <row r="2507" spans="1:23" x14ac:dyDescent="0.3">
      <c r="A2507" s="56" t="s">
        <v>5436</v>
      </c>
      <c r="B2507" s="56" t="s">
        <v>5437</v>
      </c>
      <c r="C2507" s="56">
        <v>9590950133</v>
      </c>
      <c r="D2507" s="56" t="s">
        <v>59</v>
      </c>
      <c r="E2507" s="56" t="s">
        <v>1632</v>
      </c>
      <c r="F2507" s="56" t="s">
        <v>5368</v>
      </c>
      <c r="G2507" s="56" t="s">
        <v>60</v>
      </c>
      <c r="H2507" s="58">
        <v>46156</v>
      </c>
      <c r="I2507" s="56" t="s">
        <v>5337</v>
      </c>
      <c r="J2507" s="56">
        <v>5</v>
      </c>
      <c r="K2507" s="56">
        <v>2026</v>
      </c>
      <c r="L2507" s="56">
        <v>2</v>
      </c>
      <c r="M2507" s="56">
        <v>3</v>
      </c>
      <c r="N2507" s="60">
        <v>46160</v>
      </c>
      <c r="O2507" s="56" t="s">
        <v>62</v>
      </c>
      <c r="P2507" s="61">
        <v>128000</v>
      </c>
      <c r="Q2507" s="56"/>
      <c r="R2507" s="56"/>
      <c r="S2507" s="56" t="s">
        <v>5819</v>
      </c>
      <c r="T2507" s="56">
        <v>27.5</v>
      </c>
      <c r="U2507" s="56" t="s">
        <v>29</v>
      </c>
      <c r="V2507" s="56" t="s">
        <v>5361</v>
      </c>
      <c r="W2507" s="67" t="str">
        <f t="shared" si="195"/>
        <v>-</v>
      </c>
    </row>
    <row r="2508" spans="1:23" x14ac:dyDescent="0.3">
      <c r="A2508" s="56" t="s">
        <v>5438</v>
      </c>
      <c r="B2508" s="56" t="s">
        <v>5425</v>
      </c>
      <c r="C2508" s="56">
        <v>8692304102</v>
      </c>
      <c r="D2508" s="56" t="s">
        <v>59</v>
      </c>
      <c r="E2508" s="56" t="s">
        <v>641</v>
      </c>
      <c r="F2508" s="56" t="s">
        <v>5407</v>
      </c>
      <c r="G2508" s="56" t="s">
        <v>69</v>
      </c>
      <c r="H2508" s="58">
        <v>46156</v>
      </c>
      <c r="I2508" s="56" t="s">
        <v>5337</v>
      </c>
      <c r="J2508" s="56">
        <v>5</v>
      </c>
      <c r="K2508" s="56">
        <v>2026</v>
      </c>
      <c r="L2508" s="56">
        <v>2</v>
      </c>
      <c r="M2508" s="56">
        <v>9</v>
      </c>
      <c r="N2508" s="60">
        <v>46160</v>
      </c>
      <c r="O2508" s="56" t="s">
        <v>45</v>
      </c>
      <c r="P2508" s="61">
        <v>80000</v>
      </c>
      <c r="Q2508" s="56"/>
      <c r="R2508" s="56"/>
      <c r="S2508" s="56" t="s">
        <v>5573</v>
      </c>
      <c r="T2508" s="56">
        <v>30.6</v>
      </c>
      <c r="U2508" s="56" t="s">
        <v>29</v>
      </c>
      <c r="V2508" s="56" t="s">
        <v>5380</v>
      </c>
      <c r="W2508" s="67" t="str">
        <f t="shared" si="195"/>
        <v>-</v>
      </c>
    </row>
    <row r="2509" spans="1:23" x14ac:dyDescent="0.3">
      <c r="A2509" s="56" t="s">
        <v>5439</v>
      </c>
      <c r="B2509" s="56" t="s">
        <v>1275</v>
      </c>
      <c r="C2509" s="56">
        <v>8810607153</v>
      </c>
      <c r="D2509" s="56" t="s">
        <v>59</v>
      </c>
      <c r="E2509" s="56" t="s">
        <v>648</v>
      </c>
      <c r="F2509" s="56" t="s">
        <v>649</v>
      </c>
      <c r="G2509" s="56" t="s">
        <v>52</v>
      </c>
      <c r="H2509" s="58">
        <v>46156</v>
      </c>
      <c r="I2509" s="56" t="s">
        <v>5337</v>
      </c>
      <c r="J2509" s="56">
        <v>5</v>
      </c>
      <c r="K2509" s="56">
        <v>2026</v>
      </c>
      <c r="L2509" s="56">
        <v>2</v>
      </c>
      <c r="M2509" s="56">
        <v>4</v>
      </c>
      <c r="N2509" s="60">
        <v>46161</v>
      </c>
      <c r="O2509" s="56" t="s">
        <v>27</v>
      </c>
      <c r="P2509" s="61">
        <v>289000</v>
      </c>
      <c r="Q2509" s="56"/>
      <c r="R2509" s="56"/>
      <c r="S2509" s="56" t="s">
        <v>5819</v>
      </c>
      <c r="T2509" s="56">
        <v>41.4</v>
      </c>
      <c r="U2509" s="56" t="s">
        <v>47</v>
      </c>
      <c r="V2509" s="56" t="s">
        <v>5361</v>
      </c>
      <c r="W2509" s="67" t="str">
        <f t="shared" si="195"/>
        <v>-</v>
      </c>
    </row>
    <row r="2510" spans="1:23" x14ac:dyDescent="0.3">
      <c r="A2510" s="56" t="s">
        <v>5440</v>
      </c>
      <c r="B2510" s="56" t="s">
        <v>3141</v>
      </c>
      <c r="C2510" s="56">
        <v>9668616333</v>
      </c>
      <c r="D2510" s="56" t="s">
        <v>59</v>
      </c>
      <c r="E2510" s="56" t="s">
        <v>67</v>
      </c>
      <c r="F2510" s="56" t="s">
        <v>5441</v>
      </c>
      <c r="G2510" s="56" t="s">
        <v>87</v>
      </c>
      <c r="H2510" s="58">
        <v>46156</v>
      </c>
      <c r="I2510" s="56" t="s">
        <v>5337</v>
      </c>
      <c r="J2510" s="56">
        <v>5</v>
      </c>
      <c r="K2510" s="56">
        <v>2026</v>
      </c>
      <c r="L2510" s="56">
        <v>2</v>
      </c>
      <c r="M2510" s="56">
        <v>2</v>
      </c>
      <c r="N2510" s="60">
        <v>46157</v>
      </c>
      <c r="O2510" s="56" t="s">
        <v>45</v>
      </c>
      <c r="P2510" s="61">
        <v>241000</v>
      </c>
      <c r="Q2510" s="56"/>
      <c r="R2510" s="56"/>
      <c r="S2510" s="56" t="s">
        <v>5573</v>
      </c>
      <c r="T2510" s="56">
        <v>17.5</v>
      </c>
      <c r="U2510" s="56" t="s">
        <v>47</v>
      </c>
      <c r="V2510" s="56" t="s">
        <v>5578</v>
      </c>
      <c r="W2510" s="67" t="str">
        <f t="shared" si="195"/>
        <v>-</v>
      </c>
    </row>
    <row r="2511" spans="1:23" x14ac:dyDescent="0.3">
      <c r="A2511" s="56" t="s">
        <v>5442</v>
      </c>
      <c r="B2511" s="56" t="s">
        <v>5443</v>
      </c>
      <c r="C2511" s="56">
        <v>9485432021</v>
      </c>
      <c r="D2511" s="56" t="s">
        <v>20</v>
      </c>
      <c r="E2511" s="56" t="s">
        <v>41</v>
      </c>
      <c r="F2511" s="56" t="s">
        <v>92</v>
      </c>
      <c r="G2511" s="56" t="s">
        <v>52</v>
      </c>
      <c r="H2511" s="58">
        <v>46156</v>
      </c>
      <c r="I2511" s="56" t="s">
        <v>5337</v>
      </c>
      <c r="J2511" s="56">
        <v>5</v>
      </c>
      <c r="K2511" s="56">
        <v>2026</v>
      </c>
      <c r="L2511" s="56">
        <v>2</v>
      </c>
      <c r="M2511" s="56">
        <v>0</v>
      </c>
      <c r="N2511" s="60">
        <v>46160</v>
      </c>
      <c r="O2511" s="56" t="s">
        <v>45</v>
      </c>
      <c r="P2511" s="61">
        <v>327000</v>
      </c>
      <c r="Q2511" s="56"/>
      <c r="R2511" s="56"/>
      <c r="S2511" s="56" t="s">
        <v>5819</v>
      </c>
      <c r="T2511" s="56">
        <v>45.2</v>
      </c>
      <c r="U2511" s="56" t="s">
        <v>29</v>
      </c>
      <c r="V2511" s="56" t="s">
        <v>5376</v>
      </c>
      <c r="W2511" s="67" t="str">
        <f t="shared" si="195"/>
        <v>-</v>
      </c>
    </row>
    <row r="2512" spans="1:23" x14ac:dyDescent="0.3">
      <c r="A2512" s="56" t="s">
        <v>5444</v>
      </c>
      <c r="B2512" s="56" t="s">
        <v>5445</v>
      </c>
      <c r="C2512" s="56">
        <v>9430661792</v>
      </c>
      <c r="D2512" s="56" t="s">
        <v>20</v>
      </c>
      <c r="E2512" s="56" t="s">
        <v>1632</v>
      </c>
      <c r="F2512" s="56" t="s">
        <v>5368</v>
      </c>
      <c r="G2512" s="56" t="s">
        <v>87</v>
      </c>
      <c r="H2512" s="58">
        <v>46156</v>
      </c>
      <c r="I2512" s="56" t="s">
        <v>5337</v>
      </c>
      <c r="J2512" s="56">
        <v>5</v>
      </c>
      <c r="K2512" s="56">
        <v>2026</v>
      </c>
      <c r="L2512" s="56">
        <v>2</v>
      </c>
      <c r="M2512" s="56">
        <v>12</v>
      </c>
      <c r="N2512" s="60">
        <v>46160</v>
      </c>
      <c r="O2512" s="56" t="s">
        <v>97</v>
      </c>
      <c r="P2512" s="61">
        <v>261000</v>
      </c>
      <c r="Q2512" s="56">
        <v>117000</v>
      </c>
      <c r="R2512" s="56" t="s">
        <v>5423</v>
      </c>
      <c r="S2512" s="56" t="s">
        <v>5573</v>
      </c>
      <c r="T2512" s="56">
        <v>9.6</v>
      </c>
      <c r="U2512" s="56" t="s">
        <v>29</v>
      </c>
      <c r="V2512" s="56" t="s">
        <v>5361</v>
      </c>
      <c r="W2512" s="67" t="str">
        <f t="shared" si="195"/>
        <v>Customer</v>
      </c>
    </row>
    <row r="2513" spans="1:23" x14ac:dyDescent="0.3">
      <c r="A2513" s="56" t="s">
        <v>5446</v>
      </c>
      <c r="B2513" s="56" t="s">
        <v>4584</v>
      </c>
      <c r="C2513" s="56">
        <v>7756502473</v>
      </c>
      <c r="D2513" s="56" t="s">
        <v>20</v>
      </c>
      <c r="E2513" s="56" t="s">
        <v>648</v>
      </c>
      <c r="F2513" s="56" t="s">
        <v>899</v>
      </c>
      <c r="G2513" s="56" t="s">
        <v>23</v>
      </c>
      <c r="H2513" s="58">
        <v>46157</v>
      </c>
      <c r="I2513" s="56" t="s">
        <v>5337</v>
      </c>
      <c r="J2513" s="56">
        <v>5</v>
      </c>
      <c r="K2513" s="56">
        <v>2026</v>
      </c>
      <c r="L2513" s="56">
        <v>2</v>
      </c>
      <c r="M2513" s="56">
        <v>11</v>
      </c>
      <c r="N2513" s="60">
        <v>46162</v>
      </c>
      <c r="O2513" s="56" t="s">
        <v>55</v>
      </c>
      <c r="P2513" s="61">
        <v>524000</v>
      </c>
      <c r="Q2513" s="56"/>
      <c r="R2513" s="56"/>
      <c r="S2513" s="56" t="s">
        <v>5195</v>
      </c>
      <c r="T2513" s="56">
        <v>28.9</v>
      </c>
      <c r="U2513" s="56" t="s">
        <v>47</v>
      </c>
      <c r="V2513" s="56"/>
      <c r="W2513" s="67" t="str">
        <f t="shared" si="195"/>
        <v>-</v>
      </c>
    </row>
    <row r="2514" spans="1:23" x14ac:dyDescent="0.3">
      <c r="A2514" s="56" t="s">
        <v>5448</v>
      </c>
      <c r="B2514" s="56" t="s">
        <v>2443</v>
      </c>
      <c r="C2514" s="56">
        <v>8047385483</v>
      </c>
      <c r="D2514" s="56" t="s">
        <v>59</v>
      </c>
      <c r="E2514" s="56" t="s">
        <v>109</v>
      </c>
      <c r="F2514" s="56" t="s">
        <v>5449</v>
      </c>
      <c r="G2514" s="56" t="s">
        <v>69</v>
      </c>
      <c r="H2514" s="58">
        <v>46157</v>
      </c>
      <c r="I2514" s="56" t="s">
        <v>5337</v>
      </c>
      <c r="J2514" s="56">
        <v>5</v>
      </c>
      <c r="K2514" s="56">
        <v>2026</v>
      </c>
      <c r="L2514" s="56">
        <v>2</v>
      </c>
      <c r="M2514" s="56">
        <v>12</v>
      </c>
      <c r="N2514" s="60">
        <v>46161</v>
      </c>
      <c r="O2514" s="56" t="s">
        <v>45</v>
      </c>
      <c r="P2514" s="61">
        <v>248000</v>
      </c>
      <c r="Q2514" s="56"/>
      <c r="R2514" s="56"/>
      <c r="S2514" s="56" t="s">
        <v>5195</v>
      </c>
      <c r="T2514" s="56">
        <v>26.6</v>
      </c>
      <c r="U2514" s="56" t="s">
        <v>63</v>
      </c>
      <c r="V2514" s="56" t="s">
        <v>5420</v>
      </c>
      <c r="W2514" s="67" t="str">
        <f t="shared" si="195"/>
        <v>-</v>
      </c>
    </row>
    <row r="2515" spans="1:23" x14ac:dyDescent="0.3">
      <c r="A2515" s="56" t="s">
        <v>5450</v>
      </c>
      <c r="B2515" s="56" t="s">
        <v>5451</v>
      </c>
      <c r="C2515" s="56">
        <v>9387104291</v>
      </c>
      <c r="D2515" s="56" t="s">
        <v>5577</v>
      </c>
      <c r="E2515" s="56" t="s">
        <v>1632</v>
      </c>
      <c r="F2515" s="56" t="s">
        <v>5368</v>
      </c>
      <c r="G2515" s="56" t="s">
        <v>23</v>
      </c>
      <c r="H2515" s="58">
        <v>46157</v>
      </c>
      <c r="I2515" s="56" t="s">
        <v>5337</v>
      </c>
      <c r="J2515" s="56">
        <v>5</v>
      </c>
      <c r="K2515" s="56">
        <v>2026</v>
      </c>
      <c r="L2515" s="56">
        <v>2</v>
      </c>
      <c r="M2515" s="56">
        <v>0</v>
      </c>
      <c r="N2515" s="60">
        <v>46159</v>
      </c>
      <c r="O2515" s="56" t="s">
        <v>27</v>
      </c>
      <c r="P2515" s="61">
        <v>267000</v>
      </c>
      <c r="Q2515" s="56"/>
      <c r="R2515" s="56"/>
      <c r="S2515" s="56" t="s">
        <v>5819</v>
      </c>
      <c r="T2515" s="56">
        <v>28.7</v>
      </c>
      <c r="U2515" s="56" t="s">
        <v>29</v>
      </c>
      <c r="V2515" s="56" t="s">
        <v>5582</v>
      </c>
      <c r="W2515" s="67" t="str">
        <f t="shared" si="195"/>
        <v>-</v>
      </c>
    </row>
    <row r="2516" spans="1:23" x14ac:dyDescent="0.3">
      <c r="A2516" s="56" t="s">
        <v>5452</v>
      </c>
      <c r="B2516" s="56" t="s">
        <v>1523</v>
      </c>
      <c r="C2516" s="56">
        <v>8044987715</v>
      </c>
      <c r="D2516" s="56" t="s">
        <v>59</v>
      </c>
      <c r="E2516" s="56" t="s">
        <v>109</v>
      </c>
      <c r="F2516" s="56" t="s">
        <v>5449</v>
      </c>
      <c r="G2516" s="56" t="s">
        <v>87</v>
      </c>
      <c r="H2516" s="58">
        <v>46157</v>
      </c>
      <c r="I2516" s="56" t="s">
        <v>5337</v>
      </c>
      <c r="J2516" s="56">
        <v>5</v>
      </c>
      <c r="K2516" s="56">
        <v>2026</v>
      </c>
      <c r="L2516" s="56">
        <v>2</v>
      </c>
      <c r="M2516" s="56">
        <v>4</v>
      </c>
      <c r="N2516" s="60">
        <v>46162</v>
      </c>
      <c r="O2516" s="56" t="s">
        <v>27</v>
      </c>
      <c r="P2516" s="61">
        <v>205000</v>
      </c>
      <c r="Q2516" s="56"/>
      <c r="R2516" s="56"/>
      <c r="S2516" s="56" t="s">
        <v>5195</v>
      </c>
      <c r="T2516" s="56">
        <v>34.6</v>
      </c>
      <c r="U2516" s="56" t="s">
        <v>29</v>
      </c>
      <c r="V2516" s="56"/>
      <c r="W2516" s="67" t="str">
        <f t="shared" si="195"/>
        <v>-</v>
      </c>
    </row>
    <row r="2517" spans="1:23" x14ac:dyDescent="0.3">
      <c r="A2517" s="56" t="s">
        <v>5453</v>
      </c>
      <c r="B2517" s="56" t="s">
        <v>5454</v>
      </c>
      <c r="C2517" s="56">
        <v>7827143233</v>
      </c>
      <c r="D2517" s="56" t="s">
        <v>59</v>
      </c>
      <c r="E2517" s="56" t="s">
        <v>641</v>
      </c>
      <c r="F2517" s="56" t="s">
        <v>642</v>
      </c>
      <c r="G2517" s="56" t="s">
        <v>643</v>
      </c>
      <c r="H2517" s="58">
        <v>46157</v>
      </c>
      <c r="I2517" s="56" t="s">
        <v>5337</v>
      </c>
      <c r="J2517" s="56">
        <v>5</v>
      </c>
      <c r="K2517" s="56">
        <v>2026</v>
      </c>
      <c r="L2517" s="56">
        <v>2</v>
      </c>
      <c r="M2517" s="56">
        <v>5</v>
      </c>
      <c r="N2517" s="60">
        <v>46159</v>
      </c>
      <c r="O2517" s="56" t="s">
        <v>27</v>
      </c>
      <c r="P2517" s="61">
        <v>709000</v>
      </c>
      <c r="Q2517" s="56"/>
      <c r="R2517" s="56"/>
      <c r="S2517" s="56" t="s">
        <v>5819</v>
      </c>
      <c r="T2517" s="56">
        <v>12.8</v>
      </c>
      <c r="U2517" s="56" t="s">
        <v>47</v>
      </c>
      <c r="V2517" s="56" t="s">
        <v>5369</v>
      </c>
      <c r="W2517" s="67" t="str">
        <f t="shared" si="195"/>
        <v>-</v>
      </c>
    </row>
    <row r="2518" spans="1:23" x14ac:dyDescent="0.3">
      <c r="A2518" s="56" t="s">
        <v>5455</v>
      </c>
      <c r="B2518" s="56" t="s">
        <v>4931</v>
      </c>
      <c r="C2518" s="56">
        <v>8549972386</v>
      </c>
      <c r="D2518" s="56" t="s">
        <v>20</v>
      </c>
      <c r="E2518" s="56" t="s">
        <v>109</v>
      </c>
      <c r="F2518" s="56" t="s">
        <v>5449</v>
      </c>
      <c r="G2518" s="56" t="s">
        <v>87</v>
      </c>
      <c r="H2518" s="58">
        <v>46157</v>
      </c>
      <c r="I2518" s="56" t="s">
        <v>5337</v>
      </c>
      <c r="J2518" s="56">
        <v>5</v>
      </c>
      <c r="K2518" s="56">
        <v>2026</v>
      </c>
      <c r="L2518" s="56">
        <v>2</v>
      </c>
      <c r="M2518" s="56">
        <v>2</v>
      </c>
      <c r="N2518" s="60">
        <v>46160</v>
      </c>
      <c r="O2518" s="56" t="s">
        <v>45</v>
      </c>
      <c r="P2518" s="61">
        <v>321000</v>
      </c>
      <c r="Q2518" s="56"/>
      <c r="R2518" s="56"/>
      <c r="S2518" s="56" t="s">
        <v>5573</v>
      </c>
      <c r="T2518" s="56">
        <v>20.100000000000001</v>
      </c>
      <c r="U2518" s="56" t="s">
        <v>47</v>
      </c>
      <c r="V2518" s="56" t="s">
        <v>5397</v>
      </c>
      <c r="W2518" s="67" t="str">
        <f t="shared" si="195"/>
        <v>-</v>
      </c>
    </row>
    <row r="2519" spans="1:23" x14ac:dyDescent="0.3">
      <c r="A2519" s="56" t="s">
        <v>5456</v>
      </c>
      <c r="B2519" s="56" t="s">
        <v>5457</v>
      </c>
      <c r="C2519" s="56">
        <v>9465587067</v>
      </c>
      <c r="D2519" s="56" t="s">
        <v>20</v>
      </c>
      <c r="E2519" s="56" t="s">
        <v>1632</v>
      </c>
      <c r="F2519" s="56" t="s">
        <v>1717</v>
      </c>
      <c r="G2519" s="56" t="s">
        <v>52</v>
      </c>
      <c r="H2519" s="58">
        <v>46157</v>
      </c>
      <c r="I2519" s="56" t="s">
        <v>5337</v>
      </c>
      <c r="J2519" s="56">
        <v>5</v>
      </c>
      <c r="K2519" s="56">
        <v>2026</v>
      </c>
      <c r="L2519" s="56">
        <v>2</v>
      </c>
      <c r="M2519" s="56">
        <v>4</v>
      </c>
      <c r="N2519" s="60">
        <v>46160</v>
      </c>
      <c r="O2519" s="56" t="s">
        <v>62</v>
      </c>
      <c r="P2519" s="61">
        <v>279000</v>
      </c>
      <c r="Q2519" s="56"/>
      <c r="R2519" s="56"/>
      <c r="S2519" s="56" t="s">
        <v>5195</v>
      </c>
      <c r="T2519" s="56">
        <v>26.8</v>
      </c>
      <c r="U2519" s="56" t="s">
        <v>47</v>
      </c>
      <c r="V2519" s="56" t="s">
        <v>5361</v>
      </c>
      <c r="W2519" s="67" t="str">
        <f t="shared" si="195"/>
        <v>-</v>
      </c>
    </row>
    <row r="2520" spans="1:23" x14ac:dyDescent="0.3">
      <c r="A2520" s="56" t="s">
        <v>5458</v>
      </c>
      <c r="B2520" s="56" t="s">
        <v>5459</v>
      </c>
      <c r="C2520" s="56">
        <v>7640798731</v>
      </c>
      <c r="D2520" s="56" t="s">
        <v>20</v>
      </c>
      <c r="E2520" s="56" t="s">
        <v>641</v>
      </c>
      <c r="F2520" s="56" t="s">
        <v>5407</v>
      </c>
      <c r="G2520" s="56" t="s">
        <v>23</v>
      </c>
      <c r="H2520" s="58">
        <v>46158</v>
      </c>
      <c r="I2520" s="56" t="s">
        <v>5337</v>
      </c>
      <c r="J2520" s="56">
        <v>5</v>
      </c>
      <c r="K2520" s="56">
        <v>2026</v>
      </c>
      <c r="L2520" s="56">
        <v>2</v>
      </c>
      <c r="M2520" s="56">
        <v>12</v>
      </c>
      <c r="N2520" s="60">
        <v>46160</v>
      </c>
      <c r="O2520" s="56" t="s">
        <v>97</v>
      </c>
      <c r="P2520" s="61">
        <v>330000</v>
      </c>
      <c r="Q2520" s="56">
        <v>247000</v>
      </c>
      <c r="R2520" s="56" t="s">
        <v>5447</v>
      </c>
      <c r="S2520" s="56" t="s">
        <v>5573</v>
      </c>
      <c r="T2520" s="56">
        <v>30.5</v>
      </c>
      <c r="U2520" s="56" t="s">
        <v>47</v>
      </c>
      <c r="V2520" s="56" t="s">
        <v>5369</v>
      </c>
      <c r="W2520" s="67" t="str">
        <f t="shared" si="195"/>
        <v>Customer</v>
      </c>
    </row>
    <row r="2521" spans="1:23" x14ac:dyDescent="0.3">
      <c r="A2521" s="56" t="s">
        <v>5460</v>
      </c>
      <c r="B2521" s="56" t="s">
        <v>1069</v>
      </c>
      <c r="C2521" s="56">
        <v>7426204934</v>
      </c>
      <c r="D2521" s="56" t="s">
        <v>59</v>
      </c>
      <c r="E2521" s="56" t="s">
        <v>109</v>
      </c>
      <c r="F2521" s="56" t="s">
        <v>5449</v>
      </c>
      <c r="G2521" s="56" t="s">
        <v>3302</v>
      </c>
      <c r="H2521" s="58">
        <v>46158</v>
      </c>
      <c r="I2521" s="56" t="s">
        <v>5337</v>
      </c>
      <c r="J2521" s="56">
        <v>5</v>
      </c>
      <c r="K2521" s="56">
        <v>2026</v>
      </c>
      <c r="L2521" s="56">
        <v>2</v>
      </c>
      <c r="M2521" s="56">
        <v>12</v>
      </c>
      <c r="N2521" s="60">
        <v>46159</v>
      </c>
      <c r="O2521" s="56" t="s">
        <v>27</v>
      </c>
      <c r="P2521" s="61">
        <v>885000</v>
      </c>
      <c r="Q2521" s="56"/>
      <c r="R2521" s="56"/>
      <c r="S2521" s="56" t="s">
        <v>5573</v>
      </c>
      <c r="T2521" s="56">
        <v>16.3</v>
      </c>
      <c r="U2521" s="56" t="s">
        <v>47</v>
      </c>
      <c r="V2521" s="56" t="s">
        <v>5380</v>
      </c>
      <c r="W2521" s="67" t="str">
        <f t="shared" si="195"/>
        <v>-</v>
      </c>
    </row>
    <row r="2522" spans="1:23" x14ac:dyDescent="0.3">
      <c r="A2522" s="56" t="s">
        <v>5461</v>
      </c>
      <c r="B2522" s="56" t="s">
        <v>4840</v>
      </c>
      <c r="C2522" s="56">
        <v>8214266162</v>
      </c>
      <c r="D2522" s="56" t="s">
        <v>20</v>
      </c>
      <c r="E2522" s="56" t="s">
        <v>641</v>
      </c>
      <c r="F2522" s="56" t="s">
        <v>642</v>
      </c>
      <c r="G2522" s="56" t="s">
        <v>23</v>
      </c>
      <c r="H2522" s="58">
        <v>46158</v>
      </c>
      <c r="I2522" s="56" t="s">
        <v>5337</v>
      </c>
      <c r="J2522" s="56">
        <v>5</v>
      </c>
      <c r="K2522" s="56">
        <v>2026</v>
      </c>
      <c r="L2522" s="56">
        <v>2</v>
      </c>
      <c r="M2522" s="56">
        <v>11</v>
      </c>
      <c r="N2522" s="60">
        <v>46160</v>
      </c>
      <c r="O2522" s="56" t="s">
        <v>27</v>
      </c>
      <c r="P2522" s="61">
        <v>200000</v>
      </c>
      <c r="Q2522" s="56"/>
      <c r="R2522" s="56"/>
      <c r="S2522" s="56" t="s">
        <v>5195</v>
      </c>
      <c r="T2522" s="56">
        <v>42.4</v>
      </c>
      <c r="U2522" s="56" t="s">
        <v>47</v>
      </c>
      <c r="V2522" s="56" t="s">
        <v>5580</v>
      </c>
      <c r="W2522" s="67" t="str">
        <f t="shared" si="195"/>
        <v>-</v>
      </c>
    </row>
    <row r="2523" spans="1:23" x14ac:dyDescent="0.3">
      <c r="A2523" s="56" t="s">
        <v>5462</v>
      </c>
      <c r="B2523" s="56" t="s">
        <v>5463</v>
      </c>
      <c r="C2523" s="56">
        <v>7610900200</v>
      </c>
      <c r="D2523" s="56" t="s">
        <v>20</v>
      </c>
      <c r="E2523" s="56" t="s">
        <v>109</v>
      </c>
      <c r="F2523" s="56" t="s">
        <v>5449</v>
      </c>
      <c r="G2523" s="56" t="s">
        <v>87</v>
      </c>
      <c r="H2523" s="58">
        <v>46158</v>
      </c>
      <c r="I2523" s="56" t="s">
        <v>5337</v>
      </c>
      <c r="J2523" s="56">
        <v>5</v>
      </c>
      <c r="K2523" s="56">
        <v>2026</v>
      </c>
      <c r="L2523" s="56">
        <v>2</v>
      </c>
      <c r="M2523" s="56">
        <v>1</v>
      </c>
      <c r="N2523" s="60">
        <v>46163</v>
      </c>
      <c r="O2523" s="56" t="s">
        <v>62</v>
      </c>
      <c r="P2523" s="61">
        <v>349000</v>
      </c>
      <c r="Q2523" s="56"/>
      <c r="R2523" s="56"/>
      <c r="S2523" s="56" t="s">
        <v>5819</v>
      </c>
      <c r="T2523" s="56">
        <v>10.4</v>
      </c>
      <c r="U2523" s="56" t="s">
        <v>47</v>
      </c>
      <c r="V2523" s="56" t="s">
        <v>5584</v>
      </c>
      <c r="W2523" s="67" t="str">
        <f t="shared" si="195"/>
        <v>-</v>
      </c>
    </row>
    <row r="2524" spans="1:23" x14ac:dyDescent="0.3">
      <c r="A2524" s="56" t="s">
        <v>5465</v>
      </c>
      <c r="B2524" s="56" t="s">
        <v>5466</v>
      </c>
      <c r="C2524" s="56">
        <v>8855548990</v>
      </c>
      <c r="D2524" s="56" t="s">
        <v>20</v>
      </c>
      <c r="E2524" s="56" t="s">
        <v>1632</v>
      </c>
      <c r="F2524" s="56" t="s">
        <v>1717</v>
      </c>
      <c r="G2524" s="56" t="s">
        <v>60</v>
      </c>
      <c r="H2524" s="58">
        <v>46158</v>
      </c>
      <c r="I2524" s="56" t="s">
        <v>5337</v>
      </c>
      <c r="J2524" s="56">
        <v>5</v>
      </c>
      <c r="K2524" s="56">
        <v>2026</v>
      </c>
      <c r="L2524" s="56">
        <v>2</v>
      </c>
      <c r="M2524" s="56">
        <v>11</v>
      </c>
      <c r="N2524" s="60">
        <v>46161</v>
      </c>
      <c r="O2524" s="56" t="s">
        <v>62</v>
      </c>
      <c r="P2524" s="61">
        <v>123000</v>
      </c>
      <c r="Q2524" s="56"/>
      <c r="R2524" s="56"/>
      <c r="S2524" s="56" t="s">
        <v>5195</v>
      </c>
      <c r="T2524" s="56">
        <v>20.9</v>
      </c>
      <c r="U2524" s="56" t="s">
        <v>47</v>
      </c>
      <c r="V2524" s="56" t="s">
        <v>5369</v>
      </c>
      <c r="W2524" s="67" t="str">
        <f t="shared" si="195"/>
        <v>-</v>
      </c>
    </row>
    <row r="2525" spans="1:23" x14ac:dyDescent="0.3">
      <c r="A2525" s="56" t="s">
        <v>5467</v>
      </c>
      <c r="B2525" s="56" t="s">
        <v>5468</v>
      </c>
      <c r="C2525" s="56">
        <v>7752438459</v>
      </c>
      <c r="D2525" s="56" t="s">
        <v>20</v>
      </c>
      <c r="E2525" s="56" t="s">
        <v>73</v>
      </c>
      <c r="F2525" s="56" t="s">
        <v>5413</v>
      </c>
      <c r="G2525" s="56" t="s">
        <v>87</v>
      </c>
      <c r="H2525" s="58">
        <v>46158</v>
      </c>
      <c r="I2525" s="56" t="s">
        <v>5337</v>
      </c>
      <c r="J2525" s="56">
        <v>5</v>
      </c>
      <c r="K2525" s="56">
        <v>2026</v>
      </c>
      <c r="L2525" s="56">
        <v>2</v>
      </c>
      <c r="M2525" s="56">
        <v>7</v>
      </c>
      <c r="N2525" s="60">
        <v>46163</v>
      </c>
      <c r="O2525" s="56" t="s">
        <v>55</v>
      </c>
      <c r="P2525" s="61">
        <v>230000</v>
      </c>
      <c r="Q2525" s="56"/>
      <c r="R2525" s="56"/>
      <c r="S2525" s="56" t="s">
        <v>5573</v>
      </c>
      <c r="T2525" s="56">
        <v>28.8</v>
      </c>
      <c r="U2525" s="56" t="s">
        <v>29</v>
      </c>
      <c r="V2525" s="56" t="s">
        <v>5380</v>
      </c>
      <c r="W2525" s="67" t="str">
        <f t="shared" si="195"/>
        <v>-</v>
      </c>
    </row>
    <row r="2526" spans="1:23" x14ac:dyDescent="0.3">
      <c r="A2526" s="56" t="s">
        <v>5469</v>
      </c>
      <c r="B2526" s="56" t="s">
        <v>5470</v>
      </c>
      <c r="C2526" s="56">
        <v>7690737494</v>
      </c>
      <c r="D2526" s="56" t="s">
        <v>5577</v>
      </c>
      <c r="E2526" s="56" t="s">
        <v>67</v>
      </c>
      <c r="F2526" s="56" t="s">
        <v>5441</v>
      </c>
      <c r="G2526" s="56" t="s">
        <v>69</v>
      </c>
      <c r="H2526" s="58">
        <v>46160</v>
      </c>
      <c r="I2526" s="56" t="s">
        <v>5337</v>
      </c>
      <c r="J2526" s="56">
        <v>5</v>
      </c>
      <c r="K2526" s="56">
        <v>2026</v>
      </c>
      <c r="L2526" s="56">
        <v>2</v>
      </c>
      <c r="M2526" s="56">
        <v>5</v>
      </c>
      <c r="N2526" s="60">
        <v>46164</v>
      </c>
      <c r="O2526" s="56" t="s">
        <v>55</v>
      </c>
      <c r="P2526" s="61">
        <v>215000</v>
      </c>
      <c r="Q2526" s="56"/>
      <c r="R2526" s="56"/>
      <c r="S2526" s="56" t="s">
        <v>5819</v>
      </c>
      <c r="T2526" s="56">
        <v>24.5</v>
      </c>
      <c r="U2526" s="56" t="s">
        <v>47</v>
      </c>
      <c r="V2526" s="56"/>
      <c r="W2526" s="67" t="str">
        <f t="shared" si="195"/>
        <v>-</v>
      </c>
    </row>
    <row r="2527" spans="1:23" x14ac:dyDescent="0.3">
      <c r="A2527" s="56" t="s">
        <v>5472</v>
      </c>
      <c r="B2527" s="56" t="s">
        <v>5473</v>
      </c>
      <c r="C2527" s="56">
        <v>8984173309</v>
      </c>
      <c r="D2527" s="56" t="s">
        <v>5577</v>
      </c>
      <c r="E2527" s="56" t="s">
        <v>1632</v>
      </c>
      <c r="F2527" s="56" t="s">
        <v>1717</v>
      </c>
      <c r="G2527" s="56" t="s">
        <v>52</v>
      </c>
      <c r="H2527" s="58">
        <v>46160</v>
      </c>
      <c r="I2527" s="56" t="s">
        <v>5337</v>
      </c>
      <c r="J2527" s="56">
        <v>5</v>
      </c>
      <c r="K2527" s="56">
        <v>2026</v>
      </c>
      <c r="L2527" s="56">
        <v>2</v>
      </c>
      <c r="M2527" s="56">
        <v>6</v>
      </c>
      <c r="N2527" s="60">
        <v>46165</v>
      </c>
      <c r="O2527" s="56" t="s">
        <v>97</v>
      </c>
      <c r="P2527" s="61">
        <v>307000</v>
      </c>
      <c r="Q2527" s="56">
        <v>339000</v>
      </c>
      <c r="R2527" s="56" t="s">
        <v>5471</v>
      </c>
      <c r="S2527" s="56" t="s">
        <v>5819</v>
      </c>
      <c r="T2527" s="56">
        <v>10.199999999999999</v>
      </c>
      <c r="U2527" s="56" t="s">
        <v>29</v>
      </c>
      <c r="V2527" s="56" t="s">
        <v>5361</v>
      </c>
      <c r="W2527" s="67" t="str">
        <f t="shared" si="195"/>
        <v>Customer</v>
      </c>
    </row>
    <row r="2528" spans="1:23" x14ac:dyDescent="0.3">
      <c r="A2528" s="56" t="s">
        <v>5474</v>
      </c>
      <c r="B2528" s="56" t="s">
        <v>1922</v>
      </c>
      <c r="C2528" s="56">
        <v>7680229045</v>
      </c>
      <c r="D2528" s="56" t="s">
        <v>59</v>
      </c>
      <c r="E2528" s="56" t="s">
        <v>1632</v>
      </c>
      <c r="F2528" s="56" t="s">
        <v>5368</v>
      </c>
      <c r="G2528" s="56" t="s">
        <v>35</v>
      </c>
      <c r="H2528" s="58">
        <v>46160</v>
      </c>
      <c r="I2528" s="56" t="s">
        <v>5337</v>
      </c>
      <c r="J2528" s="56">
        <v>5</v>
      </c>
      <c r="K2528" s="56">
        <v>2026</v>
      </c>
      <c r="L2528" s="56">
        <v>2</v>
      </c>
      <c r="M2528" s="56">
        <v>4</v>
      </c>
      <c r="N2528" s="60">
        <v>46161</v>
      </c>
      <c r="O2528" s="56" t="s">
        <v>27</v>
      </c>
      <c r="P2528" s="61">
        <v>171000</v>
      </c>
      <c r="Q2528" s="56"/>
      <c r="R2528" s="56"/>
      <c r="S2528" s="56" t="s">
        <v>5573</v>
      </c>
      <c r="T2528" s="56">
        <v>30</v>
      </c>
      <c r="U2528" s="56" t="s">
        <v>47</v>
      </c>
      <c r="V2528" s="56" t="s">
        <v>5575</v>
      </c>
      <c r="W2528" s="67" t="str">
        <f t="shared" si="195"/>
        <v>-</v>
      </c>
    </row>
    <row r="2529" spans="1:23" x14ac:dyDescent="0.3">
      <c r="A2529" s="56" t="s">
        <v>5475</v>
      </c>
      <c r="B2529" s="56" t="s">
        <v>1707</v>
      </c>
      <c r="C2529" s="56">
        <v>8174350979</v>
      </c>
      <c r="D2529" s="56" t="s">
        <v>5577</v>
      </c>
      <c r="E2529" s="56" t="s">
        <v>67</v>
      </c>
      <c r="F2529" s="56" t="s">
        <v>5441</v>
      </c>
      <c r="G2529" s="56" t="s">
        <v>643</v>
      </c>
      <c r="H2529" s="58">
        <v>46160</v>
      </c>
      <c r="I2529" s="56" t="s">
        <v>5337</v>
      </c>
      <c r="J2529" s="56">
        <v>5</v>
      </c>
      <c r="K2529" s="56">
        <v>2026</v>
      </c>
      <c r="L2529" s="56">
        <v>2</v>
      </c>
      <c r="M2529" s="56">
        <v>6</v>
      </c>
      <c r="N2529" s="60">
        <v>46162</v>
      </c>
      <c r="O2529" s="56" t="s">
        <v>27</v>
      </c>
      <c r="P2529" s="61">
        <v>1064000</v>
      </c>
      <c r="Q2529" s="56"/>
      <c r="R2529" s="56"/>
      <c r="S2529" s="56" t="s">
        <v>5195</v>
      </c>
      <c r="T2529" s="56">
        <v>41.4</v>
      </c>
      <c r="U2529" s="56" t="s">
        <v>29</v>
      </c>
      <c r="V2529" s="56" t="s">
        <v>5582</v>
      </c>
      <c r="W2529" s="67" t="str">
        <f t="shared" si="195"/>
        <v>-</v>
      </c>
    </row>
    <row r="2530" spans="1:23" x14ac:dyDescent="0.3">
      <c r="A2530" s="56" t="s">
        <v>5476</v>
      </c>
      <c r="B2530" s="56" t="s">
        <v>5477</v>
      </c>
      <c r="C2530" s="56">
        <v>8147497835</v>
      </c>
      <c r="D2530" s="56" t="s">
        <v>20</v>
      </c>
      <c r="E2530" s="56" t="s">
        <v>1632</v>
      </c>
      <c r="F2530" s="56" t="s">
        <v>5387</v>
      </c>
      <c r="G2530" s="56" t="s">
        <v>60</v>
      </c>
      <c r="H2530" s="58">
        <v>46160</v>
      </c>
      <c r="I2530" s="56" t="s">
        <v>5337</v>
      </c>
      <c r="J2530" s="56">
        <v>5</v>
      </c>
      <c r="K2530" s="56">
        <v>2026</v>
      </c>
      <c r="L2530" s="56">
        <v>2</v>
      </c>
      <c r="M2530" s="56">
        <v>0</v>
      </c>
      <c r="N2530" s="60">
        <v>46165</v>
      </c>
      <c r="O2530" s="56" t="s">
        <v>97</v>
      </c>
      <c r="P2530" s="61">
        <v>134000</v>
      </c>
      <c r="Q2530" s="56">
        <v>179000</v>
      </c>
      <c r="R2530" s="56" t="s">
        <v>5471</v>
      </c>
      <c r="S2530" s="56" t="s">
        <v>5819</v>
      </c>
      <c r="T2530" s="56">
        <v>19.3</v>
      </c>
      <c r="U2530" s="56" t="s">
        <v>63</v>
      </c>
      <c r="V2530" s="56" t="s">
        <v>5380</v>
      </c>
      <c r="W2530" s="67" t="str">
        <f t="shared" si="195"/>
        <v>Customer</v>
      </c>
    </row>
    <row r="2531" spans="1:23" x14ac:dyDescent="0.3">
      <c r="A2531" s="56" t="s">
        <v>5478</v>
      </c>
      <c r="B2531" s="56" t="s">
        <v>2801</v>
      </c>
      <c r="C2531" s="56">
        <v>9455852189</v>
      </c>
      <c r="D2531" s="56" t="s">
        <v>20</v>
      </c>
      <c r="E2531" s="56" t="s">
        <v>41</v>
      </c>
      <c r="F2531" s="56" t="s">
        <v>92</v>
      </c>
      <c r="G2531" s="56" t="s">
        <v>52</v>
      </c>
      <c r="H2531" s="58">
        <v>46160</v>
      </c>
      <c r="I2531" s="56" t="s">
        <v>5337</v>
      </c>
      <c r="J2531" s="56">
        <v>5</v>
      </c>
      <c r="K2531" s="56">
        <v>2026</v>
      </c>
      <c r="L2531" s="56">
        <v>2</v>
      </c>
      <c r="M2531" s="56">
        <v>6</v>
      </c>
      <c r="N2531" s="60">
        <v>46161</v>
      </c>
      <c r="O2531" s="56" t="s">
        <v>45</v>
      </c>
      <c r="P2531" s="61">
        <v>399000</v>
      </c>
      <c r="Q2531" s="56"/>
      <c r="R2531" s="56"/>
      <c r="S2531" s="56" t="s">
        <v>5819</v>
      </c>
      <c r="T2531" s="56">
        <v>17.3</v>
      </c>
      <c r="U2531" s="56" t="s">
        <v>47</v>
      </c>
      <c r="V2531" s="56" t="s">
        <v>5420</v>
      </c>
      <c r="W2531" s="67" t="str">
        <f t="shared" si="195"/>
        <v>-</v>
      </c>
    </row>
    <row r="2532" spans="1:23" x14ac:dyDescent="0.3">
      <c r="A2532" s="56" t="s">
        <v>5479</v>
      </c>
      <c r="B2532" s="56" t="s">
        <v>5459</v>
      </c>
      <c r="C2532" s="56">
        <v>9157324056</v>
      </c>
      <c r="D2532" s="56" t="s">
        <v>5577</v>
      </c>
      <c r="E2532" s="56" t="s">
        <v>33</v>
      </c>
      <c r="F2532" s="56" t="s">
        <v>5404</v>
      </c>
      <c r="G2532" s="56" t="s">
        <v>52</v>
      </c>
      <c r="H2532" s="58">
        <v>46160</v>
      </c>
      <c r="I2532" s="56" t="s">
        <v>5337</v>
      </c>
      <c r="J2532" s="56">
        <v>5</v>
      </c>
      <c r="K2532" s="56">
        <v>2026</v>
      </c>
      <c r="L2532" s="56">
        <v>2</v>
      </c>
      <c r="M2532" s="56">
        <v>9</v>
      </c>
      <c r="N2532" s="60">
        <v>46165</v>
      </c>
      <c r="O2532" s="56" t="s">
        <v>45</v>
      </c>
      <c r="P2532" s="61">
        <v>156000</v>
      </c>
      <c r="Q2532" s="56"/>
      <c r="R2532" s="56"/>
      <c r="S2532" s="56" t="s">
        <v>5819</v>
      </c>
      <c r="T2532" s="56">
        <v>21.3</v>
      </c>
      <c r="U2532" s="56" t="s">
        <v>29</v>
      </c>
      <c r="V2532" s="56" t="s">
        <v>5365</v>
      </c>
      <c r="W2532" s="67" t="str">
        <f t="shared" si="195"/>
        <v>-</v>
      </c>
    </row>
    <row r="2533" spans="1:23" x14ac:dyDescent="0.3">
      <c r="A2533" s="56" t="s">
        <v>5480</v>
      </c>
      <c r="B2533" s="56" t="s">
        <v>733</v>
      </c>
      <c r="C2533" s="56">
        <v>8454109425</v>
      </c>
      <c r="D2533" s="56" t="s">
        <v>20</v>
      </c>
      <c r="E2533" s="56" t="s">
        <v>41</v>
      </c>
      <c r="F2533" s="56" t="s">
        <v>151</v>
      </c>
      <c r="G2533" s="56" t="s">
        <v>60</v>
      </c>
      <c r="H2533" s="58">
        <v>46161</v>
      </c>
      <c r="I2533" s="56" t="s">
        <v>5337</v>
      </c>
      <c r="J2533" s="56">
        <v>5</v>
      </c>
      <c r="K2533" s="56">
        <v>2026</v>
      </c>
      <c r="L2533" s="56">
        <v>2</v>
      </c>
      <c r="M2533" s="56">
        <v>9</v>
      </c>
      <c r="N2533" s="60">
        <v>46164</v>
      </c>
      <c r="O2533" s="56" t="s">
        <v>27</v>
      </c>
      <c r="P2533" s="61">
        <v>217000</v>
      </c>
      <c r="Q2533" s="56"/>
      <c r="R2533" s="56"/>
      <c r="S2533" s="56" t="s">
        <v>5573</v>
      </c>
      <c r="T2533" s="56">
        <v>35.700000000000003</v>
      </c>
      <c r="U2533" s="56" t="s">
        <v>47</v>
      </c>
      <c r="V2533" s="56" t="s">
        <v>5576</v>
      </c>
      <c r="W2533" s="67" t="str">
        <f t="shared" si="195"/>
        <v>-</v>
      </c>
    </row>
    <row r="2534" spans="1:23" x14ac:dyDescent="0.3">
      <c r="A2534" s="56" t="s">
        <v>5481</v>
      </c>
      <c r="B2534" s="56" t="s">
        <v>5482</v>
      </c>
      <c r="C2534" s="56">
        <v>9939473765</v>
      </c>
      <c r="D2534" s="56" t="s">
        <v>5577</v>
      </c>
      <c r="E2534" s="56" t="s">
        <v>641</v>
      </c>
      <c r="F2534" s="56" t="s">
        <v>642</v>
      </c>
      <c r="G2534" s="56" t="s">
        <v>60</v>
      </c>
      <c r="H2534" s="58">
        <v>46161</v>
      </c>
      <c r="I2534" s="56" t="s">
        <v>5337</v>
      </c>
      <c r="J2534" s="56">
        <v>5</v>
      </c>
      <c r="K2534" s="56">
        <v>2026</v>
      </c>
      <c r="L2534" s="56">
        <v>2</v>
      </c>
      <c r="M2534" s="56">
        <v>4</v>
      </c>
      <c r="N2534" s="60">
        <v>46165</v>
      </c>
      <c r="O2534" s="56" t="s">
        <v>45</v>
      </c>
      <c r="P2534" s="61">
        <v>240000</v>
      </c>
      <c r="Q2534" s="56"/>
      <c r="R2534" s="56"/>
      <c r="S2534" s="56" t="s">
        <v>5573</v>
      </c>
      <c r="T2534" s="56">
        <v>47.9</v>
      </c>
      <c r="U2534" s="56" t="s">
        <v>29</v>
      </c>
      <c r="V2534" s="56" t="s">
        <v>5578</v>
      </c>
      <c r="W2534" s="67" t="str">
        <f t="shared" si="195"/>
        <v>-</v>
      </c>
    </row>
    <row r="2535" spans="1:23" x14ac:dyDescent="0.3">
      <c r="A2535" s="56" t="s">
        <v>5483</v>
      </c>
      <c r="B2535" s="56" t="s">
        <v>5484</v>
      </c>
      <c r="C2535" s="56">
        <v>8260005019</v>
      </c>
      <c r="D2535" s="56" t="s">
        <v>20</v>
      </c>
      <c r="E2535" s="56" t="s">
        <v>109</v>
      </c>
      <c r="F2535" s="56" t="s">
        <v>5374</v>
      </c>
      <c r="G2535" s="56" t="s">
        <v>23</v>
      </c>
      <c r="H2535" s="58">
        <v>46161</v>
      </c>
      <c r="I2535" s="56" t="s">
        <v>5337</v>
      </c>
      <c r="J2535" s="56">
        <v>5</v>
      </c>
      <c r="K2535" s="56">
        <v>2026</v>
      </c>
      <c r="L2535" s="56">
        <v>2</v>
      </c>
      <c r="M2535" s="56">
        <v>5</v>
      </c>
      <c r="N2535" s="60">
        <v>46166</v>
      </c>
      <c r="O2535" s="56" t="s">
        <v>97</v>
      </c>
      <c r="P2535" s="61">
        <v>242000</v>
      </c>
      <c r="Q2535" s="56">
        <v>365000</v>
      </c>
      <c r="R2535" s="56" t="s">
        <v>5464</v>
      </c>
      <c r="S2535" s="56" t="s">
        <v>5573</v>
      </c>
      <c r="T2535" s="56">
        <v>23</v>
      </c>
      <c r="U2535" s="56" t="s">
        <v>63</v>
      </c>
      <c r="V2535" s="56" t="s">
        <v>5380</v>
      </c>
      <c r="W2535" s="67" t="str">
        <f t="shared" si="195"/>
        <v>Customer</v>
      </c>
    </row>
    <row r="2536" spans="1:23" x14ac:dyDescent="0.3">
      <c r="A2536" s="56" t="s">
        <v>5486</v>
      </c>
      <c r="B2536" s="56" t="s">
        <v>5487</v>
      </c>
      <c r="C2536" s="56">
        <v>8090824373</v>
      </c>
      <c r="D2536" s="56" t="s">
        <v>20</v>
      </c>
      <c r="E2536" s="56" t="s">
        <v>1632</v>
      </c>
      <c r="F2536" s="56" t="s">
        <v>1717</v>
      </c>
      <c r="G2536" s="56" t="s">
        <v>52</v>
      </c>
      <c r="H2536" s="58">
        <v>46161</v>
      </c>
      <c r="I2536" s="56" t="s">
        <v>5337</v>
      </c>
      <c r="J2536" s="56">
        <v>5</v>
      </c>
      <c r="K2536" s="56">
        <v>2026</v>
      </c>
      <c r="L2536" s="56">
        <v>2</v>
      </c>
      <c r="M2536" s="56">
        <v>7</v>
      </c>
      <c r="N2536" s="60">
        <v>46165</v>
      </c>
      <c r="O2536" s="56" t="s">
        <v>45</v>
      </c>
      <c r="P2536" s="61">
        <v>123000</v>
      </c>
      <c r="Q2536" s="56"/>
      <c r="R2536" s="56"/>
      <c r="S2536" s="56" t="s">
        <v>5819</v>
      </c>
      <c r="T2536" s="56">
        <v>18.2</v>
      </c>
      <c r="U2536" s="56" t="s">
        <v>47</v>
      </c>
      <c r="V2536" s="56" t="s">
        <v>5581</v>
      </c>
      <c r="W2536" s="67" t="str">
        <f t="shared" si="195"/>
        <v>-</v>
      </c>
    </row>
    <row r="2537" spans="1:23" x14ac:dyDescent="0.3">
      <c r="A2537" s="56" t="s">
        <v>5488</v>
      </c>
      <c r="B2537" s="56" t="s">
        <v>5451</v>
      </c>
      <c r="C2537" s="56">
        <v>8962094851</v>
      </c>
      <c r="D2537" s="56" t="s">
        <v>20</v>
      </c>
      <c r="E2537" s="56" t="s">
        <v>33</v>
      </c>
      <c r="F2537" s="56" t="s">
        <v>5404</v>
      </c>
      <c r="G2537" s="56" t="s">
        <v>643</v>
      </c>
      <c r="H2537" s="58">
        <v>46161</v>
      </c>
      <c r="I2537" s="56" t="s">
        <v>5337</v>
      </c>
      <c r="J2537" s="56">
        <v>5</v>
      </c>
      <c r="K2537" s="56">
        <v>2026</v>
      </c>
      <c r="L2537" s="56">
        <v>2</v>
      </c>
      <c r="M2537" s="56">
        <v>4</v>
      </c>
      <c r="N2537" s="60">
        <v>46165</v>
      </c>
      <c r="O2537" s="56" t="s">
        <v>27</v>
      </c>
      <c r="P2537" s="61">
        <v>588000</v>
      </c>
      <c r="Q2537" s="56"/>
      <c r="R2537" s="56"/>
      <c r="S2537" s="56" t="s">
        <v>5573</v>
      </c>
      <c r="T2537" s="56">
        <v>16</v>
      </c>
      <c r="U2537" s="56" t="s">
        <v>47</v>
      </c>
      <c r="V2537" s="56" t="s">
        <v>5365</v>
      </c>
      <c r="W2537" s="67" t="str">
        <f t="shared" si="195"/>
        <v>-</v>
      </c>
    </row>
    <row r="2538" spans="1:23" x14ac:dyDescent="0.3">
      <c r="A2538" s="56" t="s">
        <v>5489</v>
      </c>
      <c r="B2538" s="56" t="s">
        <v>2347</v>
      </c>
      <c r="C2538" s="56">
        <v>7034780500</v>
      </c>
      <c r="D2538" s="56" t="s">
        <v>5577</v>
      </c>
      <c r="E2538" s="56" t="s">
        <v>641</v>
      </c>
      <c r="F2538" s="56" t="s">
        <v>5407</v>
      </c>
      <c r="G2538" s="56" t="s">
        <v>87</v>
      </c>
      <c r="H2538" s="58">
        <v>46161</v>
      </c>
      <c r="I2538" s="56" t="s">
        <v>5337</v>
      </c>
      <c r="J2538" s="56">
        <v>5</v>
      </c>
      <c r="K2538" s="56">
        <v>2026</v>
      </c>
      <c r="L2538" s="56">
        <v>2</v>
      </c>
      <c r="M2538" s="56">
        <v>9</v>
      </c>
      <c r="N2538" s="60">
        <v>46162</v>
      </c>
      <c r="O2538" s="56" t="s">
        <v>55</v>
      </c>
      <c r="P2538" s="61">
        <v>345000</v>
      </c>
      <c r="Q2538" s="56"/>
      <c r="R2538" s="56"/>
      <c r="S2538" s="56" t="s">
        <v>5195</v>
      </c>
      <c r="T2538" s="56">
        <v>42.6</v>
      </c>
      <c r="U2538" s="56" t="s">
        <v>63</v>
      </c>
      <c r="V2538" s="56" t="s">
        <v>5391</v>
      </c>
      <c r="W2538" s="67" t="str">
        <f t="shared" si="195"/>
        <v>-</v>
      </c>
    </row>
    <row r="2539" spans="1:23" x14ac:dyDescent="0.3">
      <c r="A2539" s="56" t="s">
        <v>5490</v>
      </c>
      <c r="B2539" s="56" t="s">
        <v>5491</v>
      </c>
      <c r="C2539" s="56">
        <v>9910976189</v>
      </c>
      <c r="D2539" s="56" t="s">
        <v>59</v>
      </c>
      <c r="E2539" s="56" t="s">
        <v>648</v>
      </c>
      <c r="F2539" s="56" t="s">
        <v>656</v>
      </c>
      <c r="G2539" s="56" t="s">
        <v>60</v>
      </c>
      <c r="H2539" s="58">
        <v>46161</v>
      </c>
      <c r="I2539" s="56" t="s">
        <v>5337</v>
      </c>
      <c r="J2539" s="56">
        <v>5</v>
      </c>
      <c r="K2539" s="56">
        <v>2026</v>
      </c>
      <c r="L2539" s="56">
        <v>2</v>
      </c>
      <c r="M2539" s="56">
        <v>12</v>
      </c>
      <c r="N2539" s="60">
        <v>46163</v>
      </c>
      <c r="O2539" s="56" t="s">
        <v>97</v>
      </c>
      <c r="P2539" s="61">
        <v>220000</v>
      </c>
      <c r="Q2539" s="56">
        <v>187000</v>
      </c>
      <c r="R2539" s="56" t="s">
        <v>5447</v>
      </c>
      <c r="S2539" s="56" t="s">
        <v>5819</v>
      </c>
      <c r="T2539" s="56">
        <v>36.799999999999997</v>
      </c>
      <c r="U2539" s="56" t="s">
        <v>29</v>
      </c>
      <c r="V2539" s="56" t="s">
        <v>5397</v>
      </c>
      <c r="W2539" s="67" t="str">
        <f t="shared" si="195"/>
        <v>Customer</v>
      </c>
    </row>
    <row r="2540" spans="1:23" x14ac:dyDescent="0.3">
      <c r="A2540" s="56" t="s">
        <v>5492</v>
      </c>
      <c r="B2540" s="56" t="s">
        <v>5493</v>
      </c>
      <c r="C2540" s="56">
        <v>8571346130</v>
      </c>
      <c r="D2540" s="56" t="s">
        <v>59</v>
      </c>
      <c r="E2540" s="56" t="s">
        <v>1632</v>
      </c>
      <c r="F2540" s="56" t="s">
        <v>1717</v>
      </c>
      <c r="G2540" s="56" t="s">
        <v>23</v>
      </c>
      <c r="H2540" s="58">
        <v>46162</v>
      </c>
      <c r="I2540" s="56" t="s">
        <v>5337</v>
      </c>
      <c r="J2540" s="56">
        <v>5</v>
      </c>
      <c r="K2540" s="56">
        <v>2026</v>
      </c>
      <c r="L2540" s="56">
        <v>2</v>
      </c>
      <c r="M2540" s="56">
        <v>8</v>
      </c>
      <c r="N2540" s="60">
        <v>46164</v>
      </c>
      <c r="O2540" s="56" t="s">
        <v>62</v>
      </c>
      <c r="P2540" s="61">
        <v>313000</v>
      </c>
      <c r="Q2540" s="56"/>
      <c r="R2540" s="56"/>
      <c r="S2540" s="56" t="s">
        <v>5573</v>
      </c>
      <c r="T2540" s="56">
        <v>28.1</v>
      </c>
      <c r="U2540" s="56" t="s">
        <v>63</v>
      </c>
      <c r="V2540" s="56" t="s">
        <v>5397</v>
      </c>
      <c r="W2540" s="67" t="str">
        <f t="shared" si="195"/>
        <v>-</v>
      </c>
    </row>
    <row r="2541" spans="1:23" x14ac:dyDescent="0.3">
      <c r="A2541" s="56" t="s">
        <v>5494</v>
      </c>
      <c r="B2541" s="56" t="s">
        <v>189</v>
      </c>
      <c r="C2541" s="56">
        <v>7969007714</v>
      </c>
      <c r="D2541" s="56" t="s">
        <v>59</v>
      </c>
      <c r="E2541" s="56" t="s">
        <v>21</v>
      </c>
      <c r="F2541" s="56" t="s">
        <v>21</v>
      </c>
      <c r="G2541" s="56" t="s">
        <v>616</v>
      </c>
      <c r="H2541" s="58">
        <v>46162</v>
      </c>
      <c r="I2541" s="56" t="s">
        <v>5337</v>
      </c>
      <c r="J2541" s="56">
        <v>5</v>
      </c>
      <c r="K2541" s="56">
        <v>2026</v>
      </c>
      <c r="L2541" s="56">
        <v>2</v>
      </c>
      <c r="M2541" s="56">
        <v>10</v>
      </c>
      <c r="N2541" s="60">
        <v>46167</v>
      </c>
      <c r="O2541" s="56" t="s">
        <v>27</v>
      </c>
      <c r="P2541" s="61">
        <v>449000</v>
      </c>
      <c r="Q2541" s="56"/>
      <c r="R2541" s="56"/>
      <c r="S2541" s="56" t="s">
        <v>5195</v>
      </c>
      <c r="T2541" s="56">
        <v>37</v>
      </c>
      <c r="U2541" s="56" t="s">
        <v>29</v>
      </c>
      <c r="V2541" s="56" t="s">
        <v>5420</v>
      </c>
      <c r="W2541" s="67" t="str">
        <f t="shared" si="195"/>
        <v>-</v>
      </c>
    </row>
    <row r="2542" spans="1:23" x14ac:dyDescent="0.3">
      <c r="A2542" s="56" t="s">
        <v>5496</v>
      </c>
      <c r="B2542" s="56" t="s">
        <v>5497</v>
      </c>
      <c r="C2542" s="56">
        <v>9742548209</v>
      </c>
      <c r="D2542" s="56" t="s">
        <v>59</v>
      </c>
      <c r="E2542" s="56" t="s">
        <v>1632</v>
      </c>
      <c r="F2542" s="56" t="s">
        <v>5387</v>
      </c>
      <c r="G2542" s="56" t="s">
        <v>52</v>
      </c>
      <c r="H2542" s="58">
        <v>46162</v>
      </c>
      <c r="I2542" s="56" t="s">
        <v>5337</v>
      </c>
      <c r="J2542" s="56">
        <v>5</v>
      </c>
      <c r="K2542" s="56">
        <v>2026</v>
      </c>
      <c r="L2542" s="56">
        <v>2</v>
      </c>
      <c r="M2542" s="56">
        <v>5</v>
      </c>
      <c r="N2542" s="60">
        <v>46163</v>
      </c>
      <c r="O2542" s="56" t="s">
        <v>27</v>
      </c>
      <c r="P2542" s="61">
        <v>204000</v>
      </c>
      <c r="Q2542" s="56"/>
      <c r="R2542" s="56"/>
      <c r="S2542" s="56" t="s">
        <v>5819</v>
      </c>
      <c r="T2542" s="56">
        <v>12.3</v>
      </c>
      <c r="U2542" s="56" t="s">
        <v>47</v>
      </c>
      <c r="V2542" s="56" t="s">
        <v>5579</v>
      </c>
      <c r="W2542" s="67" t="str">
        <f t="shared" si="195"/>
        <v>-</v>
      </c>
    </row>
    <row r="2543" spans="1:23" x14ac:dyDescent="0.3">
      <c r="A2543" s="56" t="s">
        <v>5498</v>
      </c>
      <c r="B2543" s="56" t="s">
        <v>5499</v>
      </c>
      <c r="C2543" s="56">
        <v>9115806625</v>
      </c>
      <c r="D2543" s="56" t="s">
        <v>20</v>
      </c>
      <c r="E2543" s="56" t="s">
        <v>33</v>
      </c>
      <c r="F2543" s="56" t="s">
        <v>5371</v>
      </c>
      <c r="G2543" s="56" t="s">
        <v>643</v>
      </c>
      <c r="H2543" s="58">
        <v>46162</v>
      </c>
      <c r="I2543" s="56" t="s">
        <v>5337</v>
      </c>
      <c r="J2543" s="56">
        <v>5</v>
      </c>
      <c r="K2543" s="56">
        <v>2026</v>
      </c>
      <c r="L2543" s="56">
        <v>2</v>
      </c>
      <c r="M2543" s="56">
        <v>1</v>
      </c>
      <c r="N2543" s="60">
        <v>46164</v>
      </c>
      <c r="O2543" s="56" t="s">
        <v>45</v>
      </c>
      <c r="P2543" s="61">
        <v>990000</v>
      </c>
      <c r="Q2543" s="56"/>
      <c r="R2543" s="56"/>
      <c r="S2543" s="56" t="s">
        <v>5573</v>
      </c>
      <c r="T2543" s="56">
        <v>11.9</v>
      </c>
      <c r="U2543" s="56" t="s">
        <v>47</v>
      </c>
      <c r="V2543" s="56" t="s">
        <v>5376</v>
      </c>
      <c r="W2543" s="67" t="str">
        <f t="shared" si="195"/>
        <v>-</v>
      </c>
    </row>
    <row r="2544" spans="1:23" x14ac:dyDescent="0.3">
      <c r="A2544" s="56" t="s">
        <v>5500</v>
      </c>
      <c r="B2544" s="56" t="s">
        <v>5412</v>
      </c>
      <c r="C2544" s="56">
        <v>9812868150</v>
      </c>
      <c r="D2544" s="56" t="s">
        <v>5577</v>
      </c>
      <c r="E2544" s="56" t="s">
        <v>41</v>
      </c>
      <c r="F2544" s="56" t="s">
        <v>92</v>
      </c>
      <c r="G2544" s="56" t="s">
        <v>60</v>
      </c>
      <c r="H2544" s="58">
        <v>46162</v>
      </c>
      <c r="I2544" s="56" t="s">
        <v>5337</v>
      </c>
      <c r="J2544" s="56">
        <v>5</v>
      </c>
      <c r="K2544" s="56">
        <v>2026</v>
      </c>
      <c r="L2544" s="56">
        <v>2</v>
      </c>
      <c r="M2544" s="56">
        <v>1</v>
      </c>
      <c r="N2544" s="60">
        <v>46165</v>
      </c>
      <c r="O2544" s="56" t="s">
        <v>62</v>
      </c>
      <c r="P2544" s="61">
        <v>209000</v>
      </c>
      <c r="Q2544" s="56"/>
      <c r="R2544" s="56"/>
      <c r="S2544" s="56" t="s">
        <v>5819</v>
      </c>
      <c r="T2544" s="56">
        <v>41.3</v>
      </c>
      <c r="U2544" s="56" t="s">
        <v>47</v>
      </c>
      <c r="V2544" s="56" t="s">
        <v>5361</v>
      </c>
      <c r="W2544" s="67" t="str">
        <f t="shared" si="195"/>
        <v>-</v>
      </c>
    </row>
    <row r="2545" spans="1:23" x14ac:dyDescent="0.3">
      <c r="A2545" s="56" t="s">
        <v>5501</v>
      </c>
      <c r="B2545" s="56" t="s">
        <v>5502</v>
      </c>
      <c r="C2545" s="56">
        <v>8540492440</v>
      </c>
      <c r="D2545" s="56" t="s">
        <v>59</v>
      </c>
      <c r="E2545" s="56" t="s">
        <v>33</v>
      </c>
      <c r="F2545" s="56" t="s">
        <v>5404</v>
      </c>
      <c r="G2545" s="56" t="s">
        <v>643</v>
      </c>
      <c r="H2545" s="58">
        <v>46162</v>
      </c>
      <c r="I2545" s="56" t="s">
        <v>5337</v>
      </c>
      <c r="J2545" s="56">
        <v>5</v>
      </c>
      <c r="K2545" s="56">
        <v>2026</v>
      </c>
      <c r="L2545" s="56">
        <v>2</v>
      </c>
      <c r="M2545" s="56">
        <v>0</v>
      </c>
      <c r="N2545" s="60">
        <v>46163</v>
      </c>
      <c r="O2545" s="56" t="s">
        <v>97</v>
      </c>
      <c r="P2545" s="61">
        <v>432000</v>
      </c>
      <c r="Q2545" s="56">
        <v>872000</v>
      </c>
      <c r="R2545" s="56" t="s">
        <v>5485</v>
      </c>
      <c r="S2545" s="56" t="s">
        <v>5819</v>
      </c>
      <c r="T2545" s="56">
        <v>23.9</v>
      </c>
      <c r="U2545" s="56" t="s">
        <v>47</v>
      </c>
      <c r="V2545" s="56" t="s">
        <v>5365</v>
      </c>
      <c r="W2545" s="67" t="str">
        <f t="shared" si="195"/>
        <v>Customer</v>
      </c>
    </row>
    <row r="2546" spans="1:23" x14ac:dyDescent="0.3">
      <c r="A2546" s="56" t="s">
        <v>5503</v>
      </c>
      <c r="B2546" s="56" t="s">
        <v>5504</v>
      </c>
      <c r="C2546" s="56">
        <v>7881351238</v>
      </c>
      <c r="D2546" s="56" t="s">
        <v>59</v>
      </c>
      <c r="E2546" s="56" t="s">
        <v>33</v>
      </c>
      <c r="F2546" s="56" t="s">
        <v>5371</v>
      </c>
      <c r="G2546" s="56" t="s">
        <v>87</v>
      </c>
      <c r="H2546" s="58">
        <v>46162</v>
      </c>
      <c r="I2546" s="56" t="s">
        <v>5337</v>
      </c>
      <c r="J2546" s="56">
        <v>5</v>
      </c>
      <c r="K2546" s="56">
        <v>2026</v>
      </c>
      <c r="L2546" s="56">
        <v>2</v>
      </c>
      <c r="M2546" s="56">
        <v>1</v>
      </c>
      <c r="N2546" s="60">
        <v>46167</v>
      </c>
      <c r="O2546" s="56" t="s">
        <v>97</v>
      </c>
      <c r="P2546" s="61">
        <v>268000</v>
      </c>
      <c r="Q2546" s="56">
        <v>154000</v>
      </c>
      <c r="R2546" s="56" t="s">
        <v>5471</v>
      </c>
      <c r="S2546" s="56" t="s">
        <v>5195</v>
      </c>
      <c r="T2546" s="56">
        <v>41.2</v>
      </c>
      <c r="U2546" s="56" t="s">
        <v>29</v>
      </c>
      <c r="V2546" s="56" t="s">
        <v>5420</v>
      </c>
      <c r="W2546" s="67" t="str">
        <f t="shared" si="195"/>
        <v>Customer</v>
      </c>
    </row>
    <row r="2547" spans="1:23" x14ac:dyDescent="0.3">
      <c r="A2547" s="56" t="s">
        <v>5505</v>
      </c>
      <c r="B2547" s="56" t="s">
        <v>2456</v>
      </c>
      <c r="C2547" s="56">
        <v>7472130062</v>
      </c>
      <c r="D2547" s="56" t="s">
        <v>5577</v>
      </c>
      <c r="E2547" s="56" t="s">
        <v>109</v>
      </c>
      <c r="F2547" s="56" t="s">
        <v>5374</v>
      </c>
      <c r="G2547" s="56" t="s">
        <v>87</v>
      </c>
      <c r="H2547" s="58">
        <v>46162</v>
      </c>
      <c r="I2547" s="56" t="s">
        <v>5337</v>
      </c>
      <c r="J2547" s="56">
        <v>5</v>
      </c>
      <c r="K2547" s="56">
        <v>2026</v>
      </c>
      <c r="L2547" s="56">
        <v>2</v>
      </c>
      <c r="M2547" s="56">
        <v>10</v>
      </c>
      <c r="N2547" s="60">
        <v>46165</v>
      </c>
      <c r="O2547" s="56" t="s">
        <v>27</v>
      </c>
      <c r="P2547" s="61">
        <v>125000</v>
      </c>
      <c r="Q2547" s="56"/>
      <c r="R2547" s="56"/>
      <c r="S2547" s="56" t="s">
        <v>5819</v>
      </c>
      <c r="T2547" s="56">
        <v>42.7</v>
      </c>
      <c r="U2547" s="56" t="s">
        <v>29</v>
      </c>
      <c r="V2547" s="56" t="s">
        <v>5369</v>
      </c>
      <c r="W2547" s="67" t="str">
        <f t="shared" si="195"/>
        <v>-</v>
      </c>
    </row>
    <row r="2548" spans="1:23" x14ac:dyDescent="0.3">
      <c r="A2548" s="56" t="s">
        <v>5506</v>
      </c>
      <c r="B2548" s="56" t="s">
        <v>5507</v>
      </c>
      <c r="C2548" s="56">
        <v>9204340231</v>
      </c>
      <c r="D2548" s="56" t="s">
        <v>59</v>
      </c>
      <c r="E2548" s="56" t="s">
        <v>1632</v>
      </c>
      <c r="F2548" s="56" t="s">
        <v>5387</v>
      </c>
      <c r="G2548" s="56" t="s">
        <v>23</v>
      </c>
      <c r="H2548" s="58">
        <v>46163</v>
      </c>
      <c r="I2548" s="56" t="s">
        <v>5337</v>
      </c>
      <c r="J2548" s="56">
        <v>5</v>
      </c>
      <c r="K2548" s="56">
        <v>2026</v>
      </c>
      <c r="L2548" s="56">
        <v>2</v>
      </c>
      <c r="M2548" s="56">
        <v>9</v>
      </c>
      <c r="N2548" s="60">
        <v>46168</v>
      </c>
      <c r="O2548" s="56" t="s">
        <v>27</v>
      </c>
      <c r="P2548" s="61">
        <v>442000</v>
      </c>
      <c r="Q2548" s="56"/>
      <c r="R2548" s="56"/>
      <c r="S2548" s="56" t="s">
        <v>5819</v>
      </c>
      <c r="T2548" s="56">
        <v>12.4</v>
      </c>
      <c r="U2548" s="56" t="s">
        <v>63</v>
      </c>
      <c r="V2548" s="56" t="s">
        <v>5575</v>
      </c>
      <c r="W2548" s="67" t="str">
        <f t="shared" si="195"/>
        <v>-</v>
      </c>
    </row>
    <row r="2549" spans="1:23" x14ac:dyDescent="0.3">
      <c r="A2549" s="56" t="s">
        <v>5508</v>
      </c>
      <c r="B2549" s="56" t="s">
        <v>1118</v>
      </c>
      <c r="C2549" s="56">
        <v>8830831254</v>
      </c>
      <c r="D2549" s="56" t="s">
        <v>5577</v>
      </c>
      <c r="E2549" s="56" t="s">
        <v>33</v>
      </c>
      <c r="F2549" s="56" t="s">
        <v>5404</v>
      </c>
      <c r="G2549" s="56" t="s">
        <v>87</v>
      </c>
      <c r="H2549" s="58">
        <v>46163</v>
      </c>
      <c r="I2549" s="56" t="s">
        <v>5337</v>
      </c>
      <c r="J2549" s="56">
        <v>5</v>
      </c>
      <c r="K2549" s="56">
        <v>2026</v>
      </c>
      <c r="L2549" s="56">
        <v>2</v>
      </c>
      <c r="M2549" s="56">
        <v>10</v>
      </c>
      <c r="N2549" s="60">
        <v>46167</v>
      </c>
      <c r="O2549" s="56" t="s">
        <v>27</v>
      </c>
      <c r="P2549" s="61">
        <v>322000</v>
      </c>
      <c r="Q2549" s="56"/>
      <c r="R2549" s="56"/>
      <c r="S2549" s="56" t="s">
        <v>5819</v>
      </c>
      <c r="T2549" s="56">
        <v>12.3</v>
      </c>
      <c r="U2549" s="56" t="s">
        <v>47</v>
      </c>
      <c r="V2549" s="56" t="s">
        <v>5365</v>
      </c>
      <c r="W2549" s="67" t="str">
        <f t="shared" si="195"/>
        <v>-</v>
      </c>
    </row>
    <row r="2550" spans="1:23" x14ac:dyDescent="0.3">
      <c r="A2550" s="56" t="s">
        <v>5509</v>
      </c>
      <c r="B2550" s="56" t="s">
        <v>5204</v>
      </c>
      <c r="C2550" s="56">
        <v>9565778475</v>
      </c>
      <c r="D2550" s="56" t="s">
        <v>20</v>
      </c>
      <c r="E2550" s="56" t="s">
        <v>648</v>
      </c>
      <c r="F2550" s="56" t="s">
        <v>899</v>
      </c>
      <c r="G2550" s="56" t="s">
        <v>23</v>
      </c>
      <c r="H2550" s="58">
        <v>46163</v>
      </c>
      <c r="I2550" s="56" t="s">
        <v>5337</v>
      </c>
      <c r="J2550" s="56">
        <v>5</v>
      </c>
      <c r="K2550" s="56">
        <v>2026</v>
      </c>
      <c r="L2550" s="56">
        <v>2</v>
      </c>
      <c r="M2550" s="56">
        <v>8</v>
      </c>
      <c r="N2550" s="60">
        <v>46167</v>
      </c>
      <c r="O2550" s="56" t="s">
        <v>97</v>
      </c>
      <c r="P2550" s="61">
        <v>443000</v>
      </c>
      <c r="Q2550" s="56">
        <v>240000</v>
      </c>
      <c r="R2550" s="56" t="s">
        <v>5471</v>
      </c>
      <c r="S2550" s="56" t="s">
        <v>5195</v>
      </c>
      <c r="T2550" s="56">
        <v>19.8</v>
      </c>
      <c r="U2550" s="56" t="s">
        <v>47</v>
      </c>
      <c r="V2550" s="56"/>
      <c r="W2550" s="67" t="str">
        <f t="shared" si="195"/>
        <v>Customer</v>
      </c>
    </row>
    <row r="2551" spans="1:23" x14ac:dyDescent="0.3">
      <c r="A2551" s="56" t="s">
        <v>5510</v>
      </c>
      <c r="B2551" s="56" t="s">
        <v>5511</v>
      </c>
      <c r="C2551" s="56">
        <v>8342384949</v>
      </c>
      <c r="D2551" s="56" t="s">
        <v>59</v>
      </c>
      <c r="E2551" s="56" t="s">
        <v>33</v>
      </c>
      <c r="F2551" s="56" t="s">
        <v>5404</v>
      </c>
      <c r="G2551" s="56" t="s">
        <v>643</v>
      </c>
      <c r="H2551" s="58">
        <v>46163</v>
      </c>
      <c r="I2551" s="56" t="s">
        <v>5337</v>
      </c>
      <c r="J2551" s="56">
        <v>5</v>
      </c>
      <c r="K2551" s="56">
        <v>2026</v>
      </c>
      <c r="L2551" s="56">
        <v>2</v>
      </c>
      <c r="M2551" s="56">
        <v>6</v>
      </c>
      <c r="N2551" s="60">
        <v>46165</v>
      </c>
      <c r="O2551" s="56" t="s">
        <v>97</v>
      </c>
      <c r="P2551" s="61">
        <v>484000</v>
      </c>
      <c r="Q2551" s="56">
        <v>728000</v>
      </c>
      <c r="R2551" s="56" t="s">
        <v>5495</v>
      </c>
      <c r="S2551" s="56" t="s">
        <v>5573</v>
      </c>
      <c r="T2551" s="56">
        <v>20.5</v>
      </c>
      <c r="U2551" s="56" t="s">
        <v>47</v>
      </c>
      <c r="V2551" s="56" t="s">
        <v>5365</v>
      </c>
      <c r="W2551" s="67" t="str">
        <f t="shared" si="195"/>
        <v>Customer</v>
      </c>
    </row>
    <row r="2552" spans="1:23" x14ac:dyDescent="0.3">
      <c r="A2552" s="56" t="s">
        <v>5512</v>
      </c>
      <c r="B2552" s="56" t="s">
        <v>5513</v>
      </c>
      <c r="C2552" s="56">
        <v>9412411754</v>
      </c>
      <c r="D2552" s="56" t="s">
        <v>5577</v>
      </c>
      <c r="E2552" s="56" t="s">
        <v>1632</v>
      </c>
      <c r="F2552" s="56" t="s">
        <v>1717</v>
      </c>
      <c r="G2552" s="56" t="s">
        <v>643</v>
      </c>
      <c r="H2552" s="58">
        <v>46163</v>
      </c>
      <c r="I2552" s="56" t="s">
        <v>5337</v>
      </c>
      <c r="J2552" s="56">
        <v>5</v>
      </c>
      <c r="K2552" s="56">
        <v>2026</v>
      </c>
      <c r="L2552" s="56">
        <v>2</v>
      </c>
      <c r="M2552" s="56">
        <v>5</v>
      </c>
      <c r="N2552" s="60">
        <v>46167</v>
      </c>
      <c r="O2552" s="56" t="s">
        <v>45</v>
      </c>
      <c r="P2552" s="61">
        <v>609000</v>
      </c>
      <c r="Q2552" s="56"/>
      <c r="R2552" s="56"/>
      <c r="S2552" s="56" t="s">
        <v>5819</v>
      </c>
      <c r="T2552" s="56">
        <v>34.799999999999997</v>
      </c>
      <c r="U2552" s="56" t="s">
        <v>47</v>
      </c>
      <c r="V2552" s="56" t="s">
        <v>5361</v>
      </c>
      <c r="W2552" s="67" t="str">
        <f t="shared" si="195"/>
        <v>-</v>
      </c>
    </row>
    <row r="2553" spans="1:23" x14ac:dyDescent="0.3">
      <c r="A2553" s="56" t="s">
        <v>5514</v>
      </c>
      <c r="B2553" s="56" t="s">
        <v>2130</v>
      </c>
      <c r="C2553" s="56">
        <v>8503728142</v>
      </c>
      <c r="D2553" s="56" t="s">
        <v>20</v>
      </c>
      <c r="E2553" s="56" t="s">
        <v>73</v>
      </c>
      <c r="F2553" s="56" t="s">
        <v>5413</v>
      </c>
      <c r="G2553" s="56" t="s">
        <v>52</v>
      </c>
      <c r="H2553" s="58">
        <v>46163</v>
      </c>
      <c r="I2553" s="56" t="s">
        <v>5337</v>
      </c>
      <c r="J2553" s="56">
        <v>5</v>
      </c>
      <c r="K2553" s="56">
        <v>2026</v>
      </c>
      <c r="L2553" s="56">
        <v>2</v>
      </c>
      <c r="M2553" s="56">
        <v>8</v>
      </c>
      <c r="N2553" s="60">
        <v>46168</v>
      </c>
      <c r="O2553" s="56" t="s">
        <v>27</v>
      </c>
      <c r="P2553" s="61">
        <v>395000</v>
      </c>
      <c r="Q2553" s="56"/>
      <c r="R2553" s="56"/>
      <c r="S2553" s="56" t="s">
        <v>5819</v>
      </c>
      <c r="T2553" s="56">
        <v>22.7</v>
      </c>
      <c r="U2553" s="56" t="s">
        <v>63</v>
      </c>
      <c r="V2553" s="56" t="s">
        <v>5369</v>
      </c>
      <c r="W2553" s="67" t="str">
        <f t="shared" si="195"/>
        <v>-</v>
      </c>
    </row>
    <row r="2554" spans="1:23" x14ac:dyDescent="0.3">
      <c r="A2554" s="56" t="s">
        <v>5515</v>
      </c>
      <c r="B2554" s="56" t="s">
        <v>5516</v>
      </c>
      <c r="C2554" s="56">
        <v>9978436070</v>
      </c>
      <c r="D2554" s="56" t="s">
        <v>20</v>
      </c>
      <c r="E2554" s="56" t="s">
        <v>109</v>
      </c>
      <c r="F2554" s="56" t="s">
        <v>5449</v>
      </c>
      <c r="G2554" s="56" t="s">
        <v>616</v>
      </c>
      <c r="H2554" s="58">
        <v>46163</v>
      </c>
      <c r="I2554" s="56" t="s">
        <v>5337</v>
      </c>
      <c r="J2554" s="56">
        <v>5</v>
      </c>
      <c r="K2554" s="56">
        <v>2026</v>
      </c>
      <c r="L2554" s="56">
        <v>2</v>
      </c>
      <c r="M2554" s="56">
        <v>4</v>
      </c>
      <c r="N2554" s="60">
        <v>46166</v>
      </c>
      <c r="O2554" s="56" t="s">
        <v>62</v>
      </c>
      <c r="P2554" s="61">
        <v>194000</v>
      </c>
      <c r="Q2554" s="56"/>
      <c r="R2554" s="56"/>
      <c r="S2554" s="56" t="s">
        <v>5573</v>
      </c>
      <c r="T2554" s="56">
        <v>9.1999999999999993</v>
      </c>
      <c r="U2554" s="56" t="s">
        <v>47</v>
      </c>
      <c r="V2554" s="56" t="s">
        <v>5420</v>
      </c>
      <c r="W2554" s="67" t="str">
        <f t="shared" si="195"/>
        <v>-</v>
      </c>
    </row>
    <row r="2555" spans="1:23" x14ac:dyDescent="0.3">
      <c r="A2555" s="56" t="s">
        <v>5517</v>
      </c>
      <c r="B2555" s="56" t="s">
        <v>1020</v>
      </c>
      <c r="C2555" s="56">
        <v>9278405793</v>
      </c>
      <c r="D2555" s="56" t="s">
        <v>59</v>
      </c>
      <c r="E2555" s="56" t="s">
        <v>1632</v>
      </c>
      <c r="F2555" s="56" t="s">
        <v>1717</v>
      </c>
      <c r="G2555" s="56" t="s">
        <v>87</v>
      </c>
      <c r="H2555" s="58">
        <v>46164</v>
      </c>
      <c r="I2555" s="56" t="s">
        <v>5337</v>
      </c>
      <c r="J2555" s="56">
        <v>5</v>
      </c>
      <c r="K2555" s="56">
        <v>2026</v>
      </c>
      <c r="L2555" s="56">
        <v>2</v>
      </c>
      <c r="M2555" s="56">
        <v>3</v>
      </c>
      <c r="N2555" s="60">
        <v>46166</v>
      </c>
      <c r="O2555" s="56" t="s">
        <v>27</v>
      </c>
      <c r="P2555" s="61">
        <v>234000</v>
      </c>
      <c r="Q2555" s="56"/>
      <c r="R2555" s="56"/>
      <c r="S2555" s="56" t="s">
        <v>5819</v>
      </c>
      <c r="T2555" s="56">
        <v>23</v>
      </c>
      <c r="U2555" s="56" t="s">
        <v>63</v>
      </c>
      <c r="V2555" s="56" t="s">
        <v>5420</v>
      </c>
      <c r="W2555" s="67" t="str">
        <f t="shared" si="195"/>
        <v>-</v>
      </c>
    </row>
    <row r="2556" spans="1:23" x14ac:dyDescent="0.3">
      <c r="A2556" s="56" t="s">
        <v>5518</v>
      </c>
      <c r="B2556" s="56" t="s">
        <v>5519</v>
      </c>
      <c r="C2556" s="56">
        <v>7350389989</v>
      </c>
      <c r="D2556" s="56" t="s">
        <v>5577</v>
      </c>
      <c r="E2556" s="56" t="s">
        <v>641</v>
      </c>
      <c r="F2556" s="56" t="s">
        <v>5407</v>
      </c>
      <c r="G2556" s="56" t="s">
        <v>35</v>
      </c>
      <c r="H2556" s="58">
        <v>46164</v>
      </c>
      <c r="I2556" s="56" t="s">
        <v>5337</v>
      </c>
      <c r="J2556" s="56">
        <v>5</v>
      </c>
      <c r="K2556" s="56">
        <v>2026</v>
      </c>
      <c r="L2556" s="56">
        <v>2</v>
      </c>
      <c r="M2556" s="56">
        <v>4</v>
      </c>
      <c r="N2556" s="60">
        <v>46169</v>
      </c>
      <c r="O2556" s="56" t="s">
        <v>45</v>
      </c>
      <c r="P2556" s="61">
        <v>144000</v>
      </c>
      <c r="Q2556" s="56"/>
      <c r="R2556" s="56"/>
      <c r="S2556" s="56" t="s">
        <v>5573</v>
      </c>
      <c r="T2556" s="56">
        <v>25.7</v>
      </c>
      <c r="U2556" s="56" t="s">
        <v>29</v>
      </c>
      <c r="V2556" s="56" t="s">
        <v>5581</v>
      </c>
      <c r="W2556" s="67" t="str">
        <f t="shared" si="195"/>
        <v>-</v>
      </c>
    </row>
    <row r="2557" spans="1:23" x14ac:dyDescent="0.3">
      <c r="A2557" s="56" t="s">
        <v>5521</v>
      </c>
      <c r="B2557" s="56" t="s">
        <v>5522</v>
      </c>
      <c r="C2557" s="56">
        <v>9865312534</v>
      </c>
      <c r="D2557" s="56" t="s">
        <v>59</v>
      </c>
      <c r="E2557" s="56" t="s">
        <v>41</v>
      </c>
      <c r="F2557" s="56" t="s">
        <v>86</v>
      </c>
      <c r="G2557" s="56" t="s">
        <v>643</v>
      </c>
      <c r="H2557" s="58">
        <v>46164</v>
      </c>
      <c r="I2557" s="56" t="s">
        <v>5337</v>
      </c>
      <c r="J2557" s="56">
        <v>5</v>
      </c>
      <c r="K2557" s="56">
        <v>2026</v>
      </c>
      <c r="L2557" s="56">
        <v>2</v>
      </c>
      <c r="M2557" s="56">
        <v>4</v>
      </c>
      <c r="N2557" s="60">
        <v>46169</v>
      </c>
      <c r="O2557" s="56" t="s">
        <v>27</v>
      </c>
      <c r="P2557" s="61">
        <v>596000</v>
      </c>
      <c r="Q2557" s="56"/>
      <c r="R2557" s="56"/>
      <c r="S2557" s="56" t="s">
        <v>5573</v>
      </c>
      <c r="T2557" s="56">
        <v>9.8000000000000007</v>
      </c>
      <c r="U2557" s="56" t="s">
        <v>63</v>
      </c>
      <c r="V2557" s="56" t="s">
        <v>5361</v>
      </c>
      <c r="W2557" s="67" t="str">
        <f t="shared" si="195"/>
        <v>-</v>
      </c>
    </row>
    <row r="2558" spans="1:23" x14ac:dyDescent="0.3">
      <c r="A2558" s="56" t="s">
        <v>5523</v>
      </c>
      <c r="B2558" s="56" t="s">
        <v>931</v>
      </c>
      <c r="C2558" s="56">
        <v>8849649210</v>
      </c>
      <c r="D2558" s="56" t="s">
        <v>20</v>
      </c>
      <c r="E2558" s="56" t="s">
        <v>1632</v>
      </c>
      <c r="F2558" s="56" t="s">
        <v>1717</v>
      </c>
      <c r="G2558" s="56" t="s">
        <v>23</v>
      </c>
      <c r="H2558" s="58">
        <v>46164</v>
      </c>
      <c r="I2558" s="56" t="s">
        <v>5337</v>
      </c>
      <c r="J2558" s="56">
        <v>5</v>
      </c>
      <c r="K2558" s="56">
        <v>2026</v>
      </c>
      <c r="L2558" s="56">
        <v>2</v>
      </c>
      <c r="M2558" s="56">
        <v>2</v>
      </c>
      <c r="N2558" s="60">
        <v>46166</v>
      </c>
      <c r="O2558" s="56" t="s">
        <v>97</v>
      </c>
      <c r="P2558" s="61">
        <v>458000</v>
      </c>
      <c r="Q2558" s="56">
        <v>400000</v>
      </c>
      <c r="R2558" s="56" t="s">
        <v>5495</v>
      </c>
      <c r="S2558" s="56" t="s">
        <v>5573</v>
      </c>
      <c r="T2558" s="56">
        <v>13.2</v>
      </c>
      <c r="U2558" s="56" t="s">
        <v>63</v>
      </c>
      <c r="V2558" s="56" t="s">
        <v>5365</v>
      </c>
      <c r="W2558" s="67" t="str">
        <f t="shared" si="195"/>
        <v>Customer</v>
      </c>
    </row>
    <row r="2559" spans="1:23" x14ac:dyDescent="0.3">
      <c r="A2559" s="56" t="s">
        <v>5524</v>
      </c>
      <c r="B2559" s="56" t="s">
        <v>5497</v>
      </c>
      <c r="C2559" s="56">
        <v>9749387529</v>
      </c>
      <c r="D2559" s="56" t="s">
        <v>20</v>
      </c>
      <c r="E2559" s="56" t="s">
        <v>641</v>
      </c>
      <c r="F2559" s="56" t="s">
        <v>5383</v>
      </c>
      <c r="G2559" s="56" t="s">
        <v>643</v>
      </c>
      <c r="H2559" s="58">
        <v>46164</v>
      </c>
      <c r="I2559" s="56" t="s">
        <v>5337</v>
      </c>
      <c r="J2559" s="56">
        <v>5</v>
      </c>
      <c r="K2559" s="56">
        <v>2026</v>
      </c>
      <c r="L2559" s="56">
        <v>2</v>
      </c>
      <c r="M2559" s="56">
        <v>6</v>
      </c>
      <c r="N2559" s="60">
        <v>46167</v>
      </c>
      <c r="O2559" s="56" t="s">
        <v>27</v>
      </c>
      <c r="P2559" s="61">
        <v>604000</v>
      </c>
      <c r="Q2559" s="56"/>
      <c r="R2559" s="56"/>
      <c r="S2559" s="56" t="s">
        <v>5195</v>
      </c>
      <c r="T2559" s="56">
        <v>19.600000000000001</v>
      </c>
      <c r="U2559" s="56" t="s">
        <v>63</v>
      </c>
      <c r="V2559" s="56" t="s">
        <v>5380</v>
      </c>
      <c r="W2559" s="67" t="str">
        <f t="shared" si="195"/>
        <v>-</v>
      </c>
    </row>
    <row r="2560" spans="1:23" x14ac:dyDescent="0.3">
      <c r="A2560" s="56" t="s">
        <v>5525</v>
      </c>
      <c r="B2560" s="56" t="s">
        <v>5526</v>
      </c>
      <c r="C2560" s="56">
        <v>8719918855</v>
      </c>
      <c r="D2560" s="56" t="s">
        <v>59</v>
      </c>
      <c r="E2560" s="56" t="s">
        <v>109</v>
      </c>
      <c r="F2560" s="56" t="s">
        <v>5449</v>
      </c>
      <c r="G2560" s="56" t="s">
        <v>69</v>
      </c>
      <c r="H2560" s="58">
        <v>46164</v>
      </c>
      <c r="I2560" s="56" t="s">
        <v>5337</v>
      </c>
      <c r="J2560" s="56">
        <v>5</v>
      </c>
      <c r="K2560" s="56">
        <v>2026</v>
      </c>
      <c r="L2560" s="56">
        <v>2</v>
      </c>
      <c r="M2560" s="56">
        <v>8</v>
      </c>
      <c r="N2560" s="60">
        <v>46167</v>
      </c>
      <c r="O2560" s="56" t="s">
        <v>62</v>
      </c>
      <c r="P2560" s="61">
        <v>323000</v>
      </c>
      <c r="Q2560" s="56"/>
      <c r="R2560" s="56"/>
      <c r="S2560" s="56" t="s">
        <v>5819</v>
      </c>
      <c r="T2560" s="56">
        <v>11.1</v>
      </c>
      <c r="U2560" s="56" t="s">
        <v>63</v>
      </c>
      <c r="V2560" s="56" t="s">
        <v>5369</v>
      </c>
      <c r="W2560" s="67" t="str">
        <f t="shared" si="195"/>
        <v>-</v>
      </c>
    </row>
    <row r="2561" spans="1:23" x14ac:dyDescent="0.3">
      <c r="A2561" s="56" t="s">
        <v>5527</v>
      </c>
      <c r="B2561" s="56" t="s">
        <v>3911</v>
      </c>
      <c r="C2561" s="56">
        <v>9772156452</v>
      </c>
      <c r="D2561" s="56" t="s">
        <v>59</v>
      </c>
      <c r="E2561" s="56" t="s">
        <v>641</v>
      </c>
      <c r="F2561" s="56" t="s">
        <v>5383</v>
      </c>
      <c r="G2561" s="56" t="s">
        <v>643</v>
      </c>
      <c r="H2561" s="58">
        <v>46164</v>
      </c>
      <c r="I2561" s="56" t="s">
        <v>5337</v>
      </c>
      <c r="J2561" s="56">
        <v>5</v>
      </c>
      <c r="K2561" s="56">
        <v>2026</v>
      </c>
      <c r="L2561" s="56">
        <v>2</v>
      </c>
      <c r="M2561" s="56">
        <v>2</v>
      </c>
      <c r="N2561" s="60">
        <v>46166</v>
      </c>
      <c r="O2561" s="56" t="s">
        <v>97</v>
      </c>
      <c r="P2561" s="61">
        <v>397000</v>
      </c>
      <c r="Q2561" s="56">
        <v>445000</v>
      </c>
      <c r="R2561" s="56" t="s">
        <v>5485</v>
      </c>
      <c r="S2561" s="56" t="s">
        <v>5819</v>
      </c>
      <c r="T2561" s="56">
        <v>17.5</v>
      </c>
      <c r="U2561" s="56" t="s">
        <v>47</v>
      </c>
      <c r="V2561" s="56" t="s">
        <v>5365</v>
      </c>
      <c r="W2561" s="67" t="str">
        <f t="shared" si="195"/>
        <v>Customer</v>
      </c>
    </row>
    <row r="2562" spans="1:23" x14ac:dyDescent="0.3">
      <c r="A2562" s="56" t="s">
        <v>5528</v>
      </c>
      <c r="B2562" s="56" t="s">
        <v>4570</v>
      </c>
      <c r="C2562" s="56">
        <v>8357806226</v>
      </c>
      <c r="D2562" s="56" t="s">
        <v>59</v>
      </c>
      <c r="E2562" s="56" t="s">
        <v>73</v>
      </c>
      <c r="F2562" s="56" t="s">
        <v>5413</v>
      </c>
      <c r="G2562" s="56" t="s">
        <v>643</v>
      </c>
      <c r="H2562" s="58">
        <v>46165</v>
      </c>
      <c r="I2562" s="56" t="s">
        <v>5337</v>
      </c>
      <c r="J2562" s="56">
        <v>5</v>
      </c>
      <c r="K2562" s="56">
        <v>2026</v>
      </c>
      <c r="L2562" s="56">
        <v>2</v>
      </c>
      <c r="M2562" s="56">
        <v>2</v>
      </c>
      <c r="N2562" s="60">
        <v>46168</v>
      </c>
      <c r="O2562" s="56" t="s">
        <v>27</v>
      </c>
      <c r="P2562" s="61">
        <v>655000</v>
      </c>
      <c r="Q2562" s="56"/>
      <c r="R2562" s="56"/>
      <c r="S2562" s="56" t="s">
        <v>5573</v>
      </c>
      <c r="T2562" s="56">
        <v>25.6</v>
      </c>
      <c r="U2562" s="56" t="s">
        <v>47</v>
      </c>
      <c r="V2562" s="56" t="s">
        <v>5397</v>
      </c>
      <c r="W2562" s="67" t="str">
        <f t="shared" ref="W2562:W2625" si="196">IF($O2562&lt;&gt;"Converted","-",IF(ISNUMBER(SEARCH("Architect",$F2562)),"Architect","Customer"))</f>
        <v>-</v>
      </c>
    </row>
    <row r="2563" spans="1:23" x14ac:dyDescent="0.3">
      <c r="A2563" s="56" t="s">
        <v>5529</v>
      </c>
      <c r="B2563" s="56" t="s">
        <v>3301</v>
      </c>
      <c r="C2563" s="56">
        <v>7387820537</v>
      </c>
      <c r="D2563" s="56" t="s">
        <v>20</v>
      </c>
      <c r="E2563" s="56" t="s">
        <v>41</v>
      </c>
      <c r="F2563" s="56" t="s">
        <v>151</v>
      </c>
      <c r="G2563" s="56" t="s">
        <v>23</v>
      </c>
      <c r="H2563" s="58">
        <v>46165</v>
      </c>
      <c r="I2563" s="56" t="s">
        <v>5337</v>
      </c>
      <c r="J2563" s="56">
        <v>5</v>
      </c>
      <c r="K2563" s="56">
        <v>2026</v>
      </c>
      <c r="L2563" s="56">
        <v>2</v>
      </c>
      <c r="M2563" s="56">
        <v>9</v>
      </c>
      <c r="N2563" s="60">
        <v>46170</v>
      </c>
      <c r="O2563" s="56" t="s">
        <v>27</v>
      </c>
      <c r="P2563" s="61">
        <v>375000</v>
      </c>
      <c r="Q2563" s="56"/>
      <c r="R2563" s="56"/>
      <c r="S2563" s="56" t="s">
        <v>5819</v>
      </c>
      <c r="T2563" s="56">
        <v>31.8</v>
      </c>
      <c r="U2563" s="56" t="s">
        <v>63</v>
      </c>
      <c r="V2563" s="56"/>
      <c r="W2563" s="67" t="str">
        <f t="shared" si="196"/>
        <v>-</v>
      </c>
    </row>
    <row r="2564" spans="1:23" x14ac:dyDescent="0.3">
      <c r="A2564" s="56" t="s">
        <v>5530</v>
      </c>
      <c r="B2564" s="56" t="s">
        <v>2893</v>
      </c>
      <c r="C2564" s="56">
        <v>7265745534</v>
      </c>
      <c r="D2564" s="56" t="s">
        <v>20</v>
      </c>
      <c r="E2564" s="56" t="s">
        <v>73</v>
      </c>
      <c r="F2564" s="56" t="s">
        <v>5413</v>
      </c>
      <c r="G2564" s="56" t="s">
        <v>23</v>
      </c>
      <c r="H2564" s="58">
        <v>46165</v>
      </c>
      <c r="I2564" s="56" t="s">
        <v>5337</v>
      </c>
      <c r="J2564" s="56">
        <v>5</v>
      </c>
      <c r="K2564" s="56">
        <v>2026</v>
      </c>
      <c r="L2564" s="56">
        <v>2</v>
      </c>
      <c r="M2564" s="56">
        <v>7</v>
      </c>
      <c r="N2564" s="60">
        <v>46168</v>
      </c>
      <c r="O2564" s="56" t="s">
        <v>62</v>
      </c>
      <c r="P2564" s="61">
        <v>664000</v>
      </c>
      <c r="Q2564" s="56"/>
      <c r="R2564" s="56"/>
      <c r="S2564" s="56" t="s">
        <v>5195</v>
      </c>
      <c r="T2564" s="56">
        <v>12.1</v>
      </c>
      <c r="U2564" s="56" t="s">
        <v>47</v>
      </c>
      <c r="V2564" s="56" t="s">
        <v>5365</v>
      </c>
      <c r="W2564" s="67" t="str">
        <f t="shared" si="196"/>
        <v>-</v>
      </c>
    </row>
    <row r="2565" spans="1:23" x14ac:dyDescent="0.3">
      <c r="A2565" s="56" t="s">
        <v>5531</v>
      </c>
      <c r="B2565" s="56" t="s">
        <v>2398</v>
      </c>
      <c r="C2565" s="56">
        <v>8215018687</v>
      </c>
      <c r="D2565" s="56" t="s">
        <v>20</v>
      </c>
      <c r="E2565" s="56" t="s">
        <v>41</v>
      </c>
      <c r="F2565" s="56" t="s">
        <v>92</v>
      </c>
      <c r="G2565" s="56" t="s">
        <v>52</v>
      </c>
      <c r="H2565" s="58">
        <v>46165</v>
      </c>
      <c r="I2565" s="56" t="s">
        <v>5337</v>
      </c>
      <c r="J2565" s="56">
        <v>5</v>
      </c>
      <c r="K2565" s="56">
        <v>2026</v>
      </c>
      <c r="L2565" s="56">
        <v>2</v>
      </c>
      <c r="M2565" s="56">
        <v>6</v>
      </c>
      <c r="N2565" s="60">
        <v>46170</v>
      </c>
      <c r="O2565" s="56" t="s">
        <v>27</v>
      </c>
      <c r="P2565" s="61">
        <v>242000</v>
      </c>
      <c r="Q2565" s="56"/>
      <c r="R2565" s="56"/>
      <c r="S2565" s="56" t="s">
        <v>5573</v>
      </c>
      <c r="T2565" s="56">
        <v>24.4</v>
      </c>
      <c r="U2565" s="56" t="s">
        <v>47</v>
      </c>
      <c r="V2565" s="56" t="s">
        <v>5361</v>
      </c>
      <c r="W2565" s="67" t="str">
        <f t="shared" si="196"/>
        <v>-</v>
      </c>
    </row>
    <row r="2566" spans="1:23" x14ac:dyDescent="0.3">
      <c r="A2566" s="56" t="s">
        <v>5532</v>
      </c>
      <c r="B2566" s="56" t="s">
        <v>5533</v>
      </c>
      <c r="C2566" s="56">
        <v>9502847163</v>
      </c>
      <c r="D2566" s="56" t="s">
        <v>20</v>
      </c>
      <c r="E2566" s="56" t="s">
        <v>109</v>
      </c>
      <c r="F2566" s="56" t="s">
        <v>5449</v>
      </c>
      <c r="G2566" s="56" t="s">
        <v>23</v>
      </c>
      <c r="H2566" s="58">
        <v>46165</v>
      </c>
      <c r="I2566" s="56" t="s">
        <v>5337</v>
      </c>
      <c r="J2566" s="56">
        <v>5</v>
      </c>
      <c r="K2566" s="56">
        <v>2026</v>
      </c>
      <c r="L2566" s="56">
        <v>2</v>
      </c>
      <c r="M2566" s="56">
        <v>10</v>
      </c>
      <c r="N2566" s="60">
        <v>46169</v>
      </c>
      <c r="O2566" s="56" t="s">
        <v>97</v>
      </c>
      <c r="P2566" s="61">
        <v>356000</v>
      </c>
      <c r="Q2566" s="56">
        <v>252000</v>
      </c>
      <c r="R2566" s="56" t="s">
        <v>5485</v>
      </c>
      <c r="S2566" s="56" t="s">
        <v>5819</v>
      </c>
      <c r="T2566" s="56">
        <v>13.7</v>
      </c>
      <c r="U2566" s="56" t="s">
        <v>47</v>
      </c>
      <c r="V2566" s="56" t="s">
        <v>5397</v>
      </c>
      <c r="W2566" s="67" t="str">
        <f t="shared" si="196"/>
        <v>Customer</v>
      </c>
    </row>
    <row r="2567" spans="1:23" x14ac:dyDescent="0.3">
      <c r="A2567" s="56" t="s">
        <v>5534</v>
      </c>
      <c r="B2567" s="56" t="s">
        <v>5535</v>
      </c>
      <c r="C2567" s="56">
        <v>7401377436</v>
      </c>
      <c r="D2567" s="56" t="s">
        <v>20</v>
      </c>
      <c r="E2567" s="56" t="s">
        <v>41</v>
      </c>
      <c r="F2567" s="56" t="s">
        <v>86</v>
      </c>
      <c r="G2567" s="56" t="s">
        <v>52</v>
      </c>
      <c r="H2567" s="58">
        <v>46165</v>
      </c>
      <c r="I2567" s="56" t="s">
        <v>5337</v>
      </c>
      <c r="J2567" s="56">
        <v>5</v>
      </c>
      <c r="K2567" s="56">
        <v>2026</v>
      </c>
      <c r="L2567" s="56">
        <v>2</v>
      </c>
      <c r="M2567" s="56">
        <v>10</v>
      </c>
      <c r="N2567" s="60">
        <v>46166</v>
      </c>
      <c r="O2567" s="56" t="s">
        <v>27</v>
      </c>
      <c r="P2567" s="61">
        <v>303000</v>
      </c>
      <c r="Q2567" s="56"/>
      <c r="R2567" s="56"/>
      <c r="S2567" s="56" t="s">
        <v>5573</v>
      </c>
      <c r="T2567" s="56">
        <v>34.799999999999997</v>
      </c>
      <c r="U2567" s="56" t="s">
        <v>29</v>
      </c>
      <c r="V2567" s="56" t="s">
        <v>5576</v>
      </c>
      <c r="W2567" s="67" t="str">
        <f t="shared" si="196"/>
        <v>-</v>
      </c>
    </row>
    <row r="2568" spans="1:23" x14ac:dyDescent="0.3">
      <c r="A2568" s="56" t="s">
        <v>5536</v>
      </c>
      <c r="B2568" s="56" t="s">
        <v>1342</v>
      </c>
      <c r="C2568" s="56">
        <v>9318297747</v>
      </c>
      <c r="D2568" s="56" t="s">
        <v>59</v>
      </c>
      <c r="E2568" s="56" t="s">
        <v>21</v>
      </c>
      <c r="F2568" s="56" t="s">
        <v>21</v>
      </c>
      <c r="G2568" s="56" t="s">
        <v>52</v>
      </c>
      <c r="H2568" s="58">
        <v>46167</v>
      </c>
      <c r="I2568" s="56" t="s">
        <v>5337</v>
      </c>
      <c r="J2568" s="56">
        <v>5</v>
      </c>
      <c r="K2568" s="56">
        <v>2026</v>
      </c>
      <c r="L2568" s="56">
        <v>2</v>
      </c>
      <c r="M2568" s="56">
        <v>11</v>
      </c>
      <c r="N2568" s="60">
        <v>46170</v>
      </c>
      <c r="O2568" s="56" t="s">
        <v>97</v>
      </c>
      <c r="P2568" s="61">
        <v>134000</v>
      </c>
      <c r="Q2568" s="56">
        <v>369000</v>
      </c>
      <c r="R2568" s="56" t="s">
        <v>5520</v>
      </c>
      <c r="S2568" s="56" t="s">
        <v>5195</v>
      </c>
      <c r="T2568" s="56">
        <v>43.3</v>
      </c>
      <c r="U2568" s="56" t="s">
        <v>63</v>
      </c>
      <c r="V2568" s="56" t="s">
        <v>5376</v>
      </c>
      <c r="W2568" s="67" t="str">
        <f t="shared" si="196"/>
        <v>Customer</v>
      </c>
    </row>
    <row r="2569" spans="1:23" x14ac:dyDescent="0.3">
      <c r="A2569" s="56" t="s">
        <v>5537</v>
      </c>
      <c r="B2569" s="56" t="s">
        <v>5538</v>
      </c>
      <c r="C2569" s="56">
        <v>9904956613</v>
      </c>
      <c r="D2569" s="56" t="s">
        <v>59</v>
      </c>
      <c r="E2569" s="56" t="s">
        <v>1632</v>
      </c>
      <c r="F2569" s="56" t="s">
        <v>1717</v>
      </c>
      <c r="G2569" s="56" t="s">
        <v>60</v>
      </c>
      <c r="H2569" s="58">
        <v>46167</v>
      </c>
      <c r="I2569" s="56" t="s">
        <v>5337</v>
      </c>
      <c r="J2569" s="56">
        <v>5</v>
      </c>
      <c r="K2569" s="56">
        <v>2026</v>
      </c>
      <c r="L2569" s="56">
        <v>2</v>
      </c>
      <c r="M2569" s="56">
        <v>11</v>
      </c>
      <c r="N2569" s="60">
        <v>46170</v>
      </c>
      <c r="O2569" s="56" t="s">
        <v>45</v>
      </c>
      <c r="P2569" s="61">
        <v>169000</v>
      </c>
      <c r="Q2569" s="56"/>
      <c r="R2569" s="56"/>
      <c r="S2569" s="56" t="s">
        <v>5573</v>
      </c>
      <c r="T2569" s="56">
        <v>17.5</v>
      </c>
      <c r="U2569" s="56" t="s">
        <v>29</v>
      </c>
      <c r="V2569" s="56" t="s">
        <v>5391</v>
      </c>
      <c r="W2569" s="67" t="str">
        <f t="shared" si="196"/>
        <v>-</v>
      </c>
    </row>
    <row r="2570" spans="1:23" x14ac:dyDescent="0.3">
      <c r="A2570" s="56" t="s">
        <v>5539</v>
      </c>
      <c r="B2570" s="56" t="s">
        <v>5540</v>
      </c>
      <c r="C2570" s="56">
        <v>8982900391</v>
      </c>
      <c r="D2570" s="56" t="s">
        <v>20</v>
      </c>
      <c r="E2570" s="56" t="s">
        <v>641</v>
      </c>
      <c r="F2570" s="56" t="s">
        <v>5407</v>
      </c>
      <c r="G2570" s="56" t="s">
        <v>616</v>
      </c>
      <c r="H2570" s="58">
        <v>46167</v>
      </c>
      <c r="I2570" s="56" t="s">
        <v>5337</v>
      </c>
      <c r="J2570" s="56">
        <v>5</v>
      </c>
      <c r="K2570" s="56">
        <v>2026</v>
      </c>
      <c r="L2570" s="56">
        <v>2</v>
      </c>
      <c r="M2570" s="56">
        <v>12</v>
      </c>
      <c r="N2570" s="60">
        <v>46172</v>
      </c>
      <c r="O2570" s="56" t="s">
        <v>45</v>
      </c>
      <c r="P2570" s="61">
        <v>233000</v>
      </c>
      <c r="Q2570" s="56"/>
      <c r="R2570" s="56"/>
      <c r="S2570" s="56" t="s">
        <v>5573</v>
      </c>
      <c r="T2570" s="56">
        <v>19.3</v>
      </c>
      <c r="U2570" s="56" t="s">
        <v>29</v>
      </c>
      <c r="V2570" s="56" t="s">
        <v>5376</v>
      </c>
      <c r="W2570" s="67" t="str">
        <f t="shared" si="196"/>
        <v>-</v>
      </c>
    </row>
    <row r="2571" spans="1:23" x14ac:dyDescent="0.3">
      <c r="A2571" s="56" t="s">
        <v>5541</v>
      </c>
      <c r="B2571" s="56" t="s">
        <v>5542</v>
      </c>
      <c r="C2571" s="56">
        <v>9215813941</v>
      </c>
      <c r="D2571" s="56" t="s">
        <v>20</v>
      </c>
      <c r="E2571" s="56" t="s">
        <v>73</v>
      </c>
      <c r="F2571" s="56" t="s">
        <v>5413</v>
      </c>
      <c r="G2571" s="56" t="s">
        <v>69</v>
      </c>
      <c r="H2571" s="58">
        <v>46167</v>
      </c>
      <c r="I2571" s="56" t="s">
        <v>5337</v>
      </c>
      <c r="J2571" s="56">
        <v>5</v>
      </c>
      <c r="K2571" s="56">
        <v>2026</v>
      </c>
      <c r="L2571" s="56">
        <v>2</v>
      </c>
      <c r="M2571" s="56">
        <v>1</v>
      </c>
      <c r="N2571" s="60">
        <v>46170</v>
      </c>
      <c r="O2571" s="56" t="s">
        <v>97</v>
      </c>
      <c r="P2571" s="61">
        <v>292000</v>
      </c>
      <c r="Q2571" s="56">
        <v>184000</v>
      </c>
      <c r="R2571" s="56" t="s">
        <v>5520</v>
      </c>
      <c r="S2571" s="56" t="s">
        <v>5573</v>
      </c>
      <c r="T2571" s="56">
        <v>19.399999999999999</v>
      </c>
      <c r="U2571" s="56" t="s">
        <v>63</v>
      </c>
      <c r="V2571" s="56" t="s">
        <v>5376</v>
      </c>
      <c r="W2571" s="67" t="str">
        <f t="shared" si="196"/>
        <v>Customer</v>
      </c>
    </row>
    <row r="2572" spans="1:23" x14ac:dyDescent="0.3">
      <c r="A2572" s="56" t="s">
        <v>5543</v>
      </c>
      <c r="B2572" s="56" t="s">
        <v>5544</v>
      </c>
      <c r="C2572" s="56">
        <v>8012659111</v>
      </c>
      <c r="D2572" s="56" t="s">
        <v>20</v>
      </c>
      <c r="E2572" s="56" t="s">
        <v>1632</v>
      </c>
      <c r="F2572" s="56" t="s">
        <v>5387</v>
      </c>
      <c r="G2572" s="56" t="s">
        <v>69</v>
      </c>
      <c r="H2572" s="58">
        <v>46167</v>
      </c>
      <c r="I2572" s="56" t="s">
        <v>5337</v>
      </c>
      <c r="J2572" s="56">
        <v>5</v>
      </c>
      <c r="K2572" s="56">
        <v>2026</v>
      </c>
      <c r="L2572" s="56">
        <v>2</v>
      </c>
      <c r="M2572" s="56">
        <v>6</v>
      </c>
      <c r="N2572" s="60">
        <v>46168</v>
      </c>
      <c r="O2572" s="56" t="s">
        <v>62</v>
      </c>
      <c r="P2572" s="61">
        <v>180000</v>
      </c>
      <c r="Q2572" s="56"/>
      <c r="R2572" s="56"/>
      <c r="S2572" s="56" t="s">
        <v>5573</v>
      </c>
      <c r="T2572" s="56">
        <v>47.8</v>
      </c>
      <c r="U2572" s="56" t="s">
        <v>29</v>
      </c>
      <c r="V2572" s="56" t="s">
        <v>5420</v>
      </c>
      <c r="W2572" s="67" t="str">
        <f t="shared" si="196"/>
        <v>-</v>
      </c>
    </row>
    <row r="2573" spans="1:23" x14ac:dyDescent="0.3">
      <c r="A2573" s="56" t="s">
        <v>5545</v>
      </c>
      <c r="B2573" s="56" t="s">
        <v>3814</v>
      </c>
      <c r="C2573" s="56">
        <v>9014812671</v>
      </c>
      <c r="D2573" s="56" t="s">
        <v>20</v>
      </c>
      <c r="E2573" s="56" t="s">
        <v>21</v>
      </c>
      <c r="F2573" s="56" t="s">
        <v>21</v>
      </c>
      <c r="G2573" s="56" t="s">
        <v>87</v>
      </c>
      <c r="H2573" s="58">
        <v>46167</v>
      </c>
      <c r="I2573" s="56" t="s">
        <v>5337</v>
      </c>
      <c r="J2573" s="56">
        <v>5</v>
      </c>
      <c r="K2573" s="56">
        <v>2026</v>
      </c>
      <c r="L2573" s="56">
        <v>2</v>
      </c>
      <c r="M2573" s="56">
        <v>7</v>
      </c>
      <c r="N2573" s="60">
        <v>46168</v>
      </c>
      <c r="O2573" s="56" t="s">
        <v>45</v>
      </c>
      <c r="P2573" s="61">
        <v>388000</v>
      </c>
      <c r="Q2573" s="56"/>
      <c r="R2573" s="56"/>
      <c r="S2573" s="56" t="s">
        <v>5573</v>
      </c>
      <c r="T2573" s="56">
        <v>32.6</v>
      </c>
      <c r="U2573" s="56" t="s">
        <v>63</v>
      </c>
      <c r="V2573" s="56" t="s">
        <v>5584</v>
      </c>
      <c r="W2573" s="67" t="str">
        <f t="shared" si="196"/>
        <v>-</v>
      </c>
    </row>
    <row r="2574" spans="1:23" x14ac:dyDescent="0.3">
      <c r="A2574" s="56" t="s">
        <v>5546</v>
      </c>
      <c r="B2574" s="56" t="s">
        <v>5443</v>
      </c>
      <c r="C2574" s="56">
        <v>7205082311</v>
      </c>
      <c r="D2574" s="56" t="s">
        <v>59</v>
      </c>
      <c r="E2574" s="56" t="s">
        <v>1632</v>
      </c>
      <c r="F2574" s="56" t="s">
        <v>1717</v>
      </c>
      <c r="G2574" s="56" t="s">
        <v>35</v>
      </c>
      <c r="H2574" s="58">
        <v>46167</v>
      </c>
      <c r="I2574" s="56" t="s">
        <v>5337</v>
      </c>
      <c r="J2574" s="56">
        <v>5</v>
      </c>
      <c r="K2574" s="56">
        <v>2026</v>
      </c>
      <c r="L2574" s="56">
        <v>2</v>
      </c>
      <c r="M2574" s="56">
        <v>3</v>
      </c>
      <c r="N2574" s="60">
        <v>46171</v>
      </c>
      <c r="O2574" s="56" t="s">
        <v>45</v>
      </c>
      <c r="P2574" s="61">
        <v>221000</v>
      </c>
      <c r="Q2574" s="56"/>
      <c r="R2574" s="56"/>
      <c r="S2574" s="56" t="s">
        <v>5819</v>
      </c>
      <c r="T2574" s="56">
        <v>24.8</v>
      </c>
      <c r="U2574" s="56" t="s">
        <v>47</v>
      </c>
      <c r="V2574" s="56" t="s">
        <v>5365</v>
      </c>
      <c r="W2574" s="67" t="str">
        <f t="shared" si="196"/>
        <v>-</v>
      </c>
    </row>
    <row r="2575" spans="1:23" x14ac:dyDescent="0.3">
      <c r="A2575" s="56" t="s">
        <v>5547</v>
      </c>
      <c r="B2575" s="56" t="s">
        <v>5548</v>
      </c>
      <c r="C2575" s="56">
        <v>9859141240</v>
      </c>
      <c r="D2575" s="56" t="s">
        <v>20</v>
      </c>
      <c r="E2575" s="56" t="s">
        <v>641</v>
      </c>
      <c r="F2575" s="56" t="s">
        <v>5549</v>
      </c>
      <c r="G2575" s="56" t="s">
        <v>87</v>
      </c>
      <c r="H2575" s="57">
        <v>46178</v>
      </c>
      <c r="I2575" s="56" t="s">
        <v>5338</v>
      </c>
      <c r="J2575" s="56">
        <v>6</v>
      </c>
      <c r="K2575" s="56">
        <v>2026</v>
      </c>
      <c r="L2575" s="56">
        <v>2</v>
      </c>
      <c r="M2575" s="56">
        <v>5</v>
      </c>
      <c r="N2575" s="57">
        <v>46180</v>
      </c>
      <c r="O2575" s="56" t="s">
        <v>27</v>
      </c>
      <c r="P2575" s="61">
        <v>460000</v>
      </c>
      <c r="Q2575" s="56"/>
      <c r="R2575" s="56"/>
      <c r="S2575" s="56" t="s">
        <v>5195</v>
      </c>
      <c r="T2575" s="56">
        <v>20</v>
      </c>
      <c r="U2575" s="56" t="s">
        <v>47</v>
      </c>
      <c r="V2575" s="56" t="s">
        <v>5550</v>
      </c>
      <c r="W2575" s="67" t="str">
        <f t="shared" si="196"/>
        <v>-</v>
      </c>
    </row>
    <row r="2576" spans="1:23" x14ac:dyDescent="0.3">
      <c r="A2576" s="56" t="s">
        <v>5551</v>
      </c>
      <c r="B2576" s="56" t="s">
        <v>5552</v>
      </c>
      <c r="C2576" s="56">
        <v>9345120758</v>
      </c>
      <c r="D2576" s="56" t="s">
        <v>20</v>
      </c>
      <c r="E2576" s="56" t="s">
        <v>41</v>
      </c>
      <c r="F2576" s="56" t="s">
        <v>5549</v>
      </c>
      <c r="G2576" s="56" t="s">
        <v>52</v>
      </c>
      <c r="H2576" s="57">
        <v>46175</v>
      </c>
      <c r="I2576" s="56" t="s">
        <v>5338</v>
      </c>
      <c r="J2576" s="56">
        <v>6</v>
      </c>
      <c r="K2576" s="56">
        <v>2026</v>
      </c>
      <c r="L2576" s="56">
        <v>2</v>
      </c>
      <c r="M2576" s="56">
        <v>1</v>
      </c>
      <c r="N2576" s="57">
        <v>46177</v>
      </c>
      <c r="O2576" s="56" t="s">
        <v>27</v>
      </c>
      <c r="P2576" s="61">
        <v>440000</v>
      </c>
      <c r="Q2576" s="56"/>
      <c r="R2576" s="56"/>
      <c r="S2576" s="56" t="s">
        <v>5195</v>
      </c>
      <c r="T2576" s="56">
        <v>12.4</v>
      </c>
      <c r="U2576" s="56" t="s">
        <v>29</v>
      </c>
      <c r="V2576" s="56" t="s">
        <v>5583</v>
      </c>
      <c r="W2576" s="67" t="str">
        <f t="shared" si="196"/>
        <v>-</v>
      </c>
    </row>
    <row r="2577" spans="1:23" x14ac:dyDescent="0.3">
      <c r="A2577" s="56" t="s">
        <v>5553</v>
      </c>
      <c r="B2577" s="56" t="s">
        <v>5554</v>
      </c>
      <c r="C2577" s="56">
        <v>9356297551</v>
      </c>
      <c r="D2577" s="56" t="s">
        <v>5577</v>
      </c>
      <c r="E2577" s="56" t="s">
        <v>641</v>
      </c>
      <c r="F2577" s="56" t="s">
        <v>5549</v>
      </c>
      <c r="G2577" s="56" t="s">
        <v>23</v>
      </c>
      <c r="H2577" s="57">
        <v>46176</v>
      </c>
      <c r="I2577" s="56" t="s">
        <v>5338</v>
      </c>
      <c r="J2577" s="56">
        <v>6</v>
      </c>
      <c r="K2577" s="56">
        <v>2026</v>
      </c>
      <c r="L2577" s="56">
        <v>2</v>
      </c>
      <c r="M2577" s="56">
        <v>1</v>
      </c>
      <c r="N2577" s="57">
        <v>46176</v>
      </c>
      <c r="O2577" s="56" t="s">
        <v>27</v>
      </c>
      <c r="P2577" s="61">
        <v>220000</v>
      </c>
      <c r="Q2577" s="56"/>
      <c r="R2577" s="56"/>
      <c r="S2577" s="56" t="s">
        <v>5819</v>
      </c>
      <c r="T2577" s="56">
        <v>0.6</v>
      </c>
      <c r="U2577" s="56" t="s">
        <v>29</v>
      </c>
      <c r="V2577" s="56" t="s">
        <v>5575</v>
      </c>
      <c r="W2577" s="67" t="str">
        <f t="shared" si="196"/>
        <v>-</v>
      </c>
    </row>
    <row r="2578" spans="1:23" x14ac:dyDescent="0.3">
      <c r="A2578" s="56" t="s">
        <v>5555</v>
      </c>
      <c r="B2578" s="56" t="s">
        <v>5556</v>
      </c>
      <c r="C2578" s="56">
        <v>9280431024</v>
      </c>
      <c r="D2578" s="56" t="s">
        <v>20</v>
      </c>
      <c r="E2578" s="56" t="s">
        <v>21</v>
      </c>
      <c r="F2578" s="56" t="s">
        <v>5549</v>
      </c>
      <c r="G2578" s="56" t="s">
        <v>3302</v>
      </c>
      <c r="H2578" s="57">
        <v>46180</v>
      </c>
      <c r="I2578" s="56" t="s">
        <v>5338</v>
      </c>
      <c r="J2578" s="56">
        <v>6</v>
      </c>
      <c r="K2578" s="56">
        <v>2026</v>
      </c>
      <c r="L2578" s="56">
        <v>2</v>
      </c>
      <c r="M2578" s="56">
        <v>5</v>
      </c>
      <c r="N2578" s="57">
        <v>46184</v>
      </c>
      <c r="O2578" s="56" t="s">
        <v>97</v>
      </c>
      <c r="P2578" s="61">
        <v>270000</v>
      </c>
      <c r="Q2578" s="56">
        <v>230000</v>
      </c>
      <c r="R2578" s="57">
        <v>46182</v>
      </c>
      <c r="S2578" s="56" t="s">
        <v>5573</v>
      </c>
      <c r="T2578" s="56">
        <v>23</v>
      </c>
      <c r="U2578" s="56" t="s">
        <v>47</v>
      </c>
      <c r="V2578" s="56" t="s">
        <v>5550</v>
      </c>
      <c r="W2578" s="67" t="str">
        <f t="shared" si="196"/>
        <v>Customer</v>
      </c>
    </row>
    <row r="2579" spans="1:23" x14ac:dyDescent="0.3">
      <c r="A2579" s="56" t="s">
        <v>5557</v>
      </c>
      <c r="B2579" s="56" t="s">
        <v>5558</v>
      </c>
      <c r="C2579" s="56">
        <v>9467412768</v>
      </c>
      <c r="D2579" s="56" t="s">
        <v>59</v>
      </c>
      <c r="E2579" s="56" t="s">
        <v>21</v>
      </c>
      <c r="F2579" s="56" t="s">
        <v>5549</v>
      </c>
      <c r="G2579" s="56" t="s">
        <v>52</v>
      </c>
      <c r="H2579" s="57">
        <v>46178</v>
      </c>
      <c r="I2579" s="56" t="s">
        <v>5338</v>
      </c>
      <c r="J2579" s="56">
        <v>6</v>
      </c>
      <c r="K2579" s="56">
        <v>2026</v>
      </c>
      <c r="L2579" s="56">
        <v>2</v>
      </c>
      <c r="M2579" s="56">
        <v>2</v>
      </c>
      <c r="N2579" s="57">
        <v>46178</v>
      </c>
      <c r="O2579" s="56" t="s">
        <v>45</v>
      </c>
      <c r="P2579" s="61">
        <v>310000</v>
      </c>
      <c r="Q2579" s="56"/>
      <c r="R2579" s="56"/>
      <c r="S2579" s="56" t="s">
        <v>5819</v>
      </c>
      <c r="T2579" s="56">
        <v>9.6999999999999993</v>
      </c>
      <c r="U2579" s="56" t="s">
        <v>29</v>
      </c>
      <c r="V2579" s="56" t="s">
        <v>5550</v>
      </c>
      <c r="W2579" s="67" t="str">
        <f t="shared" si="196"/>
        <v>-</v>
      </c>
    </row>
    <row r="2580" spans="1:23" x14ac:dyDescent="0.3">
      <c r="A2580" s="56" t="s">
        <v>5559</v>
      </c>
      <c r="B2580" s="56" t="s">
        <v>5560</v>
      </c>
      <c r="C2580" s="56">
        <v>9288493002</v>
      </c>
      <c r="D2580" s="56" t="s">
        <v>59</v>
      </c>
      <c r="E2580" s="56" t="s">
        <v>1632</v>
      </c>
      <c r="F2580" s="56" t="s">
        <v>5549</v>
      </c>
      <c r="G2580" s="56" t="s">
        <v>87</v>
      </c>
      <c r="H2580" s="57">
        <v>46174</v>
      </c>
      <c r="I2580" s="56" t="s">
        <v>5338</v>
      </c>
      <c r="J2580" s="56">
        <v>6</v>
      </c>
      <c r="K2580" s="56">
        <v>2026</v>
      </c>
      <c r="L2580" s="56">
        <v>2</v>
      </c>
      <c r="M2580" s="56">
        <v>3</v>
      </c>
      <c r="N2580" s="57">
        <v>46176</v>
      </c>
      <c r="O2580" s="56" t="s">
        <v>45</v>
      </c>
      <c r="P2580" s="61">
        <v>210000</v>
      </c>
      <c r="Q2580" s="56"/>
      <c r="R2580" s="56"/>
      <c r="S2580" s="56" t="s">
        <v>5573</v>
      </c>
      <c r="T2580" s="56">
        <v>5.8</v>
      </c>
      <c r="U2580" s="56" t="s">
        <v>63</v>
      </c>
      <c r="V2580" s="56" t="s">
        <v>5550</v>
      </c>
      <c r="W2580" s="67" t="str">
        <f t="shared" si="196"/>
        <v>-</v>
      </c>
    </row>
    <row r="2581" spans="1:23" x14ac:dyDescent="0.3">
      <c r="A2581" s="56" t="s">
        <v>5561</v>
      </c>
      <c r="B2581" s="56" t="s">
        <v>5562</v>
      </c>
      <c r="C2581" s="56">
        <v>9270431472</v>
      </c>
      <c r="D2581" s="56" t="s">
        <v>59</v>
      </c>
      <c r="E2581" s="56" t="s">
        <v>648</v>
      </c>
      <c r="F2581" s="56" t="s">
        <v>5549</v>
      </c>
      <c r="G2581" s="56" t="s">
        <v>3302</v>
      </c>
      <c r="H2581" s="57">
        <v>46180</v>
      </c>
      <c r="I2581" s="56" t="s">
        <v>5338</v>
      </c>
      <c r="J2581" s="56">
        <v>6</v>
      </c>
      <c r="K2581" s="56">
        <v>2026</v>
      </c>
      <c r="L2581" s="56">
        <v>2</v>
      </c>
      <c r="M2581" s="56">
        <v>5</v>
      </c>
      <c r="N2581" s="57">
        <v>46183</v>
      </c>
      <c r="O2581" s="56" t="s">
        <v>62</v>
      </c>
      <c r="P2581" s="61">
        <v>300000</v>
      </c>
      <c r="Q2581" s="56"/>
      <c r="R2581" s="56"/>
      <c r="S2581" s="56" t="s">
        <v>5573</v>
      </c>
      <c r="T2581" s="56">
        <v>9.9</v>
      </c>
      <c r="U2581" s="56" t="s">
        <v>63</v>
      </c>
      <c r="V2581" s="56" t="s">
        <v>5550</v>
      </c>
      <c r="W2581" s="67" t="str">
        <f t="shared" si="196"/>
        <v>-</v>
      </c>
    </row>
    <row r="2582" spans="1:23" x14ac:dyDescent="0.3">
      <c r="A2582" s="56" t="s">
        <v>5563</v>
      </c>
      <c r="B2582" s="56" t="s">
        <v>5564</v>
      </c>
      <c r="C2582" s="56">
        <v>9667289004</v>
      </c>
      <c r="D2582" s="56" t="s">
        <v>20</v>
      </c>
      <c r="E2582" s="56" t="s">
        <v>41</v>
      </c>
      <c r="F2582" s="56" t="s">
        <v>5549</v>
      </c>
      <c r="G2582" s="56" t="s">
        <v>52</v>
      </c>
      <c r="H2582" s="57">
        <v>46176</v>
      </c>
      <c r="I2582" s="56" t="s">
        <v>5338</v>
      </c>
      <c r="J2582" s="56">
        <v>6</v>
      </c>
      <c r="K2582" s="56">
        <v>2026</v>
      </c>
      <c r="L2582" s="56">
        <v>2</v>
      </c>
      <c r="M2582" s="56">
        <v>2</v>
      </c>
      <c r="N2582" s="57">
        <v>46180</v>
      </c>
      <c r="O2582" s="56" t="s">
        <v>27</v>
      </c>
      <c r="P2582" s="61">
        <v>330000</v>
      </c>
      <c r="Q2582" s="56"/>
      <c r="R2582" s="56"/>
      <c r="S2582" s="56" t="s">
        <v>5195</v>
      </c>
      <c r="T2582" s="56">
        <v>3.7</v>
      </c>
      <c r="U2582" s="56" t="s">
        <v>47</v>
      </c>
      <c r="V2582" s="56" t="s">
        <v>5550</v>
      </c>
      <c r="W2582" s="67" t="str">
        <f t="shared" si="196"/>
        <v>-</v>
      </c>
    </row>
    <row r="2583" spans="1:23" x14ac:dyDescent="0.3">
      <c r="A2583" s="56" t="s">
        <v>5565</v>
      </c>
      <c r="B2583" s="56" t="s">
        <v>5566</v>
      </c>
      <c r="C2583" s="56">
        <v>9649977994</v>
      </c>
      <c r="D2583" s="56" t="s">
        <v>20</v>
      </c>
      <c r="E2583" s="56" t="s">
        <v>1632</v>
      </c>
      <c r="F2583" s="56" t="s">
        <v>5549</v>
      </c>
      <c r="G2583" s="56" t="s">
        <v>87</v>
      </c>
      <c r="H2583" s="57">
        <v>46179</v>
      </c>
      <c r="I2583" s="56" t="s">
        <v>5338</v>
      </c>
      <c r="J2583" s="56">
        <v>6</v>
      </c>
      <c r="K2583" s="56">
        <v>2026</v>
      </c>
      <c r="L2583" s="56">
        <v>2</v>
      </c>
      <c r="M2583" s="56">
        <v>5</v>
      </c>
      <c r="N2583" s="57">
        <v>46183</v>
      </c>
      <c r="O2583" s="56" t="s">
        <v>45</v>
      </c>
      <c r="P2583" s="61">
        <v>520000</v>
      </c>
      <c r="Q2583" s="56"/>
      <c r="R2583" s="56"/>
      <c r="S2583" s="56" t="s">
        <v>5573</v>
      </c>
      <c r="T2583" s="56">
        <v>8.9</v>
      </c>
      <c r="U2583" s="56" t="s">
        <v>63</v>
      </c>
      <c r="V2583" s="56" t="s">
        <v>5550</v>
      </c>
      <c r="W2583" s="67" t="str">
        <f t="shared" si="196"/>
        <v>-</v>
      </c>
    </row>
    <row r="2584" spans="1:23" x14ac:dyDescent="0.3">
      <c r="A2584" s="56" t="s">
        <v>5567</v>
      </c>
      <c r="B2584" s="56" t="s">
        <v>5568</v>
      </c>
      <c r="C2584" s="56">
        <v>9326976833</v>
      </c>
      <c r="D2584" s="56" t="s">
        <v>20</v>
      </c>
      <c r="E2584" s="56" t="s">
        <v>648</v>
      </c>
      <c r="F2584" s="56" t="s">
        <v>5549</v>
      </c>
      <c r="G2584" s="56" t="s">
        <v>87</v>
      </c>
      <c r="H2584" s="57">
        <v>46177</v>
      </c>
      <c r="I2584" s="56" t="s">
        <v>5338</v>
      </c>
      <c r="J2584" s="56">
        <v>6</v>
      </c>
      <c r="K2584" s="56">
        <v>2026</v>
      </c>
      <c r="L2584" s="56">
        <v>2</v>
      </c>
      <c r="M2584" s="56">
        <v>3</v>
      </c>
      <c r="N2584" s="57">
        <v>46177</v>
      </c>
      <c r="O2584" s="56" t="s">
        <v>97</v>
      </c>
      <c r="P2584" s="61">
        <v>240000</v>
      </c>
      <c r="Q2584" s="56">
        <v>210000</v>
      </c>
      <c r="R2584" s="57">
        <v>46179</v>
      </c>
      <c r="S2584" s="56" t="s">
        <v>5195</v>
      </c>
      <c r="T2584" s="56">
        <v>17.7</v>
      </c>
      <c r="U2584" s="56" t="s">
        <v>47</v>
      </c>
      <c r="V2584" s="56" t="s">
        <v>5550</v>
      </c>
      <c r="W2584" s="67" t="str">
        <f t="shared" si="196"/>
        <v>Customer</v>
      </c>
    </row>
    <row r="2585" spans="1:23" x14ac:dyDescent="0.3">
      <c r="A2585" s="56" t="s">
        <v>5569</v>
      </c>
      <c r="B2585" s="56" t="s">
        <v>5570</v>
      </c>
      <c r="C2585" s="56">
        <v>9530565907</v>
      </c>
      <c r="D2585" s="56" t="s">
        <v>59</v>
      </c>
      <c r="E2585" s="56" t="s">
        <v>641</v>
      </c>
      <c r="F2585" s="56" t="s">
        <v>5549</v>
      </c>
      <c r="G2585" s="56" t="s">
        <v>60</v>
      </c>
      <c r="H2585" s="57">
        <v>46174</v>
      </c>
      <c r="I2585" s="56" t="s">
        <v>5338</v>
      </c>
      <c r="J2585" s="56">
        <v>6</v>
      </c>
      <c r="K2585" s="56">
        <v>2026</v>
      </c>
      <c r="L2585" s="56">
        <v>2</v>
      </c>
      <c r="M2585" s="56">
        <v>2</v>
      </c>
      <c r="N2585" s="57">
        <v>46177</v>
      </c>
      <c r="O2585" s="56" t="s">
        <v>45</v>
      </c>
      <c r="P2585" s="61">
        <v>340000</v>
      </c>
      <c r="Q2585" s="56"/>
      <c r="R2585" s="56"/>
      <c r="S2585" s="56" t="s">
        <v>5573</v>
      </c>
      <c r="T2585" s="56">
        <v>23.7</v>
      </c>
      <c r="U2585" s="56" t="s">
        <v>63</v>
      </c>
      <c r="V2585" s="56" t="s">
        <v>5550</v>
      </c>
      <c r="W2585" s="67" t="str">
        <f t="shared" si="196"/>
        <v>-</v>
      </c>
    </row>
    <row r="2586" spans="1:23" x14ac:dyDescent="0.3">
      <c r="A2586" s="56" t="s">
        <v>5571</v>
      </c>
      <c r="B2586" s="56" t="s">
        <v>5572</v>
      </c>
      <c r="C2586" s="56">
        <v>9572461959</v>
      </c>
      <c r="D2586" s="56" t="s">
        <v>59</v>
      </c>
      <c r="E2586" s="56" t="s">
        <v>41</v>
      </c>
      <c r="F2586" s="56" t="s">
        <v>5549</v>
      </c>
      <c r="G2586" s="56" t="s">
        <v>3302</v>
      </c>
      <c r="H2586" s="57">
        <v>46175</v>
      </c>
      <c r="I2586" s="56" t="s">
        <v>5338</v>
      </c>
      <c r="J2586" s="56">
        <v>6</v>
      </c>
      <c r="K2586" s="56">
        <v>2026</v>
      </c>
      <c r="L2586" s="56">
        <v>2</v>
      </c>
      <c r="M2586" s="56">
        <v>1</v>
      </c>
      <c r="N2586" s="57">
        <v>46176</v>
      </c>
      <c r="O2586" s="56" t="s">
        <v>27</v>
      </c>
      <c r="P2586" s="59">
        <v>510000</v>
      </c>
      <c r="Q2586" s="56"/>
      <c r="R2586" s="56"/>
      <c r="S2586" s="56" t="s">
        <v>5195</v>
      </c>
      <c r="T2586" s="56">
        <v>4.4000000000000004</v>
      </c>
      <c r="U2586" s="56" t="s">
        <v>63</v>
      </c>
      <c r="V2586" s="56" t="s">
        <v>5579</v>
      </c>
      <c r="W2586" s="67" t="str">
        <f t="shared" si="196"/>
        <v>-</v>
      </c>
    </row>
    <row r="2587" spans="1:23" x14ac:dyDescent="0.3">
      <c r="A2587" s="56" t="s">
        <v>5585</v>
      </c>
      <c r="B2587" s="56" t="s">
        <v>5586</v>
      </c>
      <c r="C2587" s="56">
        <v>9574571355</v>
      </c>
      <c r="D2587" s="56" t="s">
        <v>59</v>
      </c>
      <c r="E2587" s="56" t="s">
        <v>1632</v>
      </c>
      <c r="F2587" s="56" t="s">
        <v>5587</v>
      </c>
      <c r="G2587" s="56" t="s">
        <v>52</v>
      </c>
      <c r="H2587" s="57">
        <v>46181</v>
      </c>
      <c r="I2587" s="56" t="s">
        <v>5338</v>
      </c>
      <c r="J2587" s="56">
        <v>6</v>
      </c>
      <c r="K2587" s="56">
        <v>2026</v>
      </c>
      <c r="L2587" s="56">
        <v>2</v>
      </c>
      <c r="M2587" s="56">
        <v>4</v>
      </c>
      <c r="N2587" s="57">
        <v>46194</v>
      </c>
      <c r="O2587" s="56" t="s">
        <v>62</v>
      </c>
      <c r="P2587" s="59">
        <v>174200</v>
      </c>
      <c r="Q2587" s="56"/>
      <c r="R2587" s="56"/>
      <c r="S2587" s="56" t="s">
        <v>5195</v>
      </c>
      <c r="T2587" s="56">
        <v>31</v>
      </c>
      <c r="U2587" s="56" t="s">
        <v>29</v>
      </c>
      <c r="V2587" s="56" t="s">
        <v>5588</v>
      </c>
      <c r="W2587" s="67" t="str">
        <f t="shared" si="196"/>
        <v>-</v>
      </c>
    </row>
    <row r="2588" spans="1:23" x14ac:dyDescent="0.3">
      <c r="A2588" s="56" t="s">
        <v>5589</v>
      </c>
      <c r="B2588" s="56" t="s">
        <v>5590</v>
      </c>
      <c r="C2588" s="56">
        <v>9527189548</v>
      </c>
      <c r="D2588" s="56" t="s">
        <v>59</v>
      </c>
      <c r="E2588" s="56" t="s">
        <v>21</v>
      </c>
      <c r="F2588" s="56" t="s">
        <v>5587</v>
      </c>
      <c r="G2588" s="56" t="s">
        <v>87</v>
      </c>
      <c r="H2588" s="57">
        <v>46181</v>
      </c>
      <c r="I2588" s="56" t="s">
        <v>5338</v>
      </c>
      <c r="J2588" s="56">
        <v>6</v>
      </c>
      <c r="K2588" s="56">
        <v>2026</v>
      </c>
      <c r="L2588" s="56">
        <v>2</v>
      </c>
      <c r="M2588" s="56">
        <v>6</v>
      </c>
      <c r="N2588" s="57">
        <v>46188</v>
      </c>
      <c r="O2588" s="56" t="s">
        <v>27</v>
      </c>
      <c r="P2588" s="59">
        <v>674453</v>
      </c>
      <c r="Q2588" s="56"/>
      <c r="R2588" s="56"/>
      <c r="S2588" s="56" t="s">
        <v>5573</v>
      </c>
      <c r="T2588" s="56">
        <v>21</v>
      </c>
      <c r="U2588" s="56" t="s">
        <v>63</v>
      </c>
      <c r="V2588" s="56" t="s">
        <v>5591</v>
      </c>
      <c r="W2588" s="67" t="str">
        <f t="shared" si="196"/>
        <v>-</v>
      </c>
    </row>
    <row r="2589" spans="1:23" x14ac:dyDescent="0.3">
      <c r="A2589" s="56" t="s">
        <v>5592</v>
      </c>
      <c r="B2589" s="56" t="s">
        <v>5593</v>
      </c>
      <c r="C2589" s="56">
        <v>9014507376</v>
      </c>
      <c r="D2589" s="56" t="s">
        <v>59</v>
      </c>
      <c r="E2589" s="56" t="s">
        <v>1632</v>
      </c>
      <c r="F2589" s="56" t="s">
        <v>5587</v>
      </c>
      <c r="G2589" s="56" t="s">
        <v>3302</v>
      </c>
      <c r="H2589" s="57">
        <v>46182</v>
      </c>
      <c r="I2589" s="56" t="s">
        <v>5338</v>
      </c>
      <c r="J2589" s="56">
        <v>6</v>
      </c>
      <c r="K2589" s="56">
        <v>2026</v>
      </c>
      <c r="L2589" s="56">
        <v>2</v>
      </c>
      <c r="M2589" s="56">
        <v>0</v>
      </c>
      <c r="N2589" s="57">
        <v>46196</v>
      </c>
      <c r="O2589" s="56" t="s">
        <v>27</v>
      </c>
      <c r="P2589" s="59">
        <v>164742</v>
      </c>
      <c r="Q2589" s="56"/>
      <c r="R2589" s="56"/>
      <c r="S2589" s="56" t="s">
        <v>5573</v>
      </c>
      <c r="T2589" s="56">
        <v>16.600000000000001</v>
      </c>
      <c r="U2589" s="56" t="s">
        <v>29</v>
      </c>
      <c r="V2589" s="56" t="s">
        <v>5591</v>
      </c>
      <c r="W2589" s="67" t="str">
        <f t="shared" si="196"/>
        <v>-</v>
      </c>
    </row>
    <row r="2590" spans="1:23" x14ac:dyDescent="0.3">
      <c r="A2590" s="56" t="s">
        <v>5594</v>
      </c>
      <c r="B2590" s="56" t="s">
        <v>5595</v>
      </c>
      <c r="C2590" s="56">
        <v>8535557871</v>
      </c>
      <c r="D2590" s="56" t="s">
        <v>59</v>
      </c>
      <c r="E2590" s="56" t="s">
        <v>73</v>
      </c>
      <c r="F2590" s="56" t="s">
        <v>5587</v>
      </c>
      <c r="G2590" s="56" t="s">
        <v>60</v>
      </c>
      <c r="H2590" s="57">
        <v>46182</v>
      </c>
      <c r="I2590" s="56" t="s">
        <v>5338</v>
      </c>
      <c r="J2590" s="56">
        <v>6</v>
      </c>
      <c r="K2590" s="56">
        <v>2026</v>
      </c>
      <c r="L2590" s="56">
        <v>2</v>
      </c>
      <c r="M2590" s="56">
        <v>7</v>
      </c>
      <c r="N2590" s="57">
        <v>46202</v>
      </c>
      <c r="O2590" s="56" t="s">
        <v>97</v>
      </c>
      <c r="P2590" s="59">
        <v>264573</v>
      </c>
      <c r="Q2590" s="56">
        <v>225812</v>
      </c>
      <c r="R2590" s="56" t="s">
        <v>5596</v>
      </c>
      <c r="S2590" s="56" t="s">
        <v>5573</v>
      </c>
      <c r="T2590" s="56">
        <v>42.5</v>
      </c>
      <c r="U2590" s="56" t="s">
        <v>29</v>
      </c>
      <c r="V2590" s="56" t="s">
        <v>295</v>
      </c>
      <c r="W2590" s="67" t="str">
        <f t="shared" si="196"/>
        <v>Customer</v>
      </c>
    </row>
    <row r="2591" spans="1:23" x14ac:dyDescent="0.3">
      <c r="A2591" s="56" t="s">
        <v>5597</v>
      </c>
      <c r="B2591" s="56" t="s">
        <v>5598</v>
      </c>
      <c r="C2591" s="56">
        <v>9714482467</v>
      </c>
      <c r="D2591" s="56" t="s">
        <v>59</v>
      </c>
      <c r="E2591" s="56" t="s">
        <v>41</v>
      </c>
      <c r="F2591" s="56" t="s">
        <v>5587</v>
      </c>
      <c r="G2591" s="56" t="s">
        <v>23</v>
      </c>
      <c r="H2591" s="57">
        <v>46182</v>
      </c>
      <c r="I2591" s="56" t="s">
        <v>5338</v>
      </c>
      <c r="J2591" s="56">
        <v>6</v>
      </c>
      <c r="K2591" s="56">
        <v>2026</v>
      </c>
      <c r="L2591" s="56">
        <v>2</v>
      </c>
      <c r="M2591" s="56">
        <v>6</v>
      </c>
      <c r="N2591" s="57">
        <v>46193</v>
      </c>
      <c r="O2591" s="56" t="s">
        <v>45</v>
      </c>
      <c r="P2591" s="59">
        <v>138091</v>
      </c>
      <c r="Q2591" s="56"/>
      <c r="R2591" s="56"/>
      <c r="S2591" s="56" t="s">
        <v>5573</v>
      </c>
      <c r="T2591" s="56">
        <v>23.8</v>
      </c>
      <c r="U2591" s="56" t="s">
        <v>63</v>
      </c>
      <c r="V2591" s="56" t="s">
        <v>5599</v>
      </c>
      <c r="W2591" s="67" t="str">
        <f t="shared" si="196"/>
        <v>-</v>
      </c>
    </row>
    <row r="2592" spans="1:23" x14ac:dyDescent="0.3">
      <c r="A2592" s="56" t="s">
        <v>5600</v>
      </c>
      <c r="B2592" s="56" t="s">
        <v>5601</v>
      </c>
      <c r="C2592" s="56">
        <v>8519596022</v>
      </c>
      <c r="D2592" s="56" t="s">
        <v>5577</v>
      </c>
      <c r="E2592" s="56" t="s">
        <v>41</v>
      </c>
      <c r="F2592" s="56" t="s">
        <v>5587</v>
      </c>
      <c r="G2592" s="56" t="s">
        <v>23</v>
      </c>
      <c r="H2592" s="57">
        <v>46183</v>
      </c>
      <c r="I2592" s="56" t="s">
        <v>5338</v>
      </c>
      <c r="J2592" s="56">
        <v>6</v>
      </c>
      <c r="K2592" s="56">
        <v>2026</v>
      </c>
      <c r="L2592" s="56">
        <v>2</v>
      </c>
      <c r="M2592" s="56">
        <v>2</v>
      </c>
      <c r="N2592" s="57">
        <v>46203</v>
      </c>
      <c r="O2592" s="56" t="s">
        <v>97</v>
      </c>
      <c r="P2592" s="59">
        <v>210408</v>
      </c>
      <c r="Q2592" s="56">
        <v>183381</v>
      </c>
      <c r="R2592" s="56" t="s">
        <v>5602</v>
      </c>
      <c r="S2592" s="56" t="s">
        <v>5195</v>
      </c>
      <c r="T2592" s="56">
        <v>7.2</v>
      </c>
      <c r="U2592" s="56" t="s">
        <v>47</v>
      </c>
      <c r="V2592" s="56" t="s">
        <v>465</v>
      </c>
      <c r="W2592" s="67" t="str">
        <f t="shared" si="196"/>
        <v>Customer</v>
      </c>
    </row>
    <row r="2593" spans="1:23" x14ac:dyDescent="0.3">
      <c r="A2593" s="56" t="s">
        <v>5603</v>
      </c>
      <c r="B2593" s="56" t="s">
        <v>5604</v>
      </c>
      <c r="C2593" s="56">
        <v>7891546381</v>
      </c>
      <c r="D2593" s="56" t="s">
        <v>5577</v>
      </c>
      <c r="E2593" s="56" t="s">
        <v>41</v>
      </c>
      <c r="F2593" s="56" t="s">
        <v>5587</v>
      </c>
      <c r="G2593" s="56" t="s">
        <v>643</v>
      </c>
      <c r="H2593" s="57">
        <v>46183</v>
      </c>
      <c r="I2593" s="56" t="s">
        <v>5338</v>
      </c>
      <c r="J2593" s="56">
        <v>6</v>
      </c>
      <c r="K2593" s="56">
        <v>2026</v>
      </c>
      <c r="L2593" s="56">
        <v>2</v>
      </c>
      <c r="M2593" s="56">
        <v>3</v>
      </c>
      <c r="N2593" s="57">
        <v>46192</v>
      </c>
      <c r="O2593" s="56" t="s">
        <v>45</v>
      </c>
      <c r="P2593" s="59">
        <v>274984</v>
      </c>
      <c r="Q2593" s="56"/>
      <c r="R2593" s="56"/>
      <c r="S2593" s="56" t="s">
        <v>5573</v>
      </c>
      <c r="T2593" s="56">
        <v>38.700000000000003</v>
      </c>
      <c r="U2593" s="56" t="s">
        <v>47</v>
      </c>
      <c r="V2593" s="56" t="s">
        <v>195</v>
      </c>
      <c r="W2593" s="67" t="str">
        <f t="shared" si="196"/>
        <v>-</v>
      </c>
    </row>
    <row r="2594" spans="1:23" x14ac:dyDescent="0.3">
      <c r="A2594" s="56" t="s">
        <v>5605</v>
      </c>
      <c r="B2594" s="56" t="s">
        <v>5606</v>
      </c>
      <c r="C2594" s="56">
        <v>8449272069</v>
      </c>
      <c r="D2594" s="56" t="s">
        <v>59</v>
      </c>
      <c r="E2594" s="56" t="s">
        <v>41</v>
      </c>
      <c r="F2594" s="56" t="s">
        <v>5587</v>
      </c>
      <c r="G2594" s="56" t="s">
        <v>616</v>
      </c>
      <c r="H2594" s="57">
        <v>46184</v>
      </c>
      <c r="I2594" s="56" t="s">
        <v>5338</v>
      </c>
      <c r="J2594" s="56">
        <v>6</v>
      </c>
      <c r="K2594" s="56">
        <v>2026</v>
      </c>
      <c r="L2594" s="56">
        <v>2</v>
      </c>
      <c r="M2594" s="56">
        <v>6</v>
      </c>
      <c r="N2594" s="57">
        <v>46198</v>
      </c>
      <c r="O2594" s="56" t="s">
        <v>62</v>
      </c>
      <c r="P2594" s="59">
        <v>119418</v>
      </c>
      <c r="Q2594" s="56"/>
      <c r="R2594" s="56"/>
      <c r="S2594" s="56" t="s">
        <v>5819</v>
      </c>
      <c r="T2594" s="56">
        <v>24.3</v>
      </c>
      <c r="U2594" s="56" t="s">
        <v>63</v>
      </c>
      <c r="V2594" s="56" t="s">
        <v>5588</v>
      </c>
      <c r="W2594" s="67" t="str">
        <f t="shared" si="196"/>
        <v>-</v>
      </c>
    </row>
    <row r="2595" spans="1:23" x14ac:dyDescent="0.3">
      <c r="A2595" s="56" t="s">
        <v>5607</v>
      </c>
      <c r="B2595" s="56" t="s">
        <v>5608</v>
      </c>
      <c r="C2595" s="56">
        <v>7988743558</v>
      </c>
      <c r="D2595" s="56" t="s">
        <v>59</v>
      </c>
      <c r="E2595" s="56" t="s">
        <v>109</v>
      </c>
      <c r="F2595" s="56" t="s">
        <v>5587</v>
      </c>
      <c r="G2595" s="56" t="s">
        <v>69</v>
      </c>
      <c r="H2595" s="57">
        <v>46184</v>
      </c>
      <c r="I2595" s="56" t="s">
        <v>5338</v>
      </c>
      <c r="J2595" s="56">
        <v>6</v>
      </c>
      <c r="K2595" s="56">
        <v>2026</v>
      </c>
      <c r="L2595" s="56">
        <v>2</v>
      </c>
      <c r="M2595" s="56">
        <v>1</v>
      </c>
      <c r="N2595" s="57">
        <v>46195</v>
      </c>
      <c r="O2595" s="56" t="s">
        <v>27</v>
      </c>
      <c r="P2595" s="59">
        <v>341851</v>
      </c>
      <c r="Q2595" s="56"/>
      <c r="R2595" s="56"/>
      <c r="S2595" s="56" t="s">
        <v>5573</v>
      </c>
      <c r="T2595" s="56">
        <v>34.5</v>
      </c>
      <c r="U2595" s="56" t="s">
        <v>29</v>
      </c>
      <c r="V2595" s="56" t="s">
        <v>5582</v>
      </c>
      <c r="W2595" s="67" t="str">
        <f t="shared" si="196"/>
        <v>-</v>
      </c>
    </row>
    <row r="2596" spans="1:23" x14ac:dyDescent="0.3">
      <c r="A2596" s="56" t="s">
        <v>5609</v>
      </c>
      <c r="B2596" s="56" t="s">
        <v>5610</v>
      </c>
      <c r="C2596" s="56">
        <v>7299258889</v>
      </c>
      <c r="D2596" s="56" t="s">
        <v>20</v>
      </c>
      <c r="E2596" s="56" t="s">
        <v>21</v>
      </c>
      <c r="F2596" s="56" t="s">
        <v>5587</v>
      </c>
      <c r="G2596" s="56" t="s">
        <v>87</v>
      </c>
      <c r="H2596" s="57">
        <v>46185</v>
      </c>
      <c r="I2596" s="56" t="s">
        <v>5338</v>
      </c>
      <c r="J2596" s="56">
        <v>6</v>
      </c>
      <c r="K2596" s="56">
        <v>2026</v>
      </c>
      <c r="L2596" s="56">
        <v>2</v>
      </c>
      <c r="M2596" s="56">
        <v>7</v>
      </c>
      <c r="N2596" s="57">
        <v>46203</v>
      </c>
      <c r="O2596" s="56" t="s">
        <v>62</v>
      </c>
      <c r="P2596" s="59">
        <v>531854</v>
      </c>
      <c r="Q2596" s="56"/>
      <c r="R2596" s="56"/>
      <c r="S2596" s="56" t="s">
        <v>5573</v>
      </c>
      <c r="T2596" s="56">
        <v>41.9</v>
      </c>
      <c r="U2596" s="56" t="s">
        <v>47</v>
      </c>
      <c r="V2596" s="56" t="s">
        <v>5599</v>
      </c>
      <c r="W2596" s="67" t="str">
        <f t="shared" si="196"/>
        <v>-</v>
      </c>
    </row>
    <row r="2597" spans="1:23" x14ac:dyDescent="0.3">
      <c r="A2597" s="56" t="s">
        <v>5611</v>
      </c>
      <c r="B2597" s="56" t="s">
        <v>5612</v>
      </c>
      <c r="C2597" s="56">
        <v>8627615195</v>
      </c>
      <c r="D2597" s="56" t="s">
        <v>20</v>
      </c>
      <c r="E2597" s="56" t="s">
        <v>648</v>
      </c>
      <c r="F2597" s="56" t="s">
        <v>5587</v>
      </c>
      <c r="G2597" s="56" t="s">
        <v>643</v>
      </c>
      <c r="H2597" s="57">
        <v>46185</v>
      </c>
      <c r="I2597" s="56" t="s">
        <v>5338</v>
      </c>
      <c r="J2597" s="56">
        <v>6</v>
      </c>
      <c r="K2597" s="56">
        <v>2026</v>
      </c>
      <c r="L2597" s="56">
        <v>2</v>
      </c>
      <c r="M2597" s="56">
        <v>3</v>
      </c>
      <c r="N2597" s="57">
        <v>46198</v>
      </c>
      <c r="O2597" s="56" t="s">
        <v>45</v>
      </c>
      <c r="P2597" s="59">
        <v>84520</v>
      </c>
      <c r="Q2597" s="56"/>
      <c r="R2597" s="56"/>
      <c r="S2597" s="56" t="s">
        <v>5819</v>
      </c>
      <c r="T2597" s="56">
        <v>40</v>
      </c>
      <c r="U2597" s="56" t="s">
        <v>47</v>
      </c>
      <c r="V2597" s="56" t="s">
        <v>5613</v>
      </c>
      <c r="W2597" s="67" t="str">
        <f t="shared" si="196"/>
        <v>-</v>
      </c>
    </row>
    <row r="2598" spans="1:23" x14ac:dyDescent="0.3">
      <c r="A2598" s="56" t="s">
        <v>5614</v>
      </c>
      <c r="B2598" s="56" t="s">
        <v>5615</v>
      </c>
      <c r="C2598" s="56">
        <v>9749055596</v>
      </c>
      <c r="D2598" s="56" t="s">
        <v>59</v>
      </c>
      <c r="E2598" s="56" t="s">
        <v>41</v>
      </c>
      <c r="F2598" s="56" t="s">
        <v>5587</v>
      </c>
      <c r="G2598" s="56" t="s">
        <v>35</v>
      </c>
      <c r="H2598" s="57">
        <v>46186</v>
      </c>
      <c r="I2598" s="56" t="s">
        <v>5338</v>
      </c>
      <c r="J2598" s="56">
        <v>6</v>
      </c>
      <c r="K2598" s="56">
        <v>2026</v>
      </c>
      <c r="L2598" s="56">
        <v>2</v>
      </c>
      <c r="M2598" s="56">
        <v>6</v>
      </c>
      <c r="N2598" s="57">
        <v>46198</v>
      </c>
      <c r="O2598" s="56" t="s">
        <v>27</v>
      </c>
      <c r="P2598" s="59">
        <v>606024</v>
      </c>
      <c r="Q2598" s="56"/>
      <c r="R2598" s="56"/>
      <c r="S2598" s="56" t="s">
        <v>5195</v>
      </c>
      <c r="T2598" s="56">
        <v>18.3</v>
      </c>
      <c r="U2598" s="56" t="s">
        <v>63</v>
      </c>
      <c r="V2598" s="56" t="s">
        <v>5576</v>
      </c>
      <c r="W2598" s="67" t="str">
        <f t="shared" si="196"/>
        <v>-</v>
      </c>
    </row>
    <row r="2599" spans="1:23" x14ac:dyDescent="0.3">
      <c r="A2599" s="56" t="s">
        <v>5616</v>
      </c>
      <c r="B2599" s="56" t="s">
        <v>5615</v>
      </c>
      <c r="C2599" s="56">
        <v>9195226332</v>
      </c>
      <c r="D2599" s="56" t="s">
        <v>20</v>
      </c>
      <c r="E2599" s="56" t="s">
        <v>41</v>
      </c>
      <c r="F2599" s="56" t="s">
        <v>5587</v>
      </c>
      <c r="G2599" s="56" t="s">
        <v>35</v>
      </c>
      <c r="H2599" s="57">
        <v>46186</v>
      </c>
      <c r="I2599" s="56" t="s">
        <v>5338</v>
      </c>
      <c r="J2599" s="56">
        <v>6</v>
      </c>
      <c r="K2599" s="56">
        <v>2026</v>
      </c>
      <c r="L2599" s="56">
        <v>2</v>
      </c>
      <c r="M2599" s="56">
        <v>4</v>
      </c>
      <c r="N2599" s="57">
        <v>46200</v>
      </c>
      <c r="O2599" s="56" t="s">
        <v>97</v>
      </c>
      <c r="P2599" s="59">
        <v>381469</v>
      </c>
      <c r="Q2599" s="56">
        <v>325428</v>
      </c>
      <c r="R2599" s="56" t="s">
        <v>5617</v>
      </c>
      <c r="S2599" s="56" t="s">
        <v>5819</v>
      </c>
      <c r="T2599" s="56">
        <v>25.4</v>
      </c>
      <c r="U2599" s="56" t="s">
        <v>29</v>
      </c>
      <c r="V2599" s="56" t="s">
        <v>341</v>
      </c>
      <c r="W2599" s="67" t="str">
        <f t="shared" si="196"/>
        <v>Customer</v>
      </c>
    </row>
    <row r="2600" spans="1:23" x14ac:dyDescent="0.3">
      <c r="A2600" s="56" t="s">
        <v>5618</v>
      </c>
      <c r="B2600" s="56" t="s">
        <v>5367</v>
      </c>
      <c r="C2600" s="56">
        <v>7137270904</v>
      </c>
      <c r="D2600" s="56" t="s">
        <v>5577</v>
      </c>
      <c r="E2600" s="56" t="s">
        <v>41</v>
      </c>
      <c r="F2600" s="56" t="s">
        <v>5587</v>
      </c>
      <c r="G2600" s="56" t="s">
        <v>87</v>
      </c>
      <c r="H2600" s="57">
        <v>46186</v>
      </c>
      <c r="I2600" s="56" t="s">
        <v>5338</v>
      </c>
      <c r="J2600" s="56">
        <v>6</v>
      </c>
      <c r="K2600" s="56">
        <v>2026</v>
      </c>
      <c r="L2600" s="56">
        <v>2</v>
      </c>
      <c r="M2600" s="56">
        <v>8</v>
      </c>
      <c r="N2600" s="57">
        <v>46205</v>
      </c>
      <c r="O2600" s="56" t="s">
        <v>27</v>
      </c>
      <c r="P2600" s="59">
        <v>493832</v>
      </c>
      <c r="Q2600" s="56"/>
      <c r="R2600" s="56"/>
      <c r="S2600" s="56" t="s">
        <v>5195</v>
      </c>
      <c r="T2600" s="56">
        <v>13.6</v>
      </c>
      <c r="U2600" s="56" t="s">
        <v>63</v>
      </c>
      <c r="V2600" s="56" t="s">
        <v>5575</v>
      </c>
      <c r="W2600" s="67" t="str">
        <f t="shared" si="196"/>
        <v>-</v>
      </c>
    </row>
    <row r="2601" spans="1:23" x14ac:dyDescent="0.3">
      <c r="A2601" s="56" t="s">
        <v>5619</v>
      </c>
      <c r="B2601" s="56" t="s">
        <v>5620</v>
      </c>
      <c r="C2601" s="56">
        <v>8917911143</v>
      </c>
      <c r="D2601" s="56" t="s">
        <v>5577</v>
      </c>
      <c r="E2601" s="56" t="s">
        <v>109</v>
      </c>
      <c r="F2601" s="56" t="s">
        <v>5587</v>
      </c>
      <c r="G2601" s="56" t="s">
        <v>616</v>
      </c>
      <c r="H2601" s="57">
        <v>46188</v>
      </c>
      <c r="I2601" s="56" t="s">
        <v>5338</v>
      </c>
      <c r="J2601" s="56">
        <v>6</v>
      </c>
      <c r="K2601" s="56">
        <v>2026</v>
      </c>
      <c r="L2601" s="56">
        <v>2</v>
      </c>
      <c r="M2601" s="56">
        <v>6</v>
      </c>
      <c r="N2601" s="57">
        <v>46206</v>
      </c>
      <c r="O2601" s="56" t="s">
        <v>27</v>
      </c>
      <c r="P2601" s="59">
        <v>297696</v>
      </c>
      <c r="Q2601" s="56"/>
      <c r="R2601" s="56"/>
      <c r="S2601" s="56" t="s">
        <v>5195</v>
      </c>
      <c r="T2601" s="56">
        <v>8.5</v>
      </c>
      <c r="U2601" s="56" t="s">
        <v>47</v>
      </c>
      <c r="V2601" s="56" t="s">
        <v>238</v>
      </c>
      <c r="W2601" s="67" t="str">
        <f t="shared" si="196"/>
        <v>-</v>
      </c>
    </row>
    <row r="2602" spans="1:23" x14ac:dyDescent="0.3">
      <c r="A2602" s="56" t="s">
        <v>5621</v>
      </c>
      <c r="B2602" s="56" t="s">
        <v>965</v>
      </c>
      <c r="C2602" s="56">
        <v>9460146674</v>
      </c>
      <c r="D2602" s="56" t="s">
        <v>5577</v>
      </c>
      <c r="E2602" s="56" t="s">
        <v>21</v>
      </c>
      <c r="F2602" s="56" t="s">
        <v>5587</v>
      </c>
      <c r="G2602" s="56" t="s">
        <v>643</v>
      </c>
      <c r="H2602" s="57">
        <v>46188</v>
      </c>
      <c r="I2602" s="56" t="s">
        <v>5338</v>
      </c>
      <c r="J2602" s="56">
        <v>6</v>
      </c>
      <c r="K2602" s="56">
        <v>2026</v>
      </c>
      <c r="L2602" s="56">
        <v>2</v>
      </c>
      <c r="M2602" s="56">
        <v>10</v>
      </c>
      <c r="N2602" s="57">
        <v>46194</v>
      </c>
      <c r="O2602" s="56" t="s">
        <v>97</v>
      </c>
      <c r="P2602" s="59">
        <v>628588</v>
      </c>
      <c r="Q2602" s="56">
        <v>565391</v>
      </c>
      <c r="R2602" s="56" t="s">
        <v>5617</v>
      </c>
      <c r="S2602" s="56" t="s">
        <v>5573</v>
      </c>
      <c r="T2602" s="56">
        <v>24.2</v>
      </c>
      <c r="U2602" s="56" t="s">
        <v>47</v>
      </c>
      <c r="V2602" s="56" t="s">
        <v>286</v>
      </c>
      <c r="W2602" s="67" t="str">
        <f t="shared" si="196"/>
        <v>Customer</v>
      </c>
    </row>
    <row r="2603" spans="1:23" x14ac:dyDescent="0.3">
      <c r="A2603" s="56" t="s">
        <v>5622</v>
      </c>
      <c r="B2603" s="56" t="s">
        <v>5623</v>
      </c>
      <c r="C2603" s="56">
        <v>9446490440</v>
      </c>
      <c r="D2603" s="56" t="s">
        <v>20</v>
      </c>
      <c r="E2603" s="56" t="s">
        <v>1632</v>
      </c>
      <c r="F2603" s="56" t="s">
        <v>5587</v>
      </c>
      <c r="G2603" s="56" t="s">
        <v>23</v>
      </c>
      <c r="H2603" s="57">
        <v>46189</v>
      </c>
      <c r="I2603" s="56" t="s">
        <v>5338</v>
      </c>
      <c r="J2603" s="56">
        <v>6</v>
      </c>
      <c r="K2603" s="56">
        <v>2026</v>
      </c>
      <c r="L2603" s="56">
        <v>2</v>
      </c>
      <c r="M2603" s="56">
        <v>9</v>
      </c>
      <c r="N2603" s="57">
        <v>46200</v>
      </c>
      <c r="O2603" s="56" t="s">
        <v>62</v>
      </c>
      <c r="P2603" s="59">
        <v>696712</v>
      </c>
      <c r="Q2603" s="56"/>
      <c r="R2603" s="56"/>
      <c r="S2603" s="56" t="s">
        <v>5819</v>
      </c>
      <c r="T2603" s="56">
        <v>12.1</v>
      </c>
      <c r="U2603" s="56" t="s">
        <v>63</v>
      </c>
      <c r="V2603" s="56" t="s">
        <v>195</v>
      </c>
      <c r="W2603" s="67" t="str">
        <f t="shared" si="196"/>
        <v>-</v>
      </c>
    </row>
    <row r="2604" spans="1:23" x14ac:dyDescent="0.3">
      <c r="A2604" s="56" t="s">
        <v>5624</v>
      </c>
      <c r="B2604" s="56" t="s">
        <v>5625</v>
      </c>
      <c r="C2604" s="56">
        <v>7987652902</v>
      </c>
      <c r="D2604" s="56" t="s">
        <v>20</v>
      </c>
      <c r="E2604" s="56" t="s">
        <v>1632</v>
      </c>
      <c r="F2604" s="56" t="s">
        <v>5587</v>
      </c>
      <c r="G2604" s="56" t="s">
        <v>643</v>
      </c>
      <c r="H2604" s="57">
        <v>46189</v>
      </c>
      <c r="I2604" s="56" t="s">
        <v>5338</v>
      </c>
      <c r="J2604" s="56">
        <v>6</v>
      </c>
      <c r="K2604" s="56">
        <v>2026</v>
      </c>
      <c r="L2604" s="56">
        <v>2</v>
      </c>
      <c r="M2604" s="56">
        <v>0</v>
      </c>
      <c r="N2604" s="57">
        <v>46203</v>
      </c>
      <c r="O2604" s="56" t="s">
        <v>97</v>
      </c>
      <c r="P2604" s="59">
        <v>588204</v>
      </c>
      <c r="Q2604" s="56">
        <v>524280</v>
      </c>
      <c r="R2604" s="56" t="s">
        <v>5626</v>
      </c>
      <c r="S2604" s="56" t="s">
        <v>5573</v>
      </c>
      <c r="T2604" s="56">
        <v>36.299999999999997</v>
      </c>
      <c r="U2604" s="56" t="s">
        <v>63</v>
      </c>
      <c r="V2604" s="56" t="s">
        <v>286</v>
      </c>
      <c r="W2604" s="67" t="str">
        <f t="shared" si="196"/>
        <v>Customer</v>
      </c>
    </row>
    <row r="2605" spans="1:23" x14ac:dyDescent="0.3">
      <c r="A2605" s="56" t="s">
        <v>5627</v>
      </c>
      <c r="B2605" s="56" t="s">
        <v>5628</v>
      </c>
      <c r="C2605" s="56">
        <v>9400888493</v>
      </c>
      <c r="D2605" s="56" t="s">
        <v>59</v>
      </c>
      <c r="E2605" s="56" t="s">
        <v>41</v>
      </c>
      <c r="F2605" s="56" t="s">
        <v>5587</v>
      </c>
      <c r="G2605" s="56" t="s">
        <v>3302</v>
      </c>
      <c r="H2605" s="57">
        <v>46190</v>
      </c>
      <c r="I2605" s="56" t="s">
        <v>5338</v>
      </c>
      <c r="J2605" s="56">
        <v>6</v>
      </c>
      <c r="K2605" s="56">
        <v>2026</v>
      </c>
      <c r="L2605" s="56">
        <v>2</v>
      </c>
      <c r="M2605" s="56">
        <v>1</v>
      </c>
      <c r="N2605" s="57">
        <v>46194</v>
      </c>
      <c r="O2605" s="56" t="s">
        <v>27</v>
      </c>
      <c r="P2605" s="59">
        <v>237493</v>
      </c>
      <c r="Q2605" s="56"/>
      <c r="R2605" s="56"/>
      <c r="S2605" s="56" t="s">
        <v>5195</v>
      </c>
      <c r="T2605" s="56">
        <v>6.1</v>
      </c>
      <c r="U2605" s="56" t="s">
        <v>63</v>
      </c>
      <c r="V2605" s="56" t="s">
        <v>5579</v>
      </c>
      <c r="W2605" s="67" t="str">
        <f t="shared" si="196"/>
        <v>-</v>
      </c>
    </row>
    <row r="2606" spans="1:23" x14ac:dyDescent="0.3">
      <c r="A2606" s="56" t="s">
        <v>5629</v>
      </c>
      <c r="B2606" s="56" t="s">
        <v>5630</v>
      </c>
      <c r="C2606" s="56">
        <v>7715386332</v>
      </c>
      <c r="D2606" s="56" t="s">
        <v>59</v>
      </c>
      <c r="E2606" s="56" t="s">
        <v>641</v>
      </c>
      <c r="F2606" s="56" t="s">
        <v>5587</v>
      </c>
      <c r="G2606" s="56" t="s">
        <v>35</v>
      </c>
      <c r="H2606" s="57">
        <v>46190</v>
      </c>
      <c r="I2606" s="56" t="s">
        <v>5338</v>
      </c>
      <c r="J2606" s="56">
        <v>6</v>
      </c>
      <c r="K2606" s="56">
        <v>2026</v>
      </c>
      <c r="L2606" s="56">
        <v>2</v>
      </c>
      <c r="M2606" s="56">
        <v>9</v>
      </c>
      <c r="N2606" s="57">
        <v>46210</v>
      </c>
      <c r="O2606" s="56" t="s">
        <v>45</v>
      </c>
      <c r="P2606" s="59">
        <v>439034</v>
      </c>
      <c r="Q2606" s="56"/>
      <c r="R2606" s="56"/>
      <c r="S2606" s="56" t="s">
        <v>5195</v>
      </c>
      <c r="T2606" s="56">
        <v>7.7</v>
      </c>
      <c r="U2606" s="56" t="s">
        <v>63</v>
      </c>
      <c r="V2606" s="56" t="s">
        <v>5631</v>
      </c>
      <c r="W2606" s="67" t="str">
        <f t="shared" si="196"/>
        <v>-</v>
      </c>
    </row>
    <row r="2607" spans="1:23" x14ac:dyDescent="0.3">
      <c r="A2607" s="56" t="s">
        <v>5632</v>
      </c>
      <c r="B2607" s="56" t="s">
        <v>5633</v>
      </c>
      <c r="C2607" s="56">
        <v>7629495081</v>
      </c>
      <c r="D2607" s="56" t="s">
        <v>20</v>
      </c>
      <c r="E2607" s="56" t="s">
        <v>73</v>
      </c>
      <c r="F2607" s="56" t="s">
        <v>5587</v>
      </c>
      <c r="G2607" s="56" t="s">
        <v>23</v>
      </c>
      <c r="H2607" s="57">
        <v>46191</v>
      </c>
      <c r="I2607" s="56" t="s">
        <v>5338</v>
      </c>
      <c r="J2607" s="56">
        <v>6</v>
      </c>
      <c r="K2607" s="56">
        <v>2026</v>
      </c>
      <c r="L2607" s="56">
        <v>2</v>
      </c>
      <c r="M2607" s="56">
        <v>3</v>
      </c>
      <c r="N2607" s="57">
        <v>46204</v>
      </c>
      <c r="O2607" s="56" t="s">
        <v>27</v>
      </c>
      <c r="P2607" s="59">
        <v>674278</v>
      </c>
      <c r="Q2607" s="56"/>
      <c r="R2607" s="56"/>
      <c r="S2607" s="56" t="s">
        <v>5195</v>
      </c>
      <c r="T2607" s="56">
        <v>35.799999999999997</v>
      </c>
      <c r="U2607" s="56" t="s">
        <v>63</v>
      </c>
      <c r="V2607" s="56" t="s">
        <v>38</v>
      </c>
      <c r="W2607" s="67" t="str">
        <f t="shared" si="196"/>
        <v>-</v>
      </c>
    </row>
    <row r="2608" spans="1:23" x14ac:dyDescent="0.3">
      <c r="A2608" s="56" t="s">
        <v>5634</v>
      </c>
      <c r="B2608" s="56" t="s">
        <v>5635</v>
      </c>
      <c r="C2608" s="56">
        <v>8906652246</v>
      </c>
      <c r="D2608" s="56" t="s">
        <v>59</v>
      </c>
      <c r="E2608" s="56" t="s">
        <v>41</v>
      </c>
      <c r="F2608" s="56" t="s">
        <v>5587</v>
      </c>
      <c r="G2608" s="56" t="s">
        <v>23</v>
      </c>
      <c r="H2608" s="57">
        <v>46192</v>
      </c>
      <c r="I2608" s="56" t="s">
        <v>5338</v>
      </c>
      <c r="J2608" s="56">
        <v>6</v>
      </c>
      <c r="K2608" s="56">
        <v>2026</v>
      </c>
      <c r="L2608" s="56">
        <v>2</v>
      </c>
      <c r="M2608" s="56">
        <v>9</v>
      </c>
      <c r="N2608" s="57">
        <v>46205</v>
      </c>
      <c r="O2608" s="56" t="s">
        <v>62</v>
      </c>
      <c r="P2608" s="59">
        <v>219194</v>
      </c>
      <c r="Q2608" s="56"/>
      <c r="R2608" s="56"/>
      <c r="S2608" s="56" t="s">
        <v>5573</v>
      </c>
      <c r="T2608" s="56">
        <v>13.9</v>
      </c>
      <c r="U2608" s="56" t="s">
        <v>63</v>
      </c>
      <c r="V2608" s="56" t="s">
        <v>5599</v>
      </c>
      <c r="W2608" s="67" t="str">
        <f t="shared" si="196"/>
        <v>-</v>
      </c>
    </row>
    <row r="2609" spans="1:23" x14ac:dyDescent="0.3">
      <c r="A2609" s="56" t="s">
        <v>5636</v>
      </c>
      <c r="B2609" s="56" t="s">
        <v>5637</v>
      </c>
      <c r="C2609" s="56">
        <v>9115028175</v>
      </c>
      <c r="D2609" s="56" t="s">
        <v>59</v>
      </c>
      <c r="E2609" s="56" t="s">
        <v>1632</v>
      </c>
      <c r="F2609" s="56" t="s">
        <v>5587</v>
      </c>
      <c r="G2609" s="56" t="s">
        <v>87</v>
      </c>
      <c r="H2609" s="57">
        <v>46193</v>
      </c>
      <c r="I2609" s="56" t="s">
        <v>5338</v>
      </c>
      <c r="J2609" s="56">
        <v>6</v>
      </c>
      <c r="K2609" s="56">
        <v>2026</v>
      </c>
      <c r="L2609" s="56">
        <v>2</v>
      </c>
      <c r="M2609" s="56">
        <v>2</v>
      </c>
      <c r="N2609" s="57">
        <v>46213</v>
      </c>
      <c r="O2609" s="56" t="s">
        <v>45</v>
      </c>
      <c r="P2609" s="59">
        <v>422837</v>
      </c>
      <c r="Q2609" s="56"/>
      <c r="R2609" s="56"/>
      <c r="S2609" s="56" t="s">
        <v>5195</v>
      </c>
      <c r="T2609" s="56">
        <v>14.6</v>
      </c>
      <c r="U2609" s="56" t="s">
        <v>47</v>
      </c>
      <c r="V2609" s="56" t="s">
        <v>5588</v>
      </c>
      <c r="W2609" s="67" t="str">
        <f t="shared" si="196"/>
        <v>-</v>
      </c>
    </row>
    <row r="2610" spans="1:23" x14ac:dyDescent="0.3">
      <c r="A2610" s="56" t="s">
        <v>5638</v>
      </c>
      <c r="B2610" s="56" t="s">
        <v>5639</v>
      </c>
      <c r="C2610" s="56">
        <v>9621101043</v>
      </c>
      <c r="D2610" s="56" t="s">
        <v>59</v>
      </c>
      <c r="E2610" s="56" t="s">
        <v>1632</v>
      </c>
      <c r="F2610" s="56" t="s">
        <v>5587</v>
      </c>
      <c r="G2610" s="56" t="s">
        <v>23</v>
      </c>
      <c r="H2610" s="57">
        <v>46193</v>
      </c>
      <c r="I2610" s="56" t="s">
        <v>5338</v>
      </c>
      <c r="J2610" s="56">
        <v>6</v>
      </c>
      <c r="K2610" s="56">
        <v>2026</v>
      </c>
      <c r="L2610" s="56">
        <v>2</v>
      </c>
      <c r="M2610" s="56">
        <v>4</v>
      </c>
      <c r="N2610" s="57">
        <v>46206</v>
      </c>
      <c r="O2610" s="56" t="s">
        <v>27</v>
      </c>
      <c r="P2610" s="59">
        <v>262614</v>
      </c>
      <c r="Q2610" s="56"/>
      <c r="R2610" s="56"/>
      <c r="S2610" s="56" t="s">
        <v>5819</v>
      </c>
      <c r="T2610" s="56">
        <v>23.3</v>
      </c>
      <c r="U2610" s="56" t="s">
        <v>63</v>
      </c>
      <c r="V2610" s="56" t="s">
        <v>153</v>
      </c>
      <c r="W2610" s="67" t="str">
        <f t="shared" si="196"/>
        <v>-</v>
      </c>
    </row>
    <row r="2611" spans="1:23" x14ac:dyDescent="0.3">
      <c r="A2611" s="56" t="s">
        <v>5640</v>
      </c>
      <c r="B2611" s="56" t="s">
        <v>5641</v>
      </c>
      <c r="C2611" s="56">
        <v>7703667803</v>
      </c>
      <c r="D2611" s="56" t="s">
        <v>20</v>
      </c>
      <c r="E2611" s="56" t="s">
        <v>1632</v>
      </c>
      <c r="F2611" s="56" t="s">
        <v>5587</v>
      </c>
      <c r="G2611" s="56" t="s">
        <v>23</v>
      </c>
      <c r="H2611" s="57">
        <v>46195</v>
      </c>
      <c r="I2611" s="56" t="s">
        <v>5338</v>
      </c>
      <c r="J2611" s="56">
        <v>6</v>
      </c>
      <c r="K2611" s="56">
        <v>2026</v>
      </c>
      <c r="L2611" s="56">
        <v>2</v>
      </c>
      <c r="M2611" s="56">
        <v>9</v>
      </c>
      <c r="N2611" s="57">
        <v>46196</v>
      </c>
      <c r="O2611" s="56" t="s">
        <v>97</v>
      </c>
      <c r="P2611" s="59">
        <v>395067</v>
      </c>
      <c r="Q2611" s="56">
        <v>387965</v>
      </c>
      <c r="R2611" s="56" t="s">
        <v>5642</v>
      </c>
      <c r="S2611" s="56" t="s">
        <v>5573</v>
      </c>
      <c r="T2611" s="56">
        <v>6.4</v>
      </c>
      <c r="U2611" s="56" t="s">
        <v>63</v>
      </c>
      <c r="V2611" s="56" t="s">
        <v>295</v>
      </c>
      <c r="W2611" s="67" t="str">
        <f t="shared" si="196"/>
        <v>Customer</v>
      </c>
    </row>
    <row r="2612" spans="1:23" x14ac:dyDescent="0.3">
      <c r="A2612" s="56" t="s">
        <v>5643</v>
      </c>
      <c r="B2612" s="56" t="s">
        <v>5644</v>
      </c>
      <c r="C2612" s="56">
        <v>9160274426</v>
      </c>
      <c r="D2612" s="56" t="s">
        <v>59</v>
      </c>
      <c r="E2612" s="56" t="s">
        <v>67</v>
      </c>
      <c r="F2612" s="56" t="s">
        <v>5587</v>
      </c>
      <c r="G2612" s="56" t="s">
        <v>643</v>
      </c>
      <c r="H2612" s="57">
        <v>46196</v>
      </c>
      <c r="I2612" s="56" t="s">
        <v>5338</v>
      </c>
      <c r="J2612" s="56">
        <v>6</v>
      </c>
      <c r="K2612" s="56">
        <v>2026</v>
      </c>
      <c r="L2612" s="56">
        <v>2</v>
      </c>
      <c r="M2612" s="56">
        <v>1</v>
      </c>
      <c r="N2612" s="57">
        <v>46202</v>
      </c>
      <c r="O2612" s="56" t="s">
        <v>27</v>
      </c>
      <c r="P2612" s="59">
        <v>218504</v>
      </c>
      <c r="Q2612" s="56"/>
      <c r="R2612" s="56"/>
      <c r="S2612" s="56" t="s">
        <v>5195</v>
      </c>
      <c r="T2612" s="56">
        <v>10.9</v>
      </c>
      <c r="U2612" s="56" t="s">
        <v>47</v>
      </c>
      <c r="V2612" s="56" t="s">
        <v>202</v>
      </c>
      <c r="W2612" s="67" t="str">
        <f t="shared" si="196"/>
        <v>-</v>
      </c>
    </row>
    <row r="2613" spans="1:23" x14ac:dyDescent="0.3">
      <c r="A2613" s="56" t="s">
        <v>5645</v>
      </c>
      <c r="B2613" s="56" t="s">
        <v>5646</v>
      </c>
      <c r="C2613" s="56">
        <v>9460508850</v>
      </c>
      <c r="D2613" s="56" t="s">
        <v>20</v>
      </c>
      <c r="E2613" s="56" t="s">
        <v>109</v>
      </c>
      <c r="F2613" s="56" t="s">
        <v>5587</v>
      </c>
      <c r="G2613" s="56" t="s">
        <v>52</v>
      </c>
      <c r="H2613" s="57">
        <v>46197</v>
      </c>
      <c r="I2613" s="56" t="s">
        <v>5338</v>
      </c>
      <c r="J2613" s="56">
        <v>6</v>
      </c>
      <c r="K2613" s="56">
        <v>2026</v>
      </c>
      <c r="L2613" s="56">
        <v>2</v>
      </c>
      <c r="M2613" s="56">
        <v>6</v>
      </c>
      <c r="N2613" s="57">
        <v>46217</v>
      </c>
      <c r="O2613" s="56" t="s">
        <v>27</v>
      </c>
      <c r="P2613" s="59">
        <v>221152</v>
      </c>
      <c r="Q2613" s="56"/>
      <c r="R2613" s="56"/>
      <c r="S2613" s="56" t="s">
        <v>5573</v>
      </c>
      <c r="T2613" s="56">
        <v>40.799999999999997</v>
      </c>
      <c r="U2613" s="56" t="s">
        <v>63</v>
      </c>
      <c r="V2613" s="56" t="s">
        <v>153</v>
      </c>
      <c r="W2613" s="67" t="str">
        <f t="shared" si="196"/>
        <v>-</v>
      </c>
    </row>
    <row r="2614" spans="1:23" x14ac:dyDescent="0.3">
      <c r="A2614" s="56" t="s">
        <v>5647</v>
      </c>
      <c r="B2614" s="56" t="s">
        <v>5639</v>
      </c>
      <c r="C2614" s="56">
        <v>7720879723</v>
      </c>
      <c r="D2614" s="56" t="s">
        <v>20</v>
      </c>
      <c r="E2614" s="56" t="s">
        <v>109</v>
      </c>
      <c r="F2614" s="56" t="s">
        <v>5587</v>
      </c>
      <c r="G2614" s="56" t="s">
        <v>3302</v>
      </c>
      <c r="H2614" s="57">
        <v>46197</v>
      </c>
      <c r="I2614" s="56" t="s">
        <v>5338</v>
      </c>
      <c r="J2614" s="56">
        <v>6</v>
      </c>
      <c r="K2614" s="56">
        <v>2026</v>
      </c>
      <c r="L2614" s="56">
        <v>2</v>
      </c>
      <c r="M2614" s="56">
        <v>8</v>
      </c>
      <c r="N2614" s="57">
        <v>46200</v>
      </c>
      <c r="O2614" s="56" t="s">
        <v>27</v>
      </c>
      <c r="P2614" s="59">
        <v>521447</v>
      </c>
      <c r="Q2614" s="56"/>
      <c r="R2614" s="56"/>
      <c r="S2614" s="56" t="s">
        <v>5573</v>
      </c>
      <c r="T2614" s="56">
        <v>11.2</v>
      </c>
      <c r="U2614" s="56" t="s">
        <v>63</v>
      </c>
      <c r="V2614" s="56" t="s">
        <v>153</v>
      </c>
      <c r="W2614" s="67" t="str">
        <f t="shared" si="196"/>
        <v>-</v>
      </c>
    </row>
    <row r="2615" spans="1:23" x14ac:dyDescent="0.3">
      <c r="A2615" s="56" t="s">
        <v>5648</v>
      </c>
      <c r="B2615" s="56" t="s">
        <v>5649</v>
      </c>
      <c r="C2615" s="56">
        <v>8435331104</v>
      </c>
      <c r="D2615" s="56" t="s">
        <v>20</v>
      </c>
      <c r="E2615" s="56" t="s">
        <v>1632</v>
      </c>
      <c r="F2615" s="56" t="s">
        <v>5587</v>
      </c>
      <c r="G2615" s="56" t="s">
        <v>23</v>
      </c>
      <c r="H2615" s="57">
        <v>46198</v>
      </c>
      <c r="I2615" s="56" t="s">
        <v>5338</v>
      </c>
      <c r="J2615" s="56">
        <v>6</v>
      </c>
      <c r="K2615" s="56">
        <v>2026</v>
      </c>
      <c r="L2615" s="56">
        <v>2</v>
      </c>
      <c r="M2615" s="56">
        <v>0</v>
      </c>
      <c r="N2615" s="57">
        <v>46212</v>
      </c>
      <c r="O2615" s="56" t="s">
        <v>97</v>
      </c>
      <c r="P2615" s="59">
        <v>387079</v>
      </c>
      <c r="Q2615" s="56">
        <v>381286</v>
      </c>
      <c r="R2615" s="56" t="s">
        <v>5650</v>
      </c>
      <c r="S2615" s="56" t="s">
        <v>5573</v>
      </c>
      <c r="T2615" s="56">
        <v>14.5</v>
      </c>
      <c r="U2615" s="56" t="s">
        <v>63</v>
      </c>
      <c r="V2615" s="56" t="s">
        <v>286</v>
      </c>
      <c r="W2615" s="67" t="str">
        <f t="shared" si="196"/>
        <v>Customer</v>
      </c>
    </row>
    <row r="2616" spans="1:23" x14ac:dyDescent="0.3">
      <c r="A2616" s="56" t="s">
        <v>5651</v>
      </c>
      <c r="B2616" s="56" t="s">
        <v>5652</v>
      </c>
      <c r="C2616" s="56">
        <v>8268442827</v>
      </c>
      <c r="D2616" s="56" t="s">
        <v>59</v>
      </c>
      <c r="E2616" s="56" t="s">
        <v>41</v>
      </c>
      <c r="F2616" s="56" t="s">
        <v>5587</v>
      </c>
      <c r="G2616" s="56" t="s">
        <v>60</v>
      </c>
      <c r="H2616" s="57">
        <v>46198</v>
      </c>
      <c r="I2616" s="56" t="s">
        <v>5338</v>
      </c>
      <c r="J2616" s="56">
        <v>6</v>
      </c>
      <c r="K2616" s="56">
        <v>2026</v>
      </c>
      <c r="L2616" s="56">
        <v>2</v>
      </c>
      <c r="M2616" s="56">
        <v>5</v>
      </c>
      <c r="N2616" s="57">
        <v>46211</v>
      </c>
      <c r="O2616" s="56" t="s">
        <v>97</v>
      </c>
      <c r="P2616" s="59">
        <v>353026</v>
      </c>
      <c r="Q2616" s="56">
        <v>303025</v>
      </c>
      <c r="R2616" s="56" t="s">
        <v>5653</v>
      </c>
      <c r="S2616" s="56" t="s">
        <v>5573</v>
      </c>
      <c r="T2616" s="56">
        <v>31.5</v>
      </c>
      <c r="U2616" s="56" t="s">
        <v>29</v>
      </c>
      <c r="V2616" s="56" t="s">
        <v>341</v>
      </c>
      <c r="W2616" s="67" t="str">
        <f t="shared" si="196"/>
        <v>Customer</v>
      </c>
    </row>
    <row r="2617" spans="1:23" x14ac:dyDescent="0.3">
      <c r="A2617" s="56" t="s">
        <v>5654</v>
      </c>
      <c r="B2617" s="56" t="s">
        <v>605</v>
      </c>
      <c r="C2617" s="56">
        <v>7336381434</v>
      </c>
      <c r="D2617" s="56" t="s">
        <v>20</v>
      </c>
      <c r="E2617" s="56" t="s">
        <v>41</v>
      </c>
      <c r="F2617" s="56" t="s">
        <v>5587</v>
      </c>
      <c r="G2617" s="56" t="s">
        <v>87</v>
      </c>
      <c r="H2617" s="57">
        <v>46199</v>
      </c>
      <c r="I2617" s="56" t="s">
        <v>5338</v>
      </c>
      <c r="J2617" s="56">
        <v>6</v>
      </c>
      <c r="K2617" s="56">
        <v>2026</v>
      </c>
      <c r="L2617" s="56">
        <v>2</v>
      </c>
      <c r="M2617" s="56">
        <v>5</v>
      </c>
      <c r="N2617" s="57">
        <v>46212</v>
      </c>
      <c r="O2617" s="56" t="s">
        <v>97</v>
      </c>
      <c r="P2617" s="59">
        <v>102582</v>
      </c>
      <c r="Q2617" s="56">
        <v>90455</v>
      </c>
      <c r="R2617" s="56" t="s">
        <v>5655</v>
      </c>
      <c r="S2617" s="56" t="s">
        <v>5573</v>
      </c>
      <c r="T2617" s="56">
        <v>24.5</v>
      </c>
      <c r="U2617" s="56" t="s">
        <v>63</v>
      </c>
      <c r="V2617" s="56" t="s">
        <v>341</v>
      </c>
      <c r="W2617" s="67" t="str">
        <f t="shared" si="196"/>
        <v>Customer</v>
      </c>
    </row>
    <row r="2618" spans="1:23" x14ac:dyDescent="0.3">
      <c r="A2618" s="56" t="s">
        <v>5656</v>
      </c>
      <c r="B2618" s="56" t="s">
        <v>5623</v>
      </c>
      <c r="C2618" s="56">
        <v>8864254151</v>
      </c>
      <c r="D2618" s="56" t="s">
        <v>59</v>
      </c>
      <c r="E2618" s="56" t="s">
        <v>41</v>
      </c>
      <c r="F2618" s="56" t="s">
        <v>5587</v>
      </c>
      <c r="G2618" s="56" t="s">
        <v>87</v>
      </c>
      <c r="H2618" s="57">
        <v>46200</v>
      </c>
      <c r="I2618" s="56" t="s">
        <v>5338</v>
      </c>
      <c r="J2618" s="56">
        <v>6</v>
      </c>
      <c r="K2618" s="56">
        <v>2026</v>
      </c>
      <c r="L2618" s="56">
        <v>2</v>
      </c>
      <c r="M2618" s="56">
        <v>7</v>
      </c>
      <c r="N2618" s="57">
        <v>46214</v>
      </c>
      <c r="O2618" s="56" t="s">
        <v>27</v>
      </c>
      <c r="P2618" s="59">
        <v>355590</v>
      </c>
      <c r="Q2618" s="56"/>
      <c r="R2618" s="56"/>
      <c r="S2618" s="56" t="s">
        <v>5195</v>
      </c>
      <c r="T2618" s="56">
        <v>39.5</v>
      </c>
      <c r="U2618" s="56" t="s">
        <v>29</v>
      </c>
      <c r="V2618" s="56" t="s">
        <v>5582</v>
      </c>
      <c r="W2618" s="67" t="str">
        <f t="shared" si="196"/>
        <v>-</v>
      </c>
    </row>
    <row r="2619" spans="1:23" x14ac:dyDescent="0.3">
      <c r="A2619" s="56" t="s">
        <v>5657</v>
      </c>
      <c r="B2619" s="56" t="s">
        <v>5658</v>
      </c>
      <c r="C2619" s="56">
        <v>7276697930</v>
      </c>
      <c r="D2619" s="56" t="s">
        <v>5577</v>
      </c>
      <c r="E2619" s="56" t="s">
        <v>1632</v>
      </c>
      <c r="F2619" s="56" t="s">
        <v>5587</v>
      </c>
      <c r="G2619" s="56" t="s">
        <v>87</v>
      </c>
      <c r="H2619" s="57">
        <v>46202</v>
      </c>
      <c r="I2619" s="56" t="s">
        <v>5338</v>
      </c>
      <c r="J2619" s="56">
        <v>6</v>
      </c>
      <c r="K2619" s="56">
        <v>2026</v>
      </c>
      <c r="L2619" s="56">
        <v>2</v>
      </c>
      <c r="M2619" s="56">
        <v>9</v>
      </c>
      <c r="N2619" s="57">
        <v>46206</v>
      </c>
      <c r="O2619" s="56" t="s">
        <v>97</v>
      </c>
      <c r="P2619" s="59">
        <v>334913</v>
      </c>
      <c r="Q2619" s="56">
        <v>318091</v>
      </c>
      <c r="R2619" s="56" t="s">
        <v>5659</v>
      </c>
      <c r="S2619" s="56" t="s">
        <v>5819</v>
      </c>
      <c r="T2619" s="56">
        <v>39.5</v>
      </c>
      <c r="U2619" s="56" t="s">
        <v>29</v>
      </c>
      <c r="V2619" s="56" t="s">
        <v>286</v>
      </c>
      <c r="W2619" s="67" t="str">
        <f t="shared" si="196"/>
        <v>Customer</v>
      </c>
    </row>
    <row r="2620" spans="1:23" x14ac:dyDescent="0.3">
      <c r="A2620" s="56" t="s">
        <v>5660</v>
      </c>
      <c r="B2620" s="56" t="s">
        <v>5661</v>
      </c>
      <c r="C2620" s="56">
        <v>7333445884</v>
      </c>
      <c r="D2620" s="56" t="s">
        <v>20</v>
      </c>
      <c r="E2620" s="56" t="s">
        <v>1632</v>
      </c>
      <c r="F2620" s="56" t="s">
        <v>5587</v>
      </c>
      <c r="G2620" s="56" t="s">
        <v>23</v>
      </c>
      <c r="H2620" s="57">
        <v>46202</v>
      </c>
      <c r="I2620" s="56" t="s">
        <v>5338</v>
      </c>
      <c r="J2620" s="56">
        <v>6</v>
      </c>
      <c r="K2620" s="56">
        <v>2026</v>
      </c>
      <c r="L2620" s="56">
        <v>2</v>
      </c>
      <c r="M2620" s="56">
        <v>4</v>
      </c>
      <c r="N2620" s="57">
        <v>46218</v>
      </c>
      <c r="O2620" s="56" t="s">
        <v>55</v>
      </c>
      <c r="P2620" s="59">
        <v>614410</v>
      </c>
      <c r="Q2620" s="56"/>
      <c r="R2620" s="56"/>
      <c r="S2620" s="56" t="s">
        <v>5195</v>
      </c>
      <c r="T2620" s="56">
        <v>20.100000000000001</v>
      </c>
      <c r="U2620" s="56" t="s">
        <v>47</v>
      </c>
      <c r="V2620" s="56" t="s">
        <v>247</v>
      </c>
      <c r="W2620" s="67" t="str">
        <f t="shared" si="196"/>
        <v>-</v>
      </c>
    </row>
    <row r="2621" spans="1:23" x14ac:dyDescent="0.3">
      <c r="A2621" s="56" t="s">
        <v>5662</v>
      </c>
      <c r="B2621" s="56" t="s">
        <v>5663</v>
      </c>
      <c r="C2621" s="56">
        <v>7454582851</v>
      </c>
      <c r="D2621" s="56" t="s">
        <v>5577</v>
      </c>
      <c r="E2621" s="56" t="s">
        <v>41</v>
      </c>
      <c r="F2621" s="56" t="s">
        <v>5587</v>
      </c>
      <c r="G2621" s="56" t="s">
        <v>35</v>
      </c>
      <c r="H2621" s="57">
        <v>46203</v>
      </c>
      <c r="I2621" s="56" t="s">
        <v>5338</v>
      </c>
      <c r="J2621" s="56">
        <v>6</v>
      </c>
      <c r="K2621" s="56">
        <v>2026</v>
      </c>
      <c r="L2621" s="56">
        <v>2</v>
      </c>
      <c r="M2621" s="56">
        <v>1</v>
      </c>
      <c r="N2621" s="57">
        <v>46222</v>
      </c>
      <c r="O2621" s="56" t="s">
        <v>55</v>
      </c>
      <c r="P2621" s="59">
        <v>434932</v>
      </c>
      <c r="Q2621" s="56"/>
      <c r="R2621" s="56"/>
      <c r="S2621" s="56" t="s">
        <v>5819</v>
      </c>
      <c r="T2621" s="56">
        <v>20.7</v>
      </c>
      <c r="U2621" s="56" t="s">
        <v>47</v>
      </c>
      <c r="V2621" s="56" t="s">
        <v>247</v>
      </c>
      <c r="W2621" s="67" t="str">
        <f t="shared" si="196"/>
        <v>-</v>
      </c>
    </row>
    <row r="2622" spans="1:23" x14ac:dyDescent="0.3">
      <c r="A2622" s="56" t="s">
        <v>5664</v>
      </c>
      <c r="B2622" s="56" t="s">
        <v>5665</v>
      </c>
      <c r="C2622" s="56">
        <v>7204244285</v>
      </c>
      <c r="D2622" s="56" t="s">
        <v>20</v>
      </c>
      <c r="E2622" s="56" t="s">
        <v>648</v>
      </c>
      <c r="F2622" s="56" t="s">
        <v>5587</v>
      </c>
      <c r="G2622" s="56" t="s">
        <v>616</v>
      </c>
      <c r="H2622" s="57">
        <v>46203</v>
      </c>
      <c r="I2622" s="56" t="s">
        <v>5338</v>
      </c>
      <c r="J2622" s="56">
        <v>6</v>
      </c>
      <c r="K2622" s="56">
        <v>2026</v>
      </c>
      <c r="L2622" s="56">
        <v>2</v>
      </c>
      <c r="M2622" s="56">
        <v>3</v>
      </c>
      <c r="N2622" s="57">
        <v>46217</v>
      </c>
      <c r="O2622" s="56" t="s">
        <v>97</v>
      </c>
      <c r="P2622" s="59">
        <v>98574</v>
      </c>
      <c r="Q2622" s="56">
        <v>95607</v>
      </c>
      <c r="R2622" s="56" t="s">
        <v>5666</v>
      </c>
      <c r="S2622" s="56" t="s">
        <v>5195</v>
      </c>
      <c r="T2622" s="56">
        <v>29.8</v>
      </c>
      <c r="U2622" s="56" t="s">
        <v>29</v>
      </c>
      <c r="V2622" s="56" t="s">
        <v>465</v>
      </c>
      <c r="W2622" s="67" t="str">
        <f t="shared" si="196"/>
        <v>Customer</v>
      </c>
    </row>
    <row r="2623" spans="1:23" x14ac:dyDescent="0.3">
      <c r="A2623" s="56" t="s">
        <v>5667</v>
      </c>
      <c r="B2623" s="56" t="s">
        <v>5668</v>
      </c>
      <c r="C2623" s="56">
        <v>7054632279</v>
      </c>
      <c r="D2623" s="56" t="s">
        <v>5577</v>
      </c>
      <c r="E2623" s="56" t="s">
        <v>641</v>
      </c>
      <c r="F2623" s="56" t="s">
        <v>5587</v>
      </c>
      <c r="G2623" s="56" t="s">
        <v>69</v>
      </c>
      <c r="H2623" s="57">
        <v>46204</v>
      </c>
      <c r="I2623" s="56" t="s">
        <v>5339</v>
      </c>
      <c r="J2623" s="56">
        <v>7</v>
      </c>
      <c r="K2623" s="56">
        <v>2026</v>
      </c>
      <c r="L2623" s="56">
        <v>3</v>
      </c>
      <c r="M2623" s="56">
        <v>2</v>
      </c>
      <c r="N2623" s="57">
        <v>46209</v>
      </c>
      <c r="O2623" s="56" t="s">
        <v>97</v>
      </c>
      <c r="P2623" s="59">
        <v>515548</v>
      </c>
      <c r="Q2623" s="56">
        <v>503322</v>
      </c>
      <c r="R2623" s="56" t="s">
        <v>5669</v>
      </c>
      <c r="S2623" s="56" t="s">
        <v>5195</v>
      </c>
      <c r="T2623" s="56">
        <v>13.3</v>
      </c>
      <c r="U2623" s="56" t="s">
        <v>63</v>
      </c>
      <c r="V2623" s="56" t="s">
        <v>295</v>
      </c>
      <c r="W2623" s="67" t="str">
        <f t="shared" si="196"/>
        <v>Customer</v>
      </c>
    </row>
    <row r="2624" spans="1:23" x14ac:dyDescent="0.3">
      <c r="A2624" s="56" t="s">
        <v>5670</v>
      </c>
      <c r="B2624" s="56" t="s">
        <v>5668</v>
      </c>
      <c r="C2624" s="56">
        <v>7333666796</v>
      </c>
      <c r="D2624" s="56" t="s">
        <v>59</v>
      </c>
      <c r="E2624" s="56" t="s">
        <v>648</v>
      </c>
      <c r="F2624" s="56" t="s">
        <v>5587</v>
      </c>
      <c r="G2624" s="56" t="s">
        <v>69</v>
      </c>
      <c r="H2624" s="57">
        <v>46204</v>
      </c>
      <c r="I2624" s="56" t="s">
        <v>5339</v>
      </c>
      <c r="J2624" s="56">
        <v>7</v>
      </c>
      <c r="K2624" s="56">
        <v>2026</v>
      </c>
      <c r="L2624" s="56">
        <v>3</v>
      </c>
      <c r="M2624" s="56">
        <v>2</v>
      </c>
      <c r="N2624" s="57">
        <v>46213</v>
      </c>
      <c r="O2624" s="56" t="s">
        <v>27</v>
      </c>
      <c r="P2624" s="59">
        <v>153231</v>
      </c>
      <c r="Q2624" s="56"/>
      <c r="R2624" s="56"/>
      <c r="S2624" s="56" t="s">
        <v>5195</v>
      </c>
      <c r="T2624" s="56">
        <v>6</v>
      </c>
      <c r="U2624" s="56" t="s">
        <v>29</v>
      </c>
      <c r="V2624" s="56" t="s">
        <v>5576</v>
      </c>
      <c r="W2624" s="67" t="str">
        <f t="shared" si="196"/>
        <v>-</v>
      </c>
    </row>
    <row r="2625" spans="1:23" x14ac:dyDescent="0.3">
      <c r="A2625" s="56" t="s">
        <v>5671</v>
      </c>
      <c r="B2625" s="56" t="s">
        <v>5672</v>
      </c>
      <c r="C2625" s="56">
        <v>7934182222</v>
      </c>
      <c r="D2625" s="56" t="s">
        <v>20</v>
      </c>
      <c r="E2625" s="56" t="s">
        <v>21</v>
      </c>
      <c r="F2625" s="56" t="s">
        <v>5587</v>
      </c>
      <c r="G2625" s="56" t="s">
        <v>3302</v>
      </c>
      <c r="H2625" s="57">
        <v>46204</v>
      </c>
      <c r="I2625" s="56" t="s">
        <v>5339</v>
      </c>
      <c r="J2625" s="56">
        <v>7</v>
      </c>
      <c r="K2625" s="56">
        <v>2026</v>
      </c>
      <c r="L2625" s="56">
        <v>3</v>
      </c>
      <c r="M2625" s="56">
        <v>4</v>
      </c>
      <c r="N2625" s="57">
        <v>46219</v>
      </c>
      <c r="O2625" s="56" t="s">
        <v>27</v>
      </c>
      <c r="P2625" s="59">
        <v>273323</v>
      </c>
      <c r="Q2625" s="56"/>
      <c r="R2625" s="56"/>
      <c r="S2625" s="56" t="s">
        <v>5819</v>
      </c>
      <c r="T2625" s="56">
        <v>22.8</v>
      </c>
      <c r="U2625" s="56" t="s">
        <v>29</v>
      </c>
      <c r="V2625" s="56" t="s">
        <v>5576</v>
      </c>
      <c r="W2625" s="67" t="str">
        <f t="shared" si="196"/>
        <v>-</v>
      </c>
    </row>
    <row r="2626" spans="1:23" x14ac:dyDescent="0.3">
      <c r="A2626" s="56" t="s">
        <v>5673</v>
      </c>
      <c r="B2626" s="56" t="s">
        <v>5061</v>
      </c>
      <c r="C2626" s="56">
        <v>7987642830</v>
      </c>
      <c r="D2626" s="56" t="s">
        <v>20</v>
      </c>
      <c r="E2626" s="56" t="s">
        <v>648</v>
      </c>
      <c r="F2626" s="56" t="s">
        <v>5587</v>
      </c>
      <c r="G2626" s="56" t="s">
        <v>52</v>
      </c>
      <c r="H2626" s="57">
        <v>46205</v>
      </c>
      <c r="I2626" s="56" t="s">
        <v>5339</v>
      </c>
      <c r="J2626" s="56">
        <v>7</v>
      </c>
      <c r="K2626" s="56">
        <v>2026</v>
      </c>
      <c r="L2626" s="56">
        <v>3</v>
      </c>
      <c r="M2626" s="56">
        <v>3</v>
      </c>
      <c r="N2626" s="57">
        <v>46223</v>
      </c>
      <c r="O2626" s="56" t="s">
        <v>27</v>
      </c>
      <c r="P2626" s="59">
        <v>80351</v>
      </c>
      <c r="Q2626" s="56"/>
      <c r="R2626" s="56"/>
      <c r="S2626" s="56" t="s">
        <v>5819</v>
      </c>
      <c r="T2626" s="56">
        <v>35.299999999999997</v>
      </c>
      <c r="U2626" s="56" t="s">
        <v>29</v>
      </c>
      <c r="V2626" s="56" t="s">
        <v>238</v>
      </c>
      <c r="W2626" s="67" t="str">
        <f t="shared" ref="W2626:W2689" si="197">IF($O2626&lt;&gt;"Converted","-",IF(ISNUMBER(SEARCH("Architect",$F2626)),"Architect","Customer"))</f>
        <v>-</v>
      </c>
    </row>
    <row r="2627" spans="1:23" x14ac:dyDescent="0.3">
      <c r="A2627" s="56" t="s">
        <v>5674</v>
      </c>
      <c r="B2627" s="56" t="s">
        <v>5675</v>
      </c>
      <c r="C2627" s="56">
        <v>7045285483</v>
      </c>
      <c r="D2627" s="56" t="s">
        <v>59</v>
      </c>
      <c r="E2627" s="56" t="s">
        <v>41</v>
      </c>
      <c r="F2627" s="56" t="s">
        <v>5587</v>
      </c>
      <c r="G2627" s="56" t="s">
        <v>52</v>
      </c>
      <c r="H2627" s="57">
        <v>46205</v>
      </c>
      <c r="I2627" s="56" t="s">
        <v>5339</v>
      </c>
      <c r="J2627" s="56">
        <v>7</v>
      </c>
      <c r="K2627" s="56">
        <v>2026</v>
      </c>
      <c r="L2627" s="56">
        <v>3</v>
      </c>
      <c r="M2627" s="56">
        <v>1</v>
      </c>
      <c r="N2627" s="57">
        <v>46206</v>
      </c>
      <c r="O2627" s="56" t="s">
        <v>27</v>
      </c>
      <c r="P2627" s="59">
        <v>333439</v>
      </c>
      <c r="Q2627" s="56"/>
      <c r="R2627" s="56"/>
      <c r="S2627" s="56" t="s">
        <v>5573</v>
      </c>
      <c r="T2627" s="56">
        <v>39.200000000000003</v>
      </c>
      <c r="U2627" s="56" t="s">
        <v>63</v>
      </c>
      <c r="V2627" s="56" t="s">
        <v>5583</v>
      </c>
      <c r="W2627" s="67" t="str">
        <f t="shared" si="197"/>
        <v>-</v>
      </c>
    </row>
    <row r="2628" spans="1:23" x14ac:dyDescent="0.3">
      <c r="A2628" s="56" t="s">
        <v>5676</v>
      </c>
      <c r="B2628" s="56" t="s">
        <v>5677</v>
      </c>
      <c r="C2628" s="56">
        <v>7744029682</v>
      </c>
      <c r="D2628" s="56" t="s">
        <v>20</v>
      </c>
      <c r="E2628" s="56" t="s">
        <v>109</v>
      </c>
      <c r="F2628" s="56" t="s">
        <v>5587</v>
      </c>
      <c r="G2628" s="56" t="s">
        <v>35</v>
      </c>
      <c r="H2628" s="57">
        <v>46206</v>
      </c>
      <c r="I2628" s="56" t="s">
        <v>5339</v>
      </c>
      <c r="J2628" s="56">
        <v>7</v>
      </c>
      <c r="K2628" s="56">
        <v>2026</v>
      </c>
      <c r="L2628" s="56">
        <v>3</v>
      </c>
      <c r="M2628" s="56">
        <v>1</v>
      </c>
      <c r="N2628" s="57">
        <v>46226</v>
      </c>
      <c r="O2628" s="56" t="s">
        <v>27</v>
      </c>
      <c r="P2628" s="59">
        <v>392235</v>
      </c>
      <c r="Q2628" s="56"/>
      <c r="R2628" s="56"/>
      <c r="S2628" s="56" t="s">
        <v>5573</v>
      </c>
      <c r="T2628" s="56">
        <v>14.9</v>
      </c>
      <c r="U2628" s="56" t="s">
        <v>63</v>
      </c>
      <c r="V2628" s="56" t="s">
        <v>238</v>
      </c>
      <c r="W2628" s="67" t="str">
        <f t="shared" si="197"/>
        <v>-</v>
      </c>
    </row>
    <row r="2629" spans="1:23" x14ac:dyDescent="0.3">
      <c r="A2629" s="56" t="s">
        <v>5678</v>
      </c>
      <c r="B2629" s="56" t="s">
        <v>5641</v>
      </c>
      <c r="C2629" s="56">
        <v>9059527037</v>
      </c>
      <c r="D2629" s="56" t="s">
        <v>20</v>
      </c>
      <c r="E2629" s="56" t="s">
        <v>41</v>
      </c>
      <c r="F2629" s="56" t="s">
        <v>5587</v>
      </c>
      <c r="G2629" s="56" t="s">
        <v>87</v>
      </c>
      <c r="H2629" s="57">
        <v>46206</v>
      </c>
      <c r="I2629" s="56" t="s">
        <v>5339</v>
      </c>
      <c r="J2629" s="56">
        <v>7</v>
      </c>
      <c r="K2629" s="56">
        <v>2026</v>
      </c>
      <c r="L2629" s="56">
        <v>3</v>
      </c>
      <c r="M2629" s="56">
        <v>2</v>
      </c>
      <c r="N2629" s="57">
        <v>46208</v>
      </c>
      <c r="O2629" s="56" t="s">
        <v>45</v>
      </c>
      <c r="P2629" s="59">
        <v>322792</v>
      </c>
      <c r="Q2629" s="56"/>
      <c r="R2629" s="56"/>
      <c r="S2629" s="56" t="s">
        <v>5195</v>
      </c>
      <c r="T2629" s="56">
        <v>15</v>
      </c>
      <c r="U2629" s="56" t="s">
        <v>29</v>
      </c>
      <c r="V2629" s="56" t="s">
        <v>5599</v>
      </c>
      <c r="W2629" s="67" t="str">
        <f t="shared" si="197"/>
        <v>-</v>
      </c>
    </row>
    <row r="2630" spans="1:23" x14ac:dyDescent="0.3">
      <c r="A2630" s="56" t="s">
        <v>5679</v>
      </c>
      <c r="B2630" s="56" t="s">
        <v>5680</v>
      </c>
      <c r="C2630" s="56">
        <v>7702635829</v>
      </c>
      <c r="D2630" s="56" t="s">
        <v>20</v>
      </c>
      <c r="E2630" s="56" t="s">
        <v>648</v>
      </c>
      <c r="F2630" s="56" t="s">
        <v>5587</v>
      </c>
      <c r="G2630" s="56" t="s">
        <v>3302</v>
      </c>
      <c r="H2630" s="57">
        <v>46207</v>
      </c>
      <c r="I2630" s="56" t="s">
        <v>5339</v>
      </c>
      <c r="J2630" s="56">
        <v>7</v>
      </c>
      <c r="K2630" s="56">
        <v>2026</v>
      </c>
      <c r="L2630" s="56">
        <v>3</v>
      </c>
      <c r="M2630" s="56">
        <v>8</v>
      </c>
      <c r="N2630" s="57">
        <v>46217</v>
      </c>
      <c r="O2630" s="56" t="s">
        <v>97</v>
      </c>
      <c r="P2630" s="59">
        <v>440752</v>
      </c>
      <c r="Q2630" s="56">
        <v>403472</v>
      </c>
      <c r="R2630" s="56" t="s">
        <v>5681</v>
      </c>
      <c r="S2630" s="56" t="s">
        <v>5573</v>
      </c>
      <c r="T2630" s="56">
        <v>1.2</v>
      </c>
      <c r="U2630" s="56" t="s">
        <v>29</v>
      </c>
      <c r="V2630" s="56" t="s">
        <v>341</v>
      </c>
      <c r="W2630" s="67" t="str">
        <f t="shared" si="197"/>
        <v>Customer</v>
      </c>
    </row>
    <row r="2631" spans="1:23" x14ac:dyDescent="0.3">
      <c r="A2631" s="56" t="s">
        <v>5682</v>
      </c>
      <c r="B2631" s="56" t="s">
        <v>5683</v>
      </c>
      <c r="C2631" s="56">
        <v>8257964145</v>
      </c>
      <c r="D2631" s="56" t="s">
        <v>20</v>
      </c>
      <c r="E2631" s="56" t="s">
        <v>1632</v>
      </c>
      <c r="F2631" s="56" t="s">
        <v>5587</v>
      </c>
      <c r="G2631" s="56" t="s">
        <v>87</v>
      </c>
      <c r="H2631" s="57">
        <v>46207</v>
      </c>
      <c r="I2631" s="56" t="s">
        <v>5339</v>
      </c>
      <c r="J2631" s="56">
        <v>7</v>
      </c>
      <c r="K2631" s="56">
        <v>2026</v>
      </c>
      <c r="L2631" s="56">
        <v>3</v>
      </c>
      <c r="M2631" s="56">
        <v>1</v>
      </c>
      <c r="N2631" s="57">
        <v>46225</v>
      </c>
      <c r="O2631" s="56" t="s">
        <v>97</v>
      </c>
      <c r="P2631" s="59">
        <v>524214</v>
      </c>
      <c r="Q2631" s="56">
        <v>457972</v>
      </c>
      <c r="R2631" s="56" t="s">
        <v>5684</v>
      </c>
      <c r="S2631" s="56" t="s">
        <v>5819</v>
      </c>
      <c r="T2631" s="56">
        <v>2</v>
      </c>
      <c r="U2631" s="56" t="s">
        <v>47</v>
      </c>
      <c r="V2631" s="56" t="s">
        <v>286</v>
      </c>
      <c r="W2631" s="67" t="str">
        <f t="shared" si="197"/>
        <v>Customer</v>
      </c>
    </row>
    <row r="2632" spans="1:23" x14ac:dyDescent="0.3">
      <c r="A2632" s="56" t="s">
        <v>5685</v>
      </c>
      <c r="B2632" s="56" t="s">
        <v>5686</v>
      </c>
      <c r="C2632" s="56">
        <v>9336935115</v>
      </c>
      <c r="D2632" s="56" t="s">
        <v>20</v>
      </c>
      <c r="E2632" s="56" t="s">
        <v>41</v>
      </c>
      <c r="F2632" s="56" t="s">
        <v>5587</v>
      </c>
      <c r="G2632" s="56" t="s">
        <v>616</v>
      </c>
      <c r="H2632" s="57">
        <v>46209</v>
      </c>
      <c r="I2632" s="56" t="s">
        <v>5339</v>
      </c>
      <c r="J2632" s="56">
        <v>7</v>
      </c>
      <c r="K2632" s="56">
        <v>2026</v>
      </c>
      <c r="L2632" s="56">
        <v>3</v>
      </c>
      <c r="M2632" s="56">
        <v>4</v>
      </c>
      <c r="N2632" s="57">
        <v>46213</v>
      </c>
      <c r="O2632" s="56" t="s">
        <v>97</v>
      </c>
      <c r="P2632" s="59">
        <v>221152</v>
      </c>
      <c r="Q2632" s="56">
        <v>210571</v>
      </c>
      <c r="R2632" s="56" t="s">
        <v>5687</v>
      </c>
      <c r="S2632" s="56" t="s">
        <v>5573</v>
      </c>
      <c r="T2632" s="56">
        <v>44.2</v>
      </c>
      <c r="U2632" s="56" t="s">
        <v>47</v>
      </c>
      <c r="V2632" s="56" t="s">
        <v>341</v>
      </c>
      <c r="W2632" s="67" t="str">
        <f t="shared" si="197"/>
        <v>Customer</v>
      </c>
    </row>
    <row r="2633" spans="1:23" x14ac:dyDescent="0.3">
      <c r="A2633" s="56" t="s">
        <v>5688</v>
      </c>
      <c r="B2633" s="56" t="s">
        <v>5689</v>
      </c>
      <c r="C2633" s="56">
        <v>9548751822</v>
      </c>
      <c r="D2633" s="56" t="s">
        <v>59</v>
      </c>
      <c r="E2633" s="56" t="s">
        <v>1632</v>
      </c>
      <c r="F2633" s="56" t="s">
        <v>5587</v>
      </c>
      <c r="G2633" s="56" t="s">
        <v>69</v>
      </c>
      <c r="H2633" s="57">
        <v>46209</v>
      </c>
      <c r="I2633" s="56" t="s">
        <v>5339</v>
      </c>
      <c r="J2633" s="56">
        <v>7</v>
      </c>
      <c r="K2633" s="56">
        <v>2026</v>
      </c>
      <c r="L2633" s="56">
        <v>3</v>
      </c>
      <c r="M2633" s="56">
        <v>4</v>
      </c>
      <c r="N2633" s="57">
        <v>46223</v>
      </c>
      <c r="O2633" s="56" t="s">
        <v>55</v>
      </c>
      <c r="P2633" s="59">
        <v>381104</v>
      </c>
      <c r="Q2633" s="56"/>
      <c r="R2633" s="56"/>
      <c r="S2633" s="56" t="s">
        <v>5573</v>
      </c>
      <c r="T2633" s="56">
        <v>6.5</v>
      </c>
      <c r="U2633" s="56" t="s">
        <v>63</v>
      </c>
      <c r="V2633" s="56" t="s">
        <v>247</v>
      </c>
      <c r="W2633" s="67" t="str">
        <f t="shared" si="197"/>
        <v>-</v>
      </c>
    </row>
    <row r="2634" spans="1:23" x14ac:dyDescent="0.3">
      <c r="A2634" s="56" t="s">
        <v>5690</v>
      </c>
      <c r="B2634" s="56" t="s">
        <v>5691</v>
      </c>
      <c r="C2634" s="56">
        <v>9354122099</v>
      </c>
      <c r="D2634" s="56" t="s">
        <v>20</v>
      </c>
      <c r="E2634" s="56" t="s">
        <v>1632</v>
      </c>
      <c r="F2634" s="56" t="s">
        <v>5587</v>
      </c>
      <c r="G2634" s="56" t="s">
        <v>35</v>
      </c>
      <c r="H2634" s="57">
        <v>46210</v>
      </c>
      <c r="I2634" s="56" t="s">
        <v>5339</v>
      </c>
      <c r="J2634" s="56">
        <v>7</v>
      </c>
      <c r="K2634" s="56">
        <v>2026</v>
      </c>
      <c r="L2634" s="56">
        <v>3</v>
      </c>
      <c r="M2634" s="56">
        <v>6</v>
      </c>
      <c r="N2634" s="57">
        <v>46227</v>
      </c>
      <c r="O2634" s="56" t="s">
        <v>45</v>
      </c>
      <c r="P2634" s="59">
        <v>535304</v>
      </c>
      <c r="Q2634" s="56"/>
      <c r="R2634" s="56"/>
      <c r="S2634" s="56" t="s">
        <v>5195</v>
      </c>
      <c r="T2634" s="56">
        <v>6.2</v>
      </c>
      <c r="U2634" s="56" t="s">
        <v>47</v>
      </c>
      <c r="V2634" s="56" t="s">
        <v>5584</v>
      </c>
      <c r="W2634" s="67" t="str">
        <f t="shared" si="197"/>
        <v>-</v>
      </c>
    </row>
    <row r="2635" spans="1:23" x14ac:dyDescent="0.3">
      <c r="A2635" s="56" t="s">
        <v>5692</v>
      </c>
      <c r="B2635" s="56" t="s">
        <v>1103</v>
      </c>
      <c r="C2635" s="56">
        <v>7981280786</v>
      </c>
      <c r="D2635" s="56" t="s">
        <v>20</v>
      </c>
      <c r="E2635" s="56" t="s">
        <v>1632</v>
      </c>
      <c r="F2635" s="56" t="s">
        <v>5587</v>
      </c>
      <c r="G2635" s="56" t="s">
        <v>69</v>
      </c>
      <c r="H2635" s="57">
        <v>46210</v>
      </c>
      <c r="I2635" s="56" t="s">
        <v>5339</v>
      </c>
      <c r="J2635" s="56">
        <v>7</v>
      </c>
      <c r="K2635" s="56">
        <v>2026</v>
      </c>
      <c r="L2635" s="56">
        <v>3</v>
      </c>
      <c r="M2635" s="56">
        <v>3</v>
      </c>
      <c r="N2635" s="57">
        <v>46227</v>
      </c>
      <c r="O2635" s="56" t="s">
        <v>27</v>
      </c>
      <c r="P2635" s="59">
        <v>452297</v>
      </c>
      <c r="Q2635" s="56"/>
      <c r="R2635" s="56"/>
      <c r="S2635" s="56" t="s">
        <v>5573</v>
      </c>
      <c r="T2635" s="56">
        <v>6.1</v>
      </c>
      <c r="U2635" s="56" t="s">
        <v>63</v>
      </c>
      <c r="V2635" s="56" t="s">
        <v>5583</v>
      </c>
      <c r="W2635" s="67" t="str">
        <f t="shared" si="197"/>
        <v>-</v>
      </c>
    </row>
    <row r="2636" spans="1:23" x14ac:dyDescent="0.3">
      <c r="A2636" s="56" t="s">
        <v>5693</v>
      </c>
      <c r="B2636" s="56" t="s">
        <v>5694</v>
      </c>
      <c r="C2636" s="56">
        <v>9300395218</v>
      </c>
      <c r="D2636" s="56" t="s">
        <v>5577</v>
      </c>
      <c r="E2636" s="56" t="s">
        <v>1632</v>
      </c>
      <c r="F2636" s="56" t="s">
        <v>5587</v>
      </c>
      <c r="G2636" s="56" t="s">
        <v>35</v>
      </c>
      <c r="H2636" s="57">
        <v>46210</v>
      </c>
      <c r="I2636" s="56" t="s">
        <v>5339</v>
      </c>
      <c r="J2636" s="56">
        <v>7</v>
      </c>
      <c r="K2636" s="56">
        <v>2026</v>
      </c>
      <c r="L2636" s="56">
        <v>3</v>
      </c>
      <c r="M2636" s="56">
        <v>0</v>
      </c>
      <c r="N2636" s="57">
        <v>46225</v>
      </c>
      <c r="O2636" s="56" t="s">
        <v>27</v>
      </c>
      <c r="P2636" s="59">
        <v>600740</v>
      </c>
      <c r="Q2636" s="56"/>
      <c r="R2636" s="56"/>
      <c r="S2636" s="56" t="s">
        <v>5573</v>
      </c>
      <c r="T2636" s="56">
        <v>29.1</v>
      </c>
      <c r="U2636" s="56" t="s">
        <v>47</v>
      </c>
      <c r="V2636" s="56" t="s">
        <v>5583</v>
      </c>
      <c r="W2636" s="67" t="str">
        <f t="shared" si="197"/>
        <v>-</v>
      </c>
    </row>
    <row r="2637" spans="1:23" x14ac:dyDescent="0.3">
      <c r="A2637" s="56" t="s">
        <v>5695</v>
      </c>
      <c r="B2637" s="56" t="s">
        <v>5696</v>
      </c>
      <c r="C2637" s="56">
        <v>7668567963</v>
      </c>
      <c r="D2637" s="56" t="s">
        <v>5577</v>
      </c>
      <c r="E2637" s="56" t="s">
        <v>41</v>
      </c>
      <c r="F2637" s="56" t="s">
        <v>5587</v>
      </c>
      <c r="G2637" s="56" t="s">
        <v>60</v>
      </c>
      <c r="H2637" s="57">
        <v>46211</v>
      </c>
      <c r="I2637" s="56" t="s">
        <v>5339</v>
      </c>
      <c r="J2637" s="56">
        <v>7</v>
      </c>
      <c r="K2637" s="56">
        <v>2026</v>
      </c>
      <c r="L2637" s="56">
        <v>3</v>
      </c>
      <c r="M2637" s="56">
        <v>8</v>
      </c>
      <c r="N2637" s="57">
        <v>46226</v>
      </c>
      <c r="O2637" s="56" t="s">
        <v>27</v>
      </c>
      <c r="P2637" s="59">
        <v>114205</v>
      </c>
      <c r="Q2637" s="56"/>
      <c r="R2637" s="56"/>
      <c r="S2637" s="56" t="s">
        <v>5819</v>
      </c>
      <c r="T2637" s="56">
        <v>37.6</v>
      </c>
      <c r="U2637" s="56" t="s">
        <v>63</v>
      </c>
      <c r="V2637" s="56" t="s">
        <v>153</v>
      </c>
      <c r="W2637" s="67" t="str">
        <f t="shared" si="197"/>
        <v>-</v>
      </c>
    </row>
    <row r="2638" spans="1:23" x14ac:dyDescent="0.3">
      <c r="A2638" s="56" t="s">
        <v>5697</v>
      </c>
      <c r="B2638" s="56" t="s">
        <v>5689</v>
      </c>
      <c r="C2638" s="56">
        <v>9140012640</v>
      </c>
      <c r="D2638" s="56" t="s">
        <v>20</v>
      </c>
      <c r="E2638" s="56" t="s">
        <v>1632</v>
      </c>
      <c r="F2638" s="56" t="s">
        <v>5587</v>
      </c>
      <c r="G2638" s="56" t="s">
        <v>87</v>
      </c>
      <c r="H2638" s="57">
        <v>46212</v>
      </c>
      <c r="I2638" s="56" t="s">
        <v>5339</v>
      </c>
      <c r="J2638" s="56">
        <v>7</v>
      </c>
      <c r="K2638" s="56">
        <v>2026</v>
      </c>
      <c r="L2638" s="56">
        <v>3</v>
      </c>
      <c r="M2638" s="56">
        <v>2</v>
      </c>
      <c r="N2638" s="57">
        <v>46214</v>
      </c>
      <c r="O2638" s="56" t="s">
        <v>45</v>
      </c>
      <c r="P2638" s="59">
        <v>642320</v>
      </c>
      <c r="Q2638" s="56"/>
      <c r="R2638" s="56"/>
      <c r="S2638" s="56" t="s">
        <v>5819</v>
      </c>
      <c r="T2638" s="56">
        <v>26.1</v>
      </c>
      <c r="U2638" s="56" t="s">
        <v>47</v>
      </c>
      <c r="V2638" s="56" t="s">
        <v>5631</v>
      </c>
      <c r="W2638" s="67" t="str">
        <f t="shared" si="197"/>
        <v>-</v>
      </c>
    </row>
    <row r="2639" spans="1:23" x14ac:dyDescent="0.3">
      <c r="A2639" s="56" t="s">
        <v>5698</v>
      </c>
      <c r="B2639" s="56" t="s">
        <v>5061</v>
      </c>
      <c r="C2639" s="56">
        <v>8091184703</v>
      </c>
      <c r="D2639" s="56" t="s">
        <v>20</v>
      </c>
      <c r="E2639" s="56" t="s">
        <v>1632</v>
      </c>
      <c r="F2639" s="56" t="s">
        <v>5587</v>
      </c>
      <c r="G2639" s="56" t="s">
        <v>616</v>
      </c>
      <c r="H2639" s="57">
        <v>46212</v>
      </c>
      <c r="I2639" s="56" t="s">
        <v>5339</v>
      </c>
      <c r="J2639" s="56">
        <v>7</v>
      </c>
      <c r="K2639" s="56">
        <v>2026</v>
      </c>
      <c r="L2639" s="56">
        <v>3</v>
      </c>
      <c r="M2639" s="56">
        <v>4</v>
      </c>
      <c r="N2639" s="57">
        <v>46232</v>
      </c>
      <c r="O2639" s="56" t="s">
        <v>45</v>
      </c>
      <c r="P2639" s="59">
        <v>260259</v>
      </c>
      <c r="Q2639" s="56"/>
      <c r="R2639" s="56"/>
      <c r="S2639" s="56" t="s">
        <v>5819</v>
      </c>
      <c r="T2639" s="56">
        <v>21.8</v>
      </c>
      <c r="U2639" s="56" t="s">
        <v>29</v>
      </c>
      <c r="V2639" s="56" t="s">
        <v>5584</v>
      </c>
      <c r="W2639" s="67" t="str">
        <f t="shared" si="197"/>
        <v>-</v>
      </c>
    </row>
    <row r="2640" spans="1:23" x14ac:dyDescent="0.3">
      <c r="A2640" s="56" t="s">
        <v>5699</v>
      </c>
      <c r="B2640" s="56" t="s">
        <v>5700</v>
      </c>
      <c r="C2640" s="56">
        <v>7684709696</v>
      </c>
      <c r="D2640" s="56" t="s">
        <v>20</v>
      </c>
      <c r="E2640" s="56" t="s">
        <v>1632</v>
      </c>
      <c r="F2640" s="56" t="s">
        <v>5587</v>
      </c>
      <c r="G2640" s="56" t="s">
        <v>69</v>
      </c>
      <c r="H2640" s="57">
        <v>46213</v>
      </c>
      <c r="I2640" s="56" t="s">
        <v>5339</v>
      </c>
      <c r="J2640" s="56">
        <v>7</v>
      </c>
      <c r="K2640" s="56">
        <v>2026</v>
      </c>
      <c r="L2640" s="56">
        <v>3</v>
      </c>
      <c r="M2640" s="56">
        <v>5</v>
      </c>
      <c r="N2640" s="57">
        <v>46226</v>
      </c>
      <c r="O2640" s="56" t="s">
        <v>45</v>
      </c>
      <c r="P2640" s="59">
        <v>472732</v>
      </c>
      <c r="Q2640" s="56"/>
      <c r="R2640" s="56"/>
      <c r="S2640" s="56" t="s">
        <v>5819</v>
      </c>
      <c r="T2640" s="56">
        <v>18.3</v>
      </c>
      <c r="U2640" s="56" t="s">
        <v>47</v>
      </c>
      <c r="V2640" s="56" t="s">
        <v>5578</v>
      </c>
      <c r="W2640" s="67" t="str">
        <f t="shared" si="197"/>
        <v>-</v>
      </c>
    </row>
    <row r="2641" spans="1:23" x14ac:dyDescent="0.3">
      <c r="A2641" s="56" t="s">
        <v>5701</v>
      </c>
      <c r="B2641" s="56" t="s">
        <v>5702</v>
      </c>
      <c r="C2641" s="56">
        <v>9705138177</v>
      </c>
      <c r="D2641" s="56" t="s">
        <v>59</v>
      </c>
      <c r="E2641" s="56" t="s">
        <v>648</v>
      </c>
      <c r="F2641" s="56" t="s">
        <v>5587</v>
      </c>
      <c r="G2641" s="56" t="s">
        <v>87</v>
      </c>
      <c r="H2641" s="57">
        <v>46214</v>
      </c>
      <c r="I2641" s="56" t="s">
        <v>5339</v>
      </c>
      <c r="J2641" s="56">
        <v>7</v>
      </c>
      <c r="K2641" s="56">
        <v>2026</v>
      </c>
      <c r="L2641" s="56">
        <v>3</v>
      </c>
      <c r="M2641" s="56">
        <v>9</v>
      </c>
      <c r="N2641" s="57">
        <v>46219</v>
      </c>
      <c r="O2641" s="56" t="s">
        <v>27</v>
      </c>
      <c r="P2641" s="59">
        <v>498320</v>
      </c>
      <c r="Q2641" s="56"/>
      <c r="R2641" s="56"/>
      <c r="S2641" s="56" t="s">
        <v>5195</v>
      </c>
      <c r="T2641" s="56">
        <v>28</v>
      </c>
      <c r="U2641" s="56" t="s">
        <v>29</v>
      </c>
      <c r="V2641" s="56" t="s">
        <v>238</v>
      </c>
      <c r="W2641" s="67" t="str">
        <f t="shared" si="197"/>
        <v>-</v>
      </c>
    </row>
    <row r="2642" spans="1:23" x14ac:dyDescent="0.3">
      <c r="A2642" s="56" t="s">
        <v>5703</v>
      </c>
      <c r="B2642" s="56" t="s">
        <v>5704</v>
      </c>
      <c r="C2642" s="56">
        <v>7505583390</v>
      </c>
      <c r="D2642" s="56" t="s">
        <v>20</v>
      </c>
      <c r="E2642" s="56" t="s">
        <v>41</v>
      </c>
      <c r="F2642" s="56" t="s">
        <v>5587</v>
      </c>
      <c r="G2642" s="56" t="s">
        <v>87</v>
      </c>
      <c r="H2642" s="57">
        <v>46214</v>
      </c>
      <c r="I2642" s="56" t="s">
        <v>5339</v>
      </c>
      <c r="J2642" s="56">
        <v>7</v>
      </c>
      <c r="K2642" s="56">
        <v>2026</v>
      </c>
      <c r="L2642" s="56">
        <v>3</v>
      </c>
      <c r="M2642" s="56">
        <v>6</v>
      </c>
      <c r="N2642" s="57">
        <v>46232</v>
      </c>
      <c r="O2642" s="56" t="s">
        <v>97</v>
      </c>
      <c r="P2642" s="59">
        <v>147506</v>
      </c>
      <c r="Q2642" s="56">
        <v>146937</v>
      </c>
      <c r="R2642" s="56" t="s">
        <v>5705</v>
      </c>
      <c r="S2642" s="56" t="s">
        <v>5819</v>
      </c>
      <c r="T2642" s="56">
        <v>15.1</v>
      </c>
      <c r="U2642" s="56" t="s">
        <v>63</v>
      </c>
      <c r="V2642" s="56" t="s">
        <v>295</v>
      </c>
      <c r="W2642" s="67" t="str">
        <f t="shared" si="197"/>
        <v>Customer</v>
      </c>
    </row>
    <row r="2643" spans="1:23" x14ac:dyDescent="0.3">
      <c r="A2643" s="56" t="s">
        <v>5706</v>
      </c>
      <c r="B2643" s="56" t="s">
        <v>5707</v>
      </c>
      <c r="C2643" s="56">
        <v>7988178979</v>
      </c>
      <c r="D2643" s="56" t="s">
        <v>59</v>
      </c>
      <c r="E2643" s="56" t="s">
        <v>1632</v>
      </c>
      <c r="F2643" s="56" t="s">
        <v>5587</v>
      </c>
      <c r="G2643" s="56" t="s">
        <v>23</v>
      </c>
      <c r="H2643" s="57">
        <v>46216</v>
      </c>
      <c r="I2643" s="56" t="s">
        <v>5339</v>
      </c>
      <c r="J2643" s="56">
        <v>7</v>
      </c>
      <c r="K2643" s="56">
        <v>2026</v>
      </c>
      <c r="L2643" s="56">
        <v>3</v>
      </c>
      <c r="M2643" s="56">
        <v>1</v>
      </c>
      <c r="N2643" s="57">
        <v>46232</v>
      </c>
      <c r="O2643" s="56" t="s">
        <v>27</v>
      </c>
      <c r="P2643" s="59">
        <v>538969</v>
      </c>
      <c r="Q2643" s="56"/>
      <c r="R2643" s="56"/>
      <c r="S2643" s="56" t="s">
        <v>5819</v>
      </c>
      <c r="T2643" s="56">
        <v>10.1</v>
      </c>
      <c r="U2643" s="56" t="s">
        <v>47</v>
      </c>
      <c r="V2643" s="56" t="s">
        <v>5580</v>
      </c>
      <c r="W2643" s="67" t="str">
        <f t="shared" si="197"/>
        <v>-</v>
      </c>
    </row>
    <row r="2644" spans="1:23" x14ac:dyDescent="0.3">
      <c r="A2644" s="56" t="s">
        <v>5708</v>
      </c>
      <c r="B2644" s="56" t="s">
        <v>5709</v>
      </c>
      <c r="C2644" s="56">
        <v>9561750329</v>
      </c>
      <c r="D2644" s="56" t="s">
        <v>5577</v>
      </c>
      <c r="E2644" s="56" t="s">
        <v>41</v>
      </c>
      <c r="F2644" s="56" t="s">
        <v>5587</v>
      </c>
      <c r="G2644" s="56" t="s">
        <v>69</v>
      </c>
      <c r="H2644" s="57">
        <v>46217</v>
      </c>
      <c r="I2644" s="56" t="s">
        <v>5339</v>
      </c>
      <c r="J2644" s="56">
        <v>7</v>
      </c>
      <c r="K2644" s="56">
        <v>2026</v>
      </c>
      <c r="L2644" s="56">
        <v>3</v>
      </c>
      <c r="M2644" s="56">
        <v>2</v>
      </c>
      <c r="N2644" s="57">
        <v>46237</v>
      </c>
      <c r="O2644" s="56" t="s">
        <v>62</v>
      </c>
      <c r="P2644" s="59">
        <v>222407</v>
      </c>
      <c r="Q2644" s="56"/>
      <c r="R2644" s="56"/>
      <c r="S2644" s="56" t="s">
        <v>5573</v>
      </c>
      <c r="T2644" s="56">
        <v>21.9</v>
      </c>
      <c r="U2644" s="56" t="s">
        <v>47</v>
      </c>
      <c r="V2644" s="56" t="s">
        <v>5588</v>
      </c>
      <c r="W2644" s="67" t="str">
        <f t="shared" si="197"/>
        <v>-</v>
      </c>
    </row>
    <row r="2645" spans="1:23" x14ac:dyDescent="0.3">
      <c r="A2645" s="56" t="s">
        <v>5710</v>
      </c>
      <c r="B2645" s="56" t="s">
        <v>965</v>
      </c>
      <c r="C2645" s="56">
        <v>9949052824</v>
      </c>
      <c r="D2645" s="56" t="s">
        <v>20</v>
      </c>
      <c r="E2645" s="56" t="s">
        <v>648</v>
      </c>
      <c r="F2645" s="56" t="s">
        <v>5587</v>
      </c>
      <c r="G2645" s="56" t="s">
        <v>69</v>
      </c>
      <c r="H2645" s="57">
        <v>46217</v>
      </c>
      <c r="I2645" s="56" t="s">
        <v>5339</v>
      </c>
      <c r="J2645" s="56">
        <v>7</v>
      </c>
      <c r="K2645" s="56">
        <v>2026</v>
      </c>
      <c r="L2645" s="56">
        <v>3</v>
      </c>
      <c r="M2645" s="56">
        <v>8</v>
      </c>
      <c r="N2645" s="57">
        <v>46232</v>
      </c>
      <c r="O2645" s="56" t="s">
        <v>97</v>
      </c>
      <c r="P2645" s="59">
        <v>587400</v>
      </c>
      <c r="Q2645" s="56">
        <v>580377</v>
      </c>
      <c r="R2645" s="56" t="s">
        <v>5711</v>
      </c>
      <c r="S2645" s="56" t="s">
        <v>5195</v>
      </c>
      <c r="T2645" s="56">
        <v>21.1</v>
      </c>
      <c r="U2645" s="56" t="s">
        <v>63</v>
      </c>
      <c r="V2645" s="56" t="s">
        <v>465</v>
      </c>
      <c r="W2645" s="67" t="str">
        <f t="shared" si="197"/>
        <v>Customer</v>
      </c>
    </row>
    <row r="2646" spans="1:23" x14ac:dyDescent="0.3">
      <c r="A2646" s="56" t="s">
        <v>5712</v>
      </c>
      <c r="B2646" s="56" t="s">
        <v>5713</v>
      </c>
      <c r="C2646" s="56">
        <v>9103791959</v>
      </c>
      <c r="D2646" s="56" t="s">
        <v>59</v>
      </c>
      <c r="E2646" s="56" t="s">
        <v>41</v>
      </c>
      <c r="F2646" s="56" t="s">
        <v>5587</v>
      </c>
      <c r="G2646" s="56" t="s">
        <v>87</v>
      </c>
      <c r="H2646" s="57">
        <v>46217</v>
      </c>
      <c r="I2646" s="56" t="s">
        <v>5339</v>
      </c>
      <c r="J2646" s="56">
        <v>7</v>
      </c>
      <c r="K2646" s="56">
        <v>2026</v>
      </c>
      <c r="L2646" s="56">
        <v>3</v>
      </c>
      <c r="M2646" s="56">
        <v>0</v>
      </c>
      <c r="N2646" s="57">
        <v>46224</v>
      </c>
      <c r="O2646" s="56" t="s">
        <v>27</v>
      </c>
      <c r="P2646" s="59">
        <v>654410</v>
      </c>
      <c r="Q2646" s="56"/>
      <c r="R2646" s="56"/>
      <c r="S2646" s="56" t="s">
        <v>5573</v>
      </c>
      <c r="T2646" s="56">
        <v>39.6</v>
      </c>
      <c r="U2646" s="56" t="s">
        <v>63</v>
      </c>
      <c r="V2646" s="56" t="s">
        <v>38</v>
      </c>
      <c r="W2646" s="67" t="str">
        <f t="shared" si="197"/>
        <v>-</v>
      </c>
    </row>
    <row r="2647" spans="1:23" x14ac:dyDescent="0.3">
      <c r="A2647" s="56" t="s">
        <v>5714</v>
      </c>
      <c r="B2647" s="56" t="s">
        <v>605</v>
      </c>
      <c r="C2647" s="56">
        <v>7810911784</v>
      </c>
      <c r="D2647" s="56" t="s">
        <v>59</v>
      </c>
      <c r="E2647" s="56" t="s">
        <v>1632</v>
      </c>
      <c r="F2647" s="56" t="s">
        <v>5587</v>
      </c>
      <c r="G2647" s="56" t="s">
        <v>69</v>
      </c>
      <c r="H2647" s="57">
        <v>46218</v>
      </c>
      <c r="I2647" s="56" t="s">
        <v>5339</v>
      </c>
      <c r="J2647" s="56">
        <v>7</v>
      </c>
      <c r="K2647" s="56">
        <v>2026</v>
      </c>
      <c r="L2647" s="56">
        <v>3</v>
      </c>
      <c r="M2647" s="56">
        <v>0</v>
      </c>
      <c r="N2647" s="57">
        <v>46230</v>
      </c>
      <c r="O2647" s="56" t="s">
        <v>97</v>
      </c>
      <c r="P2647" s="59">
        <v>290461</v>
      </c>
      <c r="Q2647" s="56">
        <v>256465</v>
      </c>
      <c r="R2647" s="56" t="s">
        <v>5711</v>
      </c>
      <c r="S2647" s="56" t="s">
        <v>5195</v>
      </c>
      <c r="T2647" s="56">
        <v>43.9</v>
      </c>
      <c r="U2647" s="56" t="s">
        <v>63</v>
      </c>
      <c r="V2647" s="56" t="s">
        <v>465</v>
      </c>
      <c r="W2647" s="67" t="str">
        <f t="shared" si="197"/>
        <v>Customer</v>
      </c>
    </row>
    <row r="2648" spans="1:23" x14ac:dyDescent="0.3">
      <c r="A2648" s="56" t="s">
        <v>5715</v>
      </c>
      <c r="B2648" s="56" t="s">
        <v>5716</v>
      </c>
      <c r="C2648" s="56">
        <v>7789859011</v>
      </c>
      <c r="D2648" s="56" t="s">
        <v>20</v>
      </c>
      <c r="E2648" s="56" t="s">
        <v>41</v>
      </c>
      <c r="F2648" s="56" t="s">
        <v>5587</v>
      </c>
      <c r="G2648" s="56" t="s">
        <v>87</v>
      </c>
      <c r="H2648" s="57">
        <v>46219</v>
      </c>
      <c r="I2648" s="56" t="s">
        <v>5339</v>
      </c>
      <c r="J2648" s="56">
        <v>7</v>
      </c>
      <c r="K2648" s="56">
        <v>2026</v>
      </c>
      <c r="L2648" s="56">
        <v>3</v>
      </c>
      <c r="M2648" s="56">
        <v>5</v>
      </c>
      <c r="N2648" s="57">
        <v>46230</v>
      </c>
      <c r="O2648" s="56" t="s">
        <v>97</v>
      </c>
      <c r="P2648" s="59">
        <v>553811</v>
      </c>
      <c r="Q2648" s="56">
        <v>519064</v>
      </c>
      <c r="R2648" s="56" t="s">
        <v>5717</v>
      </c>
      <c r="S2648" s="56" t="s">
        <v>5573</v>
      </c>
      <c r="T2648" s="56">
        <v>13.5</v>
      </c>
      <c r="U2648" s="56" t="s">
        <v>29</v>
      </c>
      <c r="V2648" s="56" t="s">
        <v>465</v>
      </c>
      <c r="W2648" s="67" t="str">
        <f t="shared" si="197"/>
        <v>Customer</v>
      </c>
    </row>
    <row r="2649" spans="1:23" x14ac:dyDescent="0.3">
      <c r="A2649" s="56" t="s">
        <v>5718</v>
      </c>
      <c r="B2649" s="56" t="s">
        <v>5719</v>
      </c>
      <c r="C2649" s="56">
        <v>8583957845</v>
      </c>
      <c r="D2649" s="56" t="s">
        <v>59</v>
      </c>
      <c r="E2649" s="56" t="s">
        <v>109</v>
      </c>
      <c r="F2649" s="56" t="s">
        <v>5587</v>
      </c>
      <c r="G2649" s="56" t="s">
        <v>643</v>
      </c>
      <c r="H2649" s="57">
        <v>46220</v>
      </c>
      <c r="I2649" s="56" t="s">
        <v>5339</v>
      </c>
      <c r="J2649" s="56">
        <v>7</v>
      </c>
      <c r="K2649" s="56">
        <v>2026</v>
      </c>
      <c r="L2649" s="56">
        <v>3</v>
      </c>
      <c r="M2649" s="56">
        <v>5</v>
      </c>
      <c r="N2649" s="57">
        <v>46230</v>
      </c>
      <c r="O2649" s="56" t="s">
        <v>27</v>
      </c>
      <c r="P2649" s="59">
        <v>95273</v>
      </c>
      <c r="Q2649" s="56"/>
      <c r="R2649" s="56"/>
      <c r="S2649" s="56" t="s">
        <v>5195</v>
      </c>
      <c r="T2649" s="56">
        <v>21.9</v>
      </c>
      <c r="U2649" s="56" t="s">
        <v>47</v>
      </c>
      <c r="V2649" s="56" t="s">
        <v>5579</v>
      </c>
      <c r="W2649" s="67" t="str">
        <f t="shared" si="197"/>
        <v>-</v>
      </c>
    </row>
    <row r="2650" spans="1:23" x14ac:dyDescent="0.3">
      <c r="A2650" s="56" t="s">
        <v>5720</v>
      </c>
      <c r="B2650" s="56" t="s">
        <v>5713</v>
      </c>
      <c r="C2650" s="56">
        <v>7464234551</v>
      </c>
      <c r="D2650" s="56" t="s">
        <v>5577</v>
      </c>
      <c r="E2650" s="56" t="s">
        <v>1632</v>
      </c>
      <c r="F2650" s="56" t="s">
        <v>5587</v>
      </c>
      <c r="G2650" s="56" t="s">
        <v>616</v>
      </c>
      <c r="H2650" s="57">
        <v>46220</v>
      </c>
      <c r="I2650" s="56" t="s">
        <v>5339</v>
      </c>
      <c r="J2650" s="56">
        <v>7</v>
      </c>
      <c r="K2650" s="56">
        <v>2026</v>
      </c>
      <c r="L2650" s="56">
        <v>3</v>
      </c>
      <c r="M2650" s="56">
        <v>5</v>
      </c>
      <c r="N2650" s="57">
        <v>46221</v>
      </c>
      <c r="O2650" s="56" t="s">
        <v>27</v>
      </c>
      <c r="P2650" s="59">
        <v>698223</v>
      </c>
      <c r="Q2650" s="56"/>
      <c r="R2650" s="56"/>
      <c r="S2650" s="56" t="s">
        <v>5573</v>
      </c>
      <c r="T2650" s="56">
        <v>17.100000000000001</v>
      </c>
      <c r="U2650" s="56" t="s">
        <v>47</v>
      </c>
      <c r="V2650" s="56" t="s">
        <v>5576</v>
      </c>
      <c r="W2650" s="67" t="str">
        <f t="shared" si="197"/>
        <v>-</v>
      </c>
    </row>
    <row r="2651" spans="1:23" x14ac:dyDescent="0.3">
      <c r="A2651" s="56" t="s">
        <v>5721</v>
      </c>
      <c r="B2651" s="56" t="s">
        <v>5719</v>
      </c>
      <c r="C2651" s="56">
        <v>8675516707</v>
      </c>
      <c r="D2651" s="56" t="s">
        <v>59</v>
      </c>
      <c r="E2651" s="56" t="s">
        <v>641</v>
      </c>
      <c r="F2651" s="56" t="s">
        <v>5587</v>
      </c>
      <c r="G2651" s="56" t="s">
        <v>69</v>
      </c>
      <c r="H2651" s="57">
        <v>46221</v>
      </c>
      <c r="I2651" s="56" t="s">
        <v>5339</v>
      </c>
      <c r="J2651" s="56">
        <v>7</v>
      </c>
      <c r="K2651" s="56">
        <v>2026</v>
      </c>
      <c r="L2651" s="56">
        <v>3</v>
      </c>
      <c r="M2651" s="56">
        <v>8</v>
      </c>
      <c r="N2651" s="57">
        <v>46224</v>
      </c>
      <c r="O2651" s="56" t="s">
        <v>45</v>
      </c>
      <c r="P2651" s="59">
        <v>165526</v>
      </c>
      <c r="Q2651" s="56"/>
      <c r="R2651" s="56"/>
      <c r="S2651" s="56" t="s">
        <v>5573</v>
      </c>
      <c r="T2651" s="56">
        <v>30.2</v>
      </c>
      <c r="U2651" s="56" t="s">
        <v>63</v>
      </c>
      <c r="V2651" s="56" t="s">
        <v>5578</v>
      </c>
      <c r="W2651" s="67" t="str">
        <f t="shared" si="197"/>
        <v>-</v>
      </c>
    </row>
    <row r="2652" spans="1:23" x14ac:dyDescent="0.3">
      <c r="A2652" s="56" t="s">
        <v>5722</v>
      </c>
      <c r="B2652" s="56" t="s">
        <v>5723</v>
      </c>
      <c r="C2652" s="56">
        <v>7948625325</v>
      </c>
      <c r="D2652" s="56" t="s">
        <v>5577</v>
      </c>
      <c r="E2652" s="56" t="s">
        <v>1632</v>
      </c>
      <c r="F2652" s="56" t="s">
        <v>5587</v>
      </c>
      <c r="G2652" s="56" t="s">
        <v>60</v>
      </c>
      <c r="H2652" s="57">
        <v>46221</v>
      </c>
      <c r="I2652" s="56" t="s">
        <v>5339</v>
      </c>
      <c r="J2652" s="56">
        <v>7</v>
      </c>
      <c r="K2652" s="56">
        <v>2026</v>
      </c>
      <c r="L2652" s="56">
        <v>3</v>
      </c>
      <c r="M2652" s="56">
        <v>8</v>
      </c>
      <c r="N2652" s="57">
        <v>46230</v>
      </c>
      <c r="O2652" s="56" t="s">
        <v>45</v>
      </c>
      <c r="P2652" s="59">
        <v>87588</v>
      </c>
      <c r="Q2652" s="56"/>
      <c r="R2652" s="56"/>
      <c r="S2652" s="56" t="s">
        <v>5195</v>
      </c>
      <c r="T2652" s="56">
        <v>18.100000000000001</v>
      </c>
      <c r="U2652" s="56" t="s">
        <v>29</v>
      </c>
      <c r="V2652" s="56" t="s">
        <v>5588</v>
      </c>
      <c r="W2652" s="67" t="str">
        <f t="shared" si="197"/>
        <v>-</v>
      </c>
    </row>
    <row r="2653" spans="1:23" x14ac:dyDescent="0.3">
      <c r="A2653" s="56" t="s">
        <v>5724</v>
      </c>
      <c r="B2653" s="56" t="s">
        <v>5702</v>
      </c>
      <c r="C2653" s="56">
        <v>7767898237</v>
      </c>
      <c r="D2653" s="56" t="s">
        <v>59</v>
      </c>
      <c r="E2653" s="56" t="s">
        <v>109</v>
      </c>
      <c r="F2653" s="56" t="s">
        <v>5587</v>
      </c>
      <c r="G2653" s="56" t="s">
        <v>23</v>
      </c>
      <c r="H2653" s="57">
        <v>46221</v>
      </c>
      <c r="I2653" s="56" t="s">
        <v>5339</v>
      </c>
      <c r="J2653" s="56">
        <v>7</v>
      </c>
      <c r="K2653" s="56">
        <v>2026</v>
      </c>
      <c r="L2653" s="56">
        <v>3</v>
      </c>
      <c r="M2653" s="56">
        <v>10</v>
      </c>
      <c r="N2653" s="57">
        <v>46223</v>
      </c>
      <c r="O2653" s="56" t="s">
        <v>97</v>
      </c>
      <c r="P2653" s="59">
        <v>572107</v>
      </c>
      <c r="Q2653" s="56">
        <v>498038</v>
      </c>
      <c r="R2653" s="56" t="s">
        <v>5725</v>
      </c>
      <c r="S2653" s="56" t="s">
        <v>5573</v>
      </c>
      <c r="T2653" s="56">
        <v>2</v>
      </c>
      <c r="U2653" s="56" t="s">
        <v>47</v>
      </c>
      <c r="V2653" s="56" t="s">
        <v>341</v>
      </c>
      <c r="W2653" s="67" t="str">
        <f t="shared" si="197"/>
        <v>Customer</v>
      </c>
    </row>
    <row r="2654" spans="1:23" x14ac:dyDescent="0.3">
      <c r="A2654" s="56" t="s">
        <v>5726</v>
      </c>
      <c r="B2654" s="56" t="s">
        <v>5727</v>
      </c>
      <c r="C2654" s="56">
        <v>7267986519</v>
      </c>
      <c r="D2654" s="56" t="s">
        <v>59</v>
      </c>
      <c r="E2654" s="56" t="s">
        <v>41</v>
      </c>
      <c r="F2654" s="56" t="s">
        <v>5587</v>
      </c>
      <c r="G2654" s="56" t="s">
        <v>52</v>
      </c>
      <c r="H2654" s="57">
        <v>46223</v>
      </c>
      <c r="I2654" s="56" t="s">
        <v>5339</v>
      </c>
      <c r="J2654" s="56">
        <v>7</v>
      </c>
      <c r="K2654" s="56">
        <v>2026</v>
      </c>
      <c r="L2654" s="56">
        <v>3</v>
      </c>
      <c r="M2654" s="56">
        <v>9</v>
      </c>
      <c r="N2654" s="57">
        <v>46226</v>
      </c>
      <c r="O2654" s="56" t="s">
        <v>27</v>
      </c>
      <c r="P2654" s="59">
        <v>282219</v>
      </c>
      <c r="Q2654" s="56"/>
      <c r="R2654" s="56"/>
      <c r="S2654" s="56" t="s">
        <v>5195</v>
      </c>
      <c r="T2654" s="56">
        <v>8.3000000000000007</v>
      </c>
      <c r="U2654" s="56" t="s">
        <v>29</v>
      </c>
      <c r="V2654" s="56" t="s">
        <v>5580</v>
      </c>
      <c r="W2654" s="67" t="str">
        <f t="shared" si="197"/>
        <v>-</v>
      </c>
    </row>
    <row r="2655" spans="1:23" x14ac:dyDescent="0.3">
      <c r="A2655" s="56" t="s">
        <v>5728</v>
      </c>
      <c r="B2655" s="56" t="s">
        <v>5729</v>
      </c>
      <c r="C2655" s="56">
        <v>7922010813</v>
      </c>
      <c r="D2655" s="56" t="s">
        <v>5577</v>
      </c>
      <c r="E2655" s="56" t="s">
        <v>641</v>
      </c>
      <c r="F2655" s="56" t="s">
        <v>5587</v>
      </c>
      <c r="G2655" s="56" t="s">
        <v>643</v>
      </c>
      <c r="H2655" s="57">
        <v>46224</v>
      </c>
      <c r="I2655" s="56" t="s">
        <v>5339</v>
      </c>
      <c r="J2655" s="56">
        <v>7</v>
      </c>
      <c r="K2655" s="56">
        <v>2026</v>
      </c>
      <c r="L2655" s="56">
        <v>3</v>
      </c>
      <c r="M2655" s="56">
        <v>4</v>
      </c>
      <c r="N2655" s="57">
        <v>46238</v>
      </c>
      <c r="O2655" s="56" t="s">
        <v>27</v>
      </c>
      <c r="P2655" s="59">
        <v>375051</v>
      </c>
      <c r="Q2655" s="56"/>
      <c r="R2655" s="56"/>
      <c r="S2655" s="56" t="s">
        <v>5573</v>
      </c>
      <c r="T2655" s="56">
        <v>20.399999999999999</v>
      </c>
      <c r="U2655" s="56" t="s">
        <v>63</v>
      </c>
      <c r="V2655" s="56" t="s">
        <v>202</v>
      </c>
      <c r="W2655" s="67" t="str">
        <f t="shared" si="197"/>
        <v>-</v>
      </c>
    </row>
    <row r="2656" spans="1:23" x14ac:dyDescent="0.3">
      <c r="A2656" s="56" t="s">
        <v>5730</v>
      </c>
      <c r="B2656" s="56" t="s">
        <v>1985</v>
      </c>
      <c r="C2656" s="56">
        <v>7431419945</v>
      </c>
      <c r="D2656" s="56" t="s">
        <v>20</v>
      </c>
      <c r="E2656" s="56" t="s">
        <v>109</v>
      </c>
      <c r="F2656" s="56" t="s">
        <v>5587</v>
      </c>
      <c r="G2656" s="56" t="s">
        <v>60</v>
      </c>
      <c r="H2656" s="57">
        <v>46224</v>
      </c>
      <c r="I2656" s="56" t="s">
        <v>5339</v>
      </c>
      <c r="J2656" s="56">
        <v>7</v>
      </c>
      <c r="K2656" s="56">
        <v>2026</v>
      </c>
      <c r="L2656" s="56">
        <v>3</v>
      </c>
      <c r="M2656" s="56">
        <v>0</v>
      </c>
      <c r="N2656" s="57">
        <v>46231</v>
      </c>
      <c r="O2656" s="56" t="s">
        <v>97</v>
      </c>
      <c r="P2656" s="59">
        <v>95483</v>
      </c>
      <c r="Q2656" s="56">
        <v>83594</v>
      </c>
      <c r="R2656" s="56" t="s">
        <v>5731</v>
      </c>
      <c r="S2656" s="56" t="s">
        <v>5819</v>
      </c>
      <c r="T2656" s="56">
        <v>38.799999999999997</v>
      </c>
      <c r="U2656" s="56" t="s">
        <v>47</v>
      </c>
      <c r="V2656" s="56" t="s">
        <v>286</v>
      </c>
      <c r="W2656" s="67" t="str">
        <f t="shared" si="197"/>
        <v>Customer</v>
      </c>
    </row>
    <row r="2657" spans="1:23" x14ac:dyDescent="0.3">
      <c r="A2657" s="56" t="s">
        <v>5732</v>
      </c>
      <c r="B2657" s="56" t="s">
        <v>5733</v>
      </c>
      <c r="C2657" s="56">
        <v>7339178862</v>
      </c>
      <c r="D2657" s="56" t="s">
        <v>59</v>
      </c>
      <c r="E2657" s="56" t="s">
        <v>21</v>
      </c>
      <c r="F2657" s="56" t="s">
        <v>5587</v>
      </c>
      <c r="G2657" s="56" t="s">
        <v>69</v>
      </c>
      <c r="H2657" s="57">
        <v>46225</v>
      </c>
      <c r="I2657" s="56" t="s">
        <v>5339</v>
      </c>
      <c r="J2657" s="56">
        <v>7</v>
      </c>
      <c r="K2657" s="56">
        <v>2026</v>
      </c>
      <c r="L2657" s="56">
        <v>3</v>
      </c>
      <c r="M2657" s="56">
        <v>5</v>
      </c>
      <c r="N2657" s="57">
        <v>46237</v>
      </c>
      <c r="O2657" s="56" t="s">
        <v>27</v>
      </c>
      <c r="P2657" s="59">
        <v>129185</v>
      </c>
      <c r="Q2657" s="56"/>
      <c r="R2657" s="56"/>
      <c r="S2657" s="56" t="s">
        <v>5573</v>
      </c>
      <c r="T2657" s="56">
        <v>20.3</v>
      </c>
      <c r="U2657" s="56" t="s">
        <v>29</v>
      </c>
      <c r="V2657" s="56" t="s">
        <v>5579</v>
      </c>
      <c r="W2657" s="67" t="str">
        <f t="shared" si="197"/>
        <v>-</v>
      </c>
    </row>
    <row r="2658" spans="1:23" x14ac:dyDescent="0.3">
      <c r="A2658" s="56" t="s">
        <v>5734</v>
      </c>
      <c r="B2658" s="56" t="s">
        <v>5735</v>
      </c>
      <c r="C2658" s="56">
        <v>8522451606</v>
      </c>
      <c r="D2658" s="56" t="s">
        <v>59</v>
      </c>
      <c r="E2658" s="56" t="s">
        <v>41</v>
      </c>
      <c r="F2658" s="56" t="s">
        <v>5587</v>
      </c>
      <c r="G2658" s="56" t="s">
        <v>69</v>
      </c>
      <c r="H2658" s="57">
        <v>46226</v>
      </c>
      <c r="I2658" s="56" t="s">
        <v>5339</v>
      </c>
      <c r="J2658" s="56">
        <v>7</v>
      </c>
      <c r="K2658" s="56">
        <v>2026</v>
      </c>
      <c r="L2658" s="56">
        <v>3</v>
      </c>
      <c r="M2658" s="56">
        <v>9</v>
      </c>
      <c r="N2658" s="57">
        <v>46228</v>
      </c>
      <c r="O2658" s="56" t="s">
        <v>27</v>
      </c>
      <c r="P2658" s="59">
        <v>126701</v>
      </c>
      <c r="Q2658" s="56"/>
      <c r="R2658" s="56"/>
      <c r="S2658" s="56" t="s">
        <v>5195</v>
      </c>
      <c r="T2658" s="56">
        <v>10.1</v>
      </c>
      <c r="U2658" s="56" t="s">
        <v>63</v>
      </c>
      <c r="V2658" s="56" t="s">
        <v>5583</v>
      </c>
      <c r="W2658" s="67" t="str">
        <f t="shared" si="197"/>
        <v>-</v>
      </c>
    </row>
    <row r="2659" spans="1:23" x14ac:dyDescent="0.3">
      <c r="A2659" s="56" t="s">
        <v>5736</v>
      </c>
      <c r="B2659" s="56" t="s">
        <v>5737</v>
      </c>
      <c r="C2659" s="56">
        <v>9006508690</v>
      </c>
      <c r="D2659" s="56" t="s">
        <v>59</v>
      </c>
      <c r="E2659" s="56" t="s">
        <v>21</v>
      </c>
      <c r="F2659" s="56" t="s">
        <v>5587</v>
      </c>
      <c r="G2659" s="56" t="s">
        <v>616</v>
      </c>
      <c r="H2659" s="57">
        <v>46226</v>
      </c>
      <c r="I2659" s="56" t="s">
        <v>5339</v>
      </c>
      <c r="J2659" s="56">
        <v>7</v>
      </c>
      <c r="K2659" s="56">
        <v>2026</v>
      </c>
      <c r="L2659" s="56">
        <v>3</v>
      </c>
      <c r="M2659" s="56">
        <v>3</v>
      </c>
      <c r="N2659" s="57">
        <v>46230</v>
      </c>
      <c r="O2659" s="56" t="s">
        <v>97</v>
      </c>
      <c r="P2659" s="59">
        <v>271583</v>
      </c>
      <c r="Q2659" s="56">
        <v>237822</v>
      </c>
      <c r="R2659" s="56" t="s">
        <v>5738</v>
      </c>
      <c r="S2659" s="56" t="s">
        <v>5573</v>
      </c>
      <c r="T2659" s="56">
        <v>7.8</v>
      </c>
      <c r="U2659" s="56" t="s">
        <v>63</v>
      </c>
      <c r="V2659" s="56" t="s">
        <v>286</v>
      </c>
      <c r="W2659" s="67" t="str">
        <f t="shared" si="197"/>
        <v>Customer</v>
      </c>
    </row>
    <row r="2660" spans="1:23" x14ac:dyDescent="0.3">
      <c r="A2660" s="56" t="s">
        <v>5739</v>
      </c>
      <c r="B2660" s="56" t="s">
        <v>5719</v>
      </c>
      <c r="C2660" s="56">
        <v>7345045458</v>
      </c>
      <c r="D2660" s="56" t="s">
        <v>20</v>
      </c>
      <c r="E2660" s="56" t="s">
        <v>1632</v>
      </c>
      <c r="F2660" s="56" t="s">
        <v>5587</v>
      </c>
      <c r="G2660" s="56" t="s">
        <v>3302</v>
      </c>
      <c r="H2660" s="57">
        <v>46227</v>
      </c>
      <c r="I2660" s="56" t="s">
        <v>5339</v>
      </c>
      <c r="J2660" s="56">
        <v>7</v>
      </c>
      <c r="K2660" s="56">
        <v>2026</v>
      </c>
      <c r="L2660" s="56">
        <v>3</v>
      </c>
      <c r="M2660" s="56">
        <v>8</v>
      </c>
      <c r="N2660" s="57">
        <v>46228</v>
      </c>
      <c r="O2660" s="56" t="s">
        <v>27</v>
      </c>
      <c r="P2660" s="59">
        <v>555798</v>
      </c>
      <c r="Q2660" s="56"/>
      <c r="R2660" s="56"/>
      <c r="S2660" s="56" t="s">
        <v>5195</v>
      </c>
      <c r="T2660" s="56">
        <v>28</v>
      </c>
      <c r="U2660" s="56" t="s">
        <v>29</v>
      </c>
      <c r="V2660" s="56" t="s">
        <v>202</v>
      </c>
      <c r="W2660" s="67" t="str">
        <f t="shared" si="197"/>
        <v>-</v>
      </c>
    </row>
    <row r="2661" spans="1:23" x14ac:dyDescent="0.3">
      <c r="A2661" s="56" t="s">
        <v>5740</v>
      </c>
      <c r="B2661" s="56" t="s">
        <v>5741</v>
      </c>
      <c r="C2661" s="56">
        <v>7557955717</v>
      </c>
      <c r="D2661" s="56" t="s">
        <v>20</v>
      </c>
      <c r="E2661" s="56" t="s">
        <v>109</v>
      </c>
      <c r="F2661" s="56" t="s">
        <v>5587</v>
      </c>
      <c r="G2661" s="56" t="s">
        <v>643</v>
      </c>
      <c r="H2661" s="57">
        <v>46227</v>
      </c>
      <c r="I2661" s="56" t="s">
        <v>5339</v>
      </c>
      <c r="J2661" s="56">
        <v>7</v>
      </c>
      <c r="K2661" s="56">
        <v>2026</v>
      </c>
      <c r="L2661" s="56">
        <v>3</v>
      </c>
      <c r="M2661" s="56">
        <v>8</v>
      </c>
      <c r="N2661" s="57">
        <v>46239</v>
      </c>
      <c r="O2661" s="56" t="s">
        <v>45</v>
      </c>
      <c r="P2661" s="59">
        <v>193995</v>
      </c>
      <c r="Q2661" s="56"/>
      <c r="R2661" s="56"/>
      <c r="S2661" s="56" t="s">
        <v>5819</v>
      </c>
      <c r="T2661" s="56">
        <v>33.9</v>
      </c>
      <c r="U2661" s="56" t="s">
        <v>29</v>
      </c>
      <c r="V2661" s="56" t="s">
        <v>5581</v>
      </c>
      <c r="W2661" s="67" t="str">
        <f t="shared" si="197"/>
        <v>-</v>
      </c>
    </row>
    <row r="2662" spans="1:23" x14ac:dyDescent="0.3">
      <c r="A2662" s="56" t="s">
        <v>5742</v>
      </c>
      <c r="B2662" s="56" t="s">
        <v>5696</v>
      </c>
      <c r="C2662" s="56">
        <v>9268309724</v>
      </c>
      <c r="D2662" s="56" t="s">
        <v>59</v>
      </c>
      <c r="E2662" s="56" t="s">
        <v>648</v>
      </c>
      <c r="F2662" s="56" t="s">
        <v>5587</v>
      </c>
      <c r="G2662" s="56" t="s">
        <v>69</v>
      </c>
      <c r="H2662" s="57">
        <v>46228</v>
      </c>
      <c r="I2662" s="56" t="s">
        <v>5339</v>
      </c>
      <c r="J2662" s="56">
        <v>7</v>
      </c>
      <c r="K2662" s="56">
        <v>2026</v>
      </c>
      <c r="L2662" s="56">
        <v>3</v>
      </c>
      <c r="M2662" s="56">
        <v>0</v>
      </c>
      <c r="N2662" s="57">
        <v>46238</v>
      </c>
      <c r="O2662" s="56" t="s">
        <v>97</v>
      </c>
      <c r="P2662" s="59">
        <v>134789</v>
      </c>
      <c r="Q2662" s="56">
        <v>118570</v>
      </c>
      <c r="R2662" s="56" t="s">
        <v>5743</v>
      </c>
      <c r="S2662" s="56" t="s">
        <v>5819</v>
      </c>
      <c r="T2662" s="56">
        <v>8.8000000000000007</v>
      </c>
      <c r="U2662" s="56" t="s">
        <v>47</v>
      </c>
      <c r="V2662" s="56" t="s">
        <v>341</v>
      </c>
      <c r="W2662" s="67" t="str">
        <f t="shared" si="197"/>
        <v>Customer</v>
      </c>
    </row>
    <row r="2663" spans="1:23" x14ac:dyDescent="0.3">
      <c r="A2663" s="56" t="s">
        <v>5744</v>
      </c>
      <c r="B2663" s="56" t="s">
        <v>5620</v>
      </c>
      <c r="C2663" s="56">
        <v>9706498745</v>
      </c>
      <c r="D2663" s="56" t="s">
        <v>20</v>
      </c>
      <c r="E2663" s="56" t="s">
        <v>41</v>
      </c>
      <c r="F2663" s="56" t="s">
        <v>5587</v>
      </c>
      <c r="G2663" s="56" t="s">
        <v>643</v>
      </c>
      <c r="H2663" s="57">
        <v>46230</v>
      </c>
      <c r="I2663" s="56" t="s">
        <v>5339</v>
      </c>
      <c r="J2663" s="56">
        <v>7</v>
      </c>
      <c r="K2663" s="56">
        <v>2026</v>
      </c>
      <c r="L2663" s="56">
        <v>3</v>
      </c>
      <c r="M2663" s="56">
        <v>2</v>
      </c>
      <c r="N2663" s="57">
        <v>46241</v>
      </c>
      <c r="O2663" s="56" t="s">
        <v>27</v>
      </c>
      <c r="P2663" s="59">
        <v>371708</v>
      </c>
      <c r="Q2663" s="56"/>
      <c r="R2663" s="56"/>
      <c r="S2663" s="56" t="s">
        <v>5819</v>
      </c>
      <c r="T2663" s="56">
        <v>30.5</v>
      </c>
      <c r="U2663" s="56" t="s">
        <v>63</v>
      </c>
      <c r="V2663" s="56" t="s">
        <v>5591</v>
      </c>
      <c r="W2663" s="67" t="str">
        <f t="shared" si="197"/>
        <v>-</v>
      </c>
    </row>
    <row r="2664" spans="1:23" x14ac:dyDescent="0.3">
      <c r="A2664" s="56" t="s">
        <v>5745</v>
      </c>
      <c r="B2664" s="56" t="s">
        <v>5746</v>
      </c>
      <c r="C2664" s="56">
        <v>9998887858</v>
      </c>
      <c r="D2664" s="56" t="s">
        <v>20</v>
      </c>
      <c r="E2664" s="56" t="s">
        <v>41</v>
      </c>
      <c r="F2664" s="56" t="s">
        <v>5587</v>
      </c>
      <c r="G2664" s="56" t="s">
        <v>69</v>
      </c>
      <c r="H2664" s="57">
        <v>46230</v>
      </c>
      <c r="I2664" s="56" t="s">
        <v>5339</v>
      </c>
      <c r="J2664" s="56">
        <v>7</v>
      </c>
      <c r="K2664" s="56">
        <v>2026</v>
      </c>
      <c r="L2664" s="56">
        <v>3</v>
      </c>
      <c r="M2664" s="56">
        <v>7</v>
      </c>
      <c r="N2664" s="57">
        <v>46236</v>
      </c>
      <c r="O2664" s="56" t="s">
        <v>27</v>
      </c>
      <c r="P2664" s="59">
        <v>110648</v>
      </c>
      <c r="Q2664" s="56"/>
      <c r="R2664" s="56"/>
      <c r="S2664" s="56" t="s">
        <v>5573</v>
      </c>
      <c r="T2664" s="56">
        <v>41.7</v>
      </c>
      <c r="U2664" s="56" t="s">
        <v>47</v>
      </c>
      <c r="V2664" s="56" t="s">
        <v>5576</v>
      </c>
      <c r="W2664" s="67" t="str">
        <f t="shared" si="197"/>
        <v>-</v>
      </c>
    </row>
    <row r="2665" spans="1:23" x14ac:dyDescent="0.3">
      <c r="A2665" s="56" t="s">
        <v>5747</v>
      </c>
      <c r="B2665" s="56" t="s">
        <v>5748</v>
      </c>
      <c r="C2665" s="56">
        <v>7547420723</v>
      </c>
      <c r="D2665" s="56" t="s">
        <v>20</v>
      </c>
      <c r="E2665" s="56" t="s">
        <v>1632</v>
      </c>
      <c r="F2665" s="56" t="s">
        <v>5587</v>
      </c>
      <c r="G2665" s="56" t="s">
        <v>52</v>
      </c>
      <c r="H2665" s="57">
        <v>46231</v>
      </c>
      <c r="I2665" s="56" t="s">
        <v>5339</v>
      </c>
      <c r="J2665" s="56">
        <v>7</v>
      </c>
      <c r="K2665" s="56">
        <v>2026</v>
      </c>
      <c r="L2665" s="56">
        <v>3</v>
      </c>
      <c r="M2665" s="56">
        <v>2</v>
      </c>
      <c r="N2665" s="57">
        <v>46244</v>
      </c>
      <c r="O2665" s="56" t="s">
        <v>27</v>
      </c>
      <c r="P2665" s="59">
        <v>270513</v>
      </c>
      <c r="Q2665" s="56"/>
      <c r="R2665" s="56"/>
      <c r="S2665" s="56" t="s">
        <v>5195</v>
      </c>
      <c r="T2665" s="56">
        <v>38.1</v>
      </c>
      <c r="U2665" s="56" t="s">
        <v>29</v>
      </c>
      <c r="V2665" s="56" t="s">
        <v>5582</v>
      </c>
      <c r="W2665" s="67" t="str">
        <f t="shared" si="197"/>
        <v>-</v>
      </c>
    </row>
    <row r="2666" spans="1:23" x14ac:dyDescent="0.3">
      <c r="A2666" s="56" t="s">
        <v>5749</v>
      </c>
      <c r="B2666" s="56" t="s">
        <v>5746</v>
      </c>
      <c r="C2666" s="56">
        <v>7449373933</v>
      </c>
      <c r="D2666" s="56" t="s">
        <v>20</v>
      </c>
      <c r="E2666" s="56" t="s">
        <v>41</v>
      </c>
      <c r="F2666" s="56" t="s">
        <v>5587</v>
      </c>
      <c r="G2666" s="56" t="s">
        <v>3302</v>
      </c>
      <c r="H2666" s="57">
        <v>46232</v>
      </c>
      <c r="I2666" s="56" t="s">
        <v>5339</v>
      </c>
      <c r="J2666" s="56">
        <v>7</v>
      </c>
      <c r="K2666" s="56">
        <v>2026</v>
      </c>
      <c r="L2666" s="56">
        <v>3</v>
      </c>
      <c r="M2666" s="56">
        <v>6</v>
      </c>
      <c r="N2666" s="57">
        <v>46251</v>
      </c>
      <c r="O2666" s="56" t="s">
        <v>27</v>
      </c>
      <c r="P2666" s="59">
        <v>167907</v>
      </c>
      <c r="Q2666" s="56"/>
      <c r="R2666" s="56"/>
      <c r="S2666" s="56" t="s">
        <v>5195</v>
      </c>
      <c r="T2666" s="56">
        <v>33.5</v>
      </c>
      <c r="U2666" s="56" t="s">
        <v>63</v>
      </c>
      <c r="V2666" s="56" t="s">
        <v>5591</v>
      </c>
      <c r="W2666" s="67" t="str">
        <f t="shared" si="197"/>
        <v>-</v>
      </c>
    </row>
    <row r="2667" spans="1:23" x14ac:dyDescent="0.3">
      <c r="A2667" s="56" t="s">
        <v>5750</v>
      </c>
      <c r="B2667" s="56" t="s">
        <v>5727</v>
      </c>
      <c r="C2667" s="56">
        <v>8480698075</v>
      </c>
      <c r="D2667" s="56" t="s">
        <v>59</v>
      </c>
      <c r="E2667" s="56" t="s">
        <v>109</v>
      </c>
      <c r="F2667" s="56" t="s">
        <v>5587</v>
      </c>
      <c r="G2667" s="56" t="s">
        <v>23</v>
      </c>
      <c r="H2667" s="57">
        <v>46232</v>
      </c>
      <c r="I2667" s="56" t="s">
        <v>5339</v>
      </c>
      <c r="J2667" s="56">
        <v>7</v>
      </c>
      <c r="K2667" s="56">
        <v>2026</v>
      </c>
      <c r="L2667" s="56">
        <v>3</v>
      </c>
      <c r="M2667" s="56">
        <v>10</v>
      </c>
      <c r="N2667" s="57">
        <v>46236</v>
      </c>
      <c r="O2667" s="56" t="s">
        <v>62</v>
      </c>
      <c r="P2667" s="59">
        <v>378257</v>
      </c>
      <c r="Q2667" s="56"/>
      <c r="R2667" s="56"/>
      <c r="S2667" s="56" t="s">
        <v>5573</v>
      </c>
      <c r="T2667" s="56">
        <v>33.700000000000003</v>
      </c>
      <c r="U2667" s="56" t="s">
        <v>29</v>
      </c>
      <c r="V2667" s="56" t="s">
        <v>5613</v>
      </c>
      <c r="W2667" s="67" t="str">
        <f t="shared" si="197"/>
        <v>-</v>
      </c>
    </row>
    <row r="2668" spans="1:23" x14ac:dyDescent="0.3">
      <c r="A2668" s="56" t="s">
        <v>5751</v>
      </c>
      <c r="B2668" s="56" t="s">
        <v>5595</v>
      </c>
      <c r="C2668" s="56">
        <v>8327182377</v>
      </c>
      <c r="D2668" s="56" t="s">
        <v>59</v>
      </c>
      <c r="E2668" s="56" t="s">
        <v>641</v>
      </c>
      <c r="F2668" s="56" t="s">
        <v>5587</v>
      </c>
      <c r="G2668" s="56" t="s">
        <v>643</v>
      </c>
      <c r="H2668" s="57">
        <v>46233</v>
      </c>
      <c r="I2668" s="56" t="s">
        <v>5339</v>
      </c>
      <c r="J2668" s="56">
        <v>7</v>
      </c>
      <c r="K2668" s="56">
        <v>2026</v>
      </c>
      <c r="L2668" s="56">
        <v>3</v>
      </c>
      <c r="M2668" s="56">
        <v>4</v>
      </c>
      <c r="N2668" s="57">
        <v>46235</v>
      </c>
      <c r="O2668" s="56" t="s">
        <v>27</v>
      </c>
      <c r="P2668" s="59">
        <v>167657</v>
      </c>
      <c r="Q2668" s="56"/>
      <c r="R2668" s="56"/>
      <c r="S2668" s="56" t="s">
        <v>5573</v>
      </c>
      <c r="T2668" s="56">
        <v>9.6999999999999993</v>
      </c>
      <c r="U2668" s="56" t="s">
        <v>63</v>
      </c>
      <c r="V2668" s="56" t="s">
        <v>5591</v>
      </c>
      <c r="W2668" s="67" t="str">
        <f t="shared" si="197"/>
        <v>-</v>
      </c>
    </row>
    <row r="2669" spans="1:23" x14ac:dyDescent="0.3">
      <c r="A2669" s="56" t="s">
        <v>5752</v>
      </c>
      <c r="B2669" s="56" t="s">
        <v>5646</v>
      </c>
      <c r="C2669" s="56">
        <v>9444057872</v>
      </c>
      <c r="D2669" s="56" t="s">
        <v>59</v>
      </c>
      <c r="E2669" s="56" t="s">
        <v>1632</v>
      </c>
      <c r="F2669" s="56" t="s">
        <v>5587</v>
      </c>
      <c r="G2669" s="56" t="s">
        <v>52</v>
      </c>
      <c r="H2669" s="57">
        <v>46233</v>
      </c>
      <c r="I2669" s="56" t="s">
        <v>5339</v>
      </c>
      <c r="J2669" s="56">
        <v>7</v>
      </c>
      <c r="K2669" s="56">
        <v>2026</v>
      </c>
      <c r="L2669" s="56">
        <v>3</v>
      </c>
      <c r="M2669" s="56">
        <v>1</v>
      </c>
      <c r="N2669" s="57">
        <v>46236</v>
      </c>
      <c r="O2669" s="56" t="s">
        <v>45</v>
      </c>
      <c r="P2669" s="59">
        <v>323314</v>
      </c>
      <c r="Q2669" s="56"/>
      <c r="R2669" s="56"/>
      <c r="S2669" s="56" t="s">
        <v>5819</v>
      </c>
      <c r="T2669" s="56">
        <v>35.4</v>
      </c>
      <c r="U2669" s="56" t="s">
        <v>63</v>
      </c>
      <c r="V2669" s="56" t="s">
        <v>195</v>
      </c>
      <c r="W2669" s="67" t="str">
        <f t="shared" si="197"/>
        <v>-</v>
      </c>
    </row>
    <row r="2670" spans="1:23" x14ac:dyDescent="0.3">
      <c r="A2670" s="56" t="s">
        <v>5753</v>
      </c>
      <c r="B2670" s="56" t="s">
        <v>5704</v>
      </c>
      <c r="C2670" s="56">
        <v>8255649950</v>
      </c>
      <c r="D2670" s="56" t="s">
        <v>20</v>
      </c>
      <c r="E2670" s="56" t="s">
        <v>21</v>
      </c>
      <c r="F2670" s="56" t="s">
        <v>5587</v>
      </c>
      <c r="G2670" s="56" t="s">
        <v>87</v>
      </c>
      <c r="H2670" s="57">
        <v>46234</v>
      </c>
      <c r="I2670" s="56" t="s">
        <v>5339</v>
      </c>
      <c r="J2670" s="56">
        <v>7</v>
      </c>
      <c r="K2670" s="56">
        <v>2026</v>
      </c>
      <c r="L2670" s="56">
        <v>3</v>
      </c>
      <c r="M2670" s="56">
        <v>9</v>
      </c>
      <c r="N2670" s="57">
        <v>46248</v>
      </c>
      <c r="O2670" s="56" t="s">
        <v>27</v>
      </c>
      <c r="P2670" s="59">
        <v>259115</v>
      </c>
      <c r="Q2670" s="56"/>
      <c r="R2670" s="56"/>
      <c r="S2670" s="56" t="s">
        <v>5195</v>
      </c>
      <c r="T2670" s="56">
        <v>27.4</v>
      </c>
      <c r="U2670" s="56" t="s">
        <v>29</v>
      </c>
      <c r="V2670" s="56" t="s">
        <v>153</v>
      </c>
      <c r="W2670" s="67" t="str">
        <f t="shared" si="197"/>
        <v>-</v>
      </c>
    </row>
    <row r="2671" spans="1:23" x14ac:dyDescent="0.3">
      <c r="A2671" s="56" t="s">
        <v>5754</v>
      </c>
      <c r="B2671" s="56" t="s">
        <v>5680</v>
      </c>
      <c r="C2671" s="56">
        <v>9069802636</v>
      </c>
      <c r="D2671" s="56" t="s">
        <v>59</v>
      </c>
      <c r="E2671" s="56" t="s">
        <v>41</v>
      </c>
      <c r="F2671" s="56" t="s">
        <v>5587</v>
      </c>
      <c r="G2671" s="56" t="s">
        <v>616</v>
      </c>
      <c r="H2671" s="57">
        <v>46234</v>
      </c>
      <c r="I2671" s="56" t="s">
        <v>5339</v>
      </c>
      <c r="J2671" s="56">
        <v>7</v>
      </c>
      <c r="K2671" s="56">
        <v>2026</v>
      </c>
      <c r="L2671" s="56">
        <v>3</v>
      </c>
      <c r="M2671" s="56">
        <v>5</v>
      </c>
      <c r="N2671" s="57">
        <v>46237</v>
      </c>
      <c r="O2671" s="56" t="s">
        <v>27</v>
      </c>
      <c r="P2671" s="59">
        <v>594604</v>
      </c>
      <c r="Q2671" s="56"/>
      <c r="R2671" s="56"/>
      <c r="S2671" s="56" t="s">
        <v>5195</v>
      </c>
      <c r="T2671" s="56">
        <v>23.4</v>
      </c>
      <c r="U2671" s="56" t="s">
        <v>63</v>
      </c>
      <c r="V2671" s="56" t="s">
        <v>238</v>
      </c>
      <c r="W2671" s="67" t="str">
        <f t="shared" si="197"/>
        <v>-</v>
      </c>
    </row>
    <row r="2672" spans="1:23" x14ac:dyDescent="0.3">
      <c r="A2672" s="56" t="s">
        <v>5755</v>
      </c>
      <c r="B2672" s="56" t="s">
        <v>5756</v>
      </c>
      <c r="C2672" s="56">
        <v>9282653422</v>
      </c>
      <c r="D2672" s="56" t="s">
        <v>59</v>
      </c>
      <c r="E2672" s="56" t="s">
        <v>1632</v>
      </c>
      <c r="F2672" s="56" t="s">
        <v>5757</v>
      </c>
      <c r="G2672" s="56" t="s">
        <v>52</v>
      </c>
      <c r="H2672" s="57">
        <v>46235</v>
      </c>
      <c r="I2672" s="56" t="s">
        <v>5340</v>
      </c>
      <c r="J2672" s="56">
        <v>8</v>
      </c>
      <c r="K2672" s="56">
        <v>2026</v>
      </c>
      <c r="L2672" s="56">
        <v>3</v>
      </c>
      <c r="M2672" s="56">
        <v>7</v>
      </c>
      <c r="N2672" s="57">
        <v>46254</v>
      </c>
      <c r="O2672" s="56" t="s">
        <v>97</v>
      </c>
      <c r="P2672" s="59">
        <v>276656</v>
      </c>
      <c r="Q2672" s="56">
        <v>245456</v>
      </c>
      <c r="R2672" s="56" t="s">
        <v>5758</v>
      </c>
      <c r="S2672" s="56" t="s">
        <v>5195</v>
      </c>
      <c r="T2672" s="56">
        <v>18.8</v>
      </c>
      <c r="U2672" s="56" t="s">
        <v>63</v>
      </c>
      <c r="V2672" s="56" t="s">
        <v>465</v>
      </c>
      <c r="W2672" s="67" t="str">
        <f t="shared" si="197"/>
        <v>Customer</v>
      </c>
    </row>
    <row r="2673" spans="1:23" x14ac:dyDescent="0.3">
      <c r="A2673" s="56" t="s">
        <v>5759</v>
      </c>
      <c r="B2673" s="56" t="s">
        <v>5646</v>
      </c>
      <c r="C2673" s="56">
        <v>8344821675</v>
      </c>
      <c r="D2673" s="56" t="s">
        <v>59</v>
      </c>
      <c r="E2673" s="56" t="s">
        <v>641</v>
      </c>
      <c r="F2673" s="56" t="s">
        <v>5757</v>
      </c>
      <c r="G2673" s="56" t="s">
        <v>87</v>
      </c>
      <c r="H2673" s="57">
        <v>46235</v>
      </c>
      <c r="I2673" s="56" t="s">
        <v>5340</v>
      </c>
      <c r="J2673" s="56">
        <v>8</v>
      </c>
      <c r="K2673" s="56">
        <v>2026</v>
      </c>
      <c r="L2673" s="56">
        <v>3</v>
      </c>
      <c r="M2673" s="56">
        <v>1</v>
      </c>
      <c r="N2673" s="57">
        <v>46254</v>
      </c>
      <c r="O2673" s="56" t="s">
        <v>27</v>
      </c>
      <c r="P2673" s="59">
        <v>287537</v>
      </c>
      <c r="Q2673" s="56"/>
      <c r="R2673" s="56"/>
      <c r="S2673" s="56" t="s">
        <v>5195</v>
      </c>
      <c r="T2673" s="56">
        <v>28.7</v>
      </c>
      <c r="U2673" s="56" t="s">
        <v>63</v>
      </c>
      <c r="V2673" s="56" t="s">
        <v>5583</v>
      </c>
      <c r="W2673" s="67" t="str">
        <f t="shared" si="197"/>
        <v>-</v>
      </c>
    </row>
    <row r="2674" spans="1:23" x14ac:dyDescent="0.3">
      <c r="A2674" s="56" t="s">
        <v>5760</v>
      </c>
      <c r="B2674" s="56" t="s">
        <v>5700</v>
      </c>
      <c r="C2674" s="56">
        <v>8354167987</v>
      </c>
      <c r="D2674" s="56" t="s">
        <v>20</v>
      </c>
      <c r="E2674" s="56" t="s">
        <v>1632</v>
      </c>
      <c r="F2674" s="56" t="s">
        <v>5757</v>
      </c>
      <c r="G2674" s="56" t="s">
        <v>87</v>
      </c>
      <c r="H2674" s="57">
        <v>46235</v>
      </c>
      <c r="I2674" s="56" t="s">
        <v>5340</v>
      </c>
      <c r="J2674" s="56">
        <v>8</v>
      </c>
      <c r="K2674" s="56">
        <v>2026</v>
      </c>
      <c r="L2674" s="56">
        <v>3</v>
      </c>
      <c r="M2674" s="56">
        <v>1</v>
      </c>
      <c r="N2674" s="57">
        <v>46243</v>
      </c>
      <c r="O2674" s="56" t="s">
        <v>62</v>
      </c>
      <c r="P2674" s="59">
        <v>489721</v>
      </c>
      <c r="Q2674" s="56"/>
      <c r="R2674" s="56"/>
      <c r="S2674" s="56" t="s">
        <v>5819</v>
      </c>
      <c r="T2674" s="56">
        <v>13.7</v>
      </c>
      <c r="U2674" s="56" t="s">
        <v>47</v>
      </c>
      <c r="V2674" s="56" t="s">
        <v>5613</v>
      </c>
      <c r="W2674" s="67" t="str">
        <f t="shared" si="197"/>
        <v>-</v>
      </c>
    </row>
    <row r="2675" spans="1:23" x14ac:dyDescent="0.3">
      <c r="A2675" s="56" t="s">
        <v>5761</v>
      </c>
      <c r="B2675" s="56" t="s">
        <v>5367</v>
      </c>
      <c r="C2675" s="56">
        <v>9202311031</v>
      </c>
      <c r="D2675" s="56" t="s">
        <v>59</v>
      </c>
      <c r="E2675" s="56" t="s">
        <v>21</v>
      </c>
      <c r="F2675" s="56" t="s">
        <v>5757</v>
      </c>
      <c r="G2675" s="56" t="s">
        <v>87</v>
      </c>
      <c r="H2675" s="57">
        <v>46237</v>
      </c>
      <c r="I2675" s="56" t="s">
        <v>5340</v>
      </c>
      <c r="J2675" s="56">
        <v>8</v>
      </c>
      <c r="K2675" s="56">
        <v>2026</v>
      </c>
      <c r="L2675" s="56">
        <v>3</v>
      </c>
      <c r="M2675" s="56">
        <v>8</v>
      </c>
      <c r="N2675" s="57">
        <v>46247</v>
      </c>
      <c r="O2675" s="56" t="s">
        <v>27</v>
      </c>
      <c r="P2675" s="59">
        <v>127511</v>
      </c>
      <c r="Q2675" s="56"/>
      <c r="R2675" s="56"/>
      <c r="S2675" s="56" t="s">
        <v>5819</v>
      </c>
      <c r="T2675" s="56">
        <v>2.1</v>
      </c>
      <c r="U2675" s="56" t="s">
        <v>29</v>
      </c>
      <c r="V2675" s="56" t="s">
        <v>5576</v>
      </c>
      <c r="W2675" s="67" t="str">
        <f t="shared" si="197"/>
        <v>-</v>
      </c>
    </row>
    <row r="2676" spans="1:23" x14ac:dyDescent="0.3">
      <c r="A2676" s="56" t="s">
        <v>5762</v>
      </c>
      <c r="B2676" s="56" t="s">
        <v>5689</v>
      </c>
      <c r="C2676" s="56">
        <v>7156692289</v>
      </c>
      <c r="D2676" s="56" t="s">
        <v>59</v>
      </c>
      <c r="E2676" s="56" t="s">
        <v>1632</v>
      </c>
      <c r="F2676" s="56" t="s">
        <v>5757</v>
      </c>
      <c r="G2676" s="56" t="s">
        <v>643</v>
      </c>
      <c r="H2676" s="57">
        <v>46238</v>
      </c>
      <c r="I2676" s="56" t="s">
        <v>5340</v>
      </c>
      <c r="J2676" s="56">
        <v>8</v>
      </c>
      <c r="K2676" s="56">
        <v>2026</v>
      </c>
      <c r="L2676" s="56">
        <v>3</v>
      </c>
      <c r="M2676" s="56">
        <v>9</v>
      </c>
      <c r="N2676" s="57">
        <v>46257</v>
      </c>
      <c r="O2676" s="56" t="s">
        <v>27</v>
      </c>
      <c r="P2676" s="59">
        <v>291497</v>
      </c>
      <c r="Q2676" s="56"/>
      <c r="R2676" s="56"/>
      <c r="S2676" s="56" t="s">
        <v>5195</v>
      </c>
      <c r="T2676" s="56">
        <v>33</v>
      </c>
      <c r="U2676" s="56" t="s">
        <v>63</v>
      </c>
      <c r="V2676" s="56" t="s">
        <v>5579</v>
      </c>
      <c r="W2676" s="67" t="str">
        <f t="shared" si="197"/>
        <v>-</v>
      </c>
    </row>
    <row r="2677" spans="1:23" x14ac:dyDescent="0.3">
      <c r="A2677" s="56" t="s">
        <v>5763</v>
      </c>
      <c r="B2677" s="56" t="s">
        <v>5646</v>
      </c>
      <c r="C2677" s="56">
        <v>7702618394</v>
      </c>
      <c r="D2677" s="56" t="s">
        <v>20</v>
      </c>
      <c r="E2677" s="56" t="s">
        <v>41</v>
      </c>
      <c r="F2677" s="56" t="s">
        <v>5757</v>
      </c>
      <c r="G2677" s="56" t="s">
        <v>52</v>
      </c>
      <c r="H2677" s="57">
        <v>46238</v>
      </c>
      <c r="I2677" s="56" t="s">
        <v>5340</v>
      </c>
      <c r="J2677" s="56">
        <v>8</v>
      </c>
      <c r="K2677" s="56">
        <v>2026</v>
      </c>
      <c r="L2677" s="56">
        <v>3</v>
      </c>
      <c r="M2677" s="56">
        <v>7</v>
      </c>
      <c r="N2677" s="57">
        <v>46255</v>
      </c>
      <c r="O2677" s="56" t="s">
        <v>97</v>
      </c>
      <c r="P2677" s="59">
        <v>232508</v>
      </c>
      <c r="Q2677" s="56">
        <v>216059</v>
      </c>
      <c r="R2677" s="56" t="s">
        <v>5764</v>
      </c>
      <c r="S2677" s="56" t="s">
        <v>5573</v>
      </c>
      <c r="T2677" s="56">
        <v>20.6</v>
      </c>
      <c r="U2677" s="56" t="s">
        <v>29</v>
      </c>
      <c r="V2677" s="56" t="s">
        <v>465</v>
      </c>
      <c r="W2677" s="67" t="str">
        <f t="shared" si="197"/>
        <v>Customer</v>
      </c>
    </row>
    <row r="2678" spans="1:23" x14ac:dyDescent="0.3">
      <c r="A2678" s="56" t="s">
        <v>5765</v>
      </c>
      <c r="B2678" s="56" t="s">
        <v>5729</v>
      </c>
      <c r="C2678" s="56">
        <v>8090963874</v>
      </c>
      <c r="D2678" s="56" t="s">
        <v>5577</v>
      </c>
      <c r="E2678" s="56" t="s">
        <v>109</v>
      </c>
      <c r="F2678" s="56" t="s">
        <v>5757</v>
      </c>
      <c r="G2678" s="56" t="s">
        <v>60</v>
      </c>
      <c r="H2678" s="57">
        <v>46238</v>
      </c>
      <c r="I2678" s="56" t="s">
        <v>5340</v>
      </c>
      <c r="J2678" s="56">
        <v>8</v>
      </c>
      <c r="K2678" s="56">
        <v>2026</v>
      </c>
      <c r="L2678" s="56">
        <v>3</v>
      </c>
      <c r="M2678" s="56">
        <v>0</v>
      </c>
      <c r="N2678" s="57">
        <v>46247</v>
      </c>
      <c r="O2678" s="56" t="s">
        <v>27</v>
      </c>
      <c r="P2678" s="59">
        <v>480904</v>
      </c>
      <c r="Q2678" s="56"/>
      <c r="R2678" s="56"/>
      <c r="S2678" s="56" t="s">
        <v>5819</v>
      </c>
      <c r="T2678" s="56">
        <v>16</v>
      </c>
      <c r="U2678" s="56" t="s">
        <v>63</v>
      </c>
      <c r="V2678" s="56" t="s">
        <v>202</v>
      </c>
      <c r="W2678" s="67" t="str">
        <f t="shared" si="197"/>
        <v>-</v>
      </c>
    </row>
    <row r="2679" spans="1:23" x14ac:dyDescent="0.3">
      <c r="A2679" s="56" t="s">
        <v>5766</v>
      </c>
      <c r="B2679" s="56" t="s">
        <v>5741</v>
      </c>
      <c r="C2679" s="56">
        <v>9736999129</v>
      </c>
      <c r="D2679" s="56" t="s">
        <v>5577</v>
      </c>
      <c r="E2679" s="56" t="s">
        <v>641</v>
      </c>
      <c r="F2679" s="56" t="s">
        <v>5757</v>
      </c>
      <c r="G2679" s="56" t="s">
        <v>87</v>
      </c>
      <c r="H2679" s="57">
        <v>46239</v>
      </c>
      <c r="I2679" s="56" t="s">
        <v>5340</v>
      </c>
      <c r="J2679" s="56">
        <v>8</v>
      </c>
      <c r="K2679" s="56">
        <v>2026</v>
      </c>
      <c r="L2679" s="56">
        <v>3</v>
      </c>
      <c r="M2679" s="56">
        <v>3</v>
      </c>
      <c r="N2679" s="57">
        <v>46244</v>
      </c>
      <c r="O2679" s="56" t="s">
        <v>27</v>
      </c>
      <c r="P2679" s="59">
        <v>219188</v>
      </c>
      <c r="Q2679" s="56"/>
      <c r="R2679" s="56"/>
      <c r="S2679" s="56" t="s">
        <v>5819</v>
      </c>
      <c r="T2679" s="56">
        <v>1</v>
      </c>
      <c r="U2679" s="56" t="s">
        <v>29</v>
      </c>
      <c r="V2679" s="56" t="s">
        <v>5579</v>
      </c>
      <c r="W2679" s="67" t="str">
        <f t="shared" si="197"/>
        <v>-</v>
      </c>
    </row>
    <row r="2680" spans="1:23" x14ac:dyDescent="0.3">
      <c r="A2680" s="56" t="s">
        <v>5767</v>
      </c>
      <c r="B2680" s="56" t="s">
        <v>5748</v>
      </c>
      <c r="C2680" s="56">
        <v>8594155854</v>
      </c>
      <c r="D2680" s="56" t="s">
        <v>5577</v>
      </c>
      <c r="E2680" s="56" t="s">
        <v>641</v>
      </c>
      <c r="F2680" s="56" t="s">
        <v>5757</v>
      </c>
      <c r="G2680" s="56" t="s">
        <v>52</v>
      </c>
      <c r="H2680" s="57">
        <v>46240</v>
      </c>
      <c r="I2680" s="56" t="s">
        <v>5340</v>
      </c>
      <c r="J2680" s="56">
        <v>8</v>
      </c>
      <c r="K2680" s="56">
        <v>2026</v>
      </c>
      <c r="L2680" s="56">
        <v>3</v>
      </c>
      <c r="M2680" s="56">
        <v>5</v>
      </c>
      <c r="N2680" s="57">
        <v>46259</v>
      </c>
      <c r="O2680" s="56" t="s">
        <v>45</v>
      </c>
      <c r="P2680" s="59">
        <v>193420</v>
      </c>
      <c r="Q2680" s="56"/>
      <c r="R2680" s="56"/>
      <c r="S2680" s="56" t="s">
        <v>5195</v>
      </c>
      <c r="T2680" s="56">
        <v>7.8</v>
      </c>
      <c r="U2680" s="56" t="s">
        <v>63</v>
      </c>
      <c r="V2680" s="56" t="s">
        <v>5588</v>
      </c>
      <c r="W2680" s="67" t="str">
        <f t="shared" si="197"/>
        <v>-</v>
      </c>
    </row>
    <row r="2681" spans="1:23" x14ac:dyDescent="0.3">
      <c r="A2681" s="56" t="s">
        <v>5768</v>
      </c>
      <c r="B2681" s="56" t="s">
        <v>5769</v>
      </c>
      <c r="C2681" s="56">
        <v>9953757666</v>
      </c>
      <c r="D2681" s="56" t="s">
        <v>5577</v>
      </c>
      <c r="E2681" s="56" t="s">
        <v>21</v>
      </c>
      <c r="F2681" s="56" t="s">
        <v>5757</v>
      </c>
      <c r="G2681" s="56" t="s">
        <v>60</v>
      </c>
      <c r="H2681" s="57">
        <v>46240</v>
      </c>
      <c r="I2681" s="56" t="s">
        <v>5340</v>
      </c>
      <c r="J2681" s="56">
        <v>8</v>
      </c>
      <c r="K2681" s="56">
        <v>2026</v>
      </c>
      <c r="L2681" s="56">
        <v>3</v>
      </c>
      <c r="M2681" s="56">
        <v>1</v>
      </c>
      <c r="N2681" s="57">
        <v>46248</v>
      </c>
      <c r="O2681" s="56" t="s">
        <v>97</v>
      </c>
      <c r="P2681" s="59">
        <v>637801</v>
      </c>
      <c r="Q2681" s="56">
        <v>624897</v>
      </c>
      <c r="R2681" s="56" t="s">
        <v>5770</v>
      </c>
      <c r="S2681" s="56" t="s">
        <v>5195</v>
      </c>
      <c r="T2681" s="56">
        <v>2.9</v>
      </c>
      <c r="U2681" s="56" t="s">
        <v>63</v>
      </c>
      <c r="V2681" s="56" t="s">
        <v>286</v>
      </c>
      <c r="W2681" s="67" t="str">
        <f t="shared" si="197"/>
        <v>Customer</v>
      </c>
    </row>
    <row r="2682" spans="1:23" x14ac:dyDescent="0.3">
      <c r="A2682" s="56" t="s">
        <v>5771</v>
      </c>
      <c r="B2682" s="56" t="s">
        <v>5772</v>
      </c>
      <c r="C2682" s="56">
        <v>8985948718</v>
      </c>
      <c r="D2682" s="56" t="s">
        <v>59</v>
      </c>
      <c r="E2682" s="56" t="s">
        <v>109</v>
      </c>
      <c r="F2682" s="56" t="s">
        <v>5757</v>
      </c>
      <c r="G2682" s="56" t="s">
        <v>87</v>
      </c>
      <c r="H2682" s="57">
        <v>46241</v>
      </c>
      <c r="I2682" s="56" t="s">
        <v>5340</v>
      </c>
      <c r="J2682" s="56">
        <v>8</v>
      </c>
      <c r="K2682" s="56">
        <v>2026</v>
      </c>
      <c r="L2682" s="56">
        <v>3</v>
      </c>
      <c r="M2682" s="56">
        <v>10</v>
      </c>
      <c r="N2682" s="57">
        <v>46245</v>
      </c>
      <c r="O2682" s="56" t="s">
        <v>97</v>
      </c>
      <c r="P2682" s="59">
        <v>530771</v>
      </c>
      <c r="Q2682" s="56">
        <v>521177</v>
      </c>
      <c r="R2682" s="56" t="s">
        <v>5773</v>
      </c>
      <c r="S2682" s="56" t="s">
        <v>5819</v>
      </c>
      <c r="T2682" s="56">
        <v>43.7</v>
      </c>
      <c r="U2682" s="56" t="s">
        <v>47</v>
      </c>
      <c r="V2682" s="56" t="s">
        <v>295</v>
      </c>
      <c r="W2682" s="67" t="str">
        <f t="shared" si="197"/>
        <v>Customer</v>
      </c>
    </row>
    <row r="2683" spans="1:23" x14ac:dyDescent="0.3">
      <c r="A2683" s="56" t="s">
        <v>5774</v>
      </c>
      <c r="B2683" s="56" t="s">
        <v>5775</v>
      </c>
      <c r="C2683" s="56">
        <v>8476455696</v>
      </c>
      <c r="D2683" s="56" t="s">
        <v>20</v>
      </c>
      <c r="E2683" s="56" t="s">
        <v>648</v>
      </c>
      <c r="F2683" s="56" t="s">
        <v>5757</v>
      </c>
      <c r="G2683" s="56" t="s">
        <v>69</v>
      </c>
      <c r="H2683" s="57">
        <v>46241</v>
      </c>
      <c r="I2683" s="56" t="s">
        <v>5340</v>
      </c>
      <c r="J2683" s="56">
        <v>8</v>
      </c>
      <c r="K2683" s="56">
        <v>2026</v>
      </c>
      <c r="L2683" s="56">
        <v>3</v>
      </c>
      <c r="M2683" s="56">
        <v>7</v>
      </c>
      <c r="N2683" s="57">
        <v>46245</v>
      </c>
      <c r="O2683" s="56" t="s">
        <v>97</v>
      </c>
      <c r="P2683" s="59">
        <v>121719</v>
      </c>
      <c r="Q2683" s="56">
        <v>107638</v>
      </c>
      <c r="R2683" s="56" t="s">
        <v>5776</v>
      </c>
      <c r="S2683" s="56" t="s">
        <v>5195</v>
      </c>
      <c r="T2683" s="56">
        <v>1.1000000000000001</v>
      </c>
      <c r="U2683" s="56" t="s">
        <v>29</v>
      </c>
      <c r="V2683" s="56" t="s">
        <v>295</v>
      </c>
      <c r="W2683" s="67" t="str">
        <f t="shared" si="197"/>
        <v>Customer</v>
      </c>
    </row>
    <row r="2684" spans="1:23" x14ac:dyDescent="0.3">
      <c r="A2684" s="56" t="s">
        <v>5777</v>
      </c>
      <c r="B2684" s="56" t="s">
        <v>5737</v>
      </c>
      <c r="C2684" s="56">
        <v>9737153961</v>
      </c>
      <c r="D2684" s="56" t="s">
        <v>20</v>
      </c>
      <c r="E2684" s="56" t="s">
        <v>41</v>
      </c>
      <c r="F2684" s="56" t="s">
        <v>5757</v>
      </c>
      <c r="G2684" s="56" t="s">
        <v>643</v>
      </c>
      <c r="H2684" s="57">
        <v>46242</v>
      </c>
      <c r="I2684" s="56" t="s">
        <v>5340</v>
      </c>
      <c r="J2684" s="56">
        <v>8</v>
      </c>
      <c r="K2684" s="56">
        <v>2026</v>
      </c>
      <c r="L2684" s="56">
        <v>3</v>
      </c>
      <c r="M2684" s="56">
        <v>2</v>
      </c>
      <c r="N2684" s="57">
        <v>46249</v>
      </c>
      <c r="O2684" s="56" t="s">
        <v>45</v>
      </c>
      <c r="P2684" s="59">
        <v>550884</v>
      </c>
      <c r="Q2684" s="56"/>
      <c r="R2684" s="56"/>
      <c r="S2684" s="56" t="s">
        <v>5819</v>
      </c>
      <c r="T2684" s="56">
        <v>27.4</v>
      </c>
      <c r="U2684" s="56" t="s">
        <v>47</v>
      </c>
      <c r="V2684" s="56" t="s">
        <v>5581</v>
      </c>
      <c r="W2684" s="67" t="str">
        <f t="shared" si="197"/>
        <v>-</v>
      </c>
    </row>
    <row r="2685" spans="1:23" x14ac:dyDescent="0.3">
      <c r="A2685" s="56" t="s">
        <v>5778</v>
      </c>
      <c r="B2685" s="56" t="s">
        <v>5779</v>
      </c>
      <c r="C2685" s="56">
        <v>8089116285</v>
      </c>
      <c r="D2685" s="56" t="s">
        <v>5577</v>
      </c>
      <c r="E2685" s="56" t="s">
        <v>41</v>
      </c>
      <c r="F2685" s="56" t="s">
        <v>5757</v>
      </c>
      <c r="G2685" s="56" t="s">
        <v>52</v>
      </c>
      <c r="H2685" s="57">
        <v>46242</v>
      </c>
      <c r="I2685" s="56" t="s">
        <v>5340</v>
      </c>
      <c r="J2685" s="56">
        <v>8</v>
      </c>
      <c r="K2685" s="56">
        <v>2026</v>
      </c>
      <c r="L2685" s="56">
        <v>3</v>
      </c>
      <c r="M2685" s="56">
        <v>2</v>
      </c>
      <c r="N2685" s="57">
        <v>46261</v>
      </c>
      <c r="O2685" s="56" t="s">
        <v>27</v>
      </c>
      <c r="P2685" s="59">
        <v>435774</v>
      </c>
      <c r="Q2685" s="56"/>
      <c r="R2685" s="56"/>
      <c r="S2685" s="56" t="s">
        <v>5573</v>
      </c>
      <c r="T2685" s="56">
        <v>3.6</v>
      </c>
      <c r="U2685" s="56" t="s">
        <v>29</v>
      </c>
      <c r="V2685" s="56" t="s">
        <v>5580</v>
      </c>
      <c r="W2685" s="67" t="str">
        <f t="shared" si="197"/>
        <v>-</v>
      </c>
    </row>
    <row r="2686" spans="1:23" x14ac:dyDescent="0.3">
      <c r="A2686" s="56" t="s">
        <v>5780</v>
      </c>
      <c r="B2686" s="56" t="s">
        <v>5604</v>
      </c>
      <c r="C2686" s="56">
        <v>7900709448</v>
      </c>
      <c r="D2686" s="56" t="s">
        <v>59</v>
      </c>
      <c r="E2686" s="56" t="s">
        <v>1632</v>
      </c>
      <c r="F2686" s="56" t="s">
        <v>5757</v>
      </c>
      <c r="G2686" s="56" t="s">
        <v>23</v>
      </c>
      <c r="H2686" s="57">
        <v>46244</v>
      </c>
      <c r="I2686" s="56" t="s">
        <v>5340</v>
      </c>
      <c r="J2686" s="56">
        <v>8</v>
      </c>
      <c r="K2686" s="56">
        <v>2026</v>
      </c>
      <c r="L2686" s="56">
        <v>3</v>
      </c>
      <c r="M2686" s="56">
        <v>5</v>
      </c>
      <c r="N2686" s="57">
        <v>46245</v>
      </c>
      <c r="O2686" s="56" t="s">
        <v>97</v>
      </c>
      <c r="P2686" s="59">
        <v>469092</v>
      </c>
      <c r="Q2686" s="56">
        <v>414464</v>
      </c>
      <c r="R2686" s="56" t="s">
        <v>5781</v>
      </c>
      <c r="S2686" s="56" t="s">
        <v>5819</v>
      </c>
      <c r="T2686" s="56">
        <v>20.399999999999999</v>
      </c>
      <c r="U2686" s="56" t="s">
        <v>29</v>
      </c>
      <c r="V2686" s="56" t="s">
        <v>465</v>
      </c>
      <c r="W2686" s="67" t="str">
        <f t="shared" si="197"/>
        <v>Customer</v>
      </c>
    </row>
    <row r="2687" spans="1:23" x14ac:dyDescent="0.3">
      <c r="A2687" s="56" t="s">
        <v>5782</v>
      </c>
      <c r="B2687" s="56" t="s">
        <v>5590</v>
      </c>
      <c r="C2687" s="56">
        <v>8176401373</v>
      </c>
      <c r="D2687" s="56" t="s">
        <v>5577</v>
      </c>
      <c r="E2687" s="56" t="s">
        <v>1632</v>
      </c>
      <c r="F2687" s="56" t="s">
        <v>5757</v>
      </c>
      <c r="G2687" s="56" t="s">
        <v>52</v>
      </c>
      <c r="H2687" s="57">
        <v>46244</v>
      </c>
      <c r="I2687" s="56" t="s">
        <v>5340</v>
      </c>
      <c r="J2687" s="56">
        <v>8</v>
      </c>
      <c r="K2687" s="56">
        <v>2026</v>
      </c>
      <c r="L2687" s="56">
        <v>3</v>
      </c>
      <c r="M2687" s="56">
        <v>5</v>
      </c>
      <c r="N2687" s="57">
        <v>46246</v>
      </c>
      <c r="O2687" s="56" t="s">
        <v>62</v>
      </c>
      <c r="P2687" s="59">
        <v>130425</v>
      </c>
      <c r="Q2687" s="56"/>
      <c r="R2687" s="56"/>
      <c r="S2687" s="56" t="s">
        <v>5573</v>
      </c>
      <c r="T2687" s="56">
        <v>33.200000000000003</v>
      </c>
      <c r="U2687" s="56" t="s">
        <v>63</v>
      </c>
      <c r="V2687" s="56" t="s">
        <v>5613</v>
      </c>
      <c r="W2687" s="67" t="str">
        <f t="shared" si="197"/>
        <v>-</v>
      </c>
    </row>
    <row r="2688" spans="1:23" x14ac:dyDescent="0.3">
      <c r="A2688" s="56" t="s">
        <v>5783</v>
      </c>
      <c r="B2688" s="56" t="s">
        <v>5704</v>
      </c>
      <c r="C2688" s="56">
        <v>9426427289</v>
      </c>
      <c r="D2688" s="56" t="s">
        <v>5577</v>
      </c>
      <c r="E2688" s="56" t="s">
        <v>641</v>
      </c>
      <c r="F2688" s="56" t="s">
        <v>5757</v>
      </c>
      <c r="G2688" s="56" t="s">
        <v>35</v>
      </c>
      <c r="H2688" s="57">
        <v>46244</v>
      </c>
      <c r="I2688" s="56" t="s">
        <v>5340</v>
      </c>
      <c r="J2688" s="56">
        <v>8</v>
      </c>
      <c r="K2688" s="56">
        <v>2026</v>
      </c>
      <c r="L2688" s="56">
        <v>3</v>
      </c>
      <c r="M2688" s="56">
        <v>5</v>
      </c>
      <c r="N2688" s="57">
        <v>46259</v>
      </c>
      <c r="O2688" s="56" t="s">
        <v>97</v>
      </c>
      <c r="P2688" s="59">
        <v>501965</v>
      </c>
      <c r="Q2688" s="56">
        <v>449893</v>
      </c>
      <c r="R2688" s="56" t="s">
        <v>5764</v>
      </c>
      <c r="S2688" s="56" t="s">
        <v>5195</v>
      </c>
      <c r="T2688" s="56">
        <v>18.600000000000001</v>
      </c>
      <c r="U2688" s="56" t="s">
        <v>47</v>
      </c>
      <c r="V2688" s="56" t="s">
        <v>341</v>
      </c>
      <c r="W2688" s="67" t="str">
        <f t="shared" si="197"/>
        <v>Customer</v>
      </c>
    </row>
    <row r="2689" spans="1:23" x14ac:dyDescent="0.3">
      <c r="A2689" s="56" t="s">
        <v>5784</v>
      </c>
      <c r="B2689" s="56" t="s">
        <v>1658</v>
      </c>
      <c r="C2689" s="56">
        <v>9614854778</v>
      </c>
      <c r="D2689" s="56" t="s">
        <v>20</v>
      </c>
      <c r="E2689" s="56" t="s">
        <v>109</v>
      </c>
      <c r="F2689" s="56" t="s">
        <v>5757</v>
      </c>
      <c r="G2689" s="56" t="s">
        <v>3302</v>
      </c>
      <c r="H2689" s="57">
        <v>46245</v>
      </c>
      <c r="I2689" s="56" t="s">
        <v>5340</v>
      </c>
      <c r="J2689" s="56">
        <v>8</v>
      </c>
      <c r="K2689" s="56">
        <v>2026</v>
      </c>
      <c r="L2689" s="56">
        <v>3</v>
      </c>
      <c r="M2689" s="56">
        <v>2</v>
      </c>
      <c r="N2689" s="57">
        <v>46257</v>
      </c>
      <c r="O2689" s="56" t="s">
        <v>45</v>
      </c>
      <c r="P2689" s="59">
        <v>518443</v>
      </c>
      <c r="Q2689" s="56"/>
      <c r="R2689" s="56"/>
      <c r="S2689" s="56" t="s">
        <v>5573</v>
      </c>
      <c r="T2689" s="56">
        <v>26.3</v>
      </c>
      <c r="U2689" s="56" t="s">
        <v>29</v>
      </c>
      <c r="V2689" s="56" t="s">
        <v>5588</v>
      </c>
      <c r="W2689" s="67" t="str">
        <f t="shared" si="197"/>
        <v>-</v>
      </c>
    </row>
    <row r="2690" spans="1:23" x14ac:dyDescent="0.3">
      <c r="A2690" s="56" t="s">
        <v>5785</v>
      </c>
      <c r="B2690" s="56" t="s">
        <v>5786</v>
      </c>
      <c r="C2690" s="56">
        <v>8290745888</v>
      </c>
      <c r="D2690" s="56" t="s">
        <v>5577</v>
      </c>
      <c r="E2690" s="56" t="s">
        <v>41</v>
      </c>
      <c r="F2690" s="56" t="s">
        <v>5757</v>
      </c>
      <c r="G2690" s="56" t="s">
        <v>69</v>
      </c>
      <c r="H2690" s="57">
        <v>46245</v>
      </c>
      <c r="I2690" s="56" t="s">
        <v>5340</v>
      </c>
      <c r="J2690" s="56">
        <v>8</v>
      </c>
      <c r="K2690" s="56">
        <v>2026</v>
      </c>
      <c r="L2690" s="56">
        <v>3</v>
      </c>
      <c r="M2690" s="56">
        <v>2</v>
      </c>
      <c r="N2690" s="57">
        <v>46255</v>
      </c>
      <c r="O2690" s="56" t="s">
        <v>45</v>
      </c>
      <c r="P2690" s="59">
        <v>528949</v>
      </c>
      <c r="Q2690" s="56"/>
      <c r="R2690" s="56"/>
      <c r="S2690" s="56" t="s">
        <v>5573</v>
      </c>
      <c r="T2690" s="56">
        <v>13.7</v>
      </c>
      <c r="U2690" s="56" t="s">
        <v>47</v>
      </c>
      <c r="V2690" s="56" t="s">
        <v>5578</v>
      </c>
      <c r="W2690" s="67" t="str">
        <f t="shared" ref="W2690:W2713" si="198">IF($O2690&lt;&gt;"Converted","-",IF(ISNUMBER(SEARCH("Architect",$F2690)),"Architect","Customer"))</f>
        <v>-</v>
      </c>
    </row>
    <row r="2691" spans="1:23" x14ac:dyDescent="0.3">
      <c r="A2691" s="56" t="s">
        <v>5787</v>
      </c>
      <c r="B2691" s="56" t="s">
        <v>5604</v>
      </c>
      <c r="C2691" s="56">
        <v>8678406599</v>
      </c>
      <c r="D2691" s="56" t="s">
        <v>59</v>
      </c>
      <c r="E2691" s="56" t="s">
        <v>41</v>
      </c>
      <c r="F2691" s="56" t="s">
        <v>5757</v>
      </c>
      <c r="G2691" s="56" t="s">
        <v>643</v>
      </c>
      <c r="H2691" s="57">
        <v>46246</v>
      </c>
      <c r="I2691" s="56" t="s">
        <v>5340</v>
      </c>
      <c r="J2691" s="56">
        <v>8</v>
      </c>
      <c r="K2691" s="56">
        <v>2026</v>
      </c>
      <c r="L2691" s="56">
        <v>3</v>
      </c>
      <c r="M2691" s="56">
        <v>3</v>
      </c>
      <c r="N2691" s="57">
        <v>46248</v>
      </c>
      <c r="O2691" s="56" t="s">
        <v>45</v>
      </c>
      <c r="P2691" s="59">
        <v>649822</v>
      </c>
      <c r="Q2691" s="56"/>
      <c r="R2691" s="56"/>
      <c r="S2691" s="56" t="s">
        <v>5573</v>
      </c>
      <c r="T2691" s="56">
        <v>25.5</v>
      </c>
      <c r="U2691" s="56" t="s">
        <v>29</v>
      </c>
      <c r="V2691" s="56" t="s">
        <v>195</v>
      </c>
      <c r="W2691" s="67" t="str">
        <f t="shared" si="198"/>
        <v>-</v>
      </c>
    </row>
    <row r="2692" spans="1:23" x14ac:dyDescent="0.3">
      <c r="A2692" s="56" t="s">
        <v>5788</v>
      </c>
      <c r="B2692" s="56" t="s">
        <v>5769</v>
      </c>
      <c r="C2692" s="56">
        <v>9113184097</v>
      </c>
      <c r="D2692" s="56" t="s">
        <v>20</v>
      </c>
      <c r="E2692" s="56" t="s">
        <v>648</v>
      </c>
      <c r="F2692" s="56" t="s">
        <v>5757</v>
      </c>
      <c r="G2692" s="56" t="s">
        <v>35</v>
      </c>
      <c r="H2692" s="57">
        <v>46247</v>
      </c>
      <c r="I2692" s="56" t="s">
        <v>5340</v>
      </c>
      <c r="J2692" s="56">
        <v>8</v>
      </c>
      <c r="K2692" s="56">
        <v>2026</v>
      </c>
      <c r="L2692" s="56">
        <v>3</v>
      </c>
      <c r="M2692" s="56">
        <v>10</v>
      </c>
      <c r="N2692" s="57">
        <v>46256</v>
      </c>
      <c r="O2692" s="56" t="s">
        <v>97</v>
      </c>
      <c r="P2692" s="59">
        <v>492547</v>
      </c>
      <c r="Q2692" s="56">
        <v>427584</v>
      </c>
      <c r="R2692" s="56" t="s">
        <v>5789</v>
      </c>
      <c r="S2692" s="56" t="s">
        <v>5195</v>
      </c>
      <c r="T2692" s="56">
        <v>44.6</v>
      </c>
      <c r="U2692" s="56" t="s">
        <v>29</v>
      </c>
      <c r="V2692" s="56" t="s">
        <v>465</v>
      </c>
      <c r="W2692" s="67" t="str">
        <f t="shared" si="198"/>
        <v>Customer</v>
      </c>
    </row>
    <row r="2693" spans="1:23" x14ac:dyDescent="0.3">
      <c r="A2693" s="56" t="s">
        <v>5790</v>
      </c>
      <c r="B2693" s="56" t="s">
        <v>5791</v>
      </c>
      <c r="C2693" s="56">
        <v>7625469239</v>
      </c>
      <c r="D2693" s="56" t="s">
        <v>20</v>
      </c>
      <c r="E2693" s="56" t="s">
        <v>21</v>
      </c>
      <c r="F2693" s="56" t="s">
        <v>5757</v>
      </c>
      <c r="G2693" s="56" t="s">
        <v>3302</v>
      </c>
      <c r="H2693" s="57">
        <v>46248</v>
      </c>
      <c r="I2693" s="56" t="s">
        <v>5340</v>
      </c>
      <c r="J2693" s="56">
        <v>8</v>
      </c>
      <c r="K2693" s="56">
        <v>2026</v>
      </c>
      <c r="L2693" s="56">
        <v>3</v>
      </c>
      <c r="M2693" s="56">
        <v>3</v>
      </c>
      <c r="N2693" s="57">
        <v>46260</v>
      </c>
      <c r="O2693" s="56" t="s">
        <v>27</v>
      </c>
      <c r="P2693" s="59">
        <v>464828</v>
      </c>
      <c r="Q2693" s="56"/>
      <c r="R2693" s="56"/>
      <c r="S2693" s="56" t="s">
        <v>5573</v>
      </c>
      <c r="T2693" s="56">
        <v>13.7</v>
      </c>
      <c r="U2693" s="56" t="s">
        <v>63</v>
      </c>
      <c r="V2693" s="56" t="s">
        <v>5580</v>
      </c>
      <c r="W2693" s="67" t="str">
        <f t="shared" si="198"/>
        <v>-</v>
      </c>
    </row>
    <row r="2694" spans="1:23" x14ac:dyDescent="0.3">
      <c r="A2694" s="56" t="s">
        <v>5792</v>
      </c>
      <c r="B2694" s="56" t="s">
        <v>5793</v>
      </c>
      <c r="C2694" s="56">
        <v>9731245690</v>
      </c>
      <c r="D2694" s="56" t="s">
        <v>59</v>
      </c>
      <c r="E2694" s="56" t="s">
        <v>33</v>
      </c>
      <c r="F2694" s="56" t="s">
        <v>5757</v>
      </c>
      <c r="G2694" s="56" t="s">
        <v>35</v>
      </c>
      <c r="H2694" s="57">
        <v>46248</v>
      </c>
      <c r="I2694" s="56" t="s">
        <v>5340</v>
      </c>
      <c r="J2694" s="56">
        <v>8</v>
      </c>
      <c r="K2694" s="56">
        <v>2026</v>
      </c>
      <c r="L2694" s="56">
        <v>3</v>
      </c>
      <c r="M2694" s="56">
        <v>5</v>
      </c>
      <c r="N2694" s="57">
        <v>46258</v>
      </c>
      <c r="O2694" s="56" t="s">
        <v>27</v>
      </c>
      <c r="P2694" s="59">
        <v>170680</v>
      </c>
      <c r="Q2694" s="56"/>
      <c r="R2694" s="56"/>
      <c r="S2694" s="56" t="s">
        <v>5819</v>
      </c>
      <c r="T2694" s="56">
        <v>12.5</v>
      </c>
      <c r="U2694" s="56" t="s">
        <v>29</v>
      </c>
      <c r="V2694" s="56" t="s">
        <v>202</v>
      </c>
      <c r="W2694" s="67" t="str">
        <f t="shared" si="198"/>
        <v>-</v>
      </c>
    </row>
    <row r="2695" spans="1:23" x14ac:dyDescent="0.3">
      <c r="A2695" s="56" t="s">
        <v>5794</v>
      </c>
      <c r="B2695" s="56" t="s">
        <v>1103</v>
      </c>
      <c r="C2695" s="56">
        <v>9397692282</v>
      </c>
      <c r="D2695" s="56" t="s">
        <v>5577</v>
      </c>
      <c r="E2695" s="56" t="s">
        <v>641</v>
      </c>
      <c r="F2695" s="56" t="s">
        <v>5757</v>
      </c>
      <c r="G2695" s="56" t="s">
        <v>60</v>
      </c>
      <c r="H2695" s="57">
        <v>46249</v>
      </c>
      <c r="I2695" s="56" t="s">
        <v>5340</v>
      </c>
      <c r="J2695" s="56">
        <v>8</v>
      </c>
      <c r="K2695" s="56">
        <v>2026</v>
      </c>
      <c r="L2695" s="56">
        <v>3</v>
      </c>
      <c r="M2695" s="56">
        <v>2</v>
      </c>
      <c r="N2695" s="57">
        <v>46262</v>
      </c>
      <c r="O2695" s="56" t="s">
        <v>27</v>
      </c>
      <c r="P2695" s="59">
        <v>274230</v>
      </c>
      <c r="Q2695" s="56"/>
      <c r="R2695" s="56"/>
      <c r="S2695" s="56" t="s">
        <v>5819</v>
      </c>
      <c r="T2695" s="56">
        <v>16</v>
      </c>
      <c r="U2695" s="56" t="s">
        <v>47</v>
      </c>
      <c r="V2695" s="56" t="s">
        <v>5575</v>
      </c>
      <c r="W2695" s="67" t="str">
        <f t="shared" si="198"/>
        <v>-</v>
      </c>
    </row>
    <row r="2696" spans="1:23" x14ac:dyDescent="0.3">
      <c r="A2696" s="56" t="s">
        <v>5795</v>
      </c>
      <c r="B2696" s="56" t="s">
        <v>5796</v>
      </c>
      <c r="C2696" s="56">
        <v>7808476481</v>
      </c>
      <c r="D2696" s="56" t="s">
        <v>20</v>
      </c>
      <c r="E2696" s="56" t="s">
        <v>1632</v>
      </c>
      <c r="F2696" s="56" t="s">
        <v>5757</v>
      </c>
      <c r="G2696" s="56" t="s">
        <v>52</v>
      </c>
      <c r="H2696" s="57">
        <v>46249</v>
      </c>
      <c r="I2696" s="56" t="s">
        <v>5340</v>
      </c>
      <c r="J2696" s="56">
        <v>8</v>
      </c>
      <c r="K2696" s="56">
        <v>2026</v>
      </c>
      <c r="L2696" s="56">
        <v>3</v>
      </c>
      <c r="M2696" s="56">
        <v>9</v>
      </c>
      <c r="N2696" s="57">
        <v>46254</v>
      </c>
      <c r="O2696" s="56" t="s">
        <v>45</v>
      </c>
      <c r="P2696" s="59">
        <v>257513</v>
      </c>
      <c r="Q2696" s="56"/>
      <c r="R2696" s="56"/>
      <c r="S2696" s="56" t="s">
        <v>5819</v>
      </c>
      <c r="T2696" s="56">
        <v>38.5</v>
      </c>
      <c r="U2696" s="56" t="s">
        <v>47</v>
      </c>
      <c r="V2696" s="56" t="s">
        <v>5588</v>
      </c>
      <c r="W2696" s="67" t="str">
        <f t="shared" si="198"/>
        <v>-</v>
      </c>
    </row>
    <row r="2697" spans="1:23" x14ac:dyDescent="0.3">
      <c r="A2697" s="56" t="s">
        <v>5797</v>
      </c>
      <c r="B2697" s="56" t="s">
        <v>4780</v>
      </c>
      <c r="C2697" s="56">
        <v>8327956632</v>
      </c>
      <c r="D2697" s="56" t="s">
        <v>59</v>
      </c>
      <c r="E2697" s="56" t="s">
        <v>67</v>
      </c>
      <c r="F2697" s="56" t="s">
        <v>5757</v>
      </c>
      <c r="G2697" s="56" t="s">
        <v>23</v>
      </c>
      <c r="H2697" s="57">
        <v>46251</v>
      </c>
      <c r="I2697" s="56" t="s">
        <v>5340</v>
      </c>
      <c r="J2697" s="56">
        <v>8</v>
      </c>
      <c r="K2697" s="56">
        <v>2026</v>
      </c>
      <c r="L2697" s="56">
        <v>3</v>
      </c>
      <c r="M2697" s="56">
        <v>0</v>
      </c>
      <c r="N2697" s="57">
        <v>46262</v>
      </c>
      <c r="O2697" s="56" t="s">
        <v>45</v>
      </c>
      <c r="P2697" s="59">
        <v>422983</v>
      </c>
      <c r="Q2697" s="56"/>
      <c r="R2697" s="56"/>
      <c r="S2697" s="56" t="s">
        <v>5819</v>
      </c>
      <c r="T2697" s="56">
        <v>37.299999999999997</v>
      </c>
      <c r="U2697" s="56" t="s">
        <v>29</v>
      </c>
      <c r="V2697" s="56" t="s">
        <v>5798</v>
      </c>
      <c r="W2697" s="67" t="str">
        <f t="shared" si="198"/>
        <v>-</v>
      </c>
    </row>
    <row r="2698" spans="1:23" x14ac:dyDescent="0.3">
      <c r="A2698" s="56" t="s">
        <v>5799</v>
      </c>
      <c r="B2698" s="56" t="s">
        <v>5593</v>
      </c>
      <c r="C2698" s="56">
        <v>8843067704</v>
      </c>
      <c r="D2698" s="56" t="s">
        <v>20</v>
      </c>
      <c r="E2698" s="56" t="s">
        <v>641</v>
      </c>
      <c r="F2698" s="56" t="s">
        <v>5757</v>
      </c>
      <c r="G2698" s="56" t="s">
        <v>23</v>
      </c>
      <c r="H2698" s="57">
        <v>46252</v>
      </c>
      <c r="I2698" s="56" t="s">
        <v>5340</v>
      </c>
      <c r="J2698" s="56">
        <v>8</v>
      </c>
      <c r="K2698" s="56">
        <v>2026</v>
      </c>
      <c r="L2698" s="56">
        <v>3</v>
      </c>
      <c r="M2698" s="56">
        <v>7</v>
      </c>
      <c r="N2698" s="57">
        <v>46253</v>
      </c>
      <c r="O2698" s="56" t="s">
        <v>27</v>
      </c>
      <c r="P2698" s="59">
        <v>130996</v>
      </c>
      <c r="Q2698" s="56"/>
      <c r="R2698" s="56"/>
      <c r="S2698" s="56" t="s">
        <v>5819</v>
      </c>
      <c r="T2698" s="56">
        <v>2.2000000000000002</v>
      </c>
      <c r="U2698" s="56" t="s">
        <v>63</v>
      </c>
      <c r="V2698" s="56" t="s">
        <v>5579</v>
      </c>
      <c r="W2698" s="67" t="str">
        <f t="shared" si="198"/>
        <v>-</v>
      </c>
    </row>
    <row r="2699" spans="1:23" x14ac:dyDescent="0.3">
      <c r="A2699" s="56" t="s">
        <v>5800</v>
      </c>
      <c r="B2699" s="56" t="s">
        <v>5713</v>
      </c>
      <c r="C2699" s="56">
        <v>7939107535</v>
      </c>
      <c r="D2699" s="56" t="s">
        <v>20</v>
      </c>
      <c r="E2699" s="56" t="s">
        <v>1632</v>
      </c>
      <c r="F2699" s="56" t="s">
        <v>5757</v>
      </c>
      <c r="G2699" s="56" t="s">
        <v>87</v>
      </c>
      <c r="H2699" s="57">
        <v>46252</v>
      </c>
      <c r="I2699" s="56" t="s">
        <v>5340</v>
      </c>
      <c r="J2699" s="56">
        <v>8</v>
      </c>
      <c r="K2699" s="56">
        <v>2026</v>
      </c>
      <c r="L2699" s="56">
        <v>3</v>
      </c>
      <c r="M2699" s="56">
        <v>10</v>
      </c>
      <c r="N2699" s="57">
        <v>46262</v>
      </c>
      <c r="O2699" s="56" t="s">
        <v>27</v>
      </c>
      <c r="P2699" s="59">
        <v>206667</v>
      </c>
      <c r="Q2699" s="56"/>
      <c r="R2699" s="56"/>
      <c r="S2699" s="56" t="s">
        <v>5195</v>
      </c>
      <c r="T2699" s="56">
        <v>12.9</v>
      </c>
      <c r="U2699" s="56" t="s">
        <v>29</v>
      </c>
      <c r="V2699" s="56" t="s">
        <v>38</v>
      </c>
      <c r="W2699" s="67" t="str">
        <f t="shared" si="198"/>
        <v>-</v>
      </c>
    </row>
    <row r="2700" spans="1:23" x14ac:dyDescent="0.3">
      <c r="A2700" s="56" t="s">
        <v>5801</v>
      </c>
      <c r="B2700" s="56" t="s">
        <v>5615</v>
      </c>
      <c r="C2700" s="56">
        <v>8539249416</v>
      </c>
      <c r="D2700" s="56" t="s">
        <v>20</v>
      </c>
      <c r="E2700" s="56" t="s">
        <v>109</v>
      </c>
      <c r="F2700" s="56" t="s">
        <v>5757</v>
      </c>
      <c r="G2700" s="56" t="s">
        <v>23</v>
      </c>
      <c r="H2700" s="57">
        <v>46253</v>
      </c>
      <c r="I2700" s="56" t="s">
        <v>5340</v>
      </c>
      <c r="J2700" s="56">
        <v>8</v>
      </c>
      <c r="K2700" s="56">
        <v>2026</v>
      </c>
      <c r="L2700" s="56">
        <v>3</v>
      </c>
      <c r="M2700" s="56">
        <v>7</v>
      </c>
      <c r="N2700" s="57">
        <v>46262</v>
      </c>
      <c r="O2700" s="56" t="s">
        <v>97</v>
      </c>
      <c r="P2700" s="59">
        <v>558634</v>
      </c>
      <c r="Q2700" s="56">
        <v>479355</v>
      </c>
      <c r="R2700" s="56" t="s">
        <v>5764</v>
      </c>
      <c r="S2700" s="56" t="s">
        <v>5195</v>
      </c>
      <c r="T2700" s="56">
        <v>30.6</v>
      </c>
      <c r="U2700" s="56" t="s">
        <v>63</v>
      </c>
      <c r="V2700" s="56" t="s">
        <v>465</v>
      </c>
      <c r="W2700" s="67" t="str">
        <f t="shared" si="198"/>
        <v>Customer</v>
      </c>
    </row>
    <row r="2701" spans="1:23" x14ac:dyDescent="0.3">
      <c r="A2701" s="56" t="s">
        <v>5802</v>
      </c>
      <c r="B2701" s="56" t="s">
        <v>5633</v>
      </c>
      <c r="C2701" s="56">
        <v>8974193936</v>
      </c>
      <c r="D2701" s="56" t="s">
        <v>59</v>
      </c>
      <c r="E2701" s="56" t="s">
        <v>67</v>
      </c>
      <c r="F2701" s="56" t="s">
        <v>5757</v>
      </c>
      <c r="G2701" s="56" t="s">
        <v>87</v>
      </c>
      <c r="H2701" s="57">
        <v>46253</v>
      </c>
      <c r="I2701" s="56" t="s">
        <v>5340</v>
      </c>
      <c r="J2701" s="56">
        <v>8</v>
      </c>
      <c r="K2701" s="56">
        <v>2026</v>
      </c>
      <c r="L2701" s="56">
        <v>3</v>
      </c>
      <c r="M2701" s="56">
        <v>5</v>
      </c>
      <c r="N2701" s="57">
        <v>46254</v>
      </c>
      <c r="O2701" s="56" t="s">
        <v>45</v>
      </c>
      <c r="P2701" s="59">
        <v>487712</v>
      </c>
      <c r="Q2701" s="56"/>
      <c r="R2701" s="56"/>
      <c r="S2701" s="56" t="s">
        <v>5573</v>
      </c>
      <c r="T2701" s="56">
        <v>13.9</v>
      </c>
      <c r="U2701" s="56" t="s">
        <v>29</v>
      </c>
      <c r="V2701" s="56" t="s">
        <v>5581</v>
      </c>
      <c r="W2701" s="67" t="str">
        <f t="shared" si="198"/>
        <v>-</v>
      </c>
    </row>
    <row r="2702" spans="1:23" x14ac:dyDescent="0.3">
      <c r="A2702" s="56" t="s">
        <v>5803</v>
      </c>
      <c r="B2702" s="56" t="s">
        <v>5804</v>
      </c>
      <c r="C2702" s="56">
        <v>9730771081</v>
      </c>
      <c r="D2702" s="56" t="s">
        <v>20</v>
      </c>
      <c r="E2702" s="56" t="s">
        <v>1632</v>
      </c>
      <c r="F2702" s="56" t="s">
        <v>5757</v>
      </c>
      <c r="G2702" s="56" t="s">
        <v>23</v>
      </c>
      <c r="H2702" s="57">
        <v>46254</v>
      </c>
      <c r="I2702" s="56" t="s">
        <v>5340</v>
      </c>
      <c r="J2702" s="56">
        <v>8</v>
      </c>
      <c r="K2702" s="56">
        <v>2026</v>
      </c>
      <c r="L2702" s="56">
        <v>3</v>
      </c>
      <c r="M2702" s="56">
        <v>2</v>
      </c>
      <c r="N2702" s="57">
        <v>46262</v>
      </c>
      <c r="O2702" s="56" t="s">
        <v>97</v>
      </c>
      <c r="P2702" s="59">
        <v>154063</v>
      </c>
      <c r="Q2702" s="56">
        <v>146939</v>
      </c>
      <c r="R2702" s="56" t="s">
        <v>5764</v>
      </c>
      <c r="S2702" s="56" t="s">
        <v>5819</v>
      </c>
      <c r="T2702" s="56">
        <v>13.2</v>
      </c>
      <c r="U2702" s="56" t="s">
        <v>47</v>
      </c>
      <c r="V2702" s="56" t="s">
        <v>341</v>
      </c>
      <c r="W2702" s="67" t="str">
        <f t="shared" si="198"/>
        <v>Customer</v>
      </c>
    </row>
    <row r="2703" spans="1:23" x14ac:dyDescent="0.3">
      <c r="A2703" s="56" t="s">
        <v>5805</v>
      </c>
      <c r="B2703" s="56" t="s">
        <v>5704</v>
      </c>
      <c r="C2703" s="56">
        <v>7849482522</v>
      </c>
      <c r="D2703" s="56" t="s">
        <v>5577</v>
      </c>
      <c r="E2703" s="56" t="s">
        <v>41</v>
      </c>
      <c r="F2703" s="56" t="s">
        <v>5757</v>
      </c>
      <c r="G2703" s="56" t="s">
        <v>3302</v>
      </c>
      <c r="H2703" s="57">
        <v>46254</v>
      </c>
      <c r="I2703" s="56" t="s">
        <v>5340</v>
      </c>
      <c r="J2703" s="56">
        <v>8</v>
      </c>
      <c r="K2703" s="56">
        <v>2026</v>
      </c>
      <c r="L2703" s="56">
        <v>3</v>
      </c>
      <c r="M2703" s="56">
        <v>0</v>
      </c>
      <c r="N2703" s="57">
        <v>46259</v>
      </c>
      <c r="O2703" s="56" t="s">
        <v>97</v>
      </c>
      <c r="P2703" s="59">
        <v>420191</v>
      </c>
      <c r="Q2703" s="56">
        <v>392368</v>
      </c>
      <c r="R2703" s="56" t="s">
        <v>5764</v>
      </c>
      <c r="S2703" s="56" t="s">
        <v>5195</v>
      </c>
      <c r="T2703" s="56">
        <v>7.4</v>
      </c>
      <c r="U2703" s="56" t="s">
        <v>47</v>
      </c>
      <c r="V2703" s="56" t="s">
        <v>295</v>
      </c>
      <c r="W2703" s="67" t="str">
        <f t="shared" si="198"/>
        <v>Customer</v>
      </c>
    </row>
    <row r="2704" spans="1:23" x14ac:dyDescent="0.3">
      <c r="A2704" s="56" t="s">
        <v>5806</v>
      </c>
      <c r="B2704" s="56" t="s">
        <v>5586</v>
      </c>
      <c r="C2704" s="56">
        <v>7492798205</v>
      </c>
      <c r="D2704" s="56" t="s">
        <v>59</v>
      </c>
      <c r="E2704" s="56" t="s">
        <v>41</v>
      </c>
      <c r="F2704" s="56" t="s">
        <v>5757</v>
      </c>
      <c r="G2704" s="56" t="s">
        <v>616</v>
      </c>
      <c r="H2704" s="57">
        <v>46255</v>
      </c>
      <c r="I2704" s="56" t="s">
        <v>5340</v>
      </c>
      <c r="J2704" s="56">
        <v>8</v>
      </c>
      <c r="K2704" s="56">
        <v>2026</v>
      </c>
      <c r="L2704" s="56">
        <v>3</v>
      </c>
      <c r="M2704" s="56">
        <v>8</v>
      </c>
      <c r="N2704" s="57">
        <v>46262</v>
      </c>
      <c r="O2704" s="56" t="s">
        <v>45</v>
      </c>
      <c r="P2704" s="59">
        <v>501300</v>
      </c>
      <c r="Q2704" s="56"/>
      <c r="R2704" s="56"/>
      <c r="S2704" s="56" t="s">
        <v>5195</v>
      </c>
      <c r="T2704" s="56">
        <v>4.8</v>
      </c>
      <c r="U2704" s="56" t="s">
        <v>47</v>
      </c>
      <c r="V2704" s="56" t="s">
        <v>5798</v>
      </c>
      <c r="W2704" s="67" t="str">
        <f t="shared" si="198"/>
        <v>-</v>
      </c>
    </row>
    <row r="2705" spans="1:23" x14ac:dyDescent="0.3">
      <c r="A2705" s="56" t="s">
        <v>5807</v>
      </c>
      <c r="B2705" s="56" t="s">
        <v>5808</v>
      </c>
      <c r="C2705" s="56">
        <v>9580296408</v>
      </c>
      <c r="D2705" s="56" t="s">
        <v>59</v>
      </c>
      <c r="E2705" s="56" t="s">
        <v>648</v>
      </c>
      <c r="F2705" s="56" t="s">
        <v>5757</v>
      </c>
      <c r="G2705" s="56" t="s">
        <v>3302</v>
      </c>
      <c r="H2705" s="57">
        <v>46255</v>
      </c>
      <c r="I2705" s="56" t="s">
        <v>5340</v>
      </c>
      <c r="J2705" s="56">
        <v>8</v>
      </c>
      <c r="K2705" s="56">
        <v>2026</v>
      </c>
      <c r="L2705" s="56">
        <v>3</v>
      </c>
      <c r="M2705" s="56">
        <v>6</v>
      </c>
      <c r="N2705" s="57">
        <v>46256</v>
      </c>
      <c r="O2705" s="56" t="s">
        <v>45</v>
      </c>
      <c r="P2705" s="59">
        <v>298407</v>
      </c>
      <c r="Q2705" s="56"/>
      <c r="R2705" s="56"/>
      <c r="S2705" s="56" t="s">
        <v>5195</v>
      </c>
      <c r="T2705" s="56">
        <v>36</v>
      </c>
      <c r="U2705" s="56" t="s">
        <v>47</v>
      </c>
      <c r="V2705" s="56" t="s">
        <v>5798</v>
      </c>
      <c r="W2705" s="67" t="str">
        <f t="shared" si="198"/>
        <v>-</v>
      </c>
    </row>
    <row r="2706" spans="1:23" x14ac:dyDescent="0.3">
      <c r="A2706" s="56" t="s">
        <v>5809</v>
      </c>
      <c r="B2706" s="56" t="s">
        <v>5793</v>
      </c>
      <c r="C2706" s="56">
        <v>7033732247</v>
      </c>
      <c r="D2706" s="56" t="s">
        <v>59</v>
      </c>
      <c r="E2706" s="56" t="s">
        <v>641</v>
      </c>
      <c r="F2706" s="56" t="s">
        <v>5757</v>
      </c>
      <c r="G2706" s="56" t="s">
        <v>35</v>
      </c>
      <c r="H2706" s="57">
        <v>46256</v>
      </c>
      <c r="I2706" s="56" t="s">
        <v>5340</v>
      </c>
      <c r="J2706" s="56">
        <v>8</v>
      </c>
      <c r="K2706" s="56">
        <v>2026</v>
      </c>
      <c r="L2706" s="56">
        <v>3</v>
      </c>
      <c r="M2706" s="56">
        <v>4</v>
      </c>
      <c r="N2706" s="57">
        <v>46262</v>
      </c>
      <c r="O2706" s="56" t="s">
        <v>27</v>
      </c>
      <c r="P2706" s="59">
        <v>272302</v>
      </c>
      <c r="Q2706" s="56"/>
      <c r="R2706" s="56"/>
      <c r="S2706" s="56" t="s">
        <v>5573</v>
      </c>
      <c r="T2706" s="56">
        <v>20.8</v>
      </c>
      <c r="U2706" s="56" t="s">
        <v>63</v>
      </c>
      <c r="V2706" s="56" t="s">
        <v>153</v>
      </c>
      <c r="W2706" s="67" t="str">
        <f t="shared" si="198"/>
        <v>-</v>
      </c>
    </row>
    <row r="2707" spans="1:23" x14ac:dyDescent="0.3">
      <c r="A2707" s="56" t="s">
        <v>5810</v>
      </c>
      <c r="B2707" s="56" t="s">
        <v>5727</v>
      </c>
      <c r="C2707" s="56">
        <v>9758822051</v>
      </c>
      <c r="D2707" s="56" t="s">
        <v>59</v>
      </c>
      <c r="E2707" s="56" t="s">
        <v>41</v>
      </c>
      <c r="F2707" s="56" t="s">
        <v>5757</v>
      </c>
      <c r="G2707" s="56" t="s">
        <v>35</v>
      </c>
      <c r="H2707" s="57">
        <v>46258</v>
      </c>
      <c r="I2707" s="56" t="s">
        <v>5340</v>
      </c>
      <c r="J2707" s="56">
        <v>8</v>
      </c>
      <c r="K2707" s="56">
        <v>2026</v>
      </c>
      <c r="L2707" s="56">
        <v>3</v>
      </c>
      <c r="M2707" s="56">
        <v>2</v>
      </c>
      <c r="N2707" s="57">
        <v>46262</v>
      </c>
      <c r="O2707" s="56" t="s">
        <v>97</v>
      </c>
      <c r="P2707" s="59">
        <v>348212</v>
      </c>
      <c r="Q2707" s="56">
        <v>308580</v>
      </c>
      <c r="R2707" s="56" t="s">
        <v>5764</v>
      </c>
      <c r="S2707" s="56" t="s">
        <v>5573</v>
      </c>
      <c r="T2707" s="56">
        <v>31.2</v>
      </c>
      <c r="U2707" s="56" t="s">
        <v>47</v>
      </c>
      <c r="V2707" s="56" t="s">
        <v>286</v>
      </c>
      <c r="W2707" s="67" t="str">
        <f t="shared" si="198"/>
        <v>Customer</v>
      </c>
    </row>
    <row r="2708" spans="1:23" x14ac:dyDescent="0.3">
      <c r="A2708" s="56" t="s">
        <v>5811</v>
      </c>
      <c r="B2708" s="56" t="s">
        <v>5658</v>
      </c>
      <c r="C2708" s="56">
        <v>8709008306</v>
      </c>
      <c r="D2708" s="56" t="s">
        <v>59</v>
      </c>
      <c r="E2708" s="56" t="s">
        <v>641</v>
      </c>
      <c r="F2708" s="56" t="s">
        <v>5757</v>
      </c>
      <c r="G2708" s="56" t="s">
        <v>643</v>
      </c>
      <c r="H2708" s="57">
        <v>46258</v>
      </c>
      <c r="I2708" s="56" t="s">
        <v>5340</v>
      </c>
      <c r="J2708" s="56">
        <v>8</v>
      </c>
      <c r="K2708" s="56">
        <v>2026</v>
      </c>
      <c r="L2708" s="56">
        <v>3</v>
      </c>
      <c r="M2708" s="56">
        <v>3</v>
      </c>
      <c r="N2708" s="57">
        <v>46262</v>
      </c>
      <c r="O2708" s="56" t="s">
        <v>45</v>
      </c>
      <c r="P2708" s="59">
        <v>642299</v>
      </c>
      <c r="Q2708" s="56"/>
      <c r="R2708" s="56"/>
      <c r="S2708" s="56" t="s">
        <v>5819</v>
      </c>
      <c r="T2708" s="56">
        <v>6.9</v>
      </c>
      <c r="U2708" s="56" t="s">
        <v>63</v>
      </c>
      <c r="V2708" s="56" t="s">
        <v>195</v>
      </c>
      <c r="W2708" s="67" t="str">
        <f t="shared" si="198"/>
        <v>-</v>
      </c>
    </row>
    <row r="2709" spans="1:23" x14ac:dyDescent="0.3">
      <c r="A2709" s="56" t="s">
        <v>5812</v>
      </c>
      <c r="B2709" s="56" t="s">
        <v>5737</v>
      </c>
      <c r="C2709" s="56">
        <v>8597705880</v>
      </c>
      <c r="D2709" s="56" t="s">
        <v>59</v>
      </c>
      <c r="E2709" s="56" t="s">
        <v>1632</v>
      </c>
      <c r="F2709" s="56" t="s">
        <v>5757</v>
      </c>
      <c r="G2709" s="56" t="s">
        <v>60</v>
      </c>
      <c r="H2709" s="57">
        <v>46259</v>
      </c>
      <c r="I2709" s="56" t="s">
        <v>5340</v>
      </c>
      <c r="J2709" s="56">
        <v>8</v>
      </c>
      <c r="K2709" s="56">
        <v>2026</v>
      </c>
      <c r="L2709" s="56">
        <v>3</v>
      </c>
      <c r="M2709" s="56">
        <v>5</v>
      </c>
      <c r="N2709" s="57">
        <v>46262</v>
      </c>
      <c r="O2709" s="56" t="s">
        <v>97</v>
      </c>
      <c r="P2709" s="59">
        <v>438751</v>
      </c>
      <c r="Q2709" s="56">
        <v>418045</v>
      </c>
      <c r="R2709" s="56" t="s">
        <v>5764</v>
      </c>
      <c r="S2709" s="56" t="s">
        <v>5573</v>
      </c>
      <c r="T2709" s="56">
        <v>33.700000000000003</v>
      </c>
      <c r="U2709" s="56" t="s">
        <v>47</v>
      </c>
      <c r="V2709" s="56" t="s">
        <v>295</v>
      </c>
      <c r="W2709" s="67" t="str">
        <f t="shared" si="198"/>
        <v>Customer</v>
      </c>
    </row>
    <row r="2710" spans="1:23" x14ac:dyDescent="0.3">
      <c r="A2710" s="56" t="s">
        <v>5813</v>
      </c>
      <c r="B2710" s="56" t="s">
        <v>5686</v>
      </c>
      <c r="C2710" s="56">
        <v>7476831645</v>
      </c>
      <c r="D2710" s="56" t="s">
        <v>59</v>
      </c>
      <c r="E2710" s="56" t="s">
        <v>648</v>
      </c>
      <c r="F2710" s="56" t="s">
        <v>5757</v>
      </c>
      <c r="G2710" s="56" t="s">
        <v>60</v>
      </c>
      <c r="H2710" s="57">
        <v>46259</v>
      </c>
      <c r="I2710" s="56" t="s">
        <v>5340</v>
      </c>
      <c r="J2710" s="56">
        <v>8</v>
      </c>
      <c r="K2710" s="56">
        <v>2026</v>
      </c>
      <c r="L2710" s="56">
        <v>3</v>
      </c>
      <c r="M2710" s="56">
        <v>1</v>
      </c>
      <c r="N2710" s="57">
        <v>46262</v>
      </c>
      <c r="O2710" s="56" t="s">
        <v>45</v>
      </c>
      <c r="P2710" s="59">
        <v>419202</v>
      </c>
      <c r="Q2710" s="56"/>
      <c r="R2710" s="56"/>
      <c r="S2710" s="56" t="s">
        <v>5195</v>
      </c>
      <c r="T2710" s="56">
        <v>30.3</v>
      </c>
      <c r="U2710" s="56" t="s">
        <v>63</v>
      </c>
      <c r="V2710" s="56" t="s">
        <v>5631</v>
      </c>
      <c r="W2710" s="67" t="str">
        <f t="shared" si="198"/>
        <v>-</v>
      </c>
    </row>
    <row r="2711" spans="1:23" x14ac:dyDescent="0.3">
      <c r="A2711" s="56" t="s">
        <v>5814</v>
      </c>
      <c r="B2711" s="56" t="s">
        <v>5735</v>
      </c>
      <c r="C2711" s="56">
        <v>7660848234</v>
      </c>
      <c r="D2711" s="56" t="s">
        <v>20</v>
      </c>
      <c r="E2711" s="56" t="s">
        <v>1632</v>
      </c>
      <c r="F2711" s="56" t="s">
        <v>5757</v>
      </c>
      <c r="G2711" s="56" t="s">
        <v>23</v>
      </c>
      <c r="H2711" s="57">
        <v>46260</v>
      </c>
      <c r="I2711" s="56" t="s">
        <v>5340</v>
      </c>
      <c r="J2711" s="56">
        <v>8</v>
      </c>
      <c r="K2711" s="56">
        <v>2026</v>
      </c>
      <c r="L2711" s="56">
        <v>3</v>
      </c>
      <c r="M2711" s="56">
        <v>4</v>
      </c>
      <c r="N2711" s="57">
        <v>46262</v>
      </c>
      <c r="O2711" s="56" t="s">
        <v>27</v>
      </c>
      <c r="P2711" s="59">
        <v>252487</v>
      </c>
      <c r="Q2711" s="56"/>
      <c r="R2711" s="56"/>
      <c r="S2711" s="56" t="s">
        <v>5195</v>
      </c>
      <c r="T2711" s="56">
        <v>40.1</v>
      </c>
      <c r="U2711" s="56" t="s">
        <v>47</v>
      </c>
      <c r="V2711" s="56" t="s">
        <v>5591</v>
      </c>
      <c r="W2711" s="67" t="str">
        <f t="shared" si="198"/>
        <v>-</v>
      </c>
    </row>
    <row r="2712" spans="1:23" x14ac:dyDescent="0.3">
      <c r="A2712" s="56" t="s">
        <v>5815</v>
      </c>
      <c r="B2712" s="56" t="s">
        <v>5816</v>
      </c>
      <c r="C2712" s="56">
        <v>7317173597</v>
      </c>
      <c r="D2712" s="56" t="s">
        <v>59</v>
      </c>
      <c r="E2712" s="56" t="s">
        <v>1632</v>
      </c>
      <c r="F2712" s="56" t="s">
        <v>5757</v>
      </c>
      <c r="G2712" s="56" t="s">
        <v>643</v>
      </c>
      <c r="H2712" s="57">
        <v>46261</v>
      </c>
      <c r="I2712" s="56" t="s">
        <v>5340</v>
      </c>
      <c r="J2712" s="56">
        <v>8</v>
      </c>
      <c r="K2712" s="56">
        <v>2026</v>
      </c>
      <c r="L2712" s="56">
        <v>3</v>
      </c>
      <c r="M2712" s="56">
        <v>7</v>
      </c>
      <c r="N2712" s="57">
        <v>46262</v>
      </c>
      <c r="O2712" s="56" t="s">
        <v>97</v>
      </c>
      <c r="P2712" s="59">
        <v>411306</v>
      </c>
      <c r="Q2712" s="56">
        <v>410332</v>
      </c>
      <c r="R2712" s="56" t="s">
        <v>5764</v>
      </c>
      <c r="S2712" s="56" t="s">
        <v>5195</v>
      </c>
      <c r="T2712" s="56">
        <v>26.6</v>
      </c>
      <c r="U2712" s="56" t="s">
        <v>29</v>
      </c>
      <c r="V2712" s="56" t="s">
        <v>295</v>
      </c>
      <c r="W2712" s="67" t="str">
        <f t="shared" si="198"/>
        <v>Customer</v>
      </c>
    </row>
    <row r="2713" spans="1:23" x14ac:dyDescent="0.3">
      <c r="A2713" s="56" t="s">
        <v>5817</v>
      </c>
      <c r="B2713" s="56" t="s">
        <v>5818</v>
      </c>
      <c r="C2713" s="56">
        <v>7181860490</v>
      </c>
      <c r="D2713" s="56" t="s">
        <v>20</v>
      </c>
      <c r="E2713" s="56" t="s">
        <v>41</v>
      </c>
      <c r="F2713" s="56" t="s">
        <v>5757</v>
      </c>
      <c r="G2713" s="56" t="s">
        <v>69</v>
      </c>
      <c r="H2713" s="57">
        <v>46262</v>
      </c>
      <c r="I2713" s="56" t="s">
        <v>5340</v>
      </c>
      <c r="J2713" s="56">
        <v>8</v>
      </c>
      <c r="K2713" s="56">
        <v>2026</v>
      </c>
      <c r="L2713" s="56">
        <v>3</v>
      </c>
      <c r="M2713" s="56">
        <v>6</v>
      </c>
      <c r="N2713" s="57">
        <v>46262</v>
      </c>
      <c r="O2713" s="56" t="s">
        <v>27</v>
      </c>
      <c r="P2713" s="59">
        <v>470972</v>
      </c>
      <c r="Q2713" s="56"/>
      <c r="R2713" s="56"/>
      <c r="S2713" s="56" t="s">
        <v>5573</v>
      </c>
      <c r="T2713" s="56">
        <v>8.8000000000000007</v>
      </c>
      <c r="U2713" s="56" t="s">
        <v>47</v>
      </c>
      <c r="V2713" s="56" t="s">
        <v>5580</v>
      </c>
      <c r="W2713" s="67" t="str">
        <f t="shared" si="198"/>
        <v>-</v>
      </c>
    </row>
  </sheetData>
  <autoFilter ref="A1:V2471" xr:uid="{B456115F-02FE-4C69-ABE1-E5B8B77B0EC1}"/>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pane ySplit="1" topLeftCell="A2" activePane="bottomLeft" state="frozen"/>
      <selection pane="bottomLeft"/>
    </sheetView>
  </sheetViews>
  <sheetFormatPr defaultRowHeight="14.4" x14ac:dyDescent="0.3"/>
  <cols>
    <col min="1" max="1" width="8" customWidth="1"/>
    <col min="2" max="2" width="13" customWidth="1"/>
    <col min="3" max="3" width="12" customWidth="1"/>
    <col min="4" max="4" width="10" customWidth="1"/>
    <col min="5" max="5" width="13" customWidth="1"/>
    <col min="6" max="6" width="15" customWidth="1"/>
    <col min="7" max="8" width="16" customWidth="1"/>
    <col min="9" max="9" width="14" customWidth="1"/>
  </cols>
  <sheetData>
    <row r="1" spans="1:9" ht="34.049999999999997" customHeight="1" x14ac:dyDescent="0.3">
      <c r="A1" s="1" t="s">
        <v>5276</v>
      </c>
      <c r="B1" s="1" t="s">
        <v>5277</v>
      </c>
      <c r="C1" s="1" t="s">
        <v>97</v>
      </c>
      <c r="D1" s="1" t="s">
        <v>27</v>
      </c>
      <c r="E1" s="1" t="s">
        <v>5278</v>
      </c>
      <c r="F1" s="1" t="s">
        <v>5279</v>
      </c>
      <c r="G1" s="1" t="s">
        <v>5280</v>
      </c>
      <c r="H1" s="1" t="s">
        <v>5281</v>
      </c>
      <c r="I1" s="1" t="s">
        <v>5282</v>
      </c>
    </row>
    <row r="2" spans="1:9" x14ac:dyDescent="0.3">
      <c r="A2" s="12">
        <v>2022</v>
      </c>
      <c r="B2" s="13">
        <v>152</v>
      </c>
      <c r="C2" s="13">
        <v>17</v>
      </c>
      <c r="D2" s="13">
        <v>60</v>
      </c>
      <c r="E2" s="13">
        <v>37</v>
      </c>
      <c r="F2" s="13">
        <v>29</v>
      </c>
      <c r="G2" s="14">
        <v>284886</v>
      </c>
      <c r="H2" s="14">
        <v>4396787</v>
      </c>
      <c r="I2" s="13">
        <v>11.2</v>
      </c>
    </row>
    <row r="3" spans="1:9" x14ac:dyDescent="0.3">
      <c r="A3" s="15">
        <v>2023</v>
      </c>
      <c r="B3" s="16">
        <v>363</v>
      </c>
      <c r="C3" s="16">
        <v>81</v>
      </c>
      <c r="D3" s="16">
        <v>96</v>
      </c>
      <c r="E3" s="16">
        <v>94</v>
      </c>
      <c r="F3" s="16">
        <v>72</v>
      </c>
      <c r="G3" s="17">
        <v>347328</v>
      </c>
      <c r="H3" s="17">
        <v>25386987</v>
      </c>
      <c r="I3" s="16">
        <v>22.3</v>
      </c>
    </row>
    <row r="4" spans="1:9" x14ac:dyDescent="0.3">
      <c r="A4" s="18">
        <v>2024</v>
      </c>
      <c r="B4" s="19">
        <v>793</v>
      </c>
      <c r="C4" s="19">
        <v>213</v>
      </c>
      <c r="D4" s="19">
        <v>257</v>
      </c>
      <c r="E4" s="19">
        <v>159</v>
      </c>
      <c r="F4" s="19">
        <v>117</v>
      </c>
      <c r="G4" s="20">
        <v>492224</v>
      </c>
      <c r="H4" s="20">
        <v>99773552</v>
      </c>
      <c r="I4" s="19">
        <v>26.9</v>
      </c>
    </row>
    <row r="5" spans="1:9" x14ac:dyDescent="0.3">
      <c r="A5" s="21">
        <v>2025</v>
      </c>
      <c r="B5" s="22">
        <v>870</v>
      </c>
      <c r="C5" s="22">
        <v>253</v>
      </c>
      <c r="D5" s="22">
        <v>255</v>
      </c>
      <c r="E5" s="22">
        <v>181</v>
      </c>
      <c r="F5" s="22">
        <v>129</v>
      </c>
      <c r="G5" s="23">
        <v>659164</v>
      </c>
      <c r="H5" s="23">
        <v>148934484</v>
      </c>
      <c r="I5" s="22">
        <v>29.1</v>
      </c>
    </row>
    <row r="6" spans="1:9" x14ac:dyDescent="0.3">
      <c r="A6" s="24">
        <v>2026</v>
      </c>
      <c r="B6" s="25">
        <v>292</v>
      </c>
      <c r="C6" s="25">
        <v>92</v>
      </c>
      <c r="D6" s="25">
        <v>97</v>
      </c>
      <c r="E6" s="25">
        <v>62</v>
      </c>
      <c r="F6" s="25">
        <v>27</v>
      </c>
      <c r="G6" s="26">
        <v>695326</v>
      </c>
      <c r="H6" s="26">
        <v>62485462</v>
      </c>
      <c r="I6" s="25">
        <v>31.5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1" topLeftCell="A2" activePane="bottomLeft" state="frozen"/>
      <selection pane="bottomLeft"/>
    </sheetView>
  </sheetViews>
  <sheetFormatPr defaultRowHeight="14.4" x14ac:dyDescent="0.3"/>
  <cols>
    <col min="1" max="6" width="22" customWidth="1"/>
  </cols>
  <sheetData>
    <row r="1" spans="1:6" x14ac:dyDescent="0.3">
      <c r="A1" s="1" t="s">
        <v>4</v>
      </c>
      <c r="B1" s="1" t="s">
        <v>5283</v>
      </c>
      <c r="C1" s="1" t="s">
        <v>5284</v>
      </c>
      <c r="D1" s="1" t="s">
        <v>5285</v>
      </c>
      <c r="E1" s="1" t="s">
        <v>5286</v>
      </c>
      <c r="F1" s="1" t="s">
        <v>5287</v>
      </c>
    </row>
    <row r="2" spans="1:6" x14ac:dyDescent="0.3">
      <c r="A2" s="22" t="s">
        <v>73</v>
      </c>
      <c r="B2" s="22">
        <v>21</v>
      </c>
      <c r="C2" s="22">
        <v>26</v>
      </c>
      <c r="D2" s="22">
        <v>53</v>
      </c>
      <c r="E2" s="22">
        <v>36</v>
      </c>
      <c r="F2" s="22">
        <v>11</v>
      </c>
    </row>
    <row r="3" spans="1:6" x14ac:dyDescent="0.3">
      <c r="A3" s="27" t="s">
        <v>641</v>
      </c>
      <c r="B3" s="27">
        <v>0</v>
      </c>
      <c r="C3" s="27">
        <v>35</v>
      </c>
      <c r="D3" s="27">
        <v>88</v>
      </c>
      <c r="E3" s="27">
        <v>103</v>
      </c>
      <c r="F3" s="27">
        <v>22</v>
      </c>
    </row>
    <row r="4" spans="1:6" x14ac:dyDescent="0.3">
      <c r="A4" s="22" t="s">
        <v>1632</v>
      </c>
      <c r="B4" s="22">
        <v>0</v>
      </c>
      <c r="C4" s="22">
        <v>0</v>
      </c>
      <c r="D4" s="22">
        <v>153</v>
      </c>
      <c r="E4" s="22">
        <v>217</v>
      </c>
      <c r="F4" s="22">
        <v>104</v>
      </c>
    </row>
    <row r="5" spans="1:6" x14ac:dyDescent="0.3">
      <c r="A5" s="27" t="s">
        <v>33</v>
      </c>
      <c r="B5" s="27">
        <v>48</v>
      </c>
      <c r="C5" s="27">
        <v>81</v>
      </c>
      <c r="D5" s="27">
        <v>68</v>
      </c>
      <c r="E5" s="27">
        <v>44</v>
      </c>
      <c r="F5" s="27">
        <v>6</v>
      </c>
    </row>
    <row r="6" spans="1:6" x14ac:dyDescent="0.3">
      <c r="A6" s="22" t="s">
        <v>67</v>
      </c>
      <c r="B6" s="22">
        <v>26</v>
      </c>
      <c r="C6" s="22">
        <v>49</v>
      </c>
      <c r="D6" s="22">
        <v>56</v>
      </c>
      <c r="E6" s="22">
        <v>47</v>
      </c>
      <c r="F6" s="22">
        <v>4</v>
      </c>
    </row>
    <row r="7" spans="1:6" x14ac:dyDescent="0.3">
      <c r="A7" s="27" t="s">
        <v>41</v>
      </c>
      <c r="B7" s="27">
        <v>25</v>
      </c>
      <c r="C7" s="27">
        <v>70</v>
      </c>
      <c r="D7" s="27">
        <v>166</v>
      </c>
      <c r="E7" s="27">
        <v>195</v>
      </c>
      <c r="F7" s="27">
        <v>67</v>
      </c>
    </row>
    <row r="8" spans="1:6" x14ac:dyDescent="0.3">
      <c r="A8" s="22" t="s">
        <v>109</v>
      </c>
      <c r="B8" s="22">
        <v>23</v>
      </c>
      <c r="C8" s="22">
        <v>62</v>
      </c>
      <c r="D8" s="22">
        <v>92</v>
      </c>
      <c r="E8" s="22">
        <v>64</v>
      </c>
      <c r="F8" s="22">
        <v>30</v>
      </c>
    </row>
    <row r="9" spans="1:6" x14ac:dyDescent="0.3">
      <c r="A9" s="27" t="s">
        <v>648</v>
      </c>
      <c r="B9" s="27">
        <v>0</v>
      </c>
      <c r="C9" s="27">
        <v>16</v>
      </c>
      <c r="D9" s="27">
        <v>83</v>
      </c>
      <c r="E9" s="27">
        <v>124</v>
      </c>
      <c r="F9" s="27">
        <v>40</v>
      </c>
    </row>
    <row r="10" spans="1:6" x14ac:dyDescent="0.3">
      <c r="A10" s="22" t="s">
        <v>21</v>
      </c>
      <c r="B10" s="22">
        <v>9</v>
      </c>
      <c r="C10" s="22">
        <v>24</v>
      </c>
      <c r="D10" s="22">
        <v>34</v>
      </c>
      <c r="E10" s="22">
        <v>40</v>
      </c>
      <c r="F10" s="22">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5"/>
  <sheetViews>
    <sheetView workbookViewId="0"/>
  </sheetViews>
  <sheetFormatPr defaultRowHeight="14.4" x14ac:dyDescent="0.3"/>
  <cols>
    <col min="1" max="1" width="22" customWidth="1"/>
    <col min="2" max="2" width="80" customWidth="1"/>
  </cols>
  <sheetData>
    <row r="1" spans="1:2" ht="25.95" customHeight="1" x14ac:dyDescent="0.3">
      <c r="A1" s="28" t="s">
        <v>5288</v>
      </c>
      <c r="B1" s="28" t="s">
        <v>5289</v>
      </c>
    </row>
    <row r="2" spans="1:2" ht="25.95" customHeight="1" x14ac:dyDescent="0.3">
      <c r="A2" s="29" t="s">
        <v>5290</v>
      </c>
      <c r="B2" s="29" t="s">
        <v>5291</v>
      </c>
    </row>
    <row r="3" spans="1:2" ht="25.95" customHeight="1" x14ac:dyDescent="0.3">
      <c r="A3" s="29" t="s">
        <v>5292</v>
      </c>
      <c r="B3" s="29" t="s">
        <v>5293</v>
      </c>
    </row>
    <row r="4" spans="1:2" ht="25.95" customHeight="1" x14ac:dyDescent="0.3">
      <c r="A4" s="29" t="s">
        <v>0</v>
      </c>
      <c r="B4" s="29" t="s">
        <v>5294</v>
      </c>
    </row>
    <row r="5" spans="1:2" ht="25.95" customHeight="1" x14ac:dyDescent="0.3">
      <c r="A5" s="29" t="s">
        <v>14</v>
      </c>
      <c r="B5" s="29" t="s">
        <v>5295</v>
      </c>
    </row>
    <row r="6" spans="1:2" ht="25.95" customHeight="1" x14ac:dyDescent="0.3">
      <c r="A6" s="29" t="s">
        <v>7</v>
      </c>
      <c r="B6" s="29" t="s">
        <v>5296</v>
      </c>
    </row>
    <row r="7" spans="1:2" ht="25.95" customHeight="1" x14ac:dyDescent="0.3">
      <c r="A7" s="29" t="s">
        <v>2</v>
      </c>
      <c r="B7" s="29" t="s">
        <v>5297</v>
      </c>
    </row>
    <row r="8" spans="1:2" ht="25.95" customHeight="1" x14ac:dyDescent="0.3">
      <c r="A8" s="29" t="s">
        <v>11</v>
      </c>
      <c r="B8" s="29" t="s">
        <v>5298</v>
      </c>
    </row>
    <row r="9" spans="1:2" ht="25.95" customHeight="1" x14ac:dyDescent="0.3">
      <c r="A9" s="29" t="s">
        <v>15</v>
      </c>
      <c r="B9" s="29" t="s">
        <v>5299</v>
      </c>
    </row>
    <row r="10" spans="1:2" ht="25.95" customHeight="1" x14ac:dyDescent="0.3">
      <c r="A10" s="29" t="s">
        <v>4</v>
      </c>
      <c r="B10" s="29" t="s">
        <v>5300</v>
      </c>
    </row>
    <row r="11" spans="1:2" ht="25.95" customHeight="1" x14ac:dyDescent="0.3">
      <c r="A11" s="29" t="s">
        <v>6</v>
      </c>
      <c r="B11" s="29" t="s">
        <v>5301</v>
      </c>
    </row>
    <row r="12" spans="1:2" ht="25.95" customHeight="1" x14ac:dyDescent="0.3">
      <c r="A12" s="29" t="s">
        <v>16</v>
      </c>
      <c r="B12" s="29" t="s">
        <v>5302</v>
      </c>
    </row>
    <row r="13" spans="1:2" ht="25.95" customHeight="1" x14ac:dyDescent="0.3">
      <c r="A13" s="29" t="s">
        <v>17</v>
      </c>
      <c r="B13" s="29" t="s">
        <v>5303</v>
      </c>
    </row>
    <row r="14" spans="1:2" ht="25.95" customHeight="1" x14ac:dyDescent="0.3">
      <c r="A14" s="29" t="s">
        <v>12</v>
      </c>
      <c r="B14" s="29" t="s">
        <v>5304</v>
      </c>
    </row>
    <row r="15" spans="1:2" ht="25.95" customHeight="1" x14ac:dyDescent="0.3">
      <c r="A15" s="29" t="s">
        <v>13</v>
      </c>
      <c r="B15" s="29" t="s">
        <v>5304</v>
      </c>
    </row>
    <row r="16" spans="1:2" ht="25.95" customHeight="1" x14ac:dyDescent="0.3">
      <c r="A16" s="29"/>
      <c r="B16" s="29"/>
    </row>
    <row r="17" spans="1:2" ht="25.95" customHeight="1" x14ac:dyDescent="0.3">
      <c r="A17" s="30" t="s">
        <v>5305</v>
      </c>
      <c r="B17" s="30"/>
    </row>
    <row r="18" spans="1:2" ht="25.95" customHeight="1" x14ac:dyDescent="0.3">
      <c r="A18" s="31" t="s">
        <v>28</v>
      </c>
      <c r="B18" s="32" t="s">
        <v>5306</v>
      </c>
    </row>
    <row r="19" spans="1:2" ht="25.95" customHeight="1" x14ac:dyDescent="0.3">
      <c r="A19" s="31" t="s">
        <v>46</v>
      </c>
      <c r="B19" s="32" t="s">
        <v>5306</v>
      </c>
    </row>
    <row r="20" spans="1:2" ht="25.95" customHeight="1" x14ac:dyDescent="0.3">
      <c r="A20" s="31" t="s">
        <v>1063</v>
      </c>
      <c r="B20" s="32" t="s">
        <v>5307</v>
      </c>
    </row>
    <row r="21" spans="1:2" ht="25.95" customHeight="1" x14ac:dyDescent="0.3">
      <c r="A21" s="33" t="s">
        <v>1805</v>
      </c>
      <c r="B21" s="34" t="s">
        <v>5308</v>
      </c>
    </row>
    <row r="22" spans="1:2" ht="25.95" customHeight="1" x14ac:dyDescent="0.3">
      <c r="A22" s="35" t="s">
        <v>5195</v>
      </c>
      <c r="B22" s="36" t="s">
        <v>5309</v>
      </c>
    </row>
    <row r="23" spans="1:2" ht="25.95" customHeight="1" x14ac:dyDescent="0.3">
      <c r="A23" s="30"/>
      <c r="B23" s="30"/>
    </row>
    <row r="24" spans="1:2" ht="25.95" customHeight="1" x14ac:dyDescent="0.3">
      <c r="A24" s="37" t="s">
        <v>5310</v>
      </c>
      <c r="B24" s="38"/>
    </row>
    <row r="25" spans="1:2" ht="25.95" customHeight="1" x14ac:dyDescent="0.3">
      <c r="A25" s="37" t="s">
        <v>5283</v>
      </c>
      <c r="B25" s="38" t="s">
        <v>5311</v>
      </c>
    </row>
    <row r="26" spans="1:2" ht="25.95" customHeight="1" x14ac:dyDescent="0.3">
      <c r="A26" s="37" t="s">
        <v>5284</v>
      </c>
      <c r="B26" s="38" t="s">
        <v>5312</v>
      </c>
    </row>
    <row r="27" spans="1:2" ht="25.95" customHeight="1" x14ac:dyDescent="0.3">
      <c r="A27" s="37" t="s">
        <v>5285</v>
      </c>
      <c r="B27" s="38" t="s">
        <v>5313</v>
      </c>
    </row>
    <row r="28" spans="1:2" ht="25.95" customHeight="1" x14ac:dyDescent="0.3">
      <c r="A28" s="30" t="s">
        <v>5314</v>
      </c>
      <c r="B28" s="30" t="s">
        <v>5315</v>
      </c>
    </row>
    <row r="29" spans="1:2" ht="25.95" customHeight="1" x14ac:dyDescent="0.3">
      <c r="A29" s="31"/>
      <c r="B29" s="32"/>
    </row>
    <row r="30" spans="1:2" ht="25.95" customHeight="1" x14ac:dyDescent="0.3">
      <c r="A30" s="31" t="s">
        <v>5316</v>
      </c>
      <c r="B30" s="32"/>
    </row>
    <row r="31" spans="1:2" ht="25.95" customHeight="1" x14ac:dyDescent="0.3">
      <c r="A31" s="31" t="s">
        <v>5317</v>
      </c>
      <c r="B31" s="32" t="s">
        <v>5318</v>
      </c>
    </row>
    <row r="32" spans="1:2" ht="25.95" customHeight="1" x14ac:dyDescent="0.3">
      <c r="A32" s="31" t="s">
        <v>5319</v>
      </c>
      <c r="B32" s="32" t="s">
        <v>5320</v>
      </c>
    </row>
    <row r="33" spans="1:2" ht="25.95" customHeight="1" x14ac:dyDescent="0.3">
      <c r="A33" s="31" t="s">
        <v>5321</v>
      </c>
      <c r="B33" s="32" t="s">
        <v>5322</v>
      </c>
    </row>
    <row r="34" spans="1:2" ht="25.95" customHeight="1" x14ac:dyDescent="0.3">
      <c r="A34" s="31" t="s">
        <v>5323</v>
      </c>
      <c r="B34" s="32" t="s">
        <v>5324</v>
      </c>
    </row>
    <row r="35" spans="1:2" ht="25.95" customHeight="1" x14ac:dyDescent="0.3">
      <c r="A35" s="29" t="s">
        <v>5325</v>
      </c>
      <c r="B35" s="29" t="s">
        <v>5326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E6CE-CA11-46FC-AF7D-4A7862D267A0}">
  <dimension ref="A3:B29"/>
  <sheetViews>
    <sheetView zoomScale="64" workbookViewId="0">
      <selection activeCell="K5" sqref="K5"/>
    </sheetView>
  </sheetViews>
  <sheetFormatPr defaultRowHeight="14.4" x14ac:dyDescent="0.3"/>
  <cols>
    <col min="1" max="1" width="14.33203125" bestFit="1" customWidth="1"/>
    <col min="2" max="2" width="15.88671875" bestFit="1" customWidth="1"/>
  </cols>
  <sheetData>
    <row r="3" spans="1:2" x14ac:dyDescent="0.3">
      <c r="A3" s="39" t="s">
        <v>5330</v>
      </c>
      <c r="B3" t="s">
        <v>5345</v>
      </c>
    </row>
    <row r="4" spans="1:2" x14ac:dyDescent="0.3">
      <c r="A4" s="40">
        <v>2024</v>
      </c>
      <c r="B4" s="43">
        <v>793</v>
      </c>
    </row>
    <row r="5" spans="1:2" x14ac:dyDescent="0.3">
      <c r="A5" s="41">
        <v>1</v>
      </c>
      <c r="B5" s="43">
        <v>83</v>
      </c>
    </row>
    <row r="6" spans="1:2" x14ac:dyDescent="0.3">
      <c r="A6" s="42" t="s">
        <v>5333</v>
      </c>
      <c r="B6" s="43">
        <v>83</v>
      </c>
    </row>
    <row r="7" spans="1:2" x14ac:dyDescent="0.3">
      <c r="A7" s="41">
        <v>2</v>
      </c>
      <c r="B7" s="43">
        <v>76</v>
      </c>
    </row>
    <row r="8" spans="1:2" x14ac:dyDescent="0.3">
      <c r="A8" s="42" t="s">
        <v>5334</v>
      </c>
      <c r="B8" s="43">
        <v>76</v>
      </c>
    </row>
    <row r="9" spans="1:2" x14ac:dyDescent="0.3">
      <c r="A9" s="41">
        <v>3</v>
      </c>
      <c r="B9" s="43">
        <v>83</v>
      </c>
    </row>
    <row r="10" spans="1:2" x14ac:dyDescent="0.3">
      <c r="A10" s="42" t="s">
        <v>5335</v>
      </c>
      <c r="B10" s="43">
        <v>83</v>
      </c>
    </row>
    <row r="11" spans="1:2" x14ac:dyDescent="0.3">
      <c r="A11" s="41">
        <v>4</v>
      </c>
      <c r="B11" s="43">
        <v>71</v>
      </c>
    </row>
    <row r="12" spans="1:2" x14ac:dyDescent="0.3">
      <c r="A12" s="42" t="s">
        <v>5336</v>
      </c>
      <c r="B12" s="43">
        <v>71</v>
      </c>
    </row>
    <row r="13" spans="1:2" x14ac:dyDescent="0.3">
      <c r="A13" s="41">
        <v>5</v>
      </c>
      <c r="B13" s="43">
        <v>34</v>
      </c>
    </row>
    <row r="14" spans="1:2" x14ac:dyDescent="0.3">
      <c r="A14" s="42" t="s">
        <v>5337</v>
      </c>
      <c r="B14" s="43">
        <v>34</v>
      </c>
    </row>
    <row r="15" spans="1:2" x14ac:dyDescent="0.3">
      <c r="A15" s="41">
        <v>6</v>
      </c>
      <c r="B15" s="43">
        <v>33</v>
      </c>
    </row>
    <row r="16" spans="1:2" x14ac:dyDescent="0.3">
      <c r="A16" s="42" t="s">
        <v>5338</v>
      </c>
      <c r="B16" s="43">
        <v>33</v>
      </c>
    </row>
    <row r="17" spans="1:2" x14ac:dyDescent="0.3">
      <c r="A17" s="41">
        <v>7</v>
      </c>
      <c r="B17" s="43">
        <v>42</v>
      </c>
    </row>
    <row r="18" spans="1:2" x14ac:dyDescent="0.3">
      <c r="A18" s="42" t="s">
        <v>5339</v>
      </c>
      <c r="B18" s="43">
        <v>42</v>
      </c>
    </row>
    <row r="19" spans="1:2" x14ac:dyDescent="0.3">
      <c r="A19" s="41">
        <v>8</v>
      </c>
      <c r="B19" s="43">
        <v>53</v>
      </c>
    </row>
    <row r="20" spans="1:2" x14ac:dyDescent="0.3">
      <c r="A20" s="42" t="s">
        <v>5340</v>
      </c>
      <c r="B20" s="43">
        <v>53</v>
      </c>
    </row>
    <row r="21" spans="1:2" x14ac:dyDescent="0.3">
      <c r="A21" s="41">
        <v>9</v>
      </c>
      <c r="B21" s="43">
        <v>64</v>
      </c>
    </row>
    <row r="22" spans="1:2" x14ac:dyDescent="0.3">
      <c r="A22" s="42" t="s">
        <v>5341</v>
      </c>
      <c r="B22" s="43">
        <v>64</v>
      </c>
    </row>
    <row r="23" spans="1:2" x14ac:dyDescent="0.3">
      <c r="A23" s="41">
        <v>10</v>
      </c>
      <c r="B23" s="43">
        <v>93</v>
      </c>
    </row>
    <row r="24" spans="1:2" x14ac:dyDescent="0.3">
      <c r="A24" s="42" t="s">
        <v>5342</v>
      </c>
      <c r="B24" s="43">
        <v>93</v>
      </c>
    </row>
    <row r="25" spans="1:2" x14ac:dyDescent="0.3">
      <c r="A25" s="41">
        <v>11</v>
      </c>
      <c r="B25" s="43">
        <v>86</v>
      </c>
    </row>
    <row r="26" spans="1:2" x14ac:dyDescent="0.3">
      <c r="A26" s="42" t="s">
        <v>5343</v>
      </c>
      <c r="B26" s="43">
        <v>86</v>
      </c>
    </row>
    <row r="27" spans="1:2" x14ac:dyDescent="0.3">
      <c r="A27" s="41">
        <v>12</v>
      </c>
      <c r="B27" s="43">
        <v>75</v>
      </c>
    </row>
    <row r="28" spans="1:2" x14ac:dyDescent="0.3">
      <c r="A28" s="42" t="s">
        <v>5344</v>
      </c>
      <c r="B28" s="43">
        <v>75</v>
      </c>
    </row>
    <row r="29" spans="1:2" x14ac:dyDescent="0.3">
      <c r="A29" s="40" t="s">
        <v>5332</v>
      </c>
      <c r="B29" s="43">
        <v>793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C40D-B9A1-490E-9D88-1AC7356FD701}">
  <dimension ref="A3:E13"/>
  <sheetViews>
    <sheetView workbookViewId="0">
      <selection activeCell="A4" sqref="A4"/>
    </sheetView>
  </sheetViews>
  <sheetFormatPr defaultRowHeight="14.4" x14ac:dyDescent="0.3"/>
  <cols>
    <col min="1" max="1" width="17.33203125" bestFit="1" customWidth="1"/>
    <col min="2" max="2" width="15.6640625" bestFit="1" customWidth="1"/>
    <col min="3" max="3" width="18.44140625" bestFit="1" customWidth="1"/>
  </cols>
  <sheetData>
    <row r="3" spans="1:5" x14ac:dyDescent="0.3">
      <c r="A3" s="39" t="s">
        <v>5330</v>
      </c>
      <c r="B3" t="s">
        <v>5345</v>
      </c>
      <c r="C3" t="s">
        <v>5347</v>
      </c>
      <c r="E3" t="s">
        <v>5348</v>
      </c>
    </row>
    <row r="4" spans="1:5" x14ac:dyDescent="0.3">
      <c r="A4" s="40" t="s">
        <v>73</v>
      </c>
      <c r="B4" s="43">
        <v>53</v>
      </c>
      <c r="C4" s="43">
        <v>13</v>
      </c>
    </row>
    <row r="5" spans="1:5" x14ac:dyDescent="0.3">
      <c r="A5" s="40" t="s">
        <v>641</v>
      </c>
      <c r="B5" s="43">
        <v>88</v>
      </c>
      <c r="C5" s="43">
        <v>24</v>
      </c>
    </row>
    <row r="6" spans="1:5" x14ac:dyDescent="0.3">
      <c r="A6" s="40" t="s">
        <v>1632</v>
      </c>
      <c r="B6" s="43">
        <v>153</v>
      </c>
      <c r="C6" s="43">
        <v>34</v>
      </c>
    </row>
    <row r="7" spans="1:5" x14ac:dyDescent="0.3">
      <c r="A7" s="40" t="s">
        <v>33</v>
      </c>
      <c r="B7" s="43">
        <v>68</v>
      </c>
      <c r="C7" s="43">
        <v>13</v>
      </c>
    </row>
    <row r="8" spans="1:5" x14ac:dyDescent="0.3">
      <c r="A8" s="40" t="s">
        <v>67</v>
      </c>
      <c r="B8" s="43">
        <v>56</v>
      </c>
      <c r="C8" s="43">
        <v>12</v>
      </c>
    </row>
    <row r="9" spans="1:5" x14ac:dyDescent="0.3">
      <c r="A9" s="40" t="s">
        <v>41</v>
      </c>
      <c r="B9" s="43">
        <v>166</v>
      </c>
      <c r="C9" s="43">
        <v>62</v>
      </c>
    </row>
    <row r="10" spans="1:5" x14ac:dyDescent="0.3">
      <c r="A10" s="40" t="s">
        <v>109</v>
      </c>
      <c r="B10" s="43">
        <v>92</v>
      </c>
      <c r="C10" s="43">
        <v>26</v>
      </c>
    </row>
    <row r="11" spans="1:5" x14ac:dyDescent="0.3">
      <c r="A11" s="40" t="s">
        <v>648</v>
      </c>
      <c r="B11" s="43">
        <v>83</v>
      </c>
      <c r="C11" s="43">
        <v>19</v>
      </c>
    </row>
    <row r="12" spans="1:5" x14ac:dyDescent="0.3">
      <c r="A12" s="40" t="s">
        <v>21</v>
      </c>
      <c r="B12" s="43">
        <v>34</v>
      </c>
      <c r="C12" s="43">
        <v>10</v>
      </c>
    </row>
    <row r="13" spans="1:5" x14ac:dyDescent="0.3">
      <c r="A13" s="40" t="s">
        <v>5332</v>
      </c>
      <c r="B13" s="43">
        <v>793</v>
      </c>
      <c r="C13" s="43">
        <v>213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707F-22D0-4663-8FB6-AC95157E629D}">
  <dimension ref="A3:D8"/>
  <sheetViews>
    <sheetView workbookViewId="0">
      <selection activeCell="D5" sqref="D5"/>
    </sheetView>
  </sheetViews>
  <sheetFormatPr defaultRowHeight="14.4" x14ac:dyDescent="0.3"/>
  <cols>
    <col min="1" max="1" width="14.21875" bestFit="1" customWidth="1"/>
    <col min="2" max="2" width="15.6640625" bestFit="1" customWidth="1"/>
    <col min="3" max="3" width="30.109375" bestFit="1" customWidth="1"/>
  </cols>
  <sheetData>
    <row r="3" spans="1:4" x14ac:dyDescent="0.3">
      <c r="A3" s="39" t="s">
        <v>5330</v>
      </c>
      <c r="B3" t="s">
        <v>5345</v>
      </c>
      <c r="C3" t="s">
        <v>5351</v>
      </c>
    </row>
    <row r="4" spans="1:4" x14ac:dyDescent="0.3">
      <c r="A4" s="40" t="s">
        <v>28</v>
      </c>
      <c r="B4" s="43">
        <v>261</v>
      </c>
      <c r="C4" s="44">
        <v>25.446124031007759</v>
      </c>
      <c r="D4" t="s">
        <v>5352</v>
      </c>
    </row>
    <row r="5" spans="1:4" x14ac:dyDescent="0.3">
      <c r="A5" s="40" t="s">
        <v>1063</v>
      </c>
      <c r="B5" s="43">
        <v>137</v>
      </c>
      <c r="C5" s="44">
        <v>23.705185185185183</v>
      </c>
    </row>
    <row r="6" spans="1:4" x14ac:dyDescent="0.3">
      <c r="A6" s="40" t="s">
        <v>46</v>
      </c>
      <c r="B6" s="43">
        <v>299</v>
      </c>
      <c r="C6" s="44">
        <v>25.263758389261746</v>
      </c>
    </row>
    <row r="7" spans="1:4" x14ac:dyDescent="0.3">
      <c r="A7" s="40" t="s">
        <v>1805</v>
      </c>
      <c r="B7" s="43">
        <v>96</v>
      </c>
      <c r="C7" s="44">
        <v>25.080851063829801</v>
      </c>
    </row>
    <row r="8" spans="1:4" x14ac:dyDescent="0.3">
      <c r="A8" s="40" t="s">
        <v>5332</v>
      </c>
      <c r="B8" s="43">
        <v>793</v>
      </c>
      <c r="C8" s="44">
        <v>25.033757961783468</v>
      </c>
    </row>
  </sheetData>
  <pageMargins left="0.7" right="0.7" top="0.75" bottom="0.75" header="0.3" footer="0.3"/>
  <pageSetup paperSize="9" orientation="portrait" verticalDpi="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CCF6-58CC-4DB7-A359-BF400A7AAB84}">
  <dimension ref="A3:E9"/>
  <sheetViews>
    <sheetView workbookViewId="0">
      <selection activeCell="D5" sqref="D5"/>
    </sheetView>
  </sheetViews>
  <sheetFormatPr defaultRowHeight="14.4" x14ac:dyDescent="0.3"/>
  <cols>
    <col min="1" max="1" width="12.5546875" bestFit="1" customWidth="1"/>
    <col min="2" max="2" width="15.6640625" bestFit="1" customWidth="1"/>
    <col min="3" max="3" width="22.109375" bestFit="1" customWidth="1"/>
  </cols>
  <sheetData>
    <row r="3" spans="1:5" x14ac:dyDescent="0.3">
      <c r="A3" s="39" t="s">
        <v>5330</v>
      </c>
      <c r="B3" t="s">
        <v>5345</v>
      </c>
      <c r="C3" t="s">
        <v>5349</v>
      </c>
      <c r="E3" t="s">
        <v>5350</v>
      </c>
    </row>
    <row r="4" spans="1:5" x14ac:dyDescent="0.3">
      <c r="A4" s="40" t="s">
        <v>121</v>
      </c>
      <c r="B4" s="43">
        <v>128</v>
      </c>
      <c r="C4" s="43">
        <v>17090006</v>
      </c>
    </row>
    <row r="5" spans="1:5" x14ac:dyDescent="0.3">
      <c r="A5" s="40" t="s">
        <v>108</v>
      </c>
      <c r="B5" s="43">
        <v>101</v>
      </c>
      <c r="C5" s="43">
        <v>11043984</v>
      </c>
    </row>
    <row r="6" spans="1:5" x14ac:dyDescent="0.3">
      <c r="A6" s="40" t="s">
        <v>59</v>
      </c>
      <c r="B6" s="43">
        <v>221</v>
      </c>
      <c r="C6" s="43">
        <v>25471942</v>
      </c>
    </row>
    <row r="7" spans="1:5" x14ac:dyDescent="0.3">
      <c r="A7" s="40" t="s">
        <v>20</v>
      </c>
      <c r="B7" s="43">
        <v>287</v>
      </c>
      <c r="C7" s="43">
        <v>37976010</v>
      </c>
    </row>
    <row r="8" spans="1:5" x14ac:dyDescent="0.3">
      <c r="A8" s="40" t="s">
        <v>51</v>
      </c>
      <c r="B8" s="43">
        <v>56</v>
      </c>
      <c r="C8" s="43">
        <v>8191610</v>
      </c>
    </row>
    <row r="9" spans="1:5" x14ac:dyDescent="0.3">
      <c r="A9" s="40" t="s">
        <v>5332</v>
      </c>
      <c r="B9" s="43">
        <v>793</v>
      </c>
      <c r="C9" s="43">
        <v>99773552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46516-89AD-4FE6-8C73-0ADCCFDA921F}">
  <dimension ref="A2:C20"/>
  <sheetViews>
    <sheetView workbookViewId="0">
      <selection activeCell="D5" sqref="D5"/>
    </sheetView>
  </sheetViews>
  <sheetFormatPr defaultRowHeight="14.4" x14ac:dyDescent="0.3"/>
  <cols>
    <col min="1" max="1" width="45.109375" bestFit="1" customWidth="1"/>
    <col min="2" max="2" width="22.109375" bestFit="1" customWidth="1"/>
    <col min="3" max="3" width="15.6640625" bestFit="1" customWidth="1"/>
  </cols>
  <sheetData>
    <row r="2" spans="1:3" x14ac:dyDescent="0.3">
      <c r="B2" t="s">
        <v>5353</v>
      </c>
    </row>
    <row r="3" spans="1:3" x14ac:dyDescent="0.3">
      <c r="A3" s="39" t="s">
        <v>5330</v>
      </c>
      <c r="B3" t="s">
        <v>5349</v>
      </c>
      <c r="C3" t="s">
        <v>5345</v>
      </c>
    </row>
    <row r="4" spans="1:3" x14ac:dyDescent="0.3">
      <c r="A4" s="40" t="s">
        <v>87</v>
      </c>
      <c r="B4" s="43">
        <v>9896787</v>
      </c>
      <c r="C4" s="43">
        <v>208</v>
      </c>
    </row>
    <row r="5" spans="1:3" x14ac:dyDescent="0.3">
      <c r="A5" s="40" t="s">
        <v>1609</v>
      </c>
      <c r="B5" s="43">
        <v>13551386</v>
      </c>
      <c r="C5" s="43">
        <v>134</v>
      </c>
    </row>
    <row r="6" spans="1:3" x14ac:dyDescent="0.3">
      <c r="A6" s="40" t="s">
        <v>3302</v>
      </c>
      <c r="B6" s="43">
        <v>16227100</v>
      </c>
      <c r="C6" s="43">
        <v>24</v>
      </c>
    </row>
    <row r="7" spans="1:3" x14ac:dyDescent="0.3">
      <c r="A7" s="40" t="s">
        <v>1735</v>
      </c>
      <c r="B7" s="43">
        <v>35474210</v>
      </c>
      <c r="C7" s="43">
        <v>78</v>
      </c>
    </row>
    <row r="8" spans="1:3" x14ac:dyDescent="0.3">
      <c r="A8" s="40" t="s">
        <v>60</v>
      </c>
      <c r="B8" s="43">
        <v>9267550</v>
      </c>
      <c r="C8" s="43">
        <v>198</v>
      </c>
    </row>
    <row r="9" spans="1:3" x14ac:dyDescent="0.3">
      <c r="A9" s="40" t="s">
        <v>23</v>
      </c>
      <c r="B9" s="43">
        <v>47695831</v>
      </c>
      <c r="C9" s="43">
        <v>337</v>
      </c>
    </row>
    <row r="10" spans="1:3" x14ac:dyDescent="0.3">
      <c r="A10" s="40" t="s">
        <v>1599</v>
      </c>
      <c r="B10" s="43">
        <v>26121162</v>
      </c>
      <c r="C10" s="43">
        <v>140</v>
      </c>
    </row>
    <row r="11" spans="1:3" x14ac:dyDescent="0.3">
      <c r="A11" s="40" t="s">
        <v>1677</v>
      </c>
      <c r="B11" s="43">
        <v>43538125</v>
      </c>
      <c r="C11" s="43">
        <v>115</v>
      </c>
    </row>
    <row r="12" spans="1:3" x14ac:dyDescent="0.3">
      <c r="A12" s="40" t="s">
        <v>643</v>
      </c>
      <c r="B12" s="43">
        <v>70968595</v>
      </c>
      <c r="C12" s="43">
        <v>276</v>
      </c>
    </row>
    <row r="13" spans="1:3" x14ac:dyDescent="0.3">
      <c r="A13" s="40" t="s">
        <v>69</v>
      </c>
      <c r="B13" s="43">
        <v>12070460</v>
      </c>
      <c r="C13" s="43">
        <v>158</v>
      </c>
    </row>
    <row r="14" spans="1:3" x14ac:dyDescent="0.3">
      <c r="A14" s="40" t="s">
        <v>616</v>
      </c>
      <c r="B14" s="43">
        <v>7797757</v>
      </c>
      <c r="C14" s="43">
        <v>126</v>
      </c>
    </row>
    <row r="15" spans="1:3" x14ac:dyDescent="0.3">
      <c r="A15" s="40" t="s">
        <v>1623</v>
      </c>
      <c r="B15" s="43">
        <v>6406747</v>
      </c>
      <c r="C15" s="43">
        <v>82</v>
      </c>
    </row>
    <row r="16" spans="1:3" x14ac:dyDescent="0.3">
      <c r="A16" s="40" t="s">
        <v>35</v>
      </c>
      <c r="B16" s="43">
        <v>6950663</v>
      </c>
      <c r="C16" s="43">
        <v>136</v>
      </c>
    </row>
    <row r="17" spans="1:3" x14ac:dyDescent="0.3">
      <c r="A17" s="40" t="s">
        <v>52</v>
      </c>
      <c r="B17" s="43">
        <v>23520667</v>
      </c>
      <c r="C17" s="43">
        <v>325</v>
      </c>
    </row>
    <row r="18" spans="1:3" x14ac:dyDescent="0.3">
      <c r="A18" s="40" t="s">
        <v>1621</v>
      </c>
      <c r="B18" s="43">
        <v>11490232</v>
      </c>
      <c r="C18" s="43">
        <v>133</v>
      </c>
    </row>
    <row r="19" spans="1:3" x14ac:dyDescent="0.3">
      <c r="A19" s="40" t="s">
        <v>5331</v>
      </c>
      <c r="B19" s="43"/>
      <c r="C19" s="43"/>
    </row>
    <row r="20" spans="1:3" x14ac:dyDescent="0.3">
      <c r="A20" s="40" t="s">
        <v>5332</v>
      </c>
      <c r="B20" s="43">
        <v>340977272</v>
      </c>
      <c r="C20" s="43">
        <v>2470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B99-830B-4974-BDBB-870FAD34815F}">
  <dimension ref="A3:I34"/>
  <sheetViews>
    <sheetView zoomScale="70" zoomScaleNormal="70" workbookViewId="0">
      <selection activeCell="A4" sqref="A4"/>
    </sheetView>
  </sheetViews>
  <sheetFormatPr defaultRowHeight="14.4" x14ac:dyDescent="0.3"/>
  <cols>
    <col min="1" max="1" width="17.44140625" bestFit="1" customWidth="1"/>
    <col min="2" max="2" width="16" bestFit="1" customWidth="1"/>
    <col min="3" max="3" width="17.44140625" bestFit="1" customWidth="1"/>
    <col min="4" max="4" width="16" bestFit="1" customWidth="1"/>
    <col min="5" max="5" width="22.109375" bestFit="1" customWidth="1"/>
    <col min="6" max="6" width="10.77734375" bestFit="1" customWidth="1"/>
    <col min="7" max="7" width="13.109375" bestFit="1" customWidth="1"/>
    <col min="8" max="8" width="49.109375" bestFit="1" customWidth="1"/>
    <col min="9" max="9" width="10" bestFit="1" customWidth="1"/>
    <col min="10" max="10" width="12.21875" bestFit="1" customWidth="1"/>
    <col min="11" max="11" width="15" bestFit="1" customWidth="1"/>
    <col min="12" max="12" width="10.77734375" bestFit="1" customWidth="1"/>
  </cols>
  <sheetData>
    <row r="3" spans="1:2" x14ac:dyDescent="0.3">
      <c r="A3" s="39" t="s">
        <v>5330</v>
      </c>
      <c r="B3" t="s">
        <v>5345</v>
      </c>
    </row>
    <row r="4" spans="1:2" x14ac:dyDescent="0.3">
      <c r="A4" s="40" t="s">
        <v>97</v>
      </c>
      <c r="B4" s="43">
        <v>213</v>
      </c>
    </row>
    <row r="5" spans="1:2" x14ac:dyDescent="0.3">
      <c r="A5" s="40" t="s">
        <v>55</v>
      </c>
      <c r="B5" s="43">
        <v>47</v>
      </c>
    </row>
    <row r="6" spans="1:2" x14ac:dyDescent="0.3">
      <c r="A6" s="40" t="s">
        <v>62</v>
      </c>
      <c r="B6" s="43">
        <v>117</v>
      </c>
    </row>
    <row r="7" spans="1:2" x14ac:dyDescent="0.3">
      <c r="A7" s="40" t="s">
        <v>45</v>
      </c>
      <c r="B7" s="43">
        <v>159</v>
      </c>
    </row>
    <row r="8" spans="1:2" x14ac:dyDescent="0.3">
      <c r="A8" s="40" t="s">
        <v>27</v>
      </c>
      <c r="B8" s="43">
        <v>257</v>
      </c>
    </row>
    <row r="9" spans="1:2" x14ac:dyDescent="0.3">
      <c r="A9" s="40" t="s">
        <v>5332</v>
      </c>
      <c r="B9" s="43">
        <v>793</v>
      </c>
    </row>
    <row r="13" spans="1:2" x14ac:dyDescent="0.3">
      <c r="A13" t="s">
        <v>5345</v>
      </c>
    </row>
    <row r="14" spans="1:2" x14ac:dyDescent="0.3">
      <c r="A14" s="46">
        <v>793</v>
      </c>
    </row>
    <row r="17" spans="1:9" x14ac:dyDescent="0.3">
      <c r="A17" t="s">
        <v>5346</v>
      </c>
    </row>
    <row r="18" spans="1:9" x14ac:dyDescent="0.3">
      <c r="A18" s="46">
        <v>213</v>
      </c>
    </row>
    <row r="19" spans="1:9" x14ac:dyDescent="0.3">
      <c r="H19" s="47" t="s">
        <v>5354</v>
      </c>
      <c r="I19" s="48" t="s">
        <v>5355</v>
      </c>
    </row>
    <row r="20" spans="1:9" x14ac:dyDescent="0.3">
      <c r="H20" s="49" t="s">
        <v>87</v>
      </c>
      <c r="I20" s="50">
        <v>4221556</v>
      </c>
    </row>
    <row r="21" spans="1:9" x14ac:dyDescent="0.3">
      <c r="A21" t="s">
        <v>5349</v>
      </c>
      <c r="H21" s="49" t="s">
        <v>1609</v>
      </c>
      <c r="I21" s="50">
        <v>4484122</v>
      </c>
    </row>
    <row r="22" spans="1:9" x14ac:dyDescent="0.3">
      <c r="A22" s="46">
        <v>99773552</v>
      </c>
      <c r="C22" s="39" t="s">
        <v>5330</v>
      </c>
      <c r="D22" t="s">
        <v>5345</v>
      </c>
      <c r="E22" s="39"/>
      <c r="F22" s="39"/>
      <c r="G22" s="39"/>
      <c r="H22" s="49" t="s">
        <v>1735</v>
      </c>
      <c r="I22" s="50">
        <v>10522264</v>
      </c>
    </row>
    <row r="23" spans="1:9" x14ac:dyDescent="0.3">
      <c r="C23" s="40" t="s">
        <v>97</v>
      </c>
      <c r="D23" s="43">
        <v>213</v>
      </c>
      <c r="H23" s="49" t="s">
        <v>60</v>
      </c>
      <c r="I23" s="50">
        <v>3341008</v>
      </c>
    </row>
    <row r="24" spans="1:9" x14ac:dyDescent="0.3">
      <c r="C24" s="40" t="s">
        <v>55</v>
      </c>
      <c r="D24" s="43">
        <v>47</v>
      </c>
      <c r="H24" s="49" t="s">
        <v>23</v>
      </c>
      <c r="I24" s="50">
        <v>9495249</v>
      </c>
    </row>
    <row r="25" spans="1:9" x14ac:dyDescent="0.3">
      <c r="C25" s="40" t="s">
        <v>62</v>
      </c>
      <c r="D25" s="43">
        <v>117</v>
      </c>
      <c r="H25" s="49" t="s">
        <v>1599</v>
      </c>
      <c r="I25" s="50">
        <v>8975706</v>
      </c>
    </row>
    <row r="26" spans="1:9" x14ac:dyDescent="0.3">
      <c r="C26" s="40" t="s">
        <v>45</v>
      </c>
      <c r="D26" s="43">
        <v>159</v>
      </c>
      <c r="H26" s="49" t="s">
        <v>1677</v>
      </c>
      <c r="I26" s="50">
        <v>8889108</v>
      </c>
    </row>
    <row r="27" spans="1:9" x14ac:dyDescent="0.3">
      <c r="C27" s="40" t="s">
        <v>27</v>
      </c>
      <c r="D27" s="43">
        <v>257</v>
      </c>
      <c r="H27" s="49" t="s">
        <v>643</v>
      </c>
      <c r="I27" s="50">
        <v>27960729</v>
      </c>
    </row>
    <row r="28" spans="1:9" x14ac:dyDescent="0.3">
      <c r="C28" s="40" t="s">
        <v>5332</v>
      </c>
      <c r="D28" s="43">
        <v>793</v>
      </c>
      <c r="H28" s="49" t="s">
        <v>69</v>
      </c>
      <c r="I28" s="50">
        <v>3444166</v>
      </c>
    </row>
    <row r="29" spans="1:9" x14ac:dyDescent="0.3">
      <c r="H29" s="49" t="s">
        <v>616</v>
      </c>
      <c r="I29" s="50">
        <v>3663645</v>
      </c>
    </row>
    <row r="30" spans="1:9" x14ac:dyDescent="0.3">
      <c r="H30" s="49" t="s">
        <v>1623</v>
      </c>
      <c r="I30" s="50">
        <v>1271968</v>
      </c>
    </row>
    <row r="31" spans="1:9" x14ac:dyDescent="0.3">
      <c r="H31" s="49" t="s">
        <v>35</v>
      </c>
      <c r="I31" s="50">
        <v>2233969</v>
      </c>
    </row>
    <row r="32" spans="1:9" x14ac:dyDescent="0.3">
      <c r="H32" s="49" t="s">
        <v>52</v>
      </c>
      <c r="I32" s="50">
        <v>8038020</v>
      </c>
    </row>
    <row r="33" spans="8:9" x14ac:dyDescent="0.3">
      <c r="H33" s="49" t="s">
        <v>1621</v>
      </c>
      <c r="I33" s="50">
        <v>3232042</v>
      </c>
    </row>
    <row r="34" spans="8:9" x14ac:dyDescent="0.3">
      <c r="H34" s="49" t="s">
        <v>5332</v>
      </c>
      <c r="I34" s="50">
        <v>99773552</v>
      </c>
    </row>
  </sheetData>
  <pageMargins left="0.7" right="0.7" top="0.75" bottom="0.75" header="0.3" footer="0.3"/>
  <pageSetup paperSize="9" orientation="portrait" verticalDpi="0" r:id="rId7"/>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Trenzy Sales Data</vt:lpstr>
      <vt:lpstr>Yearly Summary</vt:lpstr>
      <vt:lpstr>Source by Year</vt:lpstr>
      <vt:lpstr>Data Notes</vt:lpstr>
      <vt:lpstr>pivot 1</vt:lpstr>
      <vt:lpstr>pivot2</vt:lpstr>
      <vt:lpstr>pivot 3</vt:lpstr>
      <vt:lpstr>pivot 4</vt:lpstr>
      <vt:lpstr>pivot 5</vt:lpstr>
      <vt:lpstr>Pivot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Nachiket Lokhande</cp:lastModifiedBy>
  <dcterms:created xsi:type="dcterms:W3CDTF">2026-05-08T08:15:15Z</dcterms:created>
  <dcterms:modified xsi:type="dcterms:W3CDTF">2026-09-25T05:38:36Z</dcterms:modified>
</cp:coreProperties>
</file>