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trenzy project file\"/>
    </mc:Choice>
  </mc:AlternateContent>
  <xr:revisionPtr revIDLastSave="0" documentId="13_ncr:1_{D59AB31B-60AD-433D-B4DF-AB3C24B4B7C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Builder Leads Data" sheetId="1" r:id="rId1"/>
    <sheet name="Yearly Summary" sheetId="2" r:id="rId2"/>
    <sheet name="Data Notes" sheetId="3" r:id="rId3"/>
  </sheets>
  <definedNames>
    <definedName name="_xlnm._FilterDatabase" localSheetId="0" hidden="1">'Builder Leads Data'!$A$1:$V$1</definedName>
  </definedNames>
  <calcPr calcId="191029"/>
</workbook>
</file>

<file path=xl/calcChain.xml><?xml version="1.0" encoding="utf-8"?>
<calcChain xmlns="http://schemas.openxmlformats.org/spreadsheetml/2006/main">
  <c r="W136" i="1" l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<sst xmlns="http://schemas.openxmlformats.org/spreadsheetml/2006/main" count="2083" uniqueCount="838">
  <si>
    <t>Lead_ID</t>
  </si>
  <si>
    <t>Phone</t>
  </si>
  <si>
    <t>Lead_Source</t>
  </si>
  <si>
    <t>Door_Quantity</t>
  </si>
  <si>
    <t>Estimated_Budget</t>
  </si>
  <si>
    <t>Final_Deal_Value</t>
  </si>
  <si>
    <t>Response_Time_Hours</t>
  </si>
  <si>
    <t>Lead_Rating</t>
  </si>
  <si>
    <t>Remarks</t>
  </si>
  <si>
    <t>BLD001</t>
  </si>
  <si>
    <t>Pravin Builders</t>
  </si>
  <si>
    <t>Mr. Ashok Pawar</t>
  </si>
  <si>
    <t>Mumbai</t>
  </si>
  <si>
    <t>Residential Builder</t>
  </si>
  <si>
    <t>Site Visit</t>
  </si>
  <si>
    <t>Site Cold Visit — Pune</t>
  </si>
  <si>
    <t>Bulk Bathroom Doors (HDHMR) + Laminate Finish + Pine Wood Frames</t>
  </si>
  <si>
    <t>2023-06-05</t>
  </si>
  <si>
    <t>2023-06-10</t>
  </si>
  <si>
    <t>2023-06-28</t>
  </si>
  <si>
    <t>In Progress</t>
  </si>
  <si>
    <t>Aniket Kolhe</t>
  </si>
  <si>
    <t>Hot</t>
  </si>
  <si>
    <t>Measurement of all floors done, quote pending</t>
  </si>
  <si>
    <t>BLD002</t>
  </si>
  <si>
    <t>Anil Constructions</t>
  </si>
  <si>
    <t>Mr. Pravin Kadam</t>
  </si>
  <si>
    <t>Ahmednagar</t>
  </si>
  <si>
    <t>Housing Society Developer</t>
  </si>
  <si>
    <t>Builder Site Meeting</t>
  </si>
  <si>
    <t>Bulk HDHMR Doors + Laminate Finish + Pine Wood Frames</t>
  </si>
  <si>
    <t>2023-06-12</t>
  </si>
  <si>
    <t>2023-06-16</t>
  </si>
  <si>
    <t>2023-08-02</t>
  </si>
  <si>
    <t>Follow-up Pending</t>
  </si>
  <si>
    <t>Ankeeta Londhe</t>
  </si>
  <si>
    <t>Cold</t>
  </si>
  <si>
    <t>Builder on hold — project approval pending</t>
  </si>
  <si>
    <t>BLD003</t>
  </si>
  <si>
    <t>Hemant Associates</t>
  </si>
  <si>
    <t>Mr. Pravin Jadhav</t>
  </si>
  <si>
    <t>Latur</t>
  </si>
  <si>
    <t>Real Estate Developer</t>
  </si>
  <si>
    <t>Bulk Pine Wood Flush Doors + Laminate + Pine Wood Frames</t>
  </si>
  <si>
    <t>2023-06-29</t>
  </si>
  <si>
    <t>2023-09-26</t>
  </si>
  <si>
    <t>Lost</t>
  </si>
  <si>
    <t>Amit Talola</t>
  </si>
  <si>
    <t>Price too high for builder budget</t>
  </si>
  <si>
    <t>BLD004</t>
  </si>
  <si>
    <t>Vijay Constructions</t>
  </si>
  <si>
    <t>Mr. Santosh Deshmukh</t>
  </si>
  <si>
    <t>Referral</t>
  </si>
  <si>
    <t>Existing Builder Client Referral</t>
  </si>
  <si>
    <t>2023-07-26</t>
  </si>
  <si>
    <t>2023-08-01</t>
  </si>
  <si>
    <t>2023-11-13</t>
  </si>
  <si>
    <t>Warm</t>
  </si>
  <si>
    <t>Project stalled — builder facing funding issues</t>
  </si>
  <si>
    <t>BLD005</t>
  </si>
  <si>
    <t>Rajendra Enterprises</t>
  </si>
  <si>
    <t>Ms. Hemant Kadam</t>
  </si>
  <si>
    <t>Civil Engineer Referral</t>
  </si>
  <si>
    <t>2023-08-03</t>
  </si>
  <si>
    <t>2023-08-07</t>
  </si>
  <si>
    <t>2023-08-29</t>
  </si>
  <si>
    <t>Project delayed, will connect after 2 months</t>
  </si>
  <si>
    <t>BLD006</t>
  </si>
  <si>
    <t>Mr. Santosh Jadhav</t>
  </si>
  <si>
    <t>Pune</t>
  </si>
  <si>
    <t>Contractor Referral</t>
  </si>
  <si>
    <t>Complete Door Package - Pine Wood + Laminate + Pine Wood Frames</t>
  </si>
  <si>
    <t>2023-08-10</t>
  </si>
  <si>
    <t>2023-08-30</t>
  </si>
  <si>
    <t>BLD007</t>
  </si>
  <si>
    <t>Prakash Developers</t>
  </si>
  <si>
    <t>Mr. Nilesh More</t>
  </si>
  <si>
    <t>Barshi</t>
  </si>
  <si>
    <t>Architect Referral</t>
  </si>
  <si>
    <t>Complete Door Package - HDHMR + Veneer Finish + Pine Wood Frames</t>
  </si>
  <si>
    <t>2023-08-25</t>
  </si>
  <si>
    <t>2023-09-16</t>
  </si>
  <si>
    <t>Builder interested, quotation shared</t>
  </si>
  <si>
    <t>BLD008</t>
  </si>
  <si>
    <t>Anil Infra</t>
  </si>
  <si>
    <t>Ms. Sanjay More</t>
  </si>
  <si>
    <t>Construction Contractor</t>
  </si>
  <si>
    <t>2023-09-18</t>
  </si>
  <si>
    <t>2023-09-25</t>
  </si>
  <si>
    <t>2023-11-14</t>
  </si>
  <si>
    <t>Converted</t>
  </si>
  <si>
    <t>2023-12-09</t>
  </si>
  <si>
    <t>Final payment cleared, project handed over</t>
  </si>
  <si>
    <t>BLD009</t>
  </si>
  <si>
    <t>Santosh Infra Pvt Ltd</t>
  </si>
  <si>
    <t>Mr. Vijay Mane</t>
  </si>
  <si>
    <t>Commercial Builder</t>
  </si>
  <si>
    <t>New Construction Site Visit</t>
  </si>
  <si>
    <t>Bulk HDHMR Flush Doors + Laminate + Pine Wood Frames</t>
  </si>
  <si>
    <t>2023-09-30</t>
  </si>
  <si>
    <t>2023-10-02</t>
  </si>
  <si>
    <t>2024-03-07</t>
  </si>
  <si>
    <t>Dropped</t>
  </si>
  <si>
    <t>BLD010</t>
  </si>
  <si>
    <t>Sunil Constructions</t>
  </si>
  <si>
    <t>Ms. Anil Bhosale</t>
  </si>
  <si>
    <t>Trade Show</t>
  </si>
  <si>
    <t>Pune Realty Expo 2025</t>
  </si>
  <si>
    <t>2023-10-09</t>
  </si>
  <si>
    <t>2024-01-08</t>
  </si>
  <si>
    <t>BLD011</t>
  </si>
  <si>
    <t>Sunil Enterprises</t>
  </si>
  <si>
    <t>Mr. Vijay Deshmukh</t>
  </si>
  <si>
    <t>Bulk HDHMR Doors + PU Finish + Pine Wood Frames</t>
  </si>
  <si>
    <t>2023-10-16</t>
  </si>
  <si>
    <t>2023-10-23</t>
  </si>
  <si>
    <t>2024-01-25</t>
  </si>
  <si>
    <t>Builder will decide after slab casting</t>
  </si>
  <si>
    <t>BLD012</t>
  </si>
  <si>
    <t>Sanjay Builders</t>
  </si>
  <si>
    <t>Mr. Hemant Bhosale</t>
  </si>
  <si>
    <t>2023-10-19</t>
  </si>
  <si>
    <t>2024-01-04</t>
  </si>
  <si>
    <t>2024-01-26</t>
  </si>
  <si>
    <t>BLD013</t>
  </si>
  <si>
    <t>Rajendra Group</t>
  </si>
  <si>
    <t>Mr. Ashok Jadhav</t>
  </si>
  <si>
    <t>Affordable Housing Developer</t>
  </si>
  <si>
    <t>Bulk HDHMR Doors + Veneer Finish + Pine Wood Frames</t>
  </si>
  <si>
    <t>2023-10-30</t>
  </si>
  <si>
    <t>2023-11-02</t>
  </si>
  <si>
    <t>2023-11-25</t>
  </si>
  <si>
    <t>Not responding after site visit</t>
  </si>
  <si>
    <t>BLD014</t>
  </si>
  <si>
    <t>Nilesh Associates</t>
  </si>
  <si>
    <t>Mr. Mahesh Deshmukh</t>
  </si>
  <si>
    <t>Nashik</t>
  </si>
  <si>
    <t>2023-11-28</t>
  </si>
  <si>
    <t>2023-12-02</t>
  </si>
  <si>
    <t>2024-02-12</t>
  </si>
  <si>
    <t>Call back after Diwali — builder on break</t>
  </si>
  <si>
    <t>BLD015</t>
  </si>
  <si>
    <t>Pravin Enterprises</t>
  </si>
  <si>
    <t>Mr. Rajendra More</t>
  </si>
  <si>
    <t>2023-11-29</t>
  </si>
  <si>
    <t>2023-12-01</t>
  </si>
  <si>
    <t>BLD016</t>
  </si>
  <si>
    <t>Santosh Realty</t>
  </si>
  <si>
    <t>Ms. Dinesh Salve</t>
  </si>
  <si>
    <t>Solapur</t>
  </si>
  <si>
    <t>Bulk Main Entry Doors (HDHMR) + Veneer Finish + Pine Wood Frames</t>
  </si>
  <si>
    <t>2023-12-04</t>
  </si>
  <si>
    <t>2024-06-12</t>
  </si>
  <si>
    <t>Builder cancelled project</t>
  </si>
  <si>
    <t>BLD017</t>
  </si>
  <si>
    <t>Pravin Group</t>
  </si>
  <si>
    <t>Ms. Pravin Jadhav</t>
  </si>
  <si>
    <t>Nashik Builder Trade Show 2024</t>
  </si>
  <si>
    <t>2023-12-11</t>
  </si>
  <si>
    <t>2023-12-16</t>
  </si>
  <si>
    <t>2024-03-09</t>
  </si>
  <si>
    <t>Lost to local supplier — cheaper rate</t>
  </si>
  <si>
    <t>BLD018</t>
  </si>
  <si>
    <t>Nilesh Enterprises</t>
  </si>
  <si>
    <t>Mr. Ashok More</t>
  </si>
  <si>
    <t>Justdial Business Listing</t>
  </si>
  <si>
    <t>Justdial Builder Enquiry — Inbound</t>
  </si>
  <si>
    <t>2024-01-01</t>
  </si>
  <si>
    <t>2024-04-06</t>
  </si>
  <si>
    <t>Builder already has vendor locked in</t>
  </si>
  <si>
    <t>BLD019</t>
  </si>
  <si>
    <t>Ashok Builders</t>
  </si>
  <si>
    <t>Mr. Santosh Pawar</t>
  </si>
  <si>
    <t>2024-01-27</t>
  </si>
  <si>
    <t>2024-04-12</t>
  </si>
  <si>
    <t>2024-05-09</t>
  </si>
  <si>
    <t>Sample approved, bulk order confirmed</t>
  </si>
  <si>
    <t>BLD020</t>
  </si>
  <si>
    <t>Anil Construction Pvt Ltd</t>
  </si>
  <si>
    <t>Mr. Vijay Kadam</t>
  </si>
  <si>
    <t>Justdial B2B Listing — Inbound</t>
  </si>
  <si>
    <t>Bulk Pine Wood Doors + PU Finish + Pine Wood Frames</t>
  </si>
  <si>
    <t>2024-04-23</t>
  </si>
  <si>
    <t>BLD021</t>
  </si>
  <si>
    <t>Santosh Developers</t>
  </si>
  <si>
    <t>Mr. Sanjay Shinde</t>
  </si>
  <si>
    <t>2024-01-29</t>
  </si>
  <si>
    <t>2024-01-31</t>
  </si>
  <si>
    <t>2024-06-08</t>
  </si>
  <si>
    <t>2024-07-07</t>
  </si>
  <si>
    <t>BLD022</t>
  </si>
  <si>
    <t>Mahesh Associates</t>
  </si>
  <si>
    <t>Mr. Dinesh Kadam</t>
  </si>
  <si>
    <t>2024-02-01</t>
  </si>
  <si>
    <t>2024-02-05</t>
  </si>
  <si>
    <t>2024-06-17</t>
  </si>
  <si>
    <t>2024-07-04</t>
  </si>
  <si>
    <t>BLD023</t>
  </si>
  <si>
    <t>Nilesh Group</t>
  </si>
  <si>
    <t>Mr. Sanjay Bhosale</t>
  </si>
  <si>
    <t>2024-02-19</t>
  </si>
  <si>
    <t>2024-08-13</t>
  </si>
  <si>
    <t>2024-09-01</t>
  </si>
  <si>
    <t>Builder very satisfied, repeat order expected</t>
  </si>
  <si>
    <t>BLD024</t>
  </si>
  <si>
    <t>Dinesh Builders</t>
  </si>
  <si>
    <t>Mumbai Construction Show 2025</t>
  </si>
  <si>
    <t>Bulk Pine Wood Doors + Veneer Finish + Pine Wood Frames</t>
  </si>
  <si>
    <t>2024-02-17</t>
  </si>
  <si>
    <t>2024-05-16</t>
  </si>
  <si>
    <t>Lost to competitor who gave credit facility</t>
  </si>
  <si>
    <t>BLD025</t>
  </si>
  <si>
    <t>Sunil Construction Pvt Ltd</t>
  </si>
  <si>
    <t>Mr. Pravin Wagh</t>
  </si>
  <si>
    <t>Under Construction Building Visit</t>
  </si>
  <si>
    <t>2024-02-23</t>
  </si>
  <si>
    <t>2024-02-26</t>
  </si>
  <si>
    <t>2024-04-10</t>
  </si>
  <si>
    <t>Follow up after foundation work completion</t>
  </si>
  <si>
    <t>BLD026</t>
  </si>
  <si>
    <t>Sunil Group</t>
  </si>
  <si>
    <t>Mr. Rajendra Gaikwad</t>
  </si>
  <si>
    <t>2024-03-04</t>
  </si>
  <si>
    <t>2024-05-20</t>
  </si>
  <si>
    <t>2024-05-30</t>
  </si>
  <si>
    <t>Work order signed, bulk supply schedule confirmed</t>
  </si>
  <si>
    <t>BLD027</t>
  </si>
  <si>
    <t>Mr. Prakash More</t>
  </si>
  <si>
    <t>Maharashtra Construction Summit 2024</t>
  </si>
  <si>
    <t>2024-03-02</t>
  </si>
  <si>
    <t>2024-06-03</t>
  </si>
  <si>
    <t>BLD028</t>
  </si>
  <si>
    <t>Anil Projects</t>
  </si>
  <si>
    <t>Mr. Prakash Kadam</t>
  </si>
  <si>
    <t>Bulk Main Entry Doors (Pine Wood) + Laminate + Pine Wood Frames</t>
  </si>
  <si>
    <t>2024-03-08</t>
  </si>
  <si>
    <t>2024-03-12</t>
  </si>
  <si>
    <t>2024-06-25</t>
  </si>
  <si>
    <t>Builder went with existing vendor</t>
  </si>
  <si>
    <t>BLD029</t>
  </si>
  <si>
    <t>Rajendra Infra</t>
  </si>
  <si>
    <t>Mr. Prakash Shinde</t>
  </si>
  <si>
    <t>2024-03-14</t>
  </si>
  <si>
    <t>2024-06-07</t>
  </si>
  <si>
    <t>Lost — no follow up done in time</t>
  </si>
  <si>
    <t>BLD030</t>
  </si>
  <si>
    <t>Sunil Builders</t>
  </si>
  <si>
    <t>Mr. Ramesh Shinde</t>
  </si>
  <si>
    <t>2024-03-15</t>
  </si>
  <si>
    <t>2024-03-18</t>
  </si>
  <si>
    <t>2024-06-04</t>
  </si>
  <si>
    <t>Meeting done at site, awaiting work order</t>
  </si>
  <si>
    <t>BLD031</t>
  </si>
  <si>
    <t>Ramesh Builders</t>
  </si>
  <si>
    <t>2024-04-04</t>
  </si>
  <si>
    <t>2024-04-09</t>
  </si>
  <si>
    <t>2024-05-13</t>
  </si>
  <si>
    <t>BLD032</t>
  </si>
  <si>
    <t>Pravin Construction Pvt Ltd</t>
  </si>
  <si>
    <t>Mr. Ramesh Bhosale</t>
  </si>
  <si>
    <t>Complete Door Package - HDHMR + PU Finish + Pine Wood Frames</t>
  </si>
  <si>
    <t>2024-05-21</t>
  </si>
  <si>
    <t>BLD033</t>
  </si>
  <si>
    <t>Mr. Sunil Kadam</t>
  </si>
  <si>
    <t>Bulk Pine Wood Doors + Laminate Finish + Pine Wood Frames</t>
  </si>
  <si>
    <t>2024-04-15</t>
  </si>
  <si>
    <t>2024-04-22</t>
  </si>
  <si>
    <t>2024-07-13</t>
  </si>
  <si>
    <t>2024-07-18</t>
  </si>
  <si>
    <t>BLD034</t>
  </si>
  <si>
    <t>Dinesh Constructions</t>
  </si>
  <si>
    <t>Mr. Santosh Bhosale</t>
  </si>
  <si>
    <t>Bulk Bedroom Doors (Pine Wood) + Laminate Finish + Pine Wood Frames</t>
  </si>
  <si>
    <t>2024-04-19</t>
  </si>
  <si>
    <t>2024-04-25</t>
  </si>
  <si>
    <t>2024-08-27</t>
  </si>
  <si>
    <t>2024-09-22</t>
  </si>
  <si>
    <t>Deal closed, advance received — production started</t>
  </si>
  <si>
    <t>BLD035</t>
  </si>
  <si>
    <t>Rajendra Realty</t>
  </si>
  <si>
    <t>Mr. Vijay More</t>
  </si>
  <si>
    <t>2024-05-02</t>
  </si>
  <si>
    <t>2024-05-03</t>
  </si>
  <si>
    <t>2024-08-01</t>
  </si>
  <si>
    <t>BLD036</t>
  </si>
  <si>
    <t>Prakash Constructions</t>
  </si>
  <si>
    <t>Mr. Dinesh Gaikwad</t>
  </si>
  <si>
    <t>2024-05-06</t>
  </si>
  <si>
    <t>2024-05-10</t>
  </si>
  <si>
    <t>2024-09-02</t>
  </si>
  <si>
    <t>BLD037</t>
  </si>
  <si>
    <t>Dinesh Infra Pvt Ltd</t>
  </si>
  <si>
    <t>Mr. Vijay Salve</t>
  </si>
  <si>
    <t>2024-05-27</t>
  </si>
  <si>
    <t>2024-07-20</t>
  </si>
  <si>
    <t>Builder not interested in current phase</t>
  </si>
  <si>
    <t>BLD038</t>
  </si>
  <si>
    <t>Devendra Associates</t>
  </si>
  <si>
    <t>Mr. Dinesh Salve</t>
  </si>
  <si>
    <t>2024-05-31</t>
  </si>
  <si>
    <t>2024-07-15</t>
  </si>
  <si>
    <t>2024-08-14</t>
  </si>
  <si>
    <t>BLD039</t>
  </si>
  <si>
    <t>Rajendra Infra Pvt Ltd</t>
  </si>
  <si>
    <t>Mr. Ashok Wagh</t>
  </si>
  <si>
    <t>2024-06-22</t>
  </si>
  <si>
    <t>2024-11-04</t>
  </si>
  <si>
    <t>2024-11-22</t>
  </si>
  <si>
    <t>BLD040</t>
  </si>
  <si>
    <t>Devendra Projects</t>
  </si>
  <si>
    <t>Mr. Hemant Thorat</t>
  </si>
  <si>
    <t>2024-06-28</t>
  </si>
  <si>
    <t>2024-07-05</t>
  </si>
  <si>
    <t>2024-09-20</t>
  </si>
  <si>
    <t>BLD041</t>
  </si>
  <si>
    <t>Mahesh Group</t>
  </si>
  <si>
    <t>Ms. Dinesh Gaikwad</t>
  </si>
  <si>
    <t>2024-07-25</t>
  </si>
  <si>
    <t>2024-07-29</t>
  </si>
  <si>
    <t>2024-11-11</t>
  </si>
  <si>
    <t>Final quote shared, builder discussing internally</t>
  </si>
  <si>
    <t>BLD042</t>
  </si>
  <si>
    <t>Devendra Infra Pvt Ltd</t>
  </si>
  <si>
    <t>Ms. Vijay Shinde</t>
  </si>
  <si>
    <t>Pune Builder Expo 2023</t>
  </si>
  <si>
    <t>2024-08-10</t>
  </si>
  <si>
    <t>2024-12-16</t>
  </si>
  <si>
    <t>2025-01-13</t>
  </si>
  <si>
    <t>Full payment cleared, delivery done on time</t>
  </si>
  <si>
    <t>BLD043</t>
  </si>
  <si>
    <t>Ramesh Developers</t>
  </si>
  <si>
    <t>2024-08-26</t>
  </si>
  <si>
    <t>2024-08-30</t>
  </si>
  <si>
    <t>2025-01-09</t>
  </si>
  <si>
    <t>BLD044</t>
  </si>
  <si>
    <t>Rajendra Builders</t>
  </si>
  <si>
    <t>2024-08-28</t>
  </si>
  <si>
    <t>2024-09-03</t>
  </si>
  <si>
    <t>2024-09-17</t>
  </si>
  <si>
    <t>Builder comparing multiple vendors</t>
  </si>
  <si>
    <t>BLD045</t>
  </si>
  <si>
    <t>Prakash Group</t>
  </si>
  <si>
    <t>Mr. Sunil Wagh</t>
  </si>
  <si>
    <t>2024-08-31</t>
  </si>
  <si>
    <t>2024-09-07</t>
  </si>
  <si>
    <t>2024-11-18</t>
  </si>
  <si>
    <t>2024-12-14</t>
  </si>
  <si>
    <t>BLD046</t>
  </si>
  <si>
    <t>Devendra Builders</t>
  </si>
  <si>
    <t>Mr. Hemant Shinde</t>
  </si>
  <si>
    <t>2024-09-09</t>
  </si>
  <si>
    <t>2025-01-08</t>
  </si>
  <si>
    <t>Wrong contact — not decision maker</t>
  </si>
  <si>
    <t>BLD047</t>
  </si>
  <si>
    <t>Dinesh Construction Pvt Ltd</t>
  </si>
  <si>
    <t>Mr. Pravin Shinde</t>
  </si>
  <si>
    <t>2024-09-24</t>
  </si>
  <si>
    <t>2024-12-12</t>
  </si>
  <si>
    <t>Builder asked for revised quote — positive discussion</t>
  </si>
  <si>
    <t>BLD048</t>
  </si>
  <si>
    <t>Nilesh Construction Pvt Ltd</t>
  </si>
  <si>
    <t>Mr. Hemant Kulkarni</t>
  </si>
  <si>
    <t>2024-09-21</t>
  </si>
  <si>
    <t>2024-09-23</t>
  </si>
  <si>
    <t>2024-10-11</t>
  </si>
  <si>
    <t>BLD049</t>
  </si>
  <si>
    <t>Mr. Santosh More</t>
  </si>
  <si>
    <t>2024-09-30</t>
  </si>
  <si>
    <t>2024-10-23</t>
  </si>
  <si>
    <t>BLD050</t>
  </si>
  <si>
    <t>Devendra Developers</t>
  </si>
  <si>
    <t>Mr. Sunil More</t>
  </si>
  <si>
    <t>2024-10-08</t>
  </si>
  <si>
    <t>2024-10-14</t>
  </si>
  <si>
    <t>2024-12-02</t>
  </si>
  <si>
    <t>BLD051</t>
  </si>
  <si>
    <t>Ashok Developers</t>
  </si>
  <si>
    <t>Mr. Vijay Bhosale</t>
  </si>
  <si>
    <t>2024-10-16</t>
  </si>
  <si>
    <t>2024-12-21</t>
  </si>
  <si>
    <t>Builder went with aluminium doors instead</t>
  </si>
  <si>
    <t>BLD052</t>
  </si>
  <si>
    <t>Rajendra Projects</t>
  </si>
  <si>
    <t>Ms. Mahesh Jadhav</t>
  </si>
  <si>
    <t>2024-10-25</t>
  </si>
  <si>
    <t>2024-10-31</t>
  </si>
  <si>
    <t>2025-02-24</t>
  </si>
  <si>
    <t>BLD053</t>
  </si>
  <si>
    <t>Mr. Santosh Mane</t>
  </si>
  <si>
    <t>2024-10-26</t>
  </si>
  <si>
    <t>2025-03-12</t>
  </si>
  <si>
    <t>BLD054</t>
  </si>
  <si>
    <t>Pravin Realty</t>
  </si>
  <si>
    <t>Mr. Nilesh Salve</t>
  </si>
  <si>
    <t>2024-11-12</t>
  </si>
  <si>
    <t>2025-01-22</t>
  </si>
  <si>
    <t>BLD055</t>
  </si>
  <si>
    <t>Santosh Group</t>
  </si>
  <si>
    <t>Mr. Dinesh Deshmukh</t>
  </si>
  <si>
    <t>2024-11-15</t>
  </si>
  <si>
    <t>2024-11-16</t>
  </si>
  <si>
    <t>2025-01-03</t>
  </si>
  <si>
    <t>Builder interested, project starting next quarter</t>
  </si>
  <si>
    <t>BLD056</t>
  </si>
  <si>
    <t>Rajendra Developers</t>
  </si>
  <si>
    <t>Mr. Dinesh Thorat</t>
  </si>
  <si>
    <t>2024-11-21</t>
  </si>
  <si>
    <t>2024-11-28</t>
  </si>
  <si>
    <t>2025-02-13</t>
  </si>
  <si>
    <t>BLD057</t>
  </si>
  <si>
    <t>Pravin Infra Pvt Ltd</t>
  </si>
  <si>
    <t>Mr. Nilesh Kadam</t>
  </si>
  <si>
    <t>2024-12-10</t>
  </si>
  <si>
    <t>2024-12-17</t>
  </si>
  <si>
    <t>2025-03-04</t>
  </si>
  <si>
    <t>2025-03-10</t>
  </si>
  <si>
    <t>BLD058</t>
  </si>
  <si>
    <t>Mr. Rajendra Deshmukh</t>
  </si>
  <si>
    <t>2024-12-27</t>
  </si>
  <si>
    <t>2025-03-17</t>
  </si>
  <si>
    <t>BLD059</t>
  </si>
  <si>
    <t>Sanjay Group</t>
  </si>
  <si>
    <t>2025-01-01</t>
  </si>
  <si>
    <t>2025-01-06</t>
  </si>
  <si>
    <t>2025-03-11</t>
  </si>
  <si>
    <t>BLD060</t>
  </si>
  <si>
    <t>Nilesh Constructions</t>
  </si>
  <si>
    <t>Ms. Ashok Thorat</t>
  </si>
  <si>
    <t>2025-01-20</t>
  </si>
  <si>
    <t>2025-01-23</t>
  </si>
  <si>
    <t>BLD061</t>
  </si>
  <si>
    <t>Sanjay Construction Pvt Ltd</t>
  </si>
  <si>
    <t>Ms. Sanjay Shinde</t>
  </si>
  <si>
    <t>2025-01-27</t>
  </si>
  <si>
    <t>2025-01-28</t>
  </si>
  <si>
    <t>2025-03-27</t>
  </si>
  <si>
    <t>BLD062</t>
  </si>
  <si>
    <t>Mr. Ramesh Mane</t>
  </si>
  <si>
    <t>2025-04-05</t>
  </si>
  <si>
    <t>2025-04-10</t>
  </si>
  <si>
    <t>BLD063</t>
  </si>
  <si>
    <t>Mahesh Developers</t>
  </si>
  <si>
    <t>Mr. Nilesh Pawar</t>
  </si>
  <si>
    <t>2025-02-05</t>
  </si>
  <si>
    <t>2025-02-10</t>
  </si>
  <si>
    <t>2025-04-02</t>
  </si>
  <si>
    <t>Waiting for project financing to be cleared</t>
  </si>
  <si>
    <t>BLD064</t>
  </si>
  <si>
    <t>Sanjay Enterprises</t>
  </si>
  <si>
    <t>Mr. Mahesh More</t>
  </si>
  <si>
    <t>2025-02-22</t>
  </si>
  <si>
    <t>2025-02-27</t>
  </si>
  <si>
    <t>2025-05-19</t>
  </si>
  <si>
    <t>2025-06-13</t>
  </si>
  <si>
    <t>BLD065</t>
  </si>
  <si>
    <t>Hemant Enterprises</t>
  </si>
  <si>
    <t>Mr. Ramesh Jadhav</t>
  </si>
  <si>
    <t>2025-02-28</t>
  </si>
  <si>
    <t>2025-04-24</t>
  </si>
  <si>
    <t>2025-05-09</t>
  </si>
  <si>
    <t>Token received, first batch supplied</t>
  </si>
  <si>
    <t>BLD066</t>
  </si>
  <si>
    <t>Ms. Santosh More</t>
  </si>
  <si>
    <t>2025-03-06</t>
  </si>
  <si>
    <t>2025-07-29</t>
  </si>
  <si>
    <t>Builder comparing 2 vendors, we are shortlisted</t>
  </si>
  <si>
    <t>BLD067</t>
  </si>
  <si>
    <t>Santosh Projects</t>
  </si>
  <si>
    <t>2025-03-05</t>
  </si>
  <si>
    <t>2025-05-10</t>
  </si>
  <si>
    <t>BLD068</t>
  </si>
  <si>
    <t>Vijay Enterprises</t>
  </si>
  <si>
    <t>Ms. Rajendra Salve</t>
  </si>
  <si>
    <t>2025-03-13</t>
  </si>
  <si>
    <t>2025-07-04</t>
  </si>
  <si>
    <t>No response after sending quotation</t>
  </si>
  <si>
    <t>BLD069</t>
  </si>
  <si>
    <t>Dinesh Enterprises</t>
  </si>
  <si>
    <t>Mr. Sanjay Kulkarni</t>
  </si>
  <si>
    <t>2025-03-08</t>
  </si>
  <si>
    <t>2025-03-14</t>
  </si>
  <si>
    <t>2025-09-15</t>
  </si>
  <si>
    <t>BLD070</t>
  </si>
  <si>
    <t>Dinesh Associates</t>
  </si>
  <si>
    <t>Ms. Sunil Jadhav</t>
  </si>
  <si>
    <t>2025-03-22</t>
  </si>
  <si>
    <t>2025-03-25</t>
  </si>
  <si>
    <t>2025-08-01</t>
  </si>
  <si>
    <t>BLD071</t>
  </si>
  <si>
    <t>Mr. Prakash Salve</t>
  </si>
  <si>
    <t>2025-03-28</t>
  </si>
  <si>
    <t>2025-06-07</t>
  </si>
  <si>
    <t>BLD072</t>
  </si>
  <si>
    <t>Sanjay Projects</t>
  </si>
  <si>
    <t>2025-04-19</t>
  </si>
  <si>
    <t>2025-04-22</t>
  </si>
  <si>
    <t>2025-07-19</t>
  </si>
  <si>
    <t>Site visit done, sample provided to builder</t>
  </si>
  <si>
    <t>BLD073</t>
  </si>
  <si>
    <t>2025-04-21</t>
  </si>
  <si>
    <t>2025-05-17</t>
  </si>
  <si>
    <t>2025-06-05</t>
  </si>
  <si>
    <t>BLD074</t>
  </si>
  <si>
    <t>2025-06-18</t>
  </si>
  <si>
    <t>BLD075</t>
  </si>
  <si>
    <t>2025-04-23</t>
  </si>
  <si>
    <t>2025-07-21</t>
  </si>
  <si>
    <t>BLD076</t>
  </si>
  <si>
    <t>Dinesh Projects</t>
  </si>
  <si>
    <t>Mr. Ramesh Deshmukh</t>
  </si>
  <si>
    <t>2025-05-08</t>
  </si>
  <si>
    <t>2025-08-15</t>
  </si>
  <si>
    <t>Deal done — supplying floor by floor</t>
  </si>
  <si>
    <t>BLD077</t>
  </si>
  <si>
    <t>Mr. Nilesh Mane</t>
  </si>
  <si>
    <t>2025-05-16</t>
  </si>
  <si>
    <t>2025-06-19</t>
  </si>
  <si>
    <t>BLD078</t>
  </si>
  <si>
    <t>Hemant Infra Pvt Ltd</t>
  </si>
  <si>
    <t>Mr. Sanjay Jadhav</t>
  </si>
  <si>
    <t>2025-08-28</t>
  </si>
  <si>
    <t>BLD079</t>
  </si>
  <si>
    <t>Ms. Nilesh Kulkarni</t>
  </si>
  <si>
    <t>2025-05-28</t>
  </si>
  <si>
    <t>2025-06-03</t>
  </si>
  <si>
    <t>2025-07-10</t>
  </si>
  <si>
    <t>BLD080</t>
  </si>
  <si>
    <t>Mr. Prakash Kulkarni</t>
  </si>
  <si>
    <t>2025-06-14</t>
  </si>
  <si>
    <t>2025-07-30</t>
  </si>
  <si>
    <t>2025-08-23</t>
  </si>
  <si>
    <t>BLD081</t>
  </si>
  <si>
    <t>Dinesh Group</t>
  </si>
  <si>
    <t>Mr. Anil More</t>
  </si>
  <si>
    <t>2025-06-09</t>
  </si>
  <si>
    <t>2025-06-10</t>
  </si>
  <si>
    <t>2025-10-14</t>
  </si>
  <si>
    <t>2025-10-24</t>
  </si>
  <si>
    <t>BLD082</t>
  </si>
  <si>
    <t>Mr. Sunil Salve</t>
  </si>
  <si>
    <t>2025-06-12</t>
  </si>
  <si>
    <t>2025-06-17</t>
  </si>
  <si>
    <t>2025-07-05</t>
  </si>
  <si>
    <t>BLD083</t>
  </si>
  <si>
    <t>Hemant Builders</t>
  </si>
  <si>
    <t>Mr. Ashok Patil</t>
  </si>
  <si>
    <t>2025-07-08</t>
  </si>
  <si>
    <t>2025-07-09</t>
  </si>
  <si>
    <t>2025-09-01</t>
  </si>
  <si>
    <t>BLD084</t>
  </si>
  <si>
    <t>Mr. Sanjay Patil</t>
  </si>
  <si>
    <t>2025-07-15</t>
  </si>
  <si>
    <t>2025-07-22</t>
  </si>
  <si>
    <t>2025-08-11</t>
  </si>
  <si>
    <t>BLD085</t>
  </si>
  <si>
    <t>Mr. Sanjay Salve</t>
  </si>
  <si>
    <t>2025-10-20</t>
  </si>
  <si>
    <t>BLD086</t>
  </si>
  <si>
    <t>Mr. Nilesh Kulkarni</t>
  </si>
  <si>
    <t>2025-07-28</t>
  </si>
  <si>
    <t>2025-08-04</t>
  </si>
  <si>
    <t>2025-11-22</t>
  </si>
  <si>
    <t>BLD087</t>
  </si>
  <si>
    <t>Dinesh Realty</t>
  </si>
  <si>
    <t>Mr. Mahesh Gaikwad</t>
  </si>
  <si>
    <t>2025-08-07</t>
  </si>
  <si>
    <t>2025-10-23</t>
  </si>
  <si>
    <t>BLD088</t>
  </si>
  <si>
    <t>Vijay Infra Pvt Ltd</t>
  </si>
  <si>
    <t>Mr. Ashok Thorat</t>
  </si>
  <si>
    <t>2025-08-18</t>
  </si>
  <si>
    <t>2025-08-25</t>
  </si>
  <si>
    <t>2025-11-01</t>
  </si>
  <si>
    <t>BLD089</t>
  </si>
  <si>
    <t>Sanjay Developers</t>
  </si>
  <si>
    <t>Mr. Anil Shinde</t>
  </si>
  <si>
    <t>2025-08-26</t>
  </si>
  <si>
    <t>2025-09-02</t>
  </si>
  <si>
    <t>2025-11-10</t>
  </si>
  <si>
    <t>BLD090</t>
  </si>
  <si>
    <t>Santosh Infra</t>
  </si>
  <si>
    <t>2025-09-03</t>
  </si>
  <si>
    <t>2025-11-27</t>
  </si>
  <si>
    <t>BLD091</t>
  </si>
  <si>
    <t>Ramesh Infra</t>
  </si>
  <si>
    <t>Mr. Rajendra Salve</t>
  </si>
  <si>
    <t>2025-09-08</t>
  </si>
  <si>
    <t>2025-11-20</t>
  </si>
  <si>
    <t>BLD092</t>
  </si>
  <si>
    <t>2025-09-18</t>
  </si>
  <si>
    <t>2025-09-23</t>
  </si>
  <si>
    <t>2025-12-31</t>
  </si>
  <si>
    <t>BLD093</t>
  </si>
  <si>
    <t>Anil Group</t>
  </si>
  <si>
    <t>Mr. Rajendra Patil</t>
  </si>
  <si>
    <t>2025-09-22</t>
  </si>
  <si>
    <t>2025-09-29</t>
  </si>
  <si>
    <t>2026-02-03</t>
  </si>
  <si>
    <t>2026-03-05</t>
  </si>
  <si>
    <t>BLD094</t>
  </si>
  <si>
    <t>Sanjay Associates</t>
  </si>
  <si>
    <t>Mr. Mahesh Patil</t>
  </si>
  <si>
    <t>2025-09-30</t>
  </si>
  <si>
    <t>2025-10-02</t>
  </si>
  <si>
    <t>2026-03-21</t>
  </si>
  <si>
    <t>BLD095</t>
  </si>
  <si>
    <t>Pravin Infra</t>
  </si>
  <si>
    <t>Mr. Sunil Shinde</t>
  </si>
  <si>
    <t>2025-10-11</t>
  </si>
  <si>
    <t>2025-10-15</t>
  </si>
  <si>
    <t>2025-12-22</t>
  </si>
  <si>
    <t>BLD096</t>
  </si>
  <si>
    <t>2025-10-13</t>
  </si>
  <si>
    <t>2026-01-13</t>
  </si>
  <si>
    <t>BLD097</t>
  </si>
  <si>
    <t>Ramesh Group</t>
  </si>
  <si>
    <t>2025-10-28</t>
  </si>
  <si>
    <t>2026-04-25</t>
  </si>
  <si>
    <t>BLD098</t>
  </si>
  <si>
    <t>Nilesh Infra Pvt Ltd</t>
  </si>
  <si>
    <t>2025-10-25</t>
  </si>
  <si>
    <t>2026-01-09</t>
  </si>
  <si>
    <t>2026-01-22</t>
  </si>
  <si>
    <t>BLD099</t>
  </si>
  <si>
    <t>Mr. Sanjay Kadam</t>
  </si>
  <si>
    <t>2025-11-07</t>
  </si>
  <si>
    <t>2025-11-14</t>
  </si>
  <si>
    <t>2026-03-12</t>
  </si>
  <si>
    <t>2026-03-20</t>
  </si>
  <si>
    <t>BLD100</t>
  </si>
  <si>
    <t>Mr. Pravin More</t>
  </si>
  <si>
    <t>2025-11-12</t>
  </si>
  <si>
    <t>2025-11-19</t>
  </si>
  <si>
    <t>BLD101</t>
  </si>
  <si>
    <t>Ms. Pravin Salve</t>
  </si>
  <si>
    <t>2025-11-25</t>
  </si>
  <si>
    <t>2025-12-13</t>
  </si>
  <si>
    <t>BLD102</t>
  </si>
  <si>
    <t>Sunil Projects</t>
  </si>
  <si>
    <t>2025-11-29</t>
  </si>
  <si>
    <t>2026-01-16</t>
  </si>
  <si>
    <t>BLD103</t>
  </si>
  <si>
    <t>Santosh Constructions</t>
  </si>
  <si>
    <t>2025-11-26</t>
  </si>
  <si>
    <t>2025-12-02</t>
  </si>
  <si>
    <t>2026-03-04</t>
  </si>
  <si>
    <t>BLD104</t>
  </si>
  <si>
    <t>2025-12-08</t>
  </si>
  <si>
    <t>2026-03-26</t>
  </si>
  <si>
    <t>BLD105</t>
  </si>
  <si>
    <t>Mr. Prakash Deshmukh</t>
  </si>
  <si>
    <t>2025-12-06</t>
  </si>
  <si>
    <t>2026-03-31</t>
  </si>
  <si>
    <t>Follow up after builder gets possession from landowner</t>
  </si>
  <si>
    <t>BLD106</t>
  </si>
  <si>
    <t>Ashok Construction Pvt Ltd</t>
  </si>
  <si>
    <t>2025-12-12</t>
  </si>
  <si>
    <t>2025-12-15</t>
  </si>
  <si>
    <t>2026-04-21</t>
  </si>
  <si>
    <t>BLD107</t>
  </si>
  <si>
    <t>Mr. Nilesh Gaikwad</t>
  </si>
  <si>
    <t>2026-01-14</t>
  </si>
  <si>
    <t>2026-05-07</t>
  </si>
  <si>
    <t>BLD108</t>
  </si>
  <si>
    <t>Ramesh Associates</t>
  </si>
  <si>
    <t>Mr. Dinesh Mane</t>
  </si>
  <si>
    <t>2026-01-15</t>
  </si>
  <si>
    <t>2026-01-19</t>
  </si>
  <si>
    <t>2026-02-26</t>
  </si>
  <si>
    <t>2026-03-28</t>
  </si>
  <si>
    <t>BLD109</t>
  </si>
  <si>
    <t>Mr. Vijay Kulkarni</t>
  </si>
  <si>
    <t>2026-01-17</t>
  </si>
  <si>
    <t>2026-03-27</t>
  </si>
  <si>
    <t>BLD110</t>
  </si>
  <si>
    <t>Ms. Ashok Pawar</t>
  </si>
  <si>
    <t>2026-02-05</t>
  </si>
  <si>
    <t>2026-02-11</t>
  </si>
  <si>
    <t>2026-04-28</t>
  </si>
  <si>
    <t>BLD111</t>
  </si>
  <si>
    <t>Sanjay Infra</t>
  </si>
  <si>
    <t>Mr. Nilesh Jadhav</t>
  </si>
  <si>
    <t>2026-02-06</t>
  </si>
  <si>
    <t>2026-02-09</t>
  </si>
  <si>
    <t>BLD112</t>
  </si>
  <si>
    <t>Mr. Vijay Wagh</t>
  </si>
  <si>
    <t>2026-02-16</t>
  </si>
  <si>
    <t>2026-04-01</t>
  </si>
  <si>
    <t>BLD113</t>
  </si>
  <si>
    <t>2026-02-21</t>
  </si>
  <si>
    <t>2026-02-27</t>
  </si>
  <si>
    <t>2026-04-18</t>
  </si>
  <si>
    <t>2026-04-23</t>
  </si>
  <si>
    <t>BLD114</t>
  </si>
  <si>
    <t>Nilesh Realty</t>
  </si>
  <si>
    <t>Mr. Sunil Jadhav</t>
  </si>
  <si>
    <t>2026-02-25</t>
  </si>
  <si>
    <t>2026-03-02</t>
  </si>
  <si>
    <t>2026-04-11</t>
  </si>
  <si>
    <t>BLD115</t>
  </si>
  <si>
    <t>Mr. Ramesh Thorat</t>
  </si>
  <si>
    <t>2026-03-03</t>
  </si>
  <si>
    <t>2026-05-06</t>
  </si>
  <si>
    <t>BLD116</t>
  </si>
  <si>
    <t>Dinesh Developers</t>
  </si>
  <si>
    <t>2026-03-10</t>
  </si>
  <si>
    <t>2026-04-22</t>
  </si>
  <si>
    <t>BLD117</t>
  </si>
  <si>
    <t>Hemant Projects</t>
  </si>
  <si>
    <t>Mr. Mahesh Kadam</t>
  </si>
  <si>
    <t>2026-03-09</t>
  </si>
  <si>
    <t>2026-03-16</t>
  </si>
  <si>
    <t>2026-05-01</t>
  </si>
  <si>
    <t>BLD118</t>
  </si>
  <si>
    <t>Prakash Infra Pvt Ltd</t>
  </si>
  <si>
    <t>Mr. Nilesh Bhosale</t>
  </si>
  <si>
    <t>2026-03-23</t>
  </si>
  <si>
    <t>BLD119</t>
  </si>
  <si>
    <t>2026-03-24</t>
  </si>
  <si>
    <t>BLD120</t>
  </si>
  <si>
    <t>Anil Enterprises</t>
  </si>
  <si>
    <t>Mr. Sanjay Pawar</t>
  </si>
  <si>
    <t>2026-04-02</t>
  </si>
  <si>
    <t>2026-04-04</t>
  </si>
  <si>
    <t>BLD121</t>
  </si>
  <si>
    <t>Vijay Developers</t>
  </si>
  <si>
    <t>Mr. Santosh Wagh</t>
  </si>
  <si>
    <t>2026-04-13</t>
  </si>
  <si>
    <t>2026-04-16</t>
  </si>
  <si>
    <t>BLD122</t>
  </si>
  <si>
    <t>Ms. Mahesh Salve</t>
  </si>
  <si>
    <t>2026-04-15</t>
  </si>
  <si>
    <t>BLD123</t>
  </si>
  <si>
    <t>Sunil Infra</t>
  </si>
  <si>
    <t>BLD124</t>
  </si>
  <si>
    <t>Mahesh Projects</t>
  </si>
  <si>
    <t>Mr. Ramesh Kulkarni</t>
  </si>
  <si>
    <t>2026-05-02</t>
  </si>
  <si>
    <t>2026-05-05</t>
  </si>
  <si>
    <t>Year</t>
  </si>
  <si>
    <t>Total_Leads</t>
  </si>
  <si>
    <t>In_Progress</t>
  </si>
  <si>
    <t>Avg_Budget</t>
  </si>
  <si>
    <t>Total_Revenue</t>
  </si>
  <si>
    <t>Avg_Qty</t>
  </si>
  <si>
    <t>Conversion_%</t>
  </si>
  <si>
    <t>Field / Topic</t>
  </si>
  <si>
    <t>Details</t>
  </si>
  <si>
    <t>Company</t>
  </si>
  <si>
    <t>Trenzy.in — Builder Division | Bulk Doors &amp; Frames | Started: June 2023</t>
  </si>
  <si>
    <t>Customer Type</t>
  </si>
  <si>
    <t>B2B — Builders, Real Estate Developers, Construction Contractors (bulk orders)</t>
  </si>
  <si>
    <t>BLD001 onwards — separate from retail leads</t>
  </si>
  <si>
    <t>Site Visit / Referral / Trade Show / Justdial Business Listing only. No Instagram or Cold Call — builders are found in person or through network.</t>
  </si>
  <si>
    <t>Always present — B2B leads are businesses, contact person number always available</t>
  </si>
  <si>
    <t>15 to 300 doors per order. Small = 15-50, Medium = 51-120, Large = 121-300</t>
  </si>
  <si>
    <t>Based on qty × rate per door. Laminate ₹10K-15K/door. PU ₹14K-18K/door. Veneer ₹16K-20K/door.</t>
  </si>
  <si>
    <t>Only for Converted leads. Slightly different from budget due to negotiation.</t>
  </si>
  <si>
    <t>Hot = sample approved/negotiating. Warm = interested, long cycle. Cold = low intent.</t>
  </si>
  <si>
    <t>Builder-specific notes. ~8% blank.</t>
  </si>
  <si>
    <t>B2B response 2-48hrs — slower than retail as decisions involve multiple stakeholders.</t>
  </si>
  <si>
    <t>CITIES</t>
  </si>
  <si>
    <t>Pune, Mumbai, Nashik, Ahmednagar, Latur, Solapur, Barshi</t>
  </si>
  <si>
    <t>WORK TYPES</t>
  </si>
  <si>
    <t>Pine Wood + HDHMR doors only. Finishes — Laminate, PU, Veneer. All frames in Pine Wood.</t>
  </si>
  <si>
    <t>GROWTH STORY</t>
  </si>
  <si>
    <t>2023 (Jun-Dec)</t>
  </si>
  <si>
    <t>Started builder division — Site visits to new construction sites in Pune. First few referrals. ~25% conversion.</t>
  </si>
  <si>
    <t>2024</t>
  </si>
  <si>
    <t>Expanded to more cities. Trade shows attended. Justdial B2B listing added. ~28% conversion.</t>
  </si>
  <si>
    <t>2025</t>
  </si>
  <si>
    <t>Strong referral network built. Repeat orders from converted builders. ~32% conversion.</t>
  </si>
  <si>
    <t>2026</t>
  </si>
  <si>
    <t>Nachiket joined Apr 2, handling some builder follow-ups. Consistent growth.</t>
  </si>
  <si>
    <t>BLD125</t>
  </si>
  <si>
    <t>Builder_BLD125</t>
  </si>
  <si>
    <t>Contact_BLD125</t>
  </si>
  <si>
    <t>June Site Visits</t>
  </si>
  <si>
    <t>Generated June B2B Data</t>
  </si>
  <si>
    <t>BLD126</t>
  </si>
  <si>
    <t>Builder_BLD126</t>
  </si>
  <si>
    <t>Contact_BLD126</t>
  </si>
  <si>
    <t>BLD127</t>
  </si>
  <si>
    <t>Builder_BLD127</t>
  </si>
  <si>
    <t>Contact_BLD127</t>
  </si>
  <si>
    <t>Nachiket Lokhande</t>
  </si>
  <si>
    <t>Ruchit Shah</t>
  </si>
  <si>
    <t>Dhananjay Bhosle</t>
  </si>
  <si>
    <t>Lost to vendor with own warehouse stock, lower cost</t>
  </si>
  <si>
    <t>Site installation delayed - technician shortage</t>
  </si>
  <si>
    <t>BLD129</t>
  </si>
  <si>
    <t>Builder_BLD129</t>
  </si>
  <si>
    <t>Contact_BLD129</t>
  </si>
  <si>
    <t>Jul Site Visits</t>
  </si>
  <si>
    <t>Site visit done, quote shared</t>
  </si>
  <si>
    <t>BLD130</t>
  </si>
  <si>
    <t>Builder_BLD130</t>
  </si>
  <si>
    <t>Contact_BLD130</t>
  </si>
  <si>
    <t>BLD131</t>
  </si>
  <si>
    <t>Builder_BLD131</t>
  </si>
  <si>
    <t>Contact_BLD131</t>
  </si>
  <si>
    <t>Goa</t>
  </si>
  <si>
    <t>Went with local vendor</t>
  </si>
  <si>
    <t>BLD132</t>
  </si>
  <si>
    <t>Builder_BLD132</t>
  </si>
  <si>
    <t>Contact_BLD132</t>
  </si>
  <si>
    <t>25-Aug-2026</t>
  </si>
  <si>
    <t>Sample approved, PO signed</t>
  </si>
  <si>
    <t>BLD133</t>
  </si>
  <si>
    <t>Builder_BLD133</t>
  </si>
  <si>
    <t>Contact_BLD133</t>
  </si>
  <si>
    <t>Aug Site Visits</t>
  </si>
  <si>
    <t>Builder sourcing material directly from distributor, cheaper</t>
  </si>
  <si>
    <t>BLD134</t>
  </si>
  <si>
    <t>Builder_BLD134</t>
  </si>
  <si>
    <t>Contact_BLD134</t>
  </si>
  <si>
    <t>28-Aug-2026</t>
  </si>
  <si>
    <t>BLD135</t>
  </si>
  <si>
    <t>Builder_BLD135</t>
  </si>
  <si>
    <t>Contact_BLD135</t>
  </si>
  <si>
    <t>BLD136</t>
  </si>
  <si>
    <t>Builder_BLD136</t>
  </si>
  <si>
    <t>Contact_BLD136</t>
  </si>
  <si>
    <t>Company_Name</t>
  </si>
  <si>
    <t>Contact_Person</t>
  </si>
  <si>
    <t>City</t>
  </si>
  <si>
    <t>Builder_Type</t>
  </si>
  <si>
    <t>Campaign_Name</t>
  </si>
  <si>
    <t>Work_Type</t>
  </si>
  <si>
    <t>Lead_Date</t>
  </si>
  <si>
    <t>First_Call_Date</t>
  </si>
  <si>
    <t>Followup_Count</t>
  </si>
  <si>
    <t>Last_Contact_Date</t>
  </si>
  <si>
    <t>Lead_Status</t>
  </si>
  <si>
    <t>Conversion_Date</t>
  </si>
  <si>
    <t>Sales_Executive</t>
  </si>
  <si>
    <t>Ram Pal</t>
  </si>
  <si>
    <t>Client_Segment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</si>
</sst>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&quot;₹&quot;\ #,##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E8F8E8"/>
        <bgColor rgb="FFE8F8E8"/>
      </patternFill>
    </fill>
    <fill>
      <patternFill patternType="solid">
        <fgColor rgb="FFFFECD2"/>
        <bgColor rgb="FFFFECD2"/>
      </patternFill>
    </fill>
    <fill>
      <patternFill patternType="solid">
        <fgColor rgb="FFEBF3FB"/>
        <bgColor rgb="FFEBF3FB"/>
      </patternFill>
    </fill>
    <fill>
      <patternFill patternType="solid">
        <fgColor rgb="FFF5EEF8"/>
        <bgColor rgb="FFF5EEF8"/>
      </patternFill>
    </fill>
    <fill>
      <patternFill patternType="solid">
        <fgColor rgb="FF1A5276"/>
        <bgColor rgb="FF1A5276"/>
      </patternFill>
    </fill>
    <fill>
      <patternFill patternType="solid">
        <fgColor rgb="FF1F4E78"/>
        <bgColor rgb="FF1A527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"/>
  <sheetViews>
    <sheetView tabSelected="1"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1" width="10" customWidth="1"/>
    <col min="2" max="2" width="26" customWidth="1"/>
    <col min="3" max="3" width="22" customWidth="1"/>
    <col min="4" max="5" width="13" customWidth="1"/>
    <col min="6" max="6" width="24" customWidth="1"/>
    <col min="7" max="7" width="20" customWidth="1"/>
    <col min="8" max="8" width="34" customWidth="1"/>
    <col min="9" max="9" width="40" customWidth="1"/>
    <col min="10" max="11" width="13" customWidth="1"/>
    <col min="12" max="12" width="15" customWidth="1"/>
    <col min="13" max="13" width="13" customWidth="1"/>
    <col min="14" max="15" width="18" customWidth="1"/>
    <col min="16" max="16" width="16" customWidth="1"/>
    <col min="17" max="18" width="15" customWidth="1"/>
    <col min="19" max="19" width="17" customWidth="1"/>
    <col min="20" max="20" width="19" customWidth="1"/>
    <col min="21" max="21" width="12" customWidth="1"/>
    <col min="22" max="22" width="36" customWidth="1"/>
    <col min="23" max="23" width="16" style="30" customWidth="1"/>
  </cols>
  <sheetData>
    <row r="1" spans="1:23" ht="27.6" x14ac:dyDescent="0.3">
      <c r="A1" s="1" t="s">
        <v>0</v>
      </c>
      <c r="B1" s="1" t="s">
        <v>823</v>
      </c>
      <c r="C1" s="1" t="s">
        <v>824</v>
      </c>
      <c r="D1" s="1" t="s">
        <v>1</v>
      </c>
      <c r="E1" s="1" t="s">
        <v>825</v>
      </c>
      <c r="F1" s="1" t="s">
        <v>826</v>
      </c>
      <c r="G1" s="1" t="s">
        <v>2</v>
      </c>
      <c r="H1" s="1" t="s">
        <v>827</v>
      </c>
      <c r="I1" s="1" t="s">
        <v>828</v>
      </c>
      <c r="J1" s="1" t="s">
        <v>3</v>
      </c>
      <c r="K1" s="1" t="s">
        <v>829</v>
      </c>
      <c r="L1" s="1" t="s">
        <v>830</v>
      </c>
      <c r="M1" s="1" t="s">
        <v>831</v>
      </c>
      <c r="N1" s="1" t="s">
        <v>832</v>
      </c>
      <c r="O1" s="1" t="s">
        <v>833</v>
      </c>
      <c r="P1" s="1" t="s">
        <v>4</v>
      </c>
      <c r="Q1" s="1" t="s">
        <v>5</v>
      </c>
      <c r="R1" s="1" t="s">
        <v>834</v>
      </c>
      <c r="S1" s="1" t="s">
        <v>835</v>
      </c>
      <c r="T1" s="1" t="s">
        <v>6</v>
      </c>
      <c r="U1" s="1" t="s">
        <v>7</v>
      </c>
      <c r="V1" s="1" t="s">
        <v>8</v>
      </c>
      <c r="W1" s="28" t="s">
        <v>837</v>
      </c>
    </row>
    <row r="2" spans="1:23" ht="24" customHeight="1" x14ac:dyDescent="0.3">
      <c r="A2" s="2" t="s">
        <v>9</v>
      </c>
      <c r="B2" s="2" t="s">
        <v>10</v>
      </c>
      <c r="C2" s="2" t="s">
        <v>11</v>
      </c>
      <c r="D2" s="2">
        <v>9732719211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23</v>
      </c>
      <c r="K2" s="2" t="s">
        <v>17</v>
      </c>
      <c r="L2" s="2" t="s">
        <v>18</v>
      </c>
      <c r="M2" s="2">
        <v>2</v>
      </c>
      <c r="N2" s="2" t="s">
        <v>19</v>
      </c>
      <c r="O2" s="2" t="s">
        <v>20</v>
      </c>
      <c r="P2" s="3">
        <v>239297</v>
      </c>
      <c r="Q2" s="2"/>
      <c r="R2" s="2"/>
      <c r="S2" s="2" t="s">
        <v>21</v>
      </c>
      <c r="T2" s="2">
        <v>34.9</v>
      </c>
      <c r="U2" s="2" t="s">
        <v>22</v>
      </c>
      <c r="V2" s="2" t="s">
        <v>23</v>
      </c>
      <c r="W2" s="29" t="str">
        <f t="shared" ref="W2:W65" si="0">IF($O2="Converted","Builder","-")</f>
        <v>-</v>
      </c>
    </row>
    <row r="3" spans="1:23" ht="24" customHeight="1" x14ac:dyDescent="0.3">
      <c r="A3" s="4" t="s">
        <v>24</v>
      </c>
      <c r="B3" s="4" t="s">
        <v>25</v>
      </c>
      <c r="C3" s="4" t="s">
        <v>26</v>
      </c>
      <c r="D3" s="4">
        <v>9488302652</v>
      </c>
      <c r="E3" s="4" t="s">
        <v>27</v>
      </c>
      <c r="F3" s="4" t="s">
        <v>28</v>
      </c>
      <c r="G3" s="4" t="s">
        <v>14</v>
      </c>
      <c r="H3" s="4" t="s">
        <v>29</v>
      </c>
      <c r="I3" s="4" t="s">
        <v>30</v>
      </c>
      <c r="J3" s="4">
        <v>37</v>
      </c>
      <c r="K3" s="4" t="s">
        <v>31</v>
      </c>
      <c r="L3" s="4" t="s">
        <v>32</v>
      </c>
      <c r="M3" s="4">
        <v>4</v>
      </c>
      <c r="N3" s="4" t="s">
        <v>33</v>
      </c>
      <c r="O3" s="4" t="s">
        <v>34</v>
      </c>
      <c r="P3" s="5">
        <v>557965</v>
      </c>
      <c r="Q3" s="4"/>
      <c r="R3" s="4"/>
      <c r="S3" s="4" t="s">
        <v>836</v>
      </c>
      <c r="T3" s="4">
        <v>15.5</v>
      </c>
      <c r="U3" s="4" t="s">
        <v>36</v>
      </c>
      <c r="V3" s="4" t="s">
        <v>37</v>
      </c>
      <c r="W3" s="29" t="str">
        <f t="shared" si="0"/>
        <v>-</v>
      </c>
    </row>
    <row r="4" spans="1:23" ht="24" customHeight="1" x14ac:dyDescent="0.3">
      <c r="A4" s="2" t="s">
        <v>38</v>
      </c>
      <c r="B4" s="2" t="s">
        <v>39</v>
      </c>
      <c r="C4" s="2" t="s">
        <v>40</v>
      </c>
      <c r="D4" s="2">
        <v>9389854268</v>
      </c>
      <c r="E4" s="2" t="s">
        <v>41</v>
      </c>
      <c r="F4" s="2" t="s">
        <v>42</v>
      </c>
      <c r="G4" s="2" t="s">
        <v>14</v>
      </c>
      <c r="H4" s="2" t="s">
        <v>15</v>
      </c>
      <c r="I4" s="2" t="s">
        <v>43</v>
      </c>
      <c r="J4" s="2">
        <v>97</v>
      </c>
      <c r="K4" s="2" t="s">
        <v>19</v>
      </c>
      <c r="L4" s="2" t="s">
        <v>44</v>
      </c>
      <c r="M4" s="2">
        <v>7</v>
      </c>
      <c r="N4" s="2" t="s">
        <v>45</v>
      </c>
      <c r="O4" s="2" t="s">
        <v>46</v>
      </c>
      <c r="P4" s="3">
        <v>1106704</v>
      </c>
      <c r="Q4" s="2"/>
      <c r="R4" s="2"/>
      <c r="S4" s="2" t="s">
        <v>47</v>
      </c>
      <c r="T4" s="2">
        <v>35.5</v>
      </c>
      <c r="U4" s="2" t="s">
        <v>36</v>
      </c>
      <c r="V4" s="2" t="s">
        <v>48</v>
      </c>
      <c r="W4" s="29" t="str">
        <f t="shared" si="0"/>
        <v>-</v>
      </c>
    </row>
    <row r="5" spans="1:23" ht="24" customHeight="1" x14ac:dyDescent="0.3">
      <c r="A5" s="4" t="s">
        <v>49</v>
      </c>
      <c r="B5" s="4" t="s">
        <v>50</v>
      </c>
      <c r="C5" s="4" t="s">
        <v>51</v>
      </c>
      <c r="D5" s="4">
        <v>9248532577</v>
      </c>
      <c r="E5" s="4" t="s">
        <v>27</v>
      </c>
      <c r="F5" s="4" t="s">
        <v>28</v>
      </c>
      <c r="G5" s="4" t="s">
        <v>52</v>
      </c>
      <c r="H5" s="4" t="s">
        <v>53</v>
      </c>
      <c r="I5" s="4" t="s">
        <v>43</v>
      </c>
      <c r="J5" s="4">
        <v>35</v>
      </c>
      <c r="K5" s="4" t="s">
        <v>54</v>
      </c>
      <c r="L5" s="4" t="s">
        <v>55</v>
      </c>
      <c r="M5" s="4">
        <v>10</v>
      </c>
      <c r="N5" s="4" t="s">
        <v>56</v>
      </c>
      <c r="O5" s="4" t="s">
        <v>46</v>
      </c>
      <c r="P5" s="5">
        <v>425935</v>
      </c>
      <c r="Q5" s="4"/>
      <c r="R5" s="4"/>
      <c r="S5" s="4" t="s">
        <v>21</v>
      </c>
      <c r="T5" s="4">
        <v>21.7</v>
      </c>
      <c r="U5" s="4" t="s">
        <v>57</v>
      </c>
      <c r="V5" s="4" t="s">
        <v>58</v>
      </c>
      <c r="W5" s="29" t="str">
        <f t="shared" si="0"/>
        <v>-</v>
      </c>
    </row>
    <row r="6" spans="1:23" ht="24" customHeight="1" x14ac:dyDescent="0.3">
      <c r="A6" s="2" t="s">
        <v>59</v>
      </c>
      <c r="B6" s="2" t="s">
        <v>60</v>
      </c>
      <c r="C6" s="2" t="s">
        <v>61</v>
      </c>
      <c r="D6" s="2">
        <v>9214257751</v>
      </c>
      <c r="E6" s="2" t="s">
        <v>41</v>
      </c>
      <c r="F6" s="2" t="s">
        <v>42</v>
      </c>
      <c r="G6" s="2" t="s">
        <v>52</v>
      </c>
      <c r="H6" s="2" t="s">
        <v>62</v>
      </c>
      <c r="I6" s="2" t="s">
        <v>43</v>
      </c>
      <c r="J6" s="2">
        <v>52</v>
      </c>
      <c r="K6" s="2" t="s">
        <v>63</v>
      </c>
      <c r="L6" s="2" t="s">
        <v>64</v>
      </c>
      <c r="M6" s="2">
        <v>2</v>
      </c>
      <c r="N6" s="2" t="s">
        <v>65</v>
      </c>
      <c r="O6" s="2" t="s">
        <v>20</v>
      </c>
      <c r="P6" s="3">
        <v>573776</v>
      </c>
      <c r="Q6" s="2"/>
      <c r="R6" s="2"/>
      <c r="S6" s="2" t="s">
        <v>836</v>
      </c>
      <c r="T6" s="2">
        <v>46.7</v>
      </c>
      <c r="U6" s="2" t="s">
        <v>57</v>
      </c>
      <c r="V6" s="2" t="s">
        <v>66</v>
      </c>
      <c r="W6" s="29" t="str">
        <f t="shared" si="0"/>
        <v>-</v>
      </c>
    </row>
    <row r="7" spans="1:23" ht="24" customHeight="1" x14ac:dyDescent="0.3">
      <c r="A7" s="4" t="s">
        <v>67</v>
      </c>
      <c r="B7" s="4" t="s">
        <v>25</v>
      </c>
      <c r="C7" s="4" t="s">
        <v>68</v>
      </c>
      <c r="D7" s="4">
        <v>9777641645</v>
      </c>
      <c r="E7" s="4" t="s">
        <v>69</v>
      </c>
      <c r="F7" s="4" t="s">
        <v>28</v>
      </c>
      <c r="G7" s="4" t="s">
        <v>52</v>
      </c>
      <c r="H7" s="4" t="s">
        <v>70</v>
      </c>
      <c r="I7" s="4" t="s">
        <v>71</v>
      </c>
      <c r="J7" s="4">
        <v>102</v>
      </c>
      <c r="K7" s="4" t="s">
        <v>64</v>
      </c>
      <c r="L7" s="4" t="s">
        <v>72</v>
      </c>
      <c r="M7" s="4">
        <v>2</v>
      </c>
      <c r="N7" s="4" t="s">
        <v>73</v>
      </c>
      <c r="O7" s="4" t="s">
        <v>34</v>
      </c>
      <c r="P7" s="5">
        <v>1347018</v>
      </c>
      <c r="Q7" s="4"/>
      <c r="R7" s="4"/>
      <c r="S7" s="4" t="s">
        <v>21</v>
      </c>
      <c r="T7" s="4">
        <v>29.1</v>
      </c>
      <c r="U7" s="4" t="s">
        <v>22</v>
      </c>
      <c r="V7" s="4"/>
      <c r="W7" s="29" t="str">
        <f t="shared" si="0"/>
        <v>-</v>
      </c>
    </row>
    <row r="8" spans="1:23" ht="24" customHeight="1" x14ac:dyDescent="0.3">
      <c r="A8" s="2" t="s">
        <v>74</v>
      </c>
      <c r="B8" s="2" t="s">
        <v>75</v>
      </c>
      <c r="C8" s="2" t="s">
        <v>76</v>
      </c>
      <c r="D8" s="2">
        <v>9671988889</v>
      </c>
      <c r="E8" s="2" t="s">
        <v>77</v>
      </c>
      <c r="F8" s="2" t="s">
        <v>42</v>
      </c>
      <c r="G8" s="2" t="s">
        <v>52</v>
      </c>
      <c r="H8" s="2" t="s">
        <v>78</v>
      </c>
      <c r="I8" s="2" t="s">
        <v>79</v>
      </c>
      <c r="J8" s="2">
        <v>113</v>
      </c>
      <c r="K8" s="2" t="s">
        <v>80</v>
      </c>
      <c r="L8" s="2" t="s">
        <v>73</v>
      </c>
      <c r="M8" s="2">
        <v>4</v>
      </c>
      <c r="N8" s="2" t="s">
        <v>81</v>
      </c>
      <c r="O8" s="2" t="s">
        <v>34</v>
      </c>
      <c r="P8" s="3">
        <v>1806927</v>
      </c>
      <c r="Q8" s="2"/>
      <c r="R8" s="2"/>
      <c r="S8" s="2" t="s">
        <v>21</v>
      </c>
      <c r="T8" s="2">
        <v>35.700000000000003</v>
      </c>
      <c r="U8" s="2" t="s">
        <v>22</v>
      </c>
      <c r="V8" s="2" t="s">
        <v>82</v>
      </c>
      <c r="W8" s="29" t="str">
        <f t="shared" si="0"/>
        <v>-</v>
      </c>
    </row>
    <row r="9" spans="1:23" ht="24" customHeight="1" x14ac:dyDescent="0.3">
      <c r="A9" s="6" t="s">
        <v>83</v>
      </c>
      <c r="B9" s="6" t="s">
        <v>84</v>
      </c>
      <c r="C9" s="6" t="s">
        <v>85</v>
      </c>
      <c r="D9" s="6">
        <v>9217326729</v>
      </c>
      <c r="E9" s="6" t="s">
        <v>12</v>
      </c>
      <c r="F9" s="6" t="s">
        <v>86</v>
      </c>
      <c r="G9" s="6" t="s">
        <v>14</v>
      </c>
      <c r="H9" s="6" t="s">
        <v>29</v>
      </c>
      <c r="I9" s="6" t="s">
        <v>16</v>
      </c>
      <c r="J9" s="6">
        <v>45</v>
      </c>
      <c r="K9" s="6" t="s">
        <v>87</v>
      </c>
      <c r="L9" s="6" t="s">
        <v>88</v>
      </c>
      <c r="M9" s="6">
        <v>3</v>
      </c>
      <c r="N9" s="6" t="s">
        <v>89</v>
      </c>
      <c r="O9" s="6" t="s">
        <v>90</v>
      </c>
      <c r="P9" s="7">
        <v>595030</v>
      </c>
      <c r="Q9" s="7">
        <v>531825</v>
      </c>
      <c r="R9" s="6" t="s">
        <v>91</v>
      </c>
      <c r="S9" s="6" t="s">
        <v>47</v>
      </c>
      <c r="T9" s="6">
        <v>20.5</v>
      </c>
      <c r="U9" s="6" t="s">
        <v>22</v>
      </c>
      <c r="V9" s="6" t="s">
        <v>92</v>
      </c>
      <c r="W9" s="29" t="str">
        <f t="shared" si="0"/>
        <v>Builder</v>
      </c>
    </row>
    <row r="10" spans="1:23" ht="24" customHeight="1" x14ac:dyDescent="0.3">
      <c r="A10" s="2" t="s">
        <v>93</v>
      </c>
      <c r="B10" s="2" t="s">
        <v>94</v>
      </c>
      <c r="C10" s="2" t="s">
        <v>95</v>
      </c>
      <c r="D10" s="2">
        <v>9519212169</v>
      </c>
      <c r="E10" s="2" t="s">
        <v>12</v>
      </c>
      <c r="F10" s="2" t="s">
        <v>96</v>
      </c>
      <c r="G10" s="2" t="s">
        <v>14</v>
      </c>
      <c r="H10" s="2" t="s">
        <v>97</v>
      </c>
      <c r="I10" s="2" t="s">
        <v>98</v>
      </c>
      <c r="J10" s="2">
        <v>49</v>
      </c>
      <c r="K10" s="2" t="s">
        <v>99</v>
      </c>
      <c r="L10" s="2" t="s">
        <v>100</v>
      </c>
      <c r="M10" s="2">
        <v>14</v>
      </c>
      <c r="N10" s="2" t="s">
        <v>101</v>
      </c>
      <c r="O10" s="2" t="s">
        <v>102</v>
      </c>
      <c r="P10" s="3">
        <v>485880</v>
      </c>
      <c r="Q10" s="2"/>
      <c r="R10" s="2"/>
      <c r="S10" s="2" t="s">
        <v>47</v>
      </c>
      <c r="T10" s="2">
        <v>4.7</v>
      </c>
      <c r="U10" s="2" t="s">
        <v>36</v>
      </c>
      <c r="V10" s="2"/>
      <c r="W10" s="29" t="str">
        <f t="shared" si="0"/>
        <v>-</v>
      </c>
    </row>
    <row r="11" spans="1:23" ht="24" customHeight="1" x14ac:dyDescent="0.3">
      <c r="A11" s="4" t="s">
        <v>103</v>
      </c>
      <c r="B11" s="4" t="s">
        <v>104</v>
      </c>
      <c r="C11" s="4" t="s">
        <v>105</v>
      </c>
      <c r="D11" s="4">
        <v>9766964667</v>
      </c>
      <c r="E11" s="4" t="s">
        <v>27</v>
      </c>
      <c r="F11" s="4" t="s">
        <v>42</v>
      </c>
      <c r="G11" s="4" t="s">
        <v>106</v>
      </c>
      <c r="H11" s="4" t="s">
        <v>107</v>
      </c>
      <c r="I11" s="4" t="s">
        <v>30</v>
      </c>
      <c r="J11" s="4">
        <v>117</v>
      </c>
      <c r="K11" s="4" t="s">
        <v>100</v>
      </c>
      <c r="L11" s="4" t="s">
        <v>108</v>
      </c>
      <c r="M11" s="4">
        <v>11</v>
      </c>
      <c r="N11" s="4" t="s">
        <v>109</v>
      </c>
      <c r="O11" s="4" t="s">
        <v>46</v>
      </c>
      <c r="P11" s="5">
        <v>1478147</v>
      </c>
      <c r="Q11" s="4"/>
      <c r="R11" s="4"/>
      <c r="S11" s="4" t="s">
        <v>836</v>
      </c>
      <c r="T11" s="4">
        <v>16.5</v>
      </c>
      <c r="U11" s="4" t="s">
        <v>36</v>
      </c>
      <c r="V11" s="4"/>
      <c r="W11" s="29" t="str">
        <f t="shared" si="0"/>
        <v>-</v>
      </c>
    </row>
    <row r="12" spans="1:23" ht="24" customHeight="1" x14ac:dyDescent="0.3">
      <c r="A12" s="2" t="s">
        <v>110</v>
      </c>
      <c r="B12" s="2" t="s">
        <v>111</v>
      </c>
      <c r="C12" s="2" t="s">
        <v>112</v>
      </c>
      <c r="D12" s="2">
        <v>9173574218</v>
      </c>
      <c r="E12" s="2" t="s">
        <v>41</v>
      </c>
      <c r="F12" s="2" t="s">
        <v>13</v>
      </c>
      <c r="G12" s="2" t="s">
        <v>14</v>
      </c>
      <c r="H12" s="2" t="s">
        <v>15</v>
      </c>
      <c r="I12" s="2" t="s">
        <v>113</v>
      </c>
      <c r="J12" s="2">
        <v>18</v>
      </c>
      <c r="K12" s="2" t="s">
        <v>114</v>
      </c>
      <c r="L12" s="2" t="s">
        <v>115</v>
      </c>
      <c r="M12" s="2">
        <v>18</v>
      </c>
      <c r="N12" s="2" t="s">
        <v>116</v>
      </c>
      <c r="O12" s="2" t="s">
        <v>20</v>
      </c>
      <c r="P12" s="3">
        <v>279696</v>
      </c>
      <c r="Q12" s="2"/>
      <c r="R12" s="2"/>
      <c r="S12" s="2" t="s">
        <v>836</v>
      </c>
      <c r="T12" s="2">
        <v>4.5999999999999996</v>
      </c>
      <c r="U12" s="2" t="s">
        <v>57</v>
      </c>
      <c r="V12" s="2" t="s">
        <v>117</v>
      </c>
      <c r="W12" s="29" t="str">
        <f t="shared" si="0"/>
        <v>-</v>
      </c>
    </row>
    <row r="13" spans="1:23" ht="24" x14ac:dyDescent="0.3">
      <c r="A13" s="6" t="s">
        <v>118</v>
      </c>
      <c r="B13" s="6" t="s">
        <v>119</v>
      </c>
      <c r="C13" s="6" t="s">
        <v>120</v>
      </c>
      <c r="D13" s="6">
        <v>9841976666</v>
      </c>
      <c r="E13" s="6" t="s">
        <v>69</v>
      </c>
      <c r="F13" s="6" t="s">
        <v>42</v>
      </c>
      <c r="G13" s="6" t="s">
        <v>14</v>
      </c>
      <c r="H13" s="6" t="s">
        <v>97</v>
      </c>
      <c r="I13" s="6" t="s">
        <v>79</v>
      </c>
      <c r="J13" s="6">
        <v>42</v>
      </c>
      <c r="K13" s="6" t="s">
        <v>114</v>
      </c>
      <c r="L13" s="6" t="s">
        <v>121</v>
      </c>
      <c r="M13" s="6">
        <v>7</v>
      </c>
      <c r="N13" s="6" t="s">
        <v>122</v>
      </c>
      <c r="O13" s="6" t="s">
        <v>90</v>
      </c>
      <c r="P13" s="7">
        <v>819674</v>
      </c>
      <c r="Q13" s="7">
        <v>802291</v>
      </c>
      <c r="R13" s="6" t="s">
        <v>123</v>
      </c>
      <c r="S13" s="6" t="s">
        <v>21</v>
      </c>
      <c r="T13" s="6">
        <v>27.8</v>
      </c>
      <c r="U13" s="6" t="s">
        <v>22</v>
      </c>
      <c r="V13" s="6"/>
      <c r="W13" s="29" t="str">
        <f t="shared" si="0"/>
        <v>Builder</v>
      </c>
    </row>
    <row r="14" spans="1:23" ht="24" customHeight="1" x14ac:dyDescent="0.3">
      <c r="A14" s="2" t="s">
        <v>124</v>
      </c>
      <c r="B14" s="2" t="s">
        <v>125</v>
      </c>
      <c r="C14" s="2" t="s">
        <v>126</v>
      </c>
      <c r="D14" s="2">
        <v>9266910922</v>
      </c>
      <c r="E14" s="2" t="s">
        <v>12</v>
      </c>
      <c r="F14" s="2" t="s">
        <v>127</v>
      </c>
      <c r="G14" s="2" t="s">
        <v>14</v>
      </c>
      <c r="H14" s="2" t="s">
        <v>15</v>
      </c>
      <c r="I14" s="2" t="s">
        <v>128</v>
      </c>
      <c r="J14" s="2">
        <v>49</v>
      </c>
      <c r="K14" s="2" t="s">
        <v>129</v>
      </c>
      <c r="L14" s="2" t="s">
        <v>130</v>
      </c>
      <c r="M14" s="2">
        <v>5</v>
      </c>
      <c r="N14" s="2" t="s">
        <v>131</v>
      </c>
      <c r="O14" s="2" t="s">
        <v>20</v>
      </c>
      <c r="P14" s="3">
        <v>930169</v>
      </c>
      <c r="Q14" s="2"/>
      <c r="R14" s="2"/>
      <c r="S14" s="2" t="s">
        <v>836</v>
      </c>
      <c r="T14" s="2">
        <v>14.2</v>
      </c>
      <c r="U14" s="2" t="s">
        <v>36</v>
      </c>
      <c r="V14" s="2" t="s">
        <v>132</v>
      </c>
      <c r="W14" s="29" t="str">
        <f t="shared" si="0"/>
        <v>-</v>
      </c>
    </row>
    <row r="15" spans="1:23" x14ac:dyDescent="0.3">
      <c r="A15" s="4" t="s">
        <v>133</v>
      </c>
      <c r="B15" s="4" t="s">
        <v>134</v>
      </c>
      <c r="C15" s="4" t="s">
        <v>135</v>
      </c>
      <c r="D15" s="4">
        <v>9646970178</v>
      </c>
      <c r="E15" s="4" t="s">
        <v>136</v>
      </c>
      <c r="F15" s="4" t="s">
        <v>96</v>
      </c>
      <c r="G15" s="4" t="s">
        <v>52</v>
      </c>
      <c r="H15" s="4" t="s">
        <v>70</v>
      </c>
      <c r="I15" s="4" t="s">
        <v>113</v>
      </c>
      <c r="J15" s="4">
        <v>238</v>
      </c>
      <c r="K15" s="4" t="s">
        <v>137</v>
      </c>
      <c r="L15" s="4" t="s">
        <v>138</v>
      </c>
      <c r="M15" s="4">
        <v>12</v>
      </c>
      <c r="N15" s="4" t="s">
        <v>139</v>
      </c>
      <c r="O15" s="4" t="s">
        <v>20</v>
      </c>
      <c r="P15" s="5">
        <v>3677816</v>
      </c>
      <c r="Q15" s="4"/>
      <c r="R15" s="4"/>
      <c r="S15" s="4" t="s">
        <v>836</v>
      </c>
      <c r="T15" s="4">
        <v>41.8</v>
      </c>
      <c r="U15" s="4" t="s">
        <v>57</v>
      </c>
      <c r="V15" s="4" t="s">
        <v>140</v>
      </c>
      <c r="W15" s="29" t="str">
        <f t="shared" si="0"/>
        <v>-</v>
      </c>
    </row>
    <row r="16" spans="1:23" x14ac:dyDescent="0.3">
      <c r="A16" s="2" t="s">
        <v>141</v>
      </c>
      <c r="B16" s="2" t="s">
        <v>142</v>
      </c>
      <c r="C16" s="2" t="s">
        <v>143</v>
      </c>
      <c r="D16" s="2">
        <v>9940081098</v>
      </c>
      <c r="E16" s="2" t="s">
        <v>136</v>
      </c>
      <c r="F16" s="2" t="s">
        <v>13</v>
      </c>
      <c r="G16" s="2" t="s">
        <v>52</v>
      </c>
      <c r="H16" s="2" t="s">
        <v>70</v>
      </c>
      <c r="I16" s="2" t="s">
        <v>113</v>
      </c>
      <c r="J16" s="2">
        <v>96</v>
      </c>
      <c r="K16" s="2" t="s">
        <v>144</v>
      </c>
      <c r="L16" s="2" t="s">
        <v>145</v>
      </c>
      <c r="M16" s="2">
        <v>7</v>
      </c>
      <c r="N16" s="2" t="s">
        <v>139</v>
      </c>
      <c r="O16" s="2" t="s">
        <v>102</v>
      </c>
      <c r="P16" s="3">
        <v>1660720</v>
      </c>
      <c r="Q16" s="2"/>
      <c r="R16" s="2"/>
      <c r="S16" s="2" t="s">
        <v>21</v>
      </c>
      <c r="T16" s="2">
        <v>3.1</v>
      </c>
      <c r="U16" s="2" t="s">
        <v>36</v>
      </c>
      <c r="V16" s="2" t="s">
        <v>37</v>
      </c>
      <c r="W16" s="29" t="str">
        <f t="shared" si="0"/>
        <v>-</v>
      </c>
    </row>
    <row r="17" spans="1:23" ht="24" x14ac:dyDescent="0.3">
      <c r="A17" s="4" t="s">
        <v>146</v>
      </c>
      <c r="B17" s="4" t="s">
        <v>147</v>
      </c>
      <c r="C17" s="4" t="s">
        <v>148</v>
      </c>
      <c r="D17" s="4">
        <v>9175133802</v>
      </c>
      <c r="E17" s="4" t="s">
        <v>149</v>
      </c>
      <c r="F17" s="4" t="s">
        <v>96</v>
      </c>
      <c r="G17" s="4" t="s">
        <v>14</v>
      </c>
      <c r="H17" s="4" t="s">
        <v>29</v>
      </c>
      <c r="I17" s="4" t="s">
        <v>150</v>
      </c>
      <c r="J17" s="4">
        <v>35</v>
      </c>
      <c r="K17" s="4" t="s">
        <v>138</v>
      </c>
      <c r="L17" s="4" t="s">
        <v>151</v>
      </c>
      <c r="M17" s="4">
        <v>18</v>
      </c>
      <c r="N17" s="4" t="s">
        <v>152</v>
      </c>
      <c r="O17" s="4" t="s">
        <v>46</v>
      </c>
      <c r="P17" s="5">
        <v>612545</v>
      </c>
      <c r="Q17" s="4"/>
      <c r="R17" s="4"/>
      <c r="S17" s="4" t="s">
        <v>836</v>
      </c>
      <c r="T17" s="4">
        <v>33.6</v>
      </c>
      <c r="U17" s="4" t="s">
        <v>36</v>
      </c>
      <c r="V17" s="4" t="s">
        <v>153</v>
      </c>
      <c r="W17" s="29" t="str">
        <f t="shared" si="0"/>
        <v>-</v>
      </c>
    </row>
    <row r="18" spans="1:23" ht="24" customHeight="1" x14ac:dyDescent="0.3">
      <c r="A18" s="2" t="s">
        <v>154</v>
      </c>
      <c r="B18" s="2" t="s">
        <v>155</v>
      </c>
      <c r="C18" s="2" t="s">
        <v>156</v>
      </c>
      <c r="D18" s="2">
        <v>9325681936</v>
      </c>
      <c r="E18" s="2" t="s">
        <v>136</v>
      </c>
      <c r="F18" s="2" t="s">
        <v>86</v>
      </c>
      <c r="G18" s="2" t="s">
        <v>106</v>
      </c>
      <c r="H18" s="2" t="s">
        <v>157</v>
      </c>
      <c r="I18" s="2" t="s">
        <v>43</v>
      </c>
      <c r="J18" s="2">
        <v>88</v>
      </c>
      <c r="K18" s="2" t="s">
        <v>158</v>
      </c>
      <c r="L18" s="2" t="s">
        <v>159</v>
      </c>
      <c r="M18" s="2">
        <v>11</v>
      </c>
      <c r="N18" s="2" t="s">
        <v>160</v>
      </c>
      <c r="O18" s="2" t="s">
        <v>46</v>
      </c>
      <c r="P18" s="3">
        <v>1272108</v>
      </c>
      <c r="Q18" s="2"/>
      <c r="R18" s="2"/>
      <c r="S18" s="2" t="s">
        <v>47</v>
      </c>
      <c r="T18" s="2">
        <v>27.2</v>
      </c>
      <c r="U18" s="2" t="s">
        <v>36</v>
      </c>
      <c r="V18" s="2" t="s">
        <v>161</v>
      </c>
      <c r="W18" s="29" t="str">
        <f t="shared" si="0"/>
        <v>-</v>
      </c>
    </row>
    <row r="19" spans="1:23" ht="24" customHeight="1" x14ac:dyDescent="0.3">
      <c r="A19" s="4" t="s">
        <v>162</v>
      </c>
      <c r="B19" s="4" t="s">
        <v>163</v>
      </c>
      <c r="C19" s="4" t="s">
        <v>164</v>
      </c>
      <c r="D19" s="4">
        <v>9517532243</v>
      </c>
      <c r="E19" s="4" t="s">
        <v>12</v>
      </c>
      <c r="F19" s="4" t="s">
        <v>86</v>
      </c>
      <c r="G19" s="4" t="s">
        <v>165</v>
      </c>
      <c r="H19" s="4" t="s">
        <v>166</v>
      </c>
      <c r="I19" s="4" t="s">
        <v>150</v>
      </c>
      <c r="J19" s="4">
        <v>96</v>
      </c>
      <c r="K19" s="4" t="s">
        <v>167</v>
      </c>
      <c r="L19" s="4" t="s">
        <v>109</v>
      </c>
      <c r="M19" s="4">
        <v>9</v>
      </c>
      <c r="N19" s="4" t="s">
        <v>168</v>
      </c>
      <c r="O19" s="4" t="s">
        <v>102</v>
      </c>
      <c r="P19" s="5">
        <v>1663408</v>
      </c>
      <c r="Q19" s="4"/>
      <c r="R19" s="4"/>
      <c r="S19" s="4" t="s">
        <v>47</v>
      </c>
      <c r="T19" s="4">
        <v>12.1</v>
      </c>
      <c r="U19" s="4" t="s">
        <v>36</v>
      </c>
      <c r="V19" s="4" t="s">
        <v>169</v>
      </c>
      <c r="W19" s="29" t="str">
        <f t="shared" si="0"/>
        <v>-</v>
      </c>
    </row>
    <row r="20" spans="1:23" ht="24" customHeight="1" x14ac:dyDescent="0.3">
      <c r="A20" s="6" t="s">
        <v>170</v>
      </c>
      <c r="B20" s="6" t="s">
        <v>171</v>
      </c>
      <c r="C20" s="6" t="s">
        <v>172</v>
      </c>
      <c r="D20" s="6">
        <v>9682624278</v>
      </c>
      <c r="E20" s="6" t="s">
        <v>136</v>
      </c>
      <c r="F20" s="6" t="s">
        <v>42</v>
      </c>
      <c r="G20" s="6" t="s">
        <v>52</v>
      </c>
      <c r="H20" s="6" t="s">
        <v>70</v>
      </c>
      <c r="I20" s="6" t="s">
        <v>98</v>
      </c>
      <c r="J20" s="6">
        <v>19</v>
      </c>
      <c r="K20" s="6" t="s">
        <v>116</v>
      </c>
      <c r="L20" s="6" t="s">
        <v>173</v>
      </c>
      <c r="M20" s="6">
        <v>9</v>
      </c>
      <c r="N20" s="6" t="s">
        <v>174</v>
      </c>
      <c r="O20" s="6" t="s">
        <v>90</v>
      </c>
      <c r="P20" s="7">
        <v>229460</v>
      </c>
      <c r="Q20" s="7">
        <v>206833</v>
      </c>
      <c r="R20" s="6" t="s">
        <v>175</v>
      </c>
      <c r="S20" s="6" t="s">
        <v>836</v>
      </c>
      <c r="T20" s="6">
        <v>11.8</v>
      </c>
      <c r="U20" s="6" t="s">
        <v>22</v>
      </c>
      <c r="V20" s="6" t="s">
        <v>176</v>
      </c>
      <c r="W20" s="29" t="str">
        <f t="shared" si="0"/>
        <v>Builder</v>
      </c>
    </row>
    <row r="21" spans="1:23" ht="24" customHeight="1" x14ac:dyDescent="0.3">
      <c r="A21" s="4" t="s">
        <v>177</v>
      </c>
      <c r="B21" s="4" t="s">
        <v>178</v>
      </c>
      <c r="C21" s="4" t="s">
        <v>179</v>
      </c>
      <c r="D21" s="4">
        <v>9776205431</v>
      </c>
      <c r="E21" s="4" t="s">
        <v>27</v>
      </c>
      <c r="F21" s="4" t="s">
        <v>96</v>
      </c>
      <c r="G21" s="4" t="s">
        <v>165</v>
      </c>
      <c r="H21" s="4" t="s">
        <v>180</v>
      </c>
      <c r="I21" s="4" t="s">
        <v>181</v>
      </c>
      <c r="J21" s="4">
        <v>36</v>
      </c>
      <c r="K21" s="4" t="s">
        <v>123</v>
      </c>
      <c r="L21" s="4" t="s">
        <v>173</v>
      </c>
      <c r="M21" s="4">
        <v>9</v>
      </c>
      <c r="N21" s="4" t="s">
        <v>182</v>
      </c>
      <c r="O21" s="4" t="s">
        <v>20</v>
      </c>
      <c r="P21" s="5">
        <v>512752</v>
      </c>
      <c r="Q21" s="4"/>
      <c r="R21" s="4"/>
      <c r="S21" s="4" t="s">
        <v>47</v>
      </c>
      <c r="T21" s="4">
        <v>30.1</v>
      </c>
      <c r="U21" s="4" t="s">
        <v>22</v>
      </c>
      <c r="V21" s="4" t="s">
        <v>82</v>
      </c>
      <c r="W21" s="29" t="str">
        <f t="shared" si="0"/>
        <v>-</v>
      </c>
    </row>
    <row r="22" spans="1:23" ht="24" x14ac:dyDescent="0.3">
      <c r="A22" s="6" t="s">
        <v>183</v>
      </c>
      <c r="B22" s="6" t="s">
        <v>184</v>
      </c>
      <c r="C22" s="6" t="s">
        <v>185</v>
      </c>
      <c r="D22" s="6">
        <v>9688273030</v>
      </c>
      <c r="E22" s="6" t="s">
        <v>136</v>
      </c>
      <c r="F22" s="6" t="s">
        <v>96</v>
      </c>
      <c r="G22" s="6" t="s">
        <v>165</v>
      </c>
      <c r="H22" s="6" t="s">
        <v>180</v>
      </c>
      <c r="I22" s="6" t="s">
        <v>79</v>
      </c>
      <c r="J22" s="6">
        <v>79</v>
      </c>
      <c r="K22" s="6" t="s">
        <v>186</v>
      </c>
      <c r="L22" s="6" t="s">
        <v>187</v>
      </c>
      <c r="M22" s="6">
        <v>16</v>
      </c>
      <c r="N22" s="6" t="s">
        <v>188</v>
      </c>
      <c r="O22" s="6" t="s">
        <v>90</v>
      </c>
      <c r="P22" s="7">
        <v>1335880</v>
      </c>
      <c r="Q22" s="7">
        <v>1342291</v>
      </c>
      <c r="R22" s="6" t="s">
        <v>189</v>
      </c>
      <c r="S22" s="6" t="s">
        <v>836</v>
      </c>
      <c r="T22" s="6">
        <v>30.2</v>
      </c>
      <c r="U22" s="6" t="s">
        <v>22</v>
      </c>
      <c r="V22" s="6" t="s">
        <v>176</v>
      </c>
      <c r="W22" s="29" t="str">
        <f t="shared" si="0"/>
        <v>Builder</v>
      </c>
    </row>
    <row r="23" spans="1:23" ht="24" customHeight="1" x14ac:dyDescent="0.3">
      <c r="A23" s="6" t="s">
        <v>190</v>
      </c>
      <c r="B23" s="6" t="s">
        <v>191</v>
      </c>
      <c r="C23" s="6" t="s">
        <v>192</v>
      </c>
      <c r="D23" s="6">
        <v>9187946147</v>
      </c>
      <c r="E23" s="6" t="s">
        <v>136</v>
      </c>
      <c r="F23" s="6" t="s">
        <v>42</v>
      </c>
      <c r="G23" s="6" t="s">
        <v>52</v>
      </c>
      <c r="H23" s="6" t="s">
        <v>78</v>
      </c>
      <c r="I23" s="6" t="s">
        <v>150</v>
      </c>
      <c r="J23" s="6">
        <v>42</v>
      </c>
      <c r="K23" s="6" t="s">
        <v>193</v>
      </c>
      <c r="L23" s="6" t="s">
        <v>194</v>
      </c>
      <c r="M23" s="6">
        <v>12</v>
      </c>
      <c r="N23" s="6" t="s">
        <v>195</v>
      </c>
      <c r="O23" s="6" t="s">
        <v>90</v>
      </c>
      <c r="P23" s="7">
        <v>710310</v>
      </c>
      <c r="Q23" s="7">
        <v>652743</v>
      </c>
      <c r="R23" s="6" t="s">
        <v>196</v>
      </c>
      <c r="S23" s="6" t="s">
        <v>21</v>
      </c>
      <c r="T23" s="6">
        <v>45.8</v>
      </c>
      <c r="U23" s="6" t="s">
        <v>22</v>
      </c>
      <c r="V23" s="6" t="s">
        <v>176</v>
      </c>
      <c r="W23" s="29" t="str">
        <f t="shared" si="0"/>
        <v>Builder</v>
      </c>
    </row>
    <row r="24" spans="1:23" ht="24" customHeight="1" x14ac:dyDescent="0.3">
      <c r="A24" s="6" t="s">
        <v>197</v>
      </c>
      <c r="B24" s="6" t="s">
        <v>198</v>
      </c>
      <c r="C24" s="6" t="s">
        <v>199</v>
      </c>
      <c r="D24" s="6">
        <v>9361246928</v>
      </c>
      <c r="E24" s="6" t="s">
        <v>12</v>
      </c>
      <c r="F24" s="6" t="s">
        <v>86</v>
      </c>
      <c r="G24" s="6" t="s">
        <v>52</v>
      </c>
      <c r="H24" s="6" t="s">
        <v>53</v>
      </c>
      <c r="I24" s="6" t="s">
        <v>79</v>
      </c>
      <c r="J24" s="6">
        <v>117</v>
      </c>
      <c r="K24" s="6" t="s">
        <v>139</v>
      </c>
      <c r="L24" s="6" t="s">
        <v>200</v>
      </c>
      <c r="M24" s="6">
        <v>17</v>
      </c>
      <c r="N24" s="6" t="s">
        <v>201</v>
      </c>
      <c r="O24" s="6" t="s">
        <v>90</v>
      </c>
      <c r="P24" s="7">
        <v>2321311</v>
      </c>
      <c r="Q24" s="7">
        <v>2300443</v>
      </c>
      <c r="R24" s="6" t="s">
        <v>202</v>
      </c>
      <c r="S24" s="6" t="s">
        <v>836</v>
      </c>
      <c r="T24" s="6">
        <v>6.3</v>
      </c>
      <c r="U24" s="6" t="s">
        <v>22</v>
      </c>
      <c r="V24" s="6" t="s">
        <v>203</v>
      </c>
      <c r="W24" s="29" t="str">
        <f t="shared" si="0"/>
        <v>Builder</v>
      </c>
    </row>
    <row r="25" spans="1:23" ht="24" customHeight="1" x14ac:dyDescent="0.3">
      <c r="A25" s="4" t="s">
        <v>204</v>
      </c>
      <c r="B25" s="4" t="s">
        <v>205</v>
      </c>
      <c r="C25" s="4" t="s">
        <v>68</v>
      </c>
      <c r="D25" s="4">
        <v>9817461907</v>
      </c>
      <c r="E25" s="4" t="s">
        <v>136</v>
      </c>
      <c r="F25" s="4" t="s">
        <v>42</v>
      </c>
      <c r="G25" s="4" t="s">
        <v>106</v>
      </c>
      <c r="H25" s="4" t="s">
        <v>206</v>
      </c>
      <c r="I25" s="4" t="s">
        <v>207</v>
      </c>
      <c r="J25" s="4">
        <v>258</v>
      </c>
      <c r="K25" s="4" t="s">
        <v>208</v>
      </c>
      <c r="L25" s="4" t="s">
        <v>200</v>
      </c>
      <c r="M25" s="4">
        <v>10</v>
      </c>
      <c r="N25" s="4" t="s">
        <v>209</v>
      </c>
      <c r="O25" s="4" t="s">
        <v>46</v>
      </c>
      <c r="P25" s="5">
        <v>4961376</v>
      </c>
      <c r="Q25" s="4"/>
      <c r="R25" s="4"/>
      <c r="S25" s="4" t="s">
        <v>21</v>
      </c>
      <c r="T25" s="4">
        <v>13.2</v>
      </c>
      <c r="U25" s="4" t="s">
        <v>36</v>
      </c>
      <c r="V25" s="4" t="s">
        <v>210</v>
      </c>
      <c r="W25" s="29" t="str">
        <f t="shared" si="0"/>
        <v>-</v>
      </c>
    </row>
    <row r="26" spans="1:23" ht="24" customHeight="1" x14ac:dyDescent="0.3">
      <c r="A26" s="2" t="s">
        <v>211</v>
      </c>
      <c r="B26" s="2" t="s">
        <v>212</v>
      </c>
      <c r="C26" s="2" t="s">
        <v>213</v>
      </c>
      <c r="D26" s="2">
        <v>9982971099</v>
      </c>
      <c r="E26" s="2" t="s">
        <v>27</v>
      </c>
      <c r="F26" s="2" t="s">
        <v>13</v>
      </c>
      <c r="G26" s="2" t="s">
        <v>14</v>
      </c>
      <c r="H26" s="2" t="s">
        <v>214</v>
      </c>
      <c r="I26" s="2" t="s">
        <v>30</v>
      </c>
      <c r="J26" s="2">
        <v>34</v>
      </c>
      <c r="K26" s="2" t="s">
        <v>215</v>
      </c>
      <c r="L26" s="2" t="s">
        <v>216</v>
      </c>
      <c r="M26" s="2">
        <v>4</v>
      </c>
      <c r="N26" s="2" t="s">
        <v>217</v>
      </c>
      <c r="O26" s="2" t="s">
        <v>20</v>
      </c>
      <c r="P26" s="3">
        <v>497212</v>
      </c>
      <c r="Q26" s="2"/>
      <c r="R26" s="2"/>
      <c r="S26" s="2" t="s">
        <v>21</v>
      </c>
      <c r="T26" s="2">
        <v>31.8</v>
      </c>
      <c r="U26" s="2" t="s">
        <v>57</v>
      </c>
      <c r="V26" s="2" t="s">
        <v>218</v>
      </c>
      <c r="W26" s="29" t="str">
        <f t="shared" si="0"/>
        <v>-</v>
      </c>
    </row>
    <row r="27" spans="1:23" ht="24" customHeight="1" x14ac:dyDescent="0.3">
      <c r="A27" s="6" t="s">
        <v>219</v>
      </c>
      <c r="B27" s="6" t="s">
        <v>220</v>
      </c>
      <c r="C27" s="6" t="s">
        <v>221</v>
      </c>
      <c r="D27" s="6">
        <v>9275842194</v>
      </c>
      <c r="E27" s="6" t="s">
        <v>12</v>
      </c>
      <c r="F27" s="6" t="s">
        <v>13</v>
      </c>
      <c r="G27" s="6" t="s">
        <v>14</v>
      </c>
      <c r="H27" s="6" t="s">
        <v>214</v>
      </c>
      <c r="I27" s="6" t="s">
        <v>113</v>
      </c>
      <c r="J27" s="6">
        <v>280</v>
      </c>
      <c r="K27" s="6" t="s">
        <v>216</v>
      </c>
      <c r="L27" s="6" t="s">
        <v>222</v>
      </c>
      <c r="M27" s="6">
        <v>10</v>
      </c>
      <c r="N27" s="6" t="s">
        <v>223</v>
      </c>
      <c r="O27" s="6" t="s">
        <v>90</v>
      </c>
      <c r="P27" s="7">
        <v>4089720</v>
      </c>
      <c r="Q27" s="7">
        <v>3945864</v>
      </c>
      <c r="R27" s="6" t="s">
        <v>224</v>
      </c>
      <c r="S27" s="6" t="s">
        <v>836</v>
      </c>
      <c r="T27" s="6">
        <v>46.3</v>
      </c>
      <c r="U27" s="6" t="s">
        <v>22</v>
      </c>
      <c r="V27" s="6" t="s">
        <v>225</v>
      </c>
      <c r="W27" s="29" t="str">
        <f t="shared" si="0"/>
        <v>Builder</v>
      </c>
    </row>
    <row r="28" spans="1:23" ht="24" customHeight="1" x14ac:dyDescent="0.3">
      <c r="A28" s="2" t="s">
        <v>226</v>
      </c>
      <c r="B28" s="2" t="s">
        <v>163</v>
      </c>
      <c r="C28" s="2" t="s">
        <v>227</v>
      </c>
      <c r="D28" s="2">
        <v>9179545125</v>
      </c>
      <c r="E28" s="2" t="s">
        <v>27</v>
      </c>
      <c r="F28" s="2" t="s">
        <v>28</v>
      </c>
      <c r="G28" s="2" t="s">
        <v>106</v>
      </c>
      <c r="H28" s="2" t="s">
        <v>228</v>
      </c>
      <c r="I28" s="2" t="s">
        <v>207</v>
      </c>
      <c r="J28" s="2">
        <v>113</v>
      </c>
      <c r="K28" s="2" t="s">
        <v>229</v>
      </c>
      <c r="L28" s="2" t="s">
        <v>222</v>
      </c>
      <c r="M28" s="2">
        <v>10</v>
      </c>
      <c r="N28" s="2" t="s">
        <v>230</v>
      </c>
      <c r="O28" s="2" t="s">
        <v>20</v>
      </c>
      <c r="P28" s="3">
        <v>1840460</v>
      </c>
      <c r="Q28" s="2"/>
      <c r="R28" s="2"/>
      <c r="S28" s="2" t="s">
        <v>21</v>
      </c>
      <c r="T28" s="2">
        <v>7.2</v>
      </c>
      <c r="U28" s="2" t="s">
        <v>22</v>
      </c>
      <c r="V28" s="2" t="s">
        <v>82</v>
      </c>
      <c r="W28" s="29" t="str">
        <f t="shared" si="0"/>
        <v>-</v>
      </c>
    </row>
    <row r="29" spans="1:23" ht="24" customHeight="1" x14ac:dyDescent="0.3">
      <c r="A29" s="4" t="s">
        <v>231</v>
      </c>
      <c r="B29" s="4" t="s">
        <v>232</v>
      </c>
      <c r="C29" s="4" t="s">
        <v>233</v>
      </c>
      <c r="D29" s="4">
        <v>9323110563</v>
      </c>
      <c r="E29" s="4" t="s">
        <v>41</v>
      </c>
      <c r="F29" s="4" t="s">
        <v>28</v>
      </c>
      <c r="G29" s="4" t="s">
        <v>14</v>
      </c>
      <c r="H29" s="4" t="s">
        <v>29</v>
      </c>
      <c r="I29" s="4" t="s">
        <v>234</v>
      </c>
      <c r="J29" s="4">
        <v>79</v>
      </c>
      <c r="K29" s="4" t="s">
        <v>235</v>
      </c>
      <c r="L29" s="4" t="s">
        <v>236</v>
      </c>
      <c r="M29" s="4">
        <v>11</v>
      </c>
      <c r="N29" s="4" t="s">
        <v>237</v>
      </c>
      <c r="O29" s="4" t="s">
        <v>46</v>
      </c>
      <c r="P29" s="5">
        <v>1138120</v>
      </c>
      <c r="Q29" s="4"/>
      <c r="R29" s="4"/>
      <c r="S29" s="4" t="s">
        <v>47</v>
      </c>
      <c r="T29" s="4"/>
      <c r="U29" s="4" t="s">
        <v>36</v>
      </c>
      <c r="V29" s="4" t="s">
        <v>238</v>
      </c>
      <c r="W29" s="29" t="str">
        <f t="shared" si="0"/>
        <v>-</v>
      </c>
    </row>
    <row r="30" spans="1:23" ht="24" customHeight="1" x14ac:dyDescent="0.3">
      <c r="A30" s="2" t="s">
        <v>239</v>
      </c>
      <c r="B30" s="2" t="s">
        <v>240</v>
      </c>
      <c r="C30" s="2" t="s">
        <v>241</v>
      </c>
      <c r="D30" s="2">
        <v>9994027897</v>
      </c>
      <c r="E30" s="2" t="s">
        <v>69</v>
      </c>
      <c r="F30" s="2" t="s">
        <v>127</v>
      </c>
      <c r="G30" s="2" t="s">
        <v>106</v>
      </c>
      <c r="H30" s="2" t="s">
        <v>157</v>
      </c>
      <c r="I30" s="2" t="s">
        <v>98</v>
      </c>
      <c r="J30" s="2">
        <v>29</v>
      </c>
      <c r="K30" s="2" t="s">
        <v>236</v>
      </c>
      <c r="L30" s="2" t="s">
        <v>242</v>
      </c>
      <c r="M30" s="2"/>
      <c r="N30" s="2" t="s">
        <v>243</v>
      </c>
      <c r="O30" s="2" t="s">
        <v>46</v>
      </c>
      <c r="P30" s="3">
        <v>313652</v>
      </c>
      <c r="Q30" s="2"/>
      <c r="R30" s="2"/>
      <c r="S30" s="2" t="s">
        <v>47</v>
      </c>
      <c r="T30" s="2">
        <v>14.7</v>
      </c>
      <c r="U30" s="2" t="s">
        <v>36</v>
      </c>
      <c r="V30" s="2" t="s">
        <v>244</v>
      </c>
      <c r="W30" s="29" t="str">
        <f t="shared" si="0"/>
        <v>-</v>
      </c>
    </row>
    <row r="31" spans="1:23" ht="24" customHeight="1" x14ac:dyDescent="0.3">
      <c r="A31" s="4" t="s">
        <v>245</v>
      </c>
      <c r="B31" s="4" t="s">
        <v>246</v>
      </c>
      <c r="C31" s="4" t="s">
        <v>247</v>
      </c>
      <c r="D31" s="4">
        <v>9385220694</v>
      </c>
      <c r="E31" s="4" t="s">
        <v>69</v>
      </c>
      <c r="F31" s="4" t="s">
        <v>28</v>
      </c>
      <c r="G31" s="4" t="s">
        <v>106</v>
      </c>
      <c r="H31" s="4" t="s">
        <v>107</v>
      </c>
      <c r="I31" s="4" t="s">
        <v>150</v>
      </c>
      <c r="J31" s="4">
        <v>29</v>
      </c>
      <c r="K31" s="4" t="s">
        <v>248</v>
      </c>
      <c r="L31" s="4" t="s">
        <v>249</v>
      </c>
      <c r="M31" s="4">
        <v>8</v>
      </c>
      <c r="N31" s="4" t="s">
        <v>250</v>
      </c>
      <c r="O31" s="4" t="s">
        <v>20</v>
      </c>
      <c r="P31" s="5">
        <v>503220</v>
      </c>
      <c r="Q31" s="4"/>
      <c r="R31" s="4"/>
      <c r="S31" s="4" t="s">
        <v>21</v>
      </c>
      <c r="T31" s="4">
        <v>7.3</v>
      </c>
      <c r="U31" s="4" t="s">
        <v>22</v>
      </c>
      <c r="V31" s="4" t="s">
        <v>251</v>
      </c>
      <c r="W31" s="29" t="str">
        <f t="shared" si="0"/>
        <v>-</v>
      </c>
    </row>
    <row r="32" spans="1:23" ht="24" customHeight="1" x14ac:dyDescent="0.3">
      <c r="A32" s="2" t="s">
        <v>252</v>
      </c>
      <c r="B32" s="2" t="s">
        <v>253</v>
      </c>
      <c r="C32" s="2" t="s">
        <v>199</v>
      </c>
      <c r="D32" s="2">
        <v>9821856853</v>
      </c>
      <c r="E32" s="2" t="s">
        <v>12</v>
      </c>
      <c r="F32" s="2" t="s">
        <v>13</v>
      </c>
      <c r="G32" s="2" t="s">
        <v>52</v>
      </c>
      <c r="H32" s="2" t="s">
        <v>53</v>
      </c>
      <c r="I32" s="2" t="s">
        <v>16</v>
      </c>
      <c r="J32" s="2">
        <v>85</v>
      </c>
      <c r="K32" s="2" t="s">
        <v>254</v>
      </c>
      <c r="L32" s="2" t="s">
        <v>255</v>
      </c>
      <c r="M32" s="2">
        <v>10</v>
      </c>
      <c r="N32" s="2" t="s">
        <v>256</v>
      </c>
      <c r="O32" s="2" t="s">
        <v>46</v>
      </c>
      <c r="P32" s="3">
        <v>1213415</v>
      </c>
      <c r="Q32" s="2"/>
      <c r="R32" s="2"/>
      <c r="S32" s="2" t="s">
        <v>47</v>
      </c>
      <c r="T32" s="2">
        <v>6.2</v>
      </c>
      <c r="U32" s="2" t="s">
        <v>36</v>
      </c>
      <c r="V32" s="2" t="s">
        <v>161</v>
      </c>
      <c r="W32" s="29" t="str">
        <f t="shared" si="0"/>
        <v>-</v>
      </c>
    </row>
    <row r="33" spans="1:23" ht="24" customHeight="1" x14ac:dyDescent="0.3">
      <c r="A33" s="4" t="s">
        <v>257</v>
      </c>
      <c r="B33" s="4" t="s">
        <v>258</v>
      </c>
      <c r="C33" s="4" t="s">
        <v>259</v>
      </c>
      <c r="D33" s="4">
        <v>9396618390</v>
      </c>
      <c r="E33" s="4" t="s">
        <v>77</v>
      </c>
      <c r="F33" s="4" t="s">
        <v>28</v>
      </c>
      <c r="G33" s="4" t="s">
        <v>106</v>
      </c>
      <c r="H33" s="4" t="s">
        <v>228</v>
      </c>
      <c r="I33" s="4" t="s">
        <v>260</v>
      </c>
      <c r="J33" s="4">
        <v>88</v>
      </c>
      <c r="K33" s="4" t="s">
        <v>254</v>
      </c>
      <c r="L33" s="4" t="s">
        <v>255</v>
      </c>
      <c r="M33" s="4">
        <v>6</v>
      </c>
      <c r="N33" s="4" t="s">
        <v>261</v>
      </c>
      <c r="O33" s="4" t="s">
        <v>46</v>
      </c>
      <c r="P33" s="4"/>
      <c r="Q33" s="4"/>
      <c r="R33" s="4"/>
      <c r="S33" s="4" t="s">
        <v>47</v>
      </c>
      <c r="T33" s="4">
        <v>10.8</v>
      </c>
      <c r="U33" s="4" t="s">
        <v>36</v>
      </c>
      <c r="V33" s="4" t="s">
        <v>48</v>
      </c>
      <c r="W33" s="29" t="str">
        <f t="shared" si="0"/>
        <v>-</v>
      </c>
    </row>
    <row r="34" spans="1:23" ht="24" customHeight="1" x14ac:dyDescent="0.3">
      <c r="A34" s="6" t="s">
        <v>262</v>
      </c>
      <c r="B34" s="6" t="s">
        <v>191</v>
      </c>
      <c r="C34" s="6" t="s">
        <v>263</v>
      </c>
      <c r="D34" s="6">
        <v>9433665422</v>
      </c>
      <c r="E34" s="6" t="s">
        <v>27</v>
      </c>
      <c r="F34" s="6" t="s">
        <v>127</v>
      </c>
      <c r="G34" s="6" t="s">
        <v>52</v>
      </c>
      <c r="H34" s="6" t="s">
        <v>70</v>
      </c>
      <c r="I34" s="6" t="s">
        <v>264</v>
      </c>
      <c r="J34" s="6">
        <v>114</v>
      </c>
      <c r="K34" s="6" t="s">
        <v>265</v>
      </c>
      <c r="L34" s="6" t="s">
        <v>266</v>
      </c>
      <c r="M34" s="6">
        <v>17</v>
      </c>
      <c r="N34" s="6" t="s">
        <v>267</v>
      </c>
      <c r="O34" s="6" t="s">
        <v>90</v>
      </c>
      <c r="P34" s="7">
        <v>1537794</v>
      </c>
      <c r="Q34" s="7">
        <v>1562768</v>
      </c>
      <c r="R34" s="6" t="s">
        <v>268</v>
      </c>
      <c r="S34" s="6" t="s">
        <v>21</v>
      </c>
      <c r="T34" s="6">
        <v>30</v>
      </c>
      <c r="U34" s="6" t="s">
        <v>22</v>
      </c>
      <c r="V34" s="6" t="s">
        <v>203</v>
      </c>
      <c r="W34" s="29" t="str">
        <f t="shared" si="0"/>
        <v>Builder</v>
      </c>
    </row>
    <row r="35" spans="1:23" ht="24" customHeight="1" x14ac:dyDescent="0.3">
      <c r="A35" s="6" t="s">
        <v>269</v>
      </c>
      <c r="B35" s="6" t="s">
        <v>270</v>
      </c>
      <c r="C35" s="6" t="s">
        <v>271</v>
      </c>
      <c r="D35" s="6">
        <v>9437710224</v>
      </c>
      <c r="E35" s="6" t="s">
        <v>12</v>
      </c>
      <c r="F35" s="6" t="s">
        <v>13</v>
      </c>
      <c r="G35" s="6" t="s">
        <v>52</v>
      </c>
      <c r="H35" s="6" t="s">
        <v>62</v>
      </c>
      <c r="I35" s="6" t="s">
        <v>272</v>
      </c>
      <c r="J35" s="6">
        <v>241</v>
      </c>
      <c r="K35" s="6" t="s">
        <v>273</v>
      </c>
      <c r="L35" s="6" t="s">
        <v>274</v>
      </c>
      <c r="M35" s="6">
        <v>17</v>
      </c>
      <c r="N35" s="6" t="s">
        <v>275</v>
      </c>
      <c r="O35" s="6" t="s">
        <v>90</v>
      </c>
      <c r="P35" s="6"/>
      <c r="Q35" s="7">
        <v>3145148</v>
      </c>
      <c r="R35" s="6" t="s">
        <v>276</v>
      </c>
      <c r="S35" s="6" t="s">
        <v>21</v>
      </c>
      <c r="T35" s="6">
        <v>39.4</v>
      </c>
      <c r="U35" s="6" t="s">
        <v>22</v>
      </c>
      <c r="V35" s="6" t="s">
        <v>277</v>
      </c>
      <c r="W35" s="29" t="str">
        <f t="shared" si="0"/>
        <v>Builder</v>
      </c>
    </row>
    <row r="36" spans="1:23" ht="24" customHeight="1" x14ac:dyDescent="0.3">
      <c r="A36" s="2" t="s">
        <v>278</v>
      </c>
      <c r="B36" s="2" t="s">
        <v>279</v>
      </c>
      <c r="C36" s="2" t="s">
        <v>280</v>
      </c>
      <c r="D36" s="2">
        <v>9954852540</v>
      </c>
      <c r="E36" s="2" t="s">
        <v>69</v>
      </c>
      <c r="F36" s="2" t="s">
        <v>13</v>
      </c>
      <c r="G36" s="2" t="s">
        <v>106</v>
      </c>
      <c r="H36" s="2" t="s">
        <v>228</v>
      </c>
      <c r="I36" s="2" t="s">
        <v>30</v>
      </c>
      <c r="J36" s="2">
        <v>87</v>
      </c>
      <c r="K36" s="2" t="s">
        <v>281</v>
      </c>
      <c r="L36" s="2" t="s">
        <v>282</v>
      </c>
      <c r="M36" s="2">
        <v>16</v>
      </c>
      <c r="N36" s="2" t="s">
        <v>283</v>
      </c>
      <c r="O36" s="2" t="s">
        <v>46</v>
      </c>
      <c r="P36" s="3">
        <v>1022081</v>
      </c>
      <c r="Q36" s="2"/>
      <c r="R36" s="2"/>
      <c r="S36" s="2" t="s">
        <v>47</v>
      </c>
      <c r="T36" s="2">
        <v>33.9</v>
      </c>
      <c r="U36" s="2" t="s">
        <v>36</v>
      </c>
      <c r="V36" s="2"/>
      <c r="W36" s="29" t="str">
        <f t="shared" si="0"/>
        <v>-</v>
      </c>
    </row>
    <row r="37" spans="1:23" ht="24" customHeight="1" x14ac:dyDescent="0.3">
      <c r="A37" s="4" t="s">
        <v>284</v>
      </c>
      <c r="B37" s="4" t="s">
        <v>285</v>
      </c>
      <c r="C37" s="4" t="s">
        <v>286</v>
      </c>
      <c r="D37" s="4">
        <v>9827579147</v>
      </c>
      <c r="E37" s="4" t="s">
        <v>27</v>
      </c>
      <c r="F37" s="4" t="s">
        <v>13</v>
      </c>
      <c r="G37" s="4" t="s">
        <v>14</v>
      </c>
      <c r="H37" s="4" t="s">
        <v>97</v>
      </c>
      <c r="I37" s="4" t="s">
        <v>181</v>
      </c>
      <c r="J37" s="4">
        <v>99</v>
      </c>
      <c r="K37" s="4" t="s">
        <v>287</v>
      </c>
      <c r="L37" s="4" t="s">
        <v>288</v>
      </c>
      <c r="M37" s="4">
        <v>10</v>
      </c>
      <c r="N37" s="4" t="s">
        <v>289</v>
      </c>
      <c r="O37" s="4" t="s">
        <v>46</v>
      </c>
      <c r="P37" s="5">
        <v>1632262</v>
      </c>
      <c r="Q37" s="4"/>
      <c r="R37" s="4"/>
      <c r="S37" s="4" t="s">
        <v>47</v>
      </c>
      <c r="T37" s="4">
        <v>2.4</v>
      </c>
      <c r="U37" s="4" t="s">
        <v>36</v>
      </c>
      <c r="V37" s="4" t="s">
        <v>210</v>
      </c>
      <c r="W37" s="29" t="str">
        <f t="shared" si="0"/>
        <v>-</v>
      </c>
    </row>
    <row r="38" spans="1:23" ht="24" x14ac:dyDescent="0.3">
      <c r="A38" s="2" t="s">
        <v>290</v>
      </c>
      <c r="B38" s="2" t="s">
        <v>291</v>
      </c>
      <c r="C38" s="2" t="s">
        <v>292</v>
      </c>
      <c r="D38" s="2">
        <v>9541066404</v>
      </c>
      <c r="E38" s="2" t="s">
        <v>69</v>
      </c>
      <c r="F38" s="2" t="s">
        <v>127</v>
      </c>
      <c r="G38" s="2" t="s">
        <v>106</v>
      </c>
      <c r="H38" s="2" t="s">
        <v>228</v>
      </c>
      <c r="I38" s="2" t="s">
        <v>98</v>
      </c>
      <c r="J38" s="2">
        <v>112</v>
      </c>
      <c r="K38" s="2" t="s">
        <v>223</v>
      </c>
      <c r="L38" s="2" t="s">
        <v>293</v>
      </c>
      <c r="M38" s="2">
        <v>8</v>
      </c>
      <c r="N38" s="2" t="s">
        <v>294</v>
      </c>
      <c r="O38" s="2" t="s">
        <v>20</v>
      </c>
      <c r="P38" s="3">
        <v>1444124</v>
      </c>
      <c r="Q38" s="2"/>
      <c r="R38" s="2"/>
      <c r="S38" s="2" t="s">
        <v>47</v>
      </c>
      <c r="T38" s="2">
        <v>28.3</v>
      </c>
      <c r="U38" s="2" t="s">
        <v>36</v>
      </c>
      <c r="V38" s="2" t="s">
        <v>295</v>
      </c>
      <c r="W38" s="29" t="str">
        <f t="shared" si="0"/>
        <v>-</v>
      </c>
    </row>
    <row r="39" spans="1:23" ht="24" customHeight="1" x14ac:dyDescent="0.3">
      <c r="A39" s="6" t="s">
        <v>296</v>
      </c>
      <c r="B39" s="6" t="s">
        <v>297</v>
      </c>
      <c r="C39" s="6" t="s">
        <v>298</v>
      </c>
      <c r="D39" s="6">
        <v>9452794611</v>
      </c>
      <c r="E39" s="6" t="s">
        <v>149</v>
      </c>
      <c r="F39" s="6" t="s">
        <v>13</v>
      </c>
      <c r="G39" s="6" t="s">
        <v>14</v>
      </c>
      <c r="H39" s="6" t="s">
        <v>15</v>
      </c>
      <c r="I39" s="6" t="s">
        <v>181</v>
      </c>
      <c r="J39" s="6">
        <v>233</v>
      </c>
      <c r="K39" s="6" t="s">
        <v>299</v>
      </c>
      <c r="L39" s="6" t="s">
        <v>230</v>
      </c>
      <c r="M39" s="6">
        <v>4</v>
      </c>
      <c r="N39" s="6" t="s">
        <v>300</v>
      </c>
      <c r="O39" s="6" t="s">
        <v>90</v>
      </c>
      <c r="P39" s="7">
        <v>3372064</v>
      </c>
      <c r="Q39" s="7">
        <v>3424966</v>
      </c>
      <c r="R39" s="6" t="s">
        <v>301</v>
      </c>
      <c r="S39" s="6" t="s">
        <v>47</v>
      </c>
      <c r="T39" s="6">
        <v>17.600000000000001</v>
      </c>
      <c r="U39" s="6" t="s">
        <v>22</v>
      </c>
      <c r="V39" s="6" t="s">
        <v>176</v>
      </c>
      <c r="W39" s="29" t="str">
        <f t="shared" si="0"/>
        <v>Builder</v>
      </c>
    </row>
    <row r="40" spans="1:23" ht="24" x14ac:dyDescent="0.3">
      <c r="A40" s="6" t="s">
        <v>302</v>
      </c>
      <c r="B40" s="6" t="s">
        <v>303</v>
      </c>
      <c r="C40" s="6" t="s">
        <v>304</v>
      </c>
      <c r="D40" s="6">
        <v>9392624015</v>
      </c>
      <c r="E40" s="6" t="s">
        <v>69</v>
      </c>
      <c r="F40" s="6" t="s">
        <v>42</v>
      </c>
      <c r="G40" s="6" t="s">
        <v>165</v>
      </c>
      <c r="H40" s="6" t="s">
        <v>180</v>
      </c>
      <c r="I40" s="6" t="s">
        <v>16</v>
      </c>
      <c r="J40" s="6">
        <v>56</v>
      </c>
      <c r="K40" s="6" t="s">
        <v>305</v>
      </c>
      <c r="L40" s="6" t="s">
        <v>237</v>
      </c>
      <c r="M40" s="6">
        <v>12</v>
      </c>
      <c r="N40" s="6" t="s">
        <v>306</v>
      </c>
      <c r="O40" s="6" t="s">
        <v>90</v>
      </c>
      <c r="P40" s="7">
        <v>716680</v>
      </c>
      <c r="Q40" s="7">
        <v>648301</v>
      </c>
      <c r="R40" s="6" t="s">
        <v>307</v>
      </c>
      <c r="S40" s="6" t="s">
        <v>47</v>
      </c>
      <c r="T40" s="6">
        <v>8.1</v>
      </c>
      <c r="U40" s="6" t="s">
        <v>22</v>
      </c>
      <c r="V40" s="6" t="s">
        <v>92</v>
      </c>
      <c r="W40" s="29" t="str">
        <f t="shared" si="0"/>
        <v>Builder</v>
      </c>
    </row>
    <row r="41" spans="1:23" ht="24" customHeight="1" x14ac:dyDescent="0.3">
      <c r="A41" s="4" t="s">
        <v>308</v>
      </c>
      <c r="B41" s="4" t="s">
        <v>309</v>
      </c>
      <c r="C41" s="4" t="s">
        <v>310</v>
      </c>
      <c r="D41" s="4">
        <v>9900122509</v>
      </c>
      <c r="E41" s="4" t="s">
        <v>27</v>
      </c>
      <c r="F41" s="4" t="s">
        <v>42</v>
      </c>
      <c r="G41" s="4" t="s">
        <v>52</v>
      </c>
      <c r="H41" s="4" t="s">
        <v>62</v>
      </c>
      <c r="I41" s="4" t="s">
        <v>113</v>
      </c>
      <c r="J41" s="4">
        <v>148</v>
      </c>
      <c r="K41" s="4" t="s">
        <v>311</v>
      </c>
      <c r="L41" s="4" t="s">
        <v>312</v>
      </c>
      <c r="M41" s="4">
        <v>14</v>
      </c>
      <c r="N41" s="4" t="s">
        <v>313</v>
      </c>
      <c r="O41" s="4" t="s">
        <v>46</v>
      </c>
      <c r="P41" s="5">
        <v>2225708</v>
      </c>
      <c r="Q41" s="4"/>
      <c r="R41" s="4"/>
      <c r="S41" s="4" t="s">
        <v>836</v>
      </c>
      <c r="T41" s="4">
        <v>2.4</v>
      </c>
      <c r="U41" s="4" t="s">
        <v>36</v>
      </c>
      <c r="V41" s="4" t="s">
        <v>161</v>
      </c>
      <c r="W41" s="29" t="str">
        <f t="shared" si="0"/>
        <v>-</v>
      </c>
    </row>
    <row r="42" spans="1:23" ht="24" x14ac:dyDescent="0.3">
      <c r="A42" s="2" t="s">
        <v>314</v>
      </c>
      <c r="B42" s="2" t="s">
        <v>315</v>
      </c>
      <c r="C42" s="2" t="s">
        <v>316</v>
      </c>
      <c r="D42" s="2">
        <v>9351064359</v>
      </c>
      <c r="E42" s="2" t="s">
        <v>136</v>
      </c>
      <c r="F42" s="2" t="s">
        <v>13</v>
      </c>
      <c r="G42" s="2" t="s">
        <v>14</v>
      </c>
      <c r="H42" s="2" t="s">
        <v>29</v>
      </c>
      <c r="I42" s="2" t="s">
        <v>260</v>
      </c>
      <c r="J42" s="2">
        <v>263</v>
      </c>
      <c r="K42" s="2" t="s">
        <v>317</v>
      </c>
      <c r="L42" s="2" t="s">
        <v>318</v>
      </c>
      <c r="M42" s="2">
        <v>10</v>
      </c>
      <c r="N42" s="2" t="s">
        <v>319</v>
      </c>
      <c r="O42" s="2" t="s">
        <v>20</v>
      </c>
      <c r="P42" s="3">
        <v>4065974</v>
      </c>
      <c r="Q42" s="2"/>
      <c r="R42" s="2"/>
      <c r="S42" s="2" t="s">
        <v>47</v>
      </c>
      <c r="T42" s="2">
        <v>19.5</v>
      </c>
      <c r="U42" s="2" t="s">
        <v>22</v>
      </c>
      <c r="V42" s="2" t="s">
        <v>320</v>
      </c>
      <c r="W42" s="29" t="str">
        <f t="shared" si="0"/>
        <v>-</v>
      </c>
    </row>
    <row r="43" spans="1:23" ht="24" customHeight="1" x14ac:dyDescent="0.3">
      <c r="A43" s="6" t="s">
        <v>321</v>
      </c>
      <c r="B43" s="6" t="s">
        <v>322</v>
      </c>
      <c r="C43" s="6" t="s">
        <v>323</v>
      </c>
      <c r="D43" s="6">
        <v>9803217037</v>
      </c>
      <c r="E43" s="6" t="s">
        <v>69</v>
      </c>
      <c r="F43" s="6" t="s">
        <v>96</v>
      </c>
      <c r="G43" s="6" t="s">
        <v>106</v>
      </c>
      <c r="H43" s="6" t="s">
        <v>324</v>
      </c>
      <c r="I43" s="6" t="s">
        <v>43</v>
      </c>
      <c r="J43" s="6">
        <v>17</v>
      </c>
      <c r="K43" s="6" t="s">
        <v>325</v>
      </c>
      <c r="L43" s="6" t="s">
        <v>301</v>
      </c>
      <c r="M43" s="6">
        <v>13</v>
      </c>
      <c r="N43" s="6" t="s">
        <v>326</v>
      </c>
      <c r="O43" s="6" t="s">
        <v>90</v>
      </c>
      <c r="P43" s="7">
        <v>227381</v>
      </c>
      <c r="Q43" s="7">
        <v>222266</v>
      </c>
      <c r="R43" s="6" t="s">
        <v>327</v>
      </c>
      <c r="S43" s="6" t="s">
        <v>836</v>
      </c>
      <c r="T43" s="6">
        <v>26.8</v>
      </c>
      <c r="U43" s="6" t="s">
        <v>22</v>
      </c>
      <c r="V43" s="6" t="s">
        <v>328</v>
      </c>
      <c r="W43" s="29" t="str">
        <f t="shared" si="0"/>
        <v>Builder</v>
      </c>
    </row>
    <row r="44" spans="1:23" ht="24" customHeight="1" x14ac:dyDescent="0.3">
      <c r="A44" s="2" t="s">
        <v>329</v>
      </c>
      <c r="B44" s="2" t="s">
        <v>330</v>
      </c>
      <c r="C44" s="2" t="s">
        <v>241</v>
      </c>
      <c r="D44" s="2">
        <v>9186748119</v>
      </c>
      <c r="E44" s="2" t="s">
        <v>12</v>
      </c>
      <c r="F44" s="2" t="s">
        <v>13</v>
      </c>
      <c r="G44" s="2" t="s">
        <v>52</v>
      </c>
      <c r="H44" s="2" t="s">
        <v>78</v>
      </c>
      <c r="I44" s="2" t="s">
        <v>234</v>
      </c>
      <c r="J44" s="2">
        <v>79</v>
      </c>
      <c r="K44" s="2" t="s">
        <v>331</v>
      </c>
      <c r="L44" s="2" t="s">
        <v>332</v>
      </c>
      <c r="M44" s="2">
        <v>15</v>
      </c>
      <c r="N44" s="2" t="s">
        <v>333</v>
      </c>
      <c r="O44" s="2" t="s">
        <v>46</v>
      </c>
      <c r="P44" s="3">
        <v>823045</v>
      </c>
      <c r="Q44" s="2"/>
      <c r="R44" s="2"/>
      <c r="S44" s="2" t="s">
        <v>47</v>
      </c>
      <c r="T44" s="2">
        <v>7</v>
      </c>
      <c r="U44" s="2" t="s">
        <v>36</v>
      </c>
      <c r="V44" s="2"/>
      <c r="W44" s="29" t="str">
        <f t="shared" si="0"/>
        <v>-</v>
      </c>
    </row>
    <row r="45" spans="1:23" ht="24" customHeight="1" x14ac:dyDescent="0.3">
      <c r="A45" s="4" t="s">
        <v>334</v>
      </c>
      <c r="B45" s="4" t="s">
        <v>335</v>
      </c>
      <c r="C45" s="4" t="s">
        <v>11</v>
      </c>
      <c r="D45" s="4">
        <v>9116944811</v>
      </c>
      <c r="E45" s="4" t="s">
        <v>69</v>
      </c>
      <c r="F45" s="4" t="s">
        <v>127</v>
      </c>
      <c r="G45" s="4" t="s">
        <v>14</v>
      </c>
      <c r="H45" s="4" t="s">
        <v>214</v>
      </c>
      <c r="I45" s="4" t="s">
        <v>128</v>
      </c>
      <c r="J45" s="4">
        <v>51</v>
      </c>
      <c r="K45" s="4" t="s">
        <v>336</v>
      </c>
      <c r="L45" s="4" t="s">
        <v>337</v>
      </c>
      <c r="M45" s="4">
        <v>2</v>
      </c>
      <c r="N45" s="4" t="s">
        <v>338</v>
      </c>
      <c r="O45" s="4" t="s">
        <v>102</v>
      </c>
      <c r="P45" s="5">
        <v>866385</v>
      </c>
      <c r="Q45" s="4"/>
      <c r="R45" s="4"/>
      <c r="S45" s="4" t="s">
        <v>786</v>
      </c>
      <c r="T45" s="4">
        <v>2.7</v>
      </c>
      <c r="U45" s="4" t="s">
        <v>57</v>
      </c>
      <c r="V45" s="4" t="s">
        <v>339</v>
      </c>
      <c r="W45" s="29" t="str">
        <f t="shared" si="0"/>
        <v>-</v>
      </c>
    </row>
    <row r="46" spans="1:23" ht="24" x14ac:dyDescent="0.3">
      <c r="A46" s="6" t="s">
        <v>340</v>
      </c>
      <c r="B46" s="6" t="s">
        <v>341</v>
      </c>
      <c r="C46" s="6" t="s">
        <v>342</v>
      </c>
      <c r="D46" s="6">
        <v>9458102728</v>
      </c>
      <c r="E46" s="6" t="s">
        <v>12</v>
      </c>
      <c r="F46" s="6" t="s">
        <v>42</v>
      </c>
      <c r="G46" s="6" t="s">
        <v>14</v>
      </c>
      <c r="H46" s="6" t="s">
        <v>15</v>
      </c>
      <c r="I46" s="6" t="s">
        <v>260</v>
      </c>
      <c r="J46" s="6">
        <v>38</v>
      </c>
      <c r="K46" s="6" t="s">
        <v>343</v>
      </c>
      <c r="L46" s="6" t="s">
        <v>344</v>
      </c>
      <c r="M46" s="6">
        <v>16</v>
      </c>
      <c r="N46" s="6" t="s">
        <v>345</v>
      </c>
      <c r="O46" s="6" t="s">
        <v>90</v>
      </c>
      <c r="P46" s="7">
        <v>624240</v>
      </c>
      <c r="Q46" s="7">
        <v>567867</v>
      </c>
      <c r="R46" s="6" t="s">
        <v>346</v>
      </c>
      <c r="S46" s="6" t="s">
        <v>786</v>
      </c>
      <c r="T46" s="6">
        <v>31.4</v>
      </c>
      <c r="U46" s="6" t="s">
        <v>22</v>
      </c>
      <c r="V46" s="6"/>
      <c r="W46" s="29" t="str">
        <f t="shared" si="0"/>
        <v>Builder</v>
      </c>
    </row>
    <row r="47" spans="1:23" ht="24" customHeight="1" x14ac:dyDescent="0.3">
      <c r="A47" s="4" t="s">
        <v>347</v>
      </c>
      <c r="B47" s="4" t="s">
        <v>348</v>
      </c>
      <c r="C47" s="4" t="s">
        <v>349</v>
      </c>
      <c r="D47" s="4">
        <v>9905611583</v>
      </c>
      <c r="E47" s="4" t="s">
        <v>136</v>
      </c>
      <c r="F47" s="4" t="s">
        <v>127</v>
      </c>
      <c r="G47" s="4" t="s">
        <v>14</v>
      </c>
      <c r="H47" s="4" t="s">
        <v>97</v>
      </c>
      <c r="I47" s="4" t="s">
        <v>260</v>
      </c>
      <c r="J47" s="4">
        <v>21</v>
      </c>
      <c r="K47" s="4" t="s">
        <v>337</v>
      </c>
      <c r="L47" s="4" t="s">
        <v>350</v>
      </c>
      <c r="M47" s="4">
        <v>12</v>
      </c>
      <c r="N47" s="4" t="s">
        <v>351</v>
      </c>
      <c r="O47" s="4" t="s">
        <v>34</v>
      </c>
      <c r="P47" s="5">
        <v>365529</v>
      </c>
      <c r="Q47" s="4"/>
      <c r="R47" s="4"/>
      <c r="S47" s="4" t="s">
        <v>786</v>
      </c>
      <c r="T47" s="4">
        <v>7.6</v>
      </c>
      <c r="U47" s="4" t="s">
        <v>36</v>
      </c>
      <c r="V47" s="4" t="s">
        <v>352</v>
      </c>
      <c r="W47" s="29" t="str">
        <f t="shared" si="0"/>
        <v>-</v>
      </c>
    </row>
    <row r="48" spans="1:23" ht="24" customHeight="1" x14ac:dyDescent="0.3">
      <c r="A48" s="2" t="s">
        <v>353</v>
      </c>
      <c r="B48" s="2" t="s">
        <v>354</v>
      </c>
      <c r="C48" s="2" t="s">
        <v>355</v>
      </c>
      <c r="D48" s="2">
        <v>9883415470</v>
      </c>
      <c r="E48" s="2" t="s">
        <v>69</v>
      </c>
      <c r="F48" s="2" t="s">
        <v>127</v>
      </c>
      <c r="G48" s="2" t="s">
        <v>52</v>
      </c>
      <c r="H48" s="2" t="s">
        <v>62</v>
      </c>
      <c r="I48" s="2" t="s">
        <v>207</v>
      </c>
      <c r="J48" s="2">
        <v>106</v>
      </c>
      <c r="K48" s="2" t="s">
        <v>313</v>
      </c>
      <c r="L48" s="2" t="s">
        <v>356</v>
      </c>
      <c r="M48" s="2">
        <v>9</v>
      </c>
      <c r="N48" s="2" t="s">
        <v>357</v>
      </c>
      <c r="O48" s="2" t="s">
        <v>34</v>
      </c>
      <c r="P48" s="3">
        <v>1729036</v>
      </c>
      <c r="Q48" s="2"/>
      <c r="R48" s="2"/>
      <c r="S48" s="2" t="s">
        <v>786</v>
      </c>
      <c r="T48" s="2">
        <v>17.600000000000001</v>
      </c>
      <c r="U48" s="2" t="s">
        <v>22</v>
      </c>
      <c r="V48" s="2" t="s">
        <v>358</v>
      </c>
      <c r="W48" s="29" t="str">
        <f t="shared" si="0"/>
        <v>-</v>
      </c>
    </row>
    <row r="49" spans="1:23" ht="24" customHeight="1" x14ac:dyDescent="0.3">
      <c r="A49" s="4" t="s">
        <v>359</v>
      </c>
      <c r="B49" s="4" t="s">
        <v>360</v>
      </c>
      <c r="C49" s="4" t="s">
        <v>361</v>
      </c>
      <c r="D49" s="4">
        <v>9392168202</v>
      </c>
      <c r="E49" s="4" t="s">
        <v>136</v>
      </c>
      <c r="F49" s="4" t="s">
        <v>42</v>
      </c>
      <c r="G49" s="4" t="s">
        <v>14</v>
      </c>
      <c r="H49" s="4" t="s">
        <v>214</v>
      </c>
      <c r="I49" s="4" t="s">
        <v>30</v>
      </c>
      <c r="J49" s="4">
        <v>44</v>
      </c>
      <c r="K49" s="4" t="s">
        <v>362</v>
      </c>
      <c r="L49" s="4" t="s">
        <v>363</v>
      </c>
      <c r="M49" s="4">
        <v>3</v>
      </c>
      <c r="N49" s="4" t="s">
        <v>364</v>
      </c>
      <c r="O49" s="4" t="s">
        <v>46</v>
      </c>
      <c r="P49" s="5">
        <v>555348</v>
      </c>
      <c r="Q49" s="4"/>
      <c r="R49" s="4"/>
      <c r="S49" s="4" t="s">
        <v>786</v>
      </c>
      <c r="T49" s="4">
        <v>9.1999999999999993</v>
      </c>
      <c r="U49" s="4" t="s">
        <v>36</v>
      </c>
      <c r="V49" s="4" t="s">
        <v>161</v>
      </c>
      <c r="W49" s="29" t="str">
        <f t="shared" si="0"/>
        <v>-</v>
      </c>
    </row>
    <row r="50" spans="1:23" ht="24" customHeight="1" x14ac:dyDescent="0.3">
      <c r="A50" s="2" t="s">
        <v>365</v>
      </c>
      <c r="B50" s="2" t="s">
        <v>205</v>
      </c>
      <c r="C50" s="2" t="s">
        <v>366</v>
      </c>
      <c r="D50" s="2">
        <v>9431769776</v>
      </c>
      <c r="E50" s="2" t="s">
        <v>12</v>
      </c>
      <c r="F50" s="2" t="s">
        <v>96</v>
      </c>
      <c r="G50" s="2" t="s">
        <v>52</v>
      </c>
      <c r="H50" s="2" t="s">
        <v>78</v>
      </c>
      <c r="I50" s="2" t="s">
        <v>113</v>
      </c>
      <c r="J50" s="2">
        <v>50</v>
      </c>
      <c r="K50" s="2" t="s">
        <v>363</v>
      </c>
      <c r="L50" s="2" t="s">
        <v>367</v>
      </c>
      <c r="M50" s="2">
        <v>2</v>
      </c>
      <c r="N50" s="2" t="s">
        <v>368</v>
      </c>
      <c r="O50" s="2" t="s">
        <v>20</v>
      </c>
      <c r="P50" s="3">
        <v>765250</v>
      </c>
      <c r="Q50" s="2"/>
      <c r="R50" s="2"/>
      <c r="S50" s="2" t="s">
        <v>786</v>
      </c>
      <c r="T50" s="2">
        <v>3.3</v>
      </c>
      <c r="U50" s="2" t="s">
        <v>36</v>
      </c>
      <c r="V50" s="2" t="s">
        <v>352</v>
      </c>
      <c r="W50" s="29" t="str">
        <f t="shared" si="0"/>
        <v>-</v>
      </c>
    </row>
    <row r="51" spans="1:23" ht="24" x14ac:dyDescent="0.3">
      <c r="A51" s="4" t="s">
        <v>369</v>
      </c>
      <c r="B51" s="4" t="s">
        <v>370</v>
      </c>
      <c r="C51" s="4" t="s">
        <v>371</v>
      </c>
      <c r="D51" s="4">
        <v>9979339361</v>
      </c>
      <c r="E51" s="4" t="s">
        <v>41</v>
      </c>
      <c r="F51" s="4" t="s">
        <v>96</v>
      </c>
      <c r="G51" s="4" t="s">
        <v>52</v>
      </c>
      <c r="H51" s="4" t="s">
        <v>62</v>
      </c>
      <c r="I51" s="4" t="s">
        <v>150</v>
      </c>
      <c r="J51" s="4">
        <v>101</v>
      </c>
      <c r="K51" s="4" t="s">
        <v>372</v>
      </c>
      <c r="L51" s="4" t="s">
        <v>373</v>
      </c>
      <c r="M51" s="4">
        <v>5</v>
      </c>
      <c r="N51" s="4" t="s">
        <v>374</v>
      </c>
      <c r="O51" s="4" t="s">
        <v>20</v>
      </c>
      <c r="P51" s="5">
        <v>1981065</v>
      </c>
      <c r="Q51" s="4"/>
      <c r="R51" s="4"/>
      <c r="S51" s="4" t="s">
        <v>786</v>
      </c>
      <c r="T51" s="4">
        <v>25.5</v>
      </c>
      <c r="U51" s="4" t="s">
        <v>22</v>
      </c>
      <c r="V51" s="4" t="s">
        <v>320</v>
      </c>
      <c r="W51" s="29" t="str">
        <f t="shared" si="0"/>
        <v>-</v>
      </c>
    </row>
    <row r="52" spans="1:23" ht="24" customHeight="1" x14ac:dyDescent="0.3">
      <c r="A52" s="2" t="s">
        <v>375</v>
      </c>
      <c r="B52" s="2" t="s">
        <v>376</v>
      </c>
      <c r="C52" s="2" t="s">
        <v>377</v>
      </c>
      <c r="D52" s="2">
        <v>9634063428</v>
      </c>
      <c r="E52" s="2" t="s">
        <v>77</v>
      </c>
      <c r="F52" s="2" t="s">
        <v>13</v>
      </c>
      <c r="G52" s="2" t="s">
        <v>14</v>
      </c>
      <c r="H52" s="2" t="s">
        <v>29</v>
      </c>
      <c r="I52" s="2" t="s">
        <v>207</v>
      </c>
      <c r="J52" s="2">
        <v>90</v>
      </c>
      <c r="K52" s="2" t="s">
        <v>373</v>
      </c>
      <c r="L52" s="2" t="s">
        <v>378</v>
      </c>
      <c r="M52" s="2">
        <v>6</v>
      </c>
      <c r="N52" s="2" t="s">
        <v>379</v>
      </c>
      <c r="O52" s="2" t="s">
        <v>46</v>
      </c>
      <c r="P52" s="3">
        <v>1451740</v>
      </c>
      <c r="Q52" s="2"/>
      <c r="R52" s="2"/>
      <c r="S52" s="2" t="s">
        <v>786</v>
      </c>
      <c r="T52" s="2">
        <v>13.8</v>
      </c>
      <c r="U52" s="2" t="s">
        <v>36</v>
      </c>
      <c r="V52" s="2" t="s">
        <v>380</v>
      </c>
      <c r="W52" s="29" t="str">
        <f t="shared" si="0"/>
        <v>-</v>
      </c>
    </row>
    <row r="53" spans="1:23" ht="24" customHeight="1" x14ac:dyDescent="0.3">
      <c r="A53" s="4" t="s">
        <v>381</v>
      </c>
      <c r="B53" s="4" t="s">
        <v>382</v>
      </c>
      <c r="C53" s="4" t="s">
        <v>383</v>
      </c>
      <c r="D53" s="4">
        <v>9574817290</v>
      </c>
      <c r="E53" s="4" t="s">
        <v>41</v>
      </c>
      <c r="F53" s="4" t="s">
        <v>28</v>
      </c>
      <c r="G53" s="4" t="s">
        <v>106</v>
      </c>
      <c r="H53" s="4" t="s">
        <v>228</v>
      </c>
      <c r="I53" s="4" t="s">
        <v>30</v>
      </c>
      <c r="J53" s="4">
        <v>281</v>
      </c>
      <c r="K53" s="4" t="s">
        <v>384</v>
      </c>
      <c r="L53" s="4" t="s">
        <v>385</v>
      </c>
      <c r="M53" s="4">
        <v>12</v>
      </c>
      <c r="N53" s="4" t="s">
        <v>386</v>
      </c>
      <c r="O53" s="4" t="s">
        <v>34</v>
      </c>
      <c r="P53" s="5">
        <v>3962207</v>
      </c>
      <c r="Q53" s="4"/>
      <c r="R53" s="4"/>
      <c r="S53" s="4" t="s">
        <v>786</v>
      </c>
      <c r="T53" s="4">
        <v>16.5</v>
      </c>
      <c r="U53" s="4" t="s">
        <v>36</v>
      </c>
      <c r="V53" s="4"/>
      <c r="W53" s="29" t="str">
        <f t="shared" si="0"/>
        <v>-</v>
      </c>
    </row>
    <row r="54" spans="1:23" ht="24" customHeight="1" x14ac:dyDescent="0.3">
      <c r="A54" s="2" t="s">
        <v>387</v>
      </c>
      <c r="B54" s="2" t="s">
        <v>341</v>
      </c>
      <c r="C54" s="2" t="s">
        <v>388</v>
      </c>
      <c r="D54" s="2">
        <v>9122394554</v>
      </c>
      <c r="E54" s="2" t="s">
        <v>12</v>
      </c>
      <c r="F54" s="2" t="s">
        <v>13</v>
      </c>
      <c r="G54" s="2" t="s">
        <v>52</v>
      </c>
      <c r="H54" s="2" t="s">
        <v>62</v>
      </c>
      <c r="I54" s="2" t="s">
        <v>30</v>
      </c>
      <c r="J54" s="2">
        <v>131</v>
      </c>
      <c r="K54" s="2" t="s">
        <v>389</v>
      </c>
      <c r="L54" s="2" t="s">
        <v>385</v>
      </c>
      <c r="M54" s="2">
        <v>14</v>
      </c>
      <c r="N54" s="2" t="s">
        <v>390</v>
      </c>
      <c r="O54" s="2" t="s">
        <v>46</v>
      </c>
      <c r="P54" s="3">
        <v>1763063</v>
      </c>
      <c r="Q54" s="2"/>
      <c r="R54" s="2"/>
      <c r="S54" s="2" t="s">
        <v>786</v>
      </c>
      <c r="T54" s="2">
        <v>31.4</v>
      </c>
      <c r="U54" s="2" t="s">
        <v>36</v>
      </c>
      <c r="V54" s="2" t="s">
        <v>244</v>
      </c>
      <c r="W54" s="29" t="str">
        <f t="shared" si="0"/>
        <v>-</v>
      </c>
    </row>
    <row r="55" spans="1:23" ht="24" customHeight="1" x14ac:dyDescent="0.3">
      <c r="A55" s="4" t="s">
        <v>391</v>
      </c>
      <c r="B55" s="4" t="s">
        <v>392</v>
      </c>
      <c r="C55" s="4" t="s">
        <v>393</v>
      </c>
      <c r="D55" s="4">
        <v>9583745511</v>
      </c>
      <c r="E55" s="4" t="s">
        <v>69</v>
      </c>
      <c r="F55" s="4" t="s">
        <v>13</v>
      </c>
      <c r="G55" s="4" t="s">
        <v>52</v>
      </c>
      <c r="H55" s="4" t="s">
        <v>78</v>
      </c>
      <c r="I55" s="4" t="s">
        <v>30</v>
      </c>
      <c r="J55" s="4">
        <v>115</v>
      </c>
      <c r="K55" s="4" t="s">
        <v>394</v>
      </c>
      <c r="L55" s="4" t="s">
        <v>345</v>
      </c>
      <c r="M55" s="4">
        <v>8</v>
      </c>
      <c r="N55" s="4" t="s">
        <v>395</v>
      </c>
      <c r="O55" s="4" t="s">
        <v>46</v>
      </c>
      <c r="P55" s="5">
        <v>1527135</v>
      </c>
      <c r="Q55" s="4"/>
      <c r="R55" s="4"/>
      <c r="S55" s="4" t="s">
        <v>786</v>
      </c>
      <c r="T55" s="4">
        <v>29.8</v>
      </c>
      <c r="U55" s="4" t="s">
        <v>36</v>
      </c>
      <c r="V55" s="4" t="s">
        <v>48</v>
      </c>
      <c r="W55" s="29" t="str">
        <f t="shared" si="0"/>
        <v>-</v>
      </c>
    </row>
    <row r="56" spans="1:23" ht="24" customHeight="1" x14ac:dyDescent="0.3">
      <c r="A56" s="2" t="s">
        <v>396</v>
      </c>
      <c r="B56" s="2" t="s">
        <v>397</v>
      </c>
      <c r="C56" s="2" t="s">
        <v>398</v>
      </c>
      <c r="D56" s="2">
        <v>9877103091</v>
      </c>
      <c r="E56" s="2" t="s">
        <v>149</v>
      </c>
      <c r="F56" s="2" t="s">
        <v>13</v>
      </c>
      <c r="G56" s="2" t="s">
        <v>52</v>
      </c>
      <c r="H56" s="2" t="s">
        <v>70</v>
      </c>
      <c r="I56" s="2" t="s">
        <v>234</v>
      </c>
      <c r="J56" s="2">
        <v>33</v>
      </c>
      <c r="K56" s="2" t="s">
        <v>399</v>
      </c>
      <c r="L56" s="2" t="s">
        <v>400</v>
      </c>
      <c r="M56" s="2">
        <v>12</v>
      </c>
      <c r="N56" s="2" t="s">
        <v>401</v>
      </c>
      <c r="O56" s="2" t="s">
        <v>20</v>
      </c>
      <c r="P56" s="3">
        <v>444709</v>
      </c>
      <c r="Q56" s="2"/>
      <c r="R56" s="2"/>
      <c r="S56" s="2" t="s">
        <v>786</v>
      </c>
      <c r="T56" s="2">
        <v>27.7</v>
      </c>
      <c r="U56" s="2" t="s">
        <v>57</v>
      </c>
      <c r="V56" s="2" t="s">
        <v>402</v>
      </c>
      <c r="W56" s="29" t="str">
        <f t="shared" si="0"/>
        <v>-</v>
      </c>
    </row>
    <row r="57" spans="1:23" ht="24" customHeight="1" x14ac:dyDescent="0.3">
      <c r="A57" s="4" t="s">
        <v>403</v>
      </c>
      <c r="B57" s="4" t="s">
        <v>404</v>
      </c>
      <c r="C57" s="4" t="s">
        <v>405</v>
      </c>
      <c r="D57" s="4">
        <v>9119574893</v>
      </c>
      <c r="E57" s="4" t="s">
        <v>12</v>
      </c>
      <c r="F57" s="4" t="s">
        <v>42</v>
      </c>
      <c r="G57" s="4" t="s">
        <v>106</v>
      </c>
      <c r="H57" s="4" t="s">
        <v>107</v>
      </c>
      <c r="I57" s="4" t="s">
        <v>272</v>
      </c>
      <c r="J57" s="4">
        <v>20</v>
      </c>
      <c r="K57" s="4" t="s">
        <v>406</v>
      </c>
      <c r="L57" s="4" t="s">
        <v>407</v>
      </c>
      <c r="M57" s="4">
        <v>18</v>
      </c>
      <c r="N57" s="4" t="s">
        <v>408</v>
      </c>
      <c r="O57" s="4" t="s">
        <v>20</v>
      </c>
      <c r="P57" s="5">
        <v>260720</v>
      </c>
      <c r="Q57" s="4"/>
      <c r="R57" s="4"/>
      <c r="S57" s="4" t="s">
        <v>786</v>
      </c>
      <c r="T57" s="4">
        <v>31.7</v>
      </c>
      <c r="U57" s="4" t="s">
        <v>57</v>
      </c>
      <c r="V57" s="4" t="s">
        <v>402</v>
      </c>
      <c r="W57" s="29" t="str">
        <f t="shared" si="0"/>
        <v>-</v>
      </c>
    </row>
    <row r="58" spans="1:23" ht="24" customHeight="1" x14ac:dyDescent="0.3">
      <c r="A58" s="6" t="s">
        <v>409</v>
      </c>
      <c r="B58" s="6" t="s">
        <v>410</v>
      </c>
      <c r="C58" s="6" t="s">
        <v>411</v>
      </c>
      <c r="D58" s="6">
        <v>9755621841</v>
      </c>
      <c r="E58" s="6" t="s">
        <v>12</v>
      </c>
      <c r="F58" s="6" t="s">
        <v>13</v>
      </c>
      <c r="G58" s="6" t="s">
        <v>14</v>
      </c>
      <c r="H58" s="6" t="s">
        <v>97</v>
      </c>
      <c r="I58" s="6" t="s">
        <v>234</v>
      </c>
      <c r="J58" s="6">
        <v>67</v>
      </c>
      <c r="K58" s="6" t="s">
        <v>412</v>
      </c>
      <c r="L58" s="6" t="s">
        <v>413</v>
      </c>
      <c r="M58" s="6">
        <v>7</v>
      </c>
      <c r="N58" s="6" t="s">
        <v>414</v>
      </c>
      <c r="O58" s="6" t="s">
        <v>90</v>
      </c>
      <c r="P58" s="7">
        <v>1007764</v>
      </c>
      <c r="Q58" s="7">
        <v>944799</v>
      </c>
      <c r="R58" s="6" t="s">
        <v>415</v>
      </c>
      <c r="S58" s="6" t="s">
        <v>786</v>
      </c>
      <c r="T58" s="6">
        <v>33.1</v>
      </c>
      <c r="U58" s="6" t="s">
        <v>22</v>
      </c>
      <c r="V58" s="6" t="s">
        <v>203</v>
      </c>
      <c r="W58" s="29" t="str">
        <f t="shared" si="0"/>
        <v>Builder</v>
      </c>
    </row>
    <row r="59" spans="1:23" ht="24" customHeight="1" x14ac:dyDescent="0.3">
      <c r="A59" s="4" t="s">
        <v>416</v>
      </c>
      <c r="B59" s="4" t="s">
        <v>39</v>
      </c>
      <c r="C59" s="4" t="s">
        <v>417</v>
      </c>
      <c r="D59" s="4">
        <v>9695433590</v>
      </c>
      <c r="E59" s="4" t="s">
        <v>69</v>
      </c>
      <c r="F59" s="4" t="s">
        <v>86</v>
      </c>
      <c r="G59" s="4" t="s">
        <v>14</v>
      </c>
      <c r="H59" s="4" t="s">
        <v>29</v>
      </c>
      <c r="I59" s="4" t="s">
        <v>128</v>
      </c>
      <c r="J59" s="4">
        <v>87</v>
      </c>
      <c r="K59" s="4" t="s">
        <v>418</v>
      </c>
      <c r="L59" s="4" t="s">
        <v>401</v>
      </c>
      <c r="M59" s="4">
        <v>6</v>
      </c>
      <c r="N59" s="4" t="s">
        <v>419</v>
      </c>
      <c r="O59" s="4" t="s">
        <v>46</v>
      </c>
      <c r="P59" s="5">
        <v>1679269</v>
      </c>
      <c r="Q59" s="4"/>
      <c r="R59" s="4"/>
      <c r="S59" s="4" t="s">
        <v>786</v>
      </c>
      <c r="T59" s="4">
        <v>13.5</v>
      </c>
      <c r="U59" s="4" t="s">
        <v>36</v>
      </c>
      <c r="V59" s="4" t="s">
        <v>210</v>
      </c>
      <c r="W59" s="29" t="str">
        <f t="shared" si="0"/>
        <v>-</v>
      </c>
    </row>
    <row r="60" spans="1:23" ht="24" x14ac:dyDescent="0.3">
      <c r="A60" s="2" t="s">
        <v>420</v>
      </c>
      <c r="B60" s="2" t="s">
        <v>421</v>
      </c>
      <c r="C60" s="2" t="s">
        <v>164</v>
      </c>
      <c r="D60" s="2">
        <v>9117647321</v>
      </c>
      <c r="E60" s="2" t="s">
        <v>41</v>
      </c>
      <c r="F60" s="2" t="s">
        <v>96</v>
      </c>
      <c r="G60" s="2" t="s">
        <v>52</v>
      </c>
      <c r="H60" s="2" t="s">
        <v>70</v>
      </c>
      <c r="I60" s="2" t="s">
        <v>113</v>
      </c>
      <c r="J60" s="2">
        <v>118</v>
      </c>
      <c r="K60" s="2" t="s">
        <v>422</v>
      </c>
      <c r="L60" s="2" t="s">
        <v>423</v>
      </c>
      <c r="M60" s="2">
        <v>16</v>
      </c>
      <c r="N60" s="2" t="s">
        <v>424</v>
      </c>
      <c r="O60" s="2" t="s">
        <v>20</v>
      </c>
      <c r="P60" s="2"/>
      <c r="Q60" s="2"/>
      <c r="R60" s="2"/>
      <c r="S60" s="2" t="s">
        <v>786</v>
      </c>
      <c r="T60" s="2">
        <v>7.1</v>
      </c>
      <c r="U60" s="2" t="s">
        <v>22</v>
      </c>
      <c r="V60" s="2" t="s">
        <v>358</v>
      </c>
      <c r="W60" s="29" t="str">
        <f t="shared" si="0"/>
        <v>-</v>
      </c>
    </row>
    <row r="61" spans="1:23" ht="24" customHeight="1" x14ac:dyDescent="0.3">
      <c r="A61" s="4" t="s">
        <v>425</v>
      </c>
      <c r="B61" s="4" t="s">
        <v>426</v>
      </c>
      <c r="C61" s="4" t="s">
        <v>427</v>
      </c>
      <c r="D61" s="4">
        <v>9886989426</v>
      </c>
      <c r="E61" s="4" t="s">
        <v>149</v>
      </c>
      <c r="F61" s="4" t="s">
        <v>28</v>
      </c>
      <c r="G61" s="4" t="s">
        <v>52</v>
      </c>
      <c r="H61" s="4" t="s">
        <v>78</v>
      </c>
      <c r="I61" s="4" t="s">
        <v>181</v>
      </c>
      <c r="J61" s="4">
        <v>97</v>
      </c>
      <c r="K61" s="4" t="s">
        <v>428</v>
      </c>
      <c r="L61" s="4" t="s">
        <v>429</v>
      </c>
      <c r="M61" s="4">
        <v>10</v>
      </c>
      <c r="N61" s="4" t="s">
        <v>386</v>
      </c>
      <c r="O61" s="4" t="s">
        <v>46</v>
      </c>
      <c r="P61" s="5">
        <v>1369869</v>
      </c>
      <c r="Q61" s="4"/>
      <c r="R61" s="4"/>
      <c r="S61" s="4" t="s">
        <v>786</v>
      </c>
      <c r="T61" s="4">
        <v>18.399999999999999</v>
      </c>
      <c r="U61" s="4" t="s">
        <v>36</v>
      </c>
      <c r="V61" s="4" t="s">
        <v>238</v>
      </c>
      <c r="W61" s="29" t="str">
        <f t="shared" si="0"/>
        <v>-</v>
      </c>
    </row>
    <row r="62" spans="1:23" x14ac:dyDescent="0.3">
      <c r="A62" s="2" t="s">
        <v>430</v>
      </c>
      <c r="B62" s="2" t="s">
        <v>431</v>
      </c>
      <c r="C62" s="2" t="s">
        <v>432</v>
      </c>
      <c r="D62" s="2">
        <v>9438868427</v>
      </c>
      <c r="E62" s="2" t="s">
        <v>12</v>
      </c>
      <c r="F62" s="2" t="s">
        <v>13</v>
      </c>
      <c r="G62" s="2" t="s">
        <v>106</v>
      </c>
      <c r="H62" s="2" t="s">
        <v>107</v>
      </c>
      <c r="I62" s="2" t="s">
        <v>181</v>
      </c>
      <c r="J62" s="2">
        <v>243</v>
      </c>
      <c r="K62" s="2" t="s">
        <v>433</v>
      </c>
      <c r="L62" s="2" t="s">
        <v>434</v>
      </c>
      <c r="M62" s="2">
        <v>11</v>
      </c>
      <c r="N62" s="2" t="s">
        <v>435</v>
      </c>
      <c r="O62" s="2" t="s">
        <v>34</v>
      </c>
      <c r="P62" s="3">
        <v>4023141</v>
      </c>
      <c r="Q62" s="2"/>
      <c r="R62" s="2"/>
      <c r="S62" s="2" t="s">
        <v>786</v>
      </c>
      <c r="T62" s="2">
        <v>4</v>
      </c>
      <c r="U62" s="2" t="s">
        <v>36</v>
      </c>
      <c r="V62" s="2" t="s">
        <v>295</v>
      </c>
      <c r="W62" s="29" t="str">
        <f t="shared" si="0"/>
        <v>-</v>
      </c>
    </row>
    <row r="63" spans="1:23" ht="24" x14ac:dyDescent="0.3">
      <c r="A63" s="6" t="s">
        <v>436</v>
      </c>
      <c r="B63" s="6" t="s">
        <v>303</v>
      </c>
      <c r="C63" s="6" t="s">
        <v>437</v>
      </c>
      <c r="D63" s="6">
        <v>9247746438</v>
      </c>
      <c r="E63" s="6" t="s">
        <v>69</v>
      </c>
      <c r="F63" s="6" t="s">
        <v>127</v>
      </c>
      <c r="G63" s="6" t="s">
        <v>52</v>
      </c>
      <c r="H63" s="6" t="s">
        <v>70</v>
      </c>
      <c r="I63" s="6" t="s">
        <v>30</v>
      </c>
      <c r="J63" s="6">
        <v>210</v>
      </c>
      <c r="K63" s="6" t="s">
        <v>433</v>
      </c>
      <c r="L63" s="6" t="s">
        <v>434</v>
      </c>
      <c r="M63" s="6">
        <v>13</v>
      </c>
      <c r="N63" s="6" t="s">
        <v>438</v>
      </c>
      <c r="O63" s="6" t="s">
        <v>90</v>
      </c>
      <c r="P63" s="7">
        <v>2155780</v>
      </c>
      <c r="Q63" s="7">
        <v>1993268</v>
      </c>
      <c r="R63" s="6" t="s">
        <v>439</v>
      </c>
      <c r="S63" s="6" t="s">
        <v>786</v>
      </c>
      <c r="T63" s="6">
        <v>6.6</v>
      </c>
      <c r="U63" s="6" t="s">
        <v>22</v>
      </c>
      <c r="V63" s="6" t="s">
        <v>92</v>
      </c>
      <c r="W63" s="29" t="str">
        <f t="shared" si="0"/>
        <v>Builder</v>
      </c>
    </row>
    <row r="64" spans="1:23" ht="24" customHeight="1" x14ac:dyDescent="0.3">
      <c r="A64" s="2" t="s">
        <v>440</v>
      </c>
      <c r="B64" s="2" t="s">
        <v>441</v>
      </c>
      <c r="C64" s="2" t="s">
        <v>442</v>
      </c>
      <c r="D64" s="2">
        <v>9368018471</v>
      </c>
      <c r="E64" s="2" t="s">
        <v>69</v>
      </c>
      <c r="F64" s="2" t="s">
        <v>42</v>
      </c>
      <c r="G64" s="2" t="s">
        <v>14</v>
      </c>
      <c r="H64" s="2" t="s">
        <v>15</v>
      </c>
      <c r="I64" s="2" t="s">
        <v>113</v>
      </c>
      <c r="J64" s="2">
        <v>17</v>
      </c>
      <c r="K64" s="2" t="s">
        <v>443</v>
      </c>
      <c r="L64" s="2" t="s">
        <v>444</v>
      </c>
      <c r="M64" s="2">
        <v>6</v>
      </c>
      <c r="N64" s="2" t="s">
        <v>445</v>
      </c>
      <c r="O64" s="2" t="s">
        <v>20</v>
      </c>
      <c r="P64" s="3">
        <v>272626</v>
      </c>
      <c r="Q64" s="2"/>
      <c r="R64" s="2"/>
      <c r="S64" s="2" t="s">
        <v>786</v>
      </c>
      <c r="T64" s="2">
        <v>18.899999999999999</v>
      </c>
      <c r="U64" s="2" t="s">
        <v>57</v>
      </c>
      <c r="V64" s="2" t="s">
        <v>446</v>
      </c>
      <c r="W64" s="29" t="str">
        <f t="shared" si="0"/>
        <v>-</v>
      </c>
    </row>
    <row r="65" spans="1:23" ht="24" x14ac:dyDescent="0.3">
      <c r="A65" s="6" t="s">
        <v>447</v>
      </c>
      <c r="B65" s="6" t="s">
        <v>448</v>
      </c>
      <c r="C65" s="6" t="s">
        <v>449</v>
      </c>
      <c r="D65" s="6">
        <v>9536164913</v>
      </c>
      <c r="E65" s="6" t="s">
        <v>12</v>
      </c>
      <c r="F65" s="6" t="s">
        <v>13</v>
      </c>
      <c r="G65" s="6" t="s">
        <v>52</v>
      </c>
      <c r="H65" s="6" t="s">
        <v>62</v>
      </c>
      <c r="I65" s="6" t="s">
        <v>207</v>
      </c>
      <c r="J65" s="6">
        <v>105</v>
      </c>
      <c r="K65" s="6" t="s">
        <v>450</v>
      </c>
      <c r="L65" s="6" t="s">
        <v>451</v>
      </c>
      <c r="M65" s="6">
        <v>15</v>
      </c>
      <c r="N65" s="6" t="s">
        <v>452</v>
      </c>
      <c r="O65" s="6" t="s">
        <v>90</v>
      </c>
      <c r="P65" s="7">
        <v>1766610</v>
      </c>
      <c r="Q65" s="7">
        <v>1797002</v>
      </c>
      <c r="R65" s="6" t="s">
        <v>453</v>
      </c>
      <c r="S65" s="6" t="s">
        <v>786</v>
      </c>
      <c r="T65" s="6">
        <v>45.6</v>
      </c>
      <c r="U65" s="6" t="s">
        <v>57</v>
      </c>
      <c r="V65" s="6" t="s">
        <v>225</v>
      </c>
      <c r="W65" s="29" t="str">
        <f t="shared" si="0"/>
        <v>Builder</v>
      </c>
    </row>
    <row r="66" spans="1:23" ht="24" customHeight="1" x14ac:dyDescent="0.3">
      <c r="A66" s="6" t="s">
        <v>454</v>
      </c>
      <c r="B66" s="6" t="s">
        <v>455</v>
      </c>
      <c r="C66" s="6" t="s">
        <v>456</v>
      </c>
      <c r="D66" s="6">
        <v>9269119969</v>
      </c>
      <c r="E66" s="6" t="s">
        <v>149</v>
      </c>
      <c r="F66" s="6" t="s">
        <v>13</v>
      </c>
      <c r="G66" s="6" t="s">
        <v>52</v>
      </c>
      <c r="H66" s="6" t="s">
        <v>53</v>
      </c>
      <c r="I66" s="6" t="s">
        <v>113</v>
      </c>
      <c r="J66" s="6">
        <v>113</v>
      </c>
      <c r="K66" s="6" t="s">
        <v>386</v>
      </c>
      <c r="L66" s="6" t="s">
        <v>457</v>
      </c>
      <c r="M66" s="6">
        <v>4</v>
      </c>
      <c r="N66" s="6" t="s">
        <v>458</v>
      </c>
      <c r="O66" s="6" t="s">
        <v>90</v>
      </c>
      <c r="P66" s="7">
        <v>1664547</v>
      </c>
      <c r="Q66" s="7">
        <v>1620432</v>
      </c>
      <c r="R66" s="6" t="s">
        <v>459</v>
      </c>
      <c r="S66" s="6" t="s">
        <v>786</v>
      </c>
      <c r="T66" s="6">
        <v>34.6</v>
      </c>
      <c r="U66" s="6" t="s">
        <v>57</v>
      </c>
      <c r="V66" s="6" t="s">
        <v>460</v>
      </c>
      <c r="W66" s="29" t="str">
        <f t="shared" ref="W66:W129" si="1">IF($O66="Converted","Builder","-")</f>
        <v>Builder</v>
      </c>
    </row>
    <row r="67" spans="1:23" x14ac:dyDescent="0.3">
      <c r="A67" s="4" t="s">
        <v>461</v>
      </c>
      <c r="B67" s="4" t="s">
        <v>212</v>
      </c>
      <c r="C67" s="4" t="s">
        <v>462</v>
      </c>
      <c r="D67" s="4">
        <v>9880697625</v>
      </c>
      <c r="E67" s="4" t="s">
        <v>136</v>
      </c>
      <c r="F67" s="4" t="s">
        <v>86</v>
      </c>
      <c r="G67" s="4" t="s">
        <v>106</v>
      </c>
      <c r="H67" s="4" t="s">
        <v>157</v>
      </c>
      <c r="I67" s="4" t="s">
        <v>128</v>
      </c>
      <c r="J67" s="4">
        <v>38</v>
      </c>
      <c r="K67" s="4" t="s">
        <v>457</v>
      </c>
      <c r="L67" s="4" t="s">
        <v>463</v>
      </c>
      <c r="M67" s="4">
        <v>17</v>
      </c>
      <c r="N67" s="4" t="s">
        <v>464</v>
      </c>
      <c r="O67" s="4" t="s">
        <v>20</v>
      </c>
      <c r="P67" s="5">
        <v>685982</v>
      </c>
      <c r="Q67" s="4"/>
      <c r="R67" s="4"/>
      <c r="S67" s="4" t="s">
        <v>786</v>
      </c>
      <c r="T67" s="4">
        <v>44.5</v>
      </c>
      <c r="U67" s="4" t="s">
        <v>22</v>
      </c>
      <c r="V67" s="4" t="s">
        <v>465</v>
      </c>
      <c r="W67" s="29" t="str">
        <f t="shared" si="1"/>
        <v>-</v>
      </c>
    </row>
    <row r="68" spans="1:23" ht="24" x14ac:dyDescent="0.3">
      <c r="A68" s="2" t="s">
        <v>466</v>
      </c>
      <c r="B68" s="2" t="s">
        <v>467</v>
      </c>
      <c r="C68" s="2" t="s">
        <v>135</v>
      </c>
      <c r="D68" s="2">
        <v>9601238919</v>
      </c>
      <c r="E68" s="2" t="s">
        <v>27</v>
      </c>
      <c r="F68" s="2" t="s">
        <v>13</v>
      </c>
      <c r="G68" s="2" t="s">
        <v>14</v>
      </c>
      <c r="H68" s="2" t="s">
        <v>15</v>
      </c>
      <c r="I68" s="2" t="s">
        <v>264</v>
      </c>
      <c r="J68" s="2">
        <v>278</v>
      </c>
      <c r="K68" s="2" t="s">
        <v>468</v>
      </c>
      <c r="L68" s="2" t="s">
        <v>424</v>
      </c>
      <c r="M68" s="2">
        <v>12</v>
      </c>
      <c r="N68" s="2" t="s">
        <v>469</v>
      </c>
      <c r="O68" s="2" t="s">
        <v>102</v>
      </c>
      <c r="P68" s="3">
        <v>3727150</v>
      </c>
      <c r="Q68" s="2"/>
      <c r="R68" s="2"/>
      <c r="S68" s="2" t="s">
        <v>35</v>
      </c>
      <c r="T68" s="2">
        <v>37.1</v>
      </c>
      <c r="U68" s="2" t="s">
        <v>36</v>
      </c>
      <c r="V68" s="2" t="s">
        <v>169</v>
      </c>
      <c r="W68" s="29" t="str">
        <f t="shared" si="1"/>
        <v>-</v>
      </c>
    </row>
    <row r="69" spans="1:23" ht="24" customHeight="1" x14ac:dyDescent="0.3">
      <c r="A69" s="4" t="s">
        <v>470</v>
      </c>
      <c r="B69" s="4" t="s">
        <v>471</v>
      </c>
      <c r="C69" s="4" t="s">
        <v>472</v>
      </c>
      <c r="D69" s="4">
        <v>9786111573</v>
      </c>
      <c r="E69" s="4" t="s">
        <v>69</v>
      </c>
      <c r="F69" s="4" t="s">
        <v>13</v>
      </c>
      <c r="G69" s="4" t="s">
        <v>106</v>
      </c>
      <c r="H69" s="4" t="s">
        <v>228</v>
      </c>
      <c r="I69" s="4" t="s">
        <v>150</v>
      </c>
      <c r="J69" s="4">
        <v>36</v>
      </c>
      <c r="K69" s="4" t="s">
        <v>463</v>
      </c>
      <c r="L69" s="4" t="s">
        <v>473</v>
      </c>
      <c r="M69" s="4">
        <v>10</v>
      </c>
      <c r="N69" s="4" t="s">
        <v>474</v>
      </c>
      <c r="O69" s="4" t="s">
        <v>34</v>
      </c>
      <c r="P69" s="5">
        <v>685236</v>
      </c>
      <c r="Q69" s="4"/>
      <c r="R69" s="4"/>
      <c r="S69" s="4" t="s">
        <v>786</v>
      </c>
      <c r="T69" s="4">
        <v>11.7</v>
      </c>
      <c r="U69" s="4" t="s">
        <v>36</v>
      </c>
      <c r="V69" s="4" t="s">
        <v>475</v>
      </c>
      <c r="W69" s="29" t="str">
        <f t="shared" si="1"/>
        <v>-</v>
      </c>
    </row>
    <row r="70" spans="1:23" ht="24" customHeight="1" x14ac:dyDescent="0.3">
      <c r="A70" s="2" t="s">
        <v>476</v>
      </c>
      <c r="B70" s="2" t="s">
        <v>477</v>
      </c>
      <c r="C70" s="2" t="s">
        <v>478</v>
      </c>
      <c r="D70" s="2">
        <v>9179189225</v>
      </c>
      <c r="E70" s="2" t="s">
        <v>69</v>
      </c>
      <c r="F70" s="2" t="s">
        <v>13</v>
      </c>
      <c r="G70" s="2" t="s">
        <v>52</v>
      </c>
      <c r="H70" s="2" t="s">
        <v>53</v>
      </c>
      <c r="I70" s="2" t="s">
        <v>264</v>
      </c>
      <c r="J70" s="2">
        <v>98</v>
      </c>
      <c r="K70" s="2" t="s">
        <v>479</v>
      </c>
      <c r="L70" s="2" t="s">
        <v>480</v>
      </c>
      <c r="M70" s="2">
        <v>17</v>
      </c>
      <c r="N70" s="2" t="s">
        <v>481</v>
      </c>
      <c r="O70" s="2" t="s">
        <v>46</v>
      </c>
      <c r="P70" s="3">
        <v>1347644</v>
      </c>
      <c r="Q70" s="2"/>
      <c r="R70" s="2"/>
      <c r="S70" s="2" t="s">
        <v>786</v>
      </c>
      <c r="T70" s="2">
        <v>20.9</v>
      </c>
      <c r="U70" s="2" t="s">
        <v>36</v>
      </c>
      <c r="V70" s="2" t="s">
        <v>58</v>
      </c>
      <c r="W70" s="29" t="str">
        <f t="shared" si="1"/>
        <v>-</v>
      </c>
    </row>
    <row r="71" spans="1:23" ht="24" customHeight="1" x14ac:dyDescent="0.3">
      <c r="A71" s="4" t="s">
        <v>482</v>
      </c>
      <c r="B71" s="4" t="s">
        <v>483</v>
      </c>
      <c r="C71" s="4" t="s">
        <v>484</v>
      </c>
      <c r="D71" s="4">
        <v>9240409084</v>
      </c>
      <c r="E71" s="4" t="s">
        <v>77</v>
      </c>
      <c r="F71" s="4" t="s">
        <v>28</v>
      </c>
      <c r="G71" s="4" t="s">
        <v>52</v>
      </c>
      <c r="H71" s="4" t="s">
        <v>62</v>
      </c>
      <c r="I71" s="4" t="s">
        <v>207</v>
      </c>
      <c r="J71" s="4">
        <v>18</v>
      </c>
      <c r="K71" s="4" t="s">
        <v>485</v>
      </c>
      <c r="L71" s="4" t="s">
        <v>486</v>
      </c>
      <c r="M71" s="4">
        <v>12</v>
      </c>
      <c r="N71" s="4" t="s">
        <v>487</v>
      </c>
      <c r="O71" s="4" t="s">
        <v>46</v>
      </c>
      <c r="P71" s="5">
        <v>314646</v>
      </c>
      <c r="Q71" s="4"/>
      <c r="R71" s="4"/>
      <c r="S71" s="4" t="s">
        <v>787</v>
      </c>
      <c r="T71" s="4">
        <v>47.4</v>
      </c>
      <c r="U71" s="4" t="s">
        <v>36</v>
      </c>
      <c r="V71" s="4" t="s">
        <v>380</v>
      </c>
      <c r="W71" s="29" t="str">
        <f t="shared" si="1"/>
        <v>-</v>
      </c>
    </row>
    <row r="72" spans="1:23" ht="24" customHeight="1" x14ac:dyDescent="0.3">
      <c r="A72" s="2" t="s">
        <v>488</v>
      </c>
      <c r="B72" s="2" t="s">
        <v>134</v>
      </c>
      <c r="C72" s="2" t="s">
        <v>489</v>
      </c>
      <c r="D72" s="2">
        <v>9369085407</v>
      </c>
      <c r="E72" s="2" t="s">
        <v>69</v>
      </c>
      <c r="F72" s="2" t="s">
        <v>127</v>
      </c>
      <c r="G72" s="2" t="s">
        <v>106</v>
      </c>
      <c r="H72" s="2" t="s">
        <v>206</v>
      </c>
      <c r="I72" s="2" t="s">
        <v>272</v>
      </c>
      <c r="J72" s="2">
        <v>23</v>
      </c>
      <c r="K72" s="2" t="s">
        <v>486</v>
      </c>
      <c r="L72" s="2" t="s">
        <v>490</v>
      </c>
      <c r="M72" s="2">
        <v>9</v>
      </c>
      <c r="N72" s="2" t="s">
        <v>491</v>
      </c>
      <c r="O72" s="2" t="s">
        <v>34</v>
      </c>
      <c r="P72" s="3">
        <v>296512</v>
      </c>
      <c r="Q72" s="2"/>
      <c r="R72" s="2"/>
      <c r="S72" s="2" t="s">
        <v>787</v>
      </c>
      <c r="T72" s="2">
        <v>45.6</v>
      </c>
      <c r="U72" s="2" t="s">
        <v>22</v>
      </c>
      <c r="V72" s="2" t="s">
        <v>465</v>
      </c>
      <c r="W72" s="29" t="str">
        <f t="shared" si="1"/>
        <v>-</v>
      </c>
    </row>
    <row r="73" spans="1:23" ht="24" customHeight="1" x14ac:dyDescent="0.3">
      <c r="A73" s="4" t="s">
        <v>492</v>
      </c>
      <c r="B73" s="4" t="s">
        <v>493</v>
      </c>
      <c r="C73" s="4" t="s">
        <v>377</v>
      </c>
      <c r="D73" s="4">
        <v>9309009538</v>
      </c>
      <c r="E73" s="4" t="s">
        <v>12</v>
      </c>
      <c r="F73" s="4" t="s">
        <v>86</v>
      </c>
      <c r="G73" s="4" t="s">
        <v>52</v>
      </c>
      <c r="H73" s="4" t="s">
        <v>78</v>
      </c>
      <c r="I73" s="4" t="s">
        <v>264</v>
      </c>
      <c r="J73" s="4">
        <v>45</v>
      </c>
      <c r="K73" s="4" t="s">
        <v>494</v>
      </c>
      <c r="L73" s="4" t="s">
        <v>495</v>
      </c>
      <c r="M73" s="4">
        <v>14</v>
      </c>
      <c r="N73" s="4" t="s">
        <v>496</v>
      </c>
      <c r="O73" s="4" t="s">
        <v>34</v>
      </c>
      <c r="P73" s="5">
        <v>540300</v>
      </c>
      <c r="Q73" s="4"/>
      <c r="R73" s="4"/>
      <c r="S73" s="4" t="s">
        <v>787</v>
      </c>
      <c r="T73" s="4">
        <v>4.0999999999999996</v>
      </c>
      <c r="U73" s="4" t="s">
        <v>22</v>
      </c>
      <c r="V73" s="4" t="s">
        <v>497</v>
      </c>
      <c r="W73" s="29" t="str">
        <f t="shared" si="1"/>
        <v>-</v>
      </c>
    </row>
    <row r="74" spans="1:23" ht="24" customHeight="1" x14ac:dyDescent="0.3">
      <c r="A74" s="6" t="s">
        <v>498</v>
      </c>
      <c r="B74" s="6" t="s">
        <v>94</v>
      </c>
      <c r="C74" s="6" t="s">
        <v>164</v>
      </c>
      <c r="D74" s="6">
        <v>9932120169</v>
      </c>
      <c r="E74" s="6" t="s">
        <v>41</v>
      </c>
      <c r="F74" s="6" t="s">
        <v>96</v>
      </c>
      <c r="G74" s="6" t="s">
        <v>106</v>
      </c>
      <c r="H74" s="6" t="s">
        <v>324</v>
      </c>
      <c r="I74" s="6" t="s">
        <v>113</v>
      </c>
      <c r="J74" s="6">
        <v>72</v>
      </c>
      <c r="K74" s="6" t="s">
        <v>494</v>
      </c>
      <c r="L74" s="6" t="s">
        <v>499</v>
      </c>
      <c r="M74" s="6">
        <v>8</v>
      </c>
      <c r="N74" s="6" t="s">
        <v>500</v>
      </c>
      <c r="O74" s="6" t="s">
        <v>90</v>
      </c>
      <c r="P74" s="7">
        <v>1172584</v>
      </c>
      <c r="Q74" s="7">
        <v>1083370</v>
      </c>
      <c r="R74" s="6" t="s">
        <v>501</v>
      </c>
      <c r="S74" s="6" t="s">
        <v>35</v>
      </c>
      <c r="T74" s="6">
        <v>9</v>
      </c>
      <c r="U74" s="6" t="s">
        <v>57</v>
      </c>
      <c r="V74" s="6" t="s">
        <v>203</v>
      </c>
      <c r="W74" s="29" t="str">
        <f t="shared" si="1"/>
        <v>Builder</v>
      </c>
    </row>
    <row r="75" spans="1:23" x14ac:dyDescent="0.3">
      <c r="A75" s="4" t="s">
        <v>502</v>
      </c>
      <c r="B75" s="4" t="s">
        <v>142</v>
      </c>
      <c r="C75" s="4" t="s">
        <v>361</v>
      </c>
      <c r="D75" s="4">
        <v>9726745401</v>
      </c>
      <c r="E75" s="4" t="s">
        <v>12</v>
      </c>
      <c r="F75" s="4" t="s">
        <v>127</v>
      </c>
      <c r="G75" s="4" t="s">
        <v>52</v>
      </c>
      <c r="H75" s="4" t="s">
        <v>62</v>
      </c>
      <c r="I75" s="4" t="s">
        <v>181</v>
      </c>
      <c r="J75" s="4">
        <v>197</v>
      </c>
      <c r="K75" s="4" t="s">
        <v>499</v>
      </c>
      <c r="L75" s="4" t="s">
        <v>458</v>
      </c>
      <c r="M75" s="4">
        <v>17</v>
      </c>
      <c r="N75" s="4" t="s">
        <v>503</v>
      </c>
      <c r="O75" s="4" t="s">
        <v>46</v>
      </c>
      <c r="P75" s="5">
        <v>3244407</v>
      </c>
      <c r="Q75" s="4"/>
      <c r="R75" s="4"/>
      <c r="S75" s="4" t="s">
        <v>786</v>
      </c>
      <c r="T75" s="4">
        <v>18.899999999999999</v>
      </c>
      <c r="U75" s="4" t="s">
        <v>36</v>
      </c>
      <c r="V75" s="4" t="s">
        <v>238</v>
      </c>
      <c r="W75" s="29" t="str">
        <f t="shared" si="1"/>
        <v>-</v>
      </c>
    </row>
    <row r="76" spans="1:23" ht="24" x14ac:dyDescent="0.3">
      <c r="A76" s="2" t="s">
        <v>504</v>
      </c>
      <c r="B76" s="2" t="s">
        <v>291</v>
      </c>
      <c r="C76" s="2" t="s">
        <v>85</v>
      </c>
      <c r="D76" s="2">
        <v>9247141682</v>
      </c>
      <c r="E76" s="2" t="s">
        <v>149</v>
      </c>
      <c r="F76" s="2" t="s">
        <v>42</v>
      </c>
      <c r="G76" s="2" t="s">
        <v>165</v>
      </c>
      <c r="H76" s="2" t="s">
        <v>180</v>
      </c>
      <c r="I76" s="2" t="s">
        <v>150</v>
      </c>
      <c r="J76" s="2">
        <v>21</v>
      </c>
      <c r="K76" s="2" t="s">
        <v>499</v>
      </c>
      <c r="L76" s="2" t="s">
        <v>505</v>
      </c>
      <c r="M76" s="2">
        <v>8</v>
      </c>
      <c r="N76" s="2" t="s">
        <v>506</v>
      </c>
      <c r="O76" s="2" t="s">
        <v>34</v>
      </c>
      <c r="P76" s="3">
        <v>377373</v>
      </c>
      <c r="Q76" s="2"/>
      <c r="R76" s="2"/>
      <c r="S76" s="2" t="s">
        <v>786</v>
      </c>
      <c r="T76" s="2">
        <v>20.5</v>
      </c>
      <c r="U76" s="2" t="s">
        <v>22</v>
      </c>
      <c r="V76" s="2"/>
      <c r="W76" s="29" t="str">
        <f t="shared" si="1"/>
        <v>-</v>
      </c>
    </row>
    <row r="77" spans="1:23" ht="24" customHeight="1" x14ac:dyDescent="0.3">
      <c r="A77" s="6" t="s">
        <v>507</v>
      </c>
      <c r="B77" s="6" t="s">
        <v>508</v>
      </c>
      <c r="C77" s="6" t="s">
        <v>509</v>
      </c>
      <c r="D77" s="6">
        <v>9911653317</v>
      </c>
      <c r="E77" s="6" t="s">
        <v>12</v>
      </c>
      <c r="F77" s="6" t="s">
        <v>28</v>
      </c>
      <c r="G77" s="6" t="s">
        <v>52</v>
      </c>
      <c r="H77" s="6" t="s">
        <v>70</v>
      </c>
      <c r="I77" s="6" t="s">
        <v>264</v>
      </c>
      <c r="J77" s="6">
        <v>57</v>
      </c>
      <c r="K77" s="6" t="s">
        <v>510</v>
      </c>
      <c r="L77" s="6" t="s">
        <v>459</v>
      </c>
      <c r="M77" s="6">
        <v>7</v>
      </c>
      <c r="N77" s="6" t="s">
        <v>506</v>
      </c>
      <c r="O77" s="6" t="s">
        <v>90</v>
      </c>
      <c r="P77" s="7">
        <v>626740</v>
      </c>
      <c r="Q77" s="7">
        <v>633574</v>
      </c>
      <c r="R77" s="6" t="s">
        <v>511</v>
      </c>
      <c r="S77" s="6" t="s">
        <v>786</v>
      </c>
      <c r="T77" s="6">
        <v>42.4</v>
      </c>
      <c r="U77" s="6" t="s">
        <v>22</v>
      </c>
      <c r="V77" s="6" t="s">
        <v>512</v>
      </c>
      <c r="W77" s="29" t="str">
        <f t="shared" si="1"/>
        <v>Builder</v>
      </c>
    </row>
    <row r="78" spans="1:23" ht="24" customHeight="1" x14ac:dyDescent="0.3">
      <c r="A78" s="2" t="s">
        <v>513</v>
      </c>
      <c r="B78" s="2" t="s">
        <v>297</v>
      </c>
      <c r="C78" s="2" t="s">
        <v>514</v>
      </c>
      <c r="D78" s="2">
        <v>9329766590</v>
      </c>
      <c r="E78" s="2" t="s">
        <v>69</v>
      </c>
      <c r="F78" s="2" t="s">
        <v>13</v>
      </c>
      <c r="G78" s="2" t="s">
        <v>14</v>
      </c>
      <c r="H78" s="2" t="s">
        <v>29</v>
      </c>
      <c r="I78" s="2" t="s">
        <v>150</v>
      </c>
      <c r="J78" s="2">
        <v>222</v>
      </c>
      <c r="K78" s="2" t="s">
        <v>469</v>
      </c>
      <c r="L78" s="2" t="s">
        <v>515</v>
      </c>
      <c r="M78" s="2">
        <v>4</v>
      </c>
      <c r="N78" s="2" t="s">
        <v>516</v>
      </c>
      <c r="O78" s="2" t="s">
        <v>34</v>
      </c>
      <c r="P78" s="3">
        <v>4303644</v>
      </c>
      <c r="Q78" s="2"/>
      <c r="R78" s="2"/>
      <c r="S78" s="2" t="s">
        <v>35</v>
      </c>
      <c r="T78" s="2">
        <v>44.5</v>
      </c>
      <c r="U78" s="2" t="s">
        <v>22</v>
      </c>
      <c r="V78" s="2" t="s">
        <v>465</v>
      </c>
      <c r="W78" s="29" t="str">
        <f t="shared" si="1"/>
        <v>-</v>
      </c>
    </row>
    <row r="79" spans="1:23" ht="24" customHeight="1" x14ac:dyDescent="0.3">
      <c r="A79" s="4" t="s">
        <v>517</v>
      </c>
      <c r="B79" s="4" t="s">
        <v>518</v>
      </c>
      <c r="C79" s="4" t="s">
        <v>519</v>
      </c>
      <c r="D79" s="4">
        <v>9856881618</v>
      </c>
      <c r="E79" s="4" t="s">
        <v>69</v>
      </c>
      <c r="F79" s="4" t="s">
        <v>42</v>
      </c>
      <c r="G79" s="4" t="s">
        <v>52</v>
      </c>
      <c r="H79" s="4" t="s">
        <v>70</v>
      </c>
      <c r="I79" s="4" t="s">
        <v>128</v>
      </c>
      <c r="J79" s="4">
        <v>119</v>
      </c>
      <c r="K79" s="4" t="s">
        <v>500</v>
      </c>
      <c r="L79" s="4" t="s">
        <v>452</v>
      </c>
      <c r="M79" s="4">
        <v>10</v>
      </c>
      <c r="N79" s="4" t="s">
        <v>520</v>
      </c>
      <c r="O79" s="4" t="s">
        <v>20</v>
      </c>
      <c r="P79" s="5">
        <v>2078338</v>
      </c>
      <c r="Q79" s="4"/>
      <c r="R79" s="4"/>
      <c r="S79" s="4" t="s">
        <v>786</v>
      </c>
      <c r="T79" s="4">
        <v>15.7</v>
      </c>
      <c r="U79" s="4" t="s">
        <v>22</v>
      </c>
      <c r="V79" s="4" t="s">
        <v>465</v>
      </c>
      <c r="W79" s="29" t="str">
        <f t="shared" si="1"/>
        <v>-</v>
      </c>
    </row>
    <row r="80" spans="1:23" ht="24" x14ac:dyDescent="0.3">
      <c r="A80" s="2" t="s">
        <v>521</v>
      </c>
      <c r="B80" s="2" t="s">
        <v>471</v>
      </c>
      <c r="C80" s="2" t="s">
        <v>522</v>
      </c>
      <c r="D80" s="2">
        <v>9459748735</v>
      </c>
      <c r="E80" s="2" t="s">
        <v>12</v>
      </c>
      <c r="F80" s="2" t="s">
        <v>86</v>
      </c>
      <c r="G80" s="2" t="s">
        <v>14</v>
      </c>
      <c r="H80" s="2" t="s">
        <v>214</v>
      </c>
      <c r="I80" s="2" t="s">
        <v>79</v>
      </c>
      <c r="J80" s="2">
        <v>73</v>
      </c>
      <c r="K80" s="2" t="s">
        <v>523</v>
      </c>
      <c r="L80" s="2" t="s">
        <v>524</v>
      </c>
      <c r="M80" s="2">
        <v>11</v>
      </c>
      <c r="N80" s="2" t="s">
        <v>525</v>
      </c>
      <c r="O80" s="2" t="s">
        <v>102</v>
      </c>
      <c r="P80" s="3">
        <v>1432225</v>
      </c>
      <c r="Q80" s="2"/>
      <c r="R80" s="2"/>
      <c r="S80" s="2" t="s">
        <v>35</v>
      </c>
      <c r="T80" s="2">
        <v>2.4</v>
      </c>
      <c r="U80" s="2" t="s">
        <v>57</v>
      </c>
      <c r="V80" s="2" t="s">
        <v>117</v>
      </c>
      <c r="W80" s="29" t="str">
        <f t="shared" si="1"/>
        <v>-</v>
      </c>
    </row>
    <row r="81" spans="1:23" ht="24" customHeight="1" x14ac:dyDescent="0.3">
      <c r="A81" s="6" t="s">
        <v>526</v>
      </c>
      <c r="B81" s="6" t="s">
        <v>426</v>
      </c>
      <c r="C81" s="6" t="s">
        <v>527</v>
      </c>
      <c r="D81" s="6">
        <v>9193133974</v>
      </c>
      <c r="E81" s="6" t="s">
        <v>136</v>
      </c>
      <c r="F81" s="6" t="s">
        <v>42</v>
      </c>
      <c r="G81" s="6" t="s">
        <v>14</v>
      </c>
      <c r="H81" s="6" t="s">
        <v>214</v>
      </c>
      <c r="I81" s="6" t="s">
        <v>128</v>
      </c>
      <c r="J81" s="6">
        <v>83</v>
      </c>
      <c r="K81" s="6" t="s">
        <v>491</v>
      </c>
      <c r="L81" s="6" t="s">
        <v>528</v>
      </c>
      <c r="M81" s="6">
        <v>8</v>
      </c>
      <c r="N81" s="6" t="s">
        <v>529</v>
      </c>
      <c r="O81" s="6" t="s">
        <v>90</v>
      </c>
      <c r="P81" s="7">
        <v>1564769</v>
      </c>
      <c r="Q81" s="7">
        <v>1564550</v>
      </c>
      <c r="R81" s="6" t="s">
        <v>530</v>
      </c>
      <c r="S81" s="6" t="s">
        <v>35</v>
      </c>
      <c r="T81" s="6">
        <v>43.3</v>
      </c>
      <c r="U81" s="6" t="s">
        <v>22</v>
      </c>
      <c r="V81" s="6" t="s">
        <v>176</v>
      </c>
      <c r="W81" s="29" t="str">
        <f t="shared" si="1"/>
        <v>Builder</v>
      </c>
    </row>
    <row r="82" spans="1:23" ht="24" x14ac:dyDescent="0.3">
      <c r="A82" s="6" t="s">
        <v>531</v>
      </c>
      <c r="B82" s="6" t="s">
        <v>532</v>
      </c>
      <c r="C82" s="6" t="s">
        <v>533</v>
      </c>
      <c r="D82" s="6">
        <v>9785811060</v>
      </c>
      <c r="E82" s="6" t="s">
        <v>12</v>
      </c>
      <c r="F82" s="6" t="s">
        <v>42</v>
      </c>
      <c r="G82" s="6" t="s">
        <v>52</v>
      </c>
      <c r="H82" s="6" t="s">
        <v>53</v>
      </c>
      <c r="I82" s="6" t="s">
        <v>71</v>
      </c>
      <c r="J82" s="6">
        <v>198</v>
      </c>
      <c r="K82" s="6" t="s">
        <v>534</v>
      </c>
      <c r="L82" s="6" t="s">
        <v>535</v>
      </c>
      <c r="M82" s="6">
        <v>16</v>
      </c>
      <c r="N82" s="6" t="s">
        <v>536</v>
      </c>
      <c r="O82" s="6" t="s">
        <v>90</v>
      </c>
      <c r="P82" s="7">
        <v>2909658</v>
      </c>
      <c r="Q82" s="7">
        <v>2725646</v>
      </c>
      <c r="R82" s="6" t="s">
        <v>537</v>
      </c>
      <c r="S82" s="6" t="s">
        <v>786</v>
      </c>
      <c r="T82" s="6">
        <v>25.1</v>
      </c>
      <c r="U82" s="6" t="s">
        <v>22</v>
      </c>
      <c r="V82" s="6" t="s">
        <v>460</v>
      </c>
      <c r="W82" s="29" t="str">
        <f t="shared" si="1"/>
        <v>Builder</v>
      </c>
    </row>
    <row r="83" spans="1:23" ht="24" customHeight="1" x14ac:dyDescent="0.3">
      <c r="A83" s="4" t="s">
        <v>538</v>
      </c>
      <c r="B83" s="4" t="s">
        <v>483</v>
      </c>
      <c r="C83" s="4" t="s">
        <v>539</v>
      </c>
      <c r="D83" s="4">
        <v>9260902774</v>
      </c>
      <c r="E83" s="4" t="s">
        <v>69</v>
      </c>
      <c r="F83" s="4" t="s">
        <v>127</v>
      </c>
      <c r="G83" s="4" t="s">
        <v>52</v>
      </c>
      <c r="H83" s="4" t="s">
        <v>62</v>
      </c>
      <c r="I83" s="4" t="s">
        <v>16</v>
      </c>
      <c r="J83" s="4">
        <v>78</v>
      </c>
      <c r="K83" s="4" t="s">
        <v>540</v>
      </c>
      <c r="L83" s="4" t="s">
        <v>541</v>
      </c>
      <c r="M83" s="4">
        <v>5</v>
      </c>
      <c r="N83" s="4" t="s">
        <v>542</v>
      </c>
      <c r="O83" s="4" t="s">
        <v>46</v>
      </c>
      <c r="P83" s="5">
        <v>928106</v>
      </c>
      <c r="Q83" s="4"/>
      <c r="R83" s="4"/>
      <c r="S83" s="4" t="s">
        <v>786</v>
      </c>
      <c r="T83" s="4">
        <v>40.1</v>
      </c>
      <c r="U83" s="4" t="s">
        <v>57</v>
      </c>
      <c r="V83" s="4" t="s">
        <v>153</v>
      </c>
      <c r="W83" s="29" t="str">
        <f t="shared" si="1"/>
        <v>-</v>
      </c>
    </row>
    <row r="84" spans="1:23" ht="24" customHeight="1" x14ac:dyDescent="0.3">
      <c r="A84" s="2" t="s">
        <v>543</v>
      </c>
      <c r="B84" s="2" t="s">
        <v>544</v>
      </c>
      <c r="C84" s="2" t="s">
        <v>545</v>
      </c>
      <c r="D84" s="2">
        <v>9741866641</v>
      </c>
      <c r="E84" s="2" t="s">
        <v>149</v>
      </c>
      <c r="F84" s="2" t="s">
        <v>86</v>
      </c>
      <c r="G84" s="2" t="s">
        <v>52</v>
      </c>
      <c r="H84" s="2" t="s">
        <v>53</v>
      </c>
      <c r="I84" s="2" t="s">
        <v>98</v>
      </c>
      <c r="J84" s="2">
        <v>27</v>
      </c>
      <c r="K84" s="2" t="s">
        <v>546</v>
      </c>
      <c r="L84" s="2" t="s">
        <v>547</v>
      </c>
      <c r="M84" s="2">
        <v>9</v>
      </c>
      <c r="N84" s="2" t="s">
        <v>548</v>
      </c>
      <c r="O84" s="2" t="s">
        <v>20</v>
      </c>
      <c r="P84" s="3">
        <v>279948</v>
      </c>
      <c r="Q84" s="2"/>
      <c r="R84" s="2"/>
      <c r="S84" s="2" t="s">
        <v>35</v>
      </c>
      <c r="T84" s="2">
        <v>5.0999999999999996</v>
      </c>
      <c r="U84" s="2" t="s">
        <v>36</v>
      </c>
      <c r="V84" s="2"/>
      <c r="W84" s="29" t="str">
        <f t="shared" si="1"/>
        <v>-</v>
      </c>
    </row>
    <row r="85" spans="1:23" ht="24" customHeight="1" x14ac:dyDescent="0.3">
      <c r="A85" s="4" t="s">
        <v>549</v>
      </c>
      <c r="B85" s="4" t="s">
        <v>119</v>
      </c>
      <c r="C85" s="4" t="s">
        <v>550</v>
      </c>
      <c r="D85" s="4">
        <v>9852032540</v>
      </c>
      <c r="E85" s="4" t="s">
        <v>69</v>
      </c>
      <c r="F85" s="4" t="s">
        <v>42</v>
      </c>
      <c r="G85" s="4" t="s">
        <v>14</v>
      </c>
      <c r="H85" s="4" t="s">
        <v>214</v>
      </c>
      <c r="I85" s="4" t="s">
        <v>98</v>
      </c>
      <c r="J85" s="4">
        <v>109</v>
      </c>
      <c r="K85" s="4" t="s">
        <v>551</v>
      </c>
      <c r="L85" s="4" t="s">
        <v>552</v>
      </c>
      <c r="M85" s="4">
        <v>2</v>
      </c>
      <c r="N85" s="4" t="s">
        <v>553</v>
      </c>
      <c r="O85" s="4" t="s">
        <v>46</v>
      </c>
      <c r="P85" s="5">
        <v>1578471</v>
      </c>
      <c r="Q85" s="4"/>
      <c r="R85" s="4"/>
      <c r="S85" s="4" t="s">
        <v>35</v>
      </c>
      <c r="T85" s="4">
        <v>28.6</v>
      </c>
      <c r="U85" s="4" t="s">
        <v>36</v>
      </c>
      <c r="V85" s="4" t="s">
        <v>161</v>
      </c>
      <c r="W85" s="29" t="str">
        <f t="shared" si="1"/>
        <v>-</v>
      </c>
    </row>
    <row r="86" spans="1:23" ht="24" customHeight="1" x14ac:dyDescent="0.3">
      <c r="A86" s="2" t="s">
        <v>554</v>
      </c>
      <c r="B86" s="2" t="s">
        <v>10</v>
      </c>
      <c r="C86" s="2" t="s">
        <v>555</v>
      </c>
      <c r="D86" s="2">
        <v>9339111798</v>
      </c>
      <c r="E86" s="2" t="s">
        <v>69</v>
      </c>
      <c r="F86" s="2" t="s">
        <v>127</v>
      </c>
      <c r="G86" s="2" t="s">
        <v>165</v>
      </c>
      <c r="H86" s="2" t="s">
        <v>166</v>
      </c>
      <c r="I86" s="2" t="s">
        <v>272</v>
      </c>
      <c r="J86" s="2">
        <v>39</v>
      </c>
      <c r="K86" s="2" t="s">
        <v>506</v>
      </c>
      <c r="L86" s="2" t="s">
        <v>552</v>
      </c>
      <c r="M86" s="2">
        <v>7</v>
      </c>
      <c r="N86" s="2" t="s">
        <v>556</v>
      </c>
      <c r="O86" s="2" t="s">
        <v>46</v>
      </c>
      <c r="P86" s="3">
        <v>543286</v>
      </c>
      <c r="Q86" s="2"/>
      <c r="R86" s="2"/>
      <c r="S86" s="2" t="s">
        <v>35</v>
      </c>
      <c r="T86" s="2">
        <v>20.100000000000001</v>
      </c>
      <c r="U86" s="2" t="s">
        <v>36</v>
      </c>
      <c r="V86" s="2" t="s">
        <v>48</v>
      </c>
      <c r="W86" s="29" t="str">
        <f t="shared" si="1"/>
        <v>-</v>
      </c>
    </row>
    <row r="87" spans="1:23" ht="24" customHeight="1" x14ac:dyDescent="0.3">
      <c r="A87" s="4" t="s">
        <v>557</v>
      </c>
      <c r="B87" s="4" t="s">
        <v>184</v>
      </c>
      <c r="C87" s="4" t="s">
        <v>558</v>
      </c>
      <c r="D87" s="4">
        <v>9735297732</v>
      </c>
      <c r="E87" s="4" t="s">
        <v>77</v>
      </c>
      <c r="F87" s="4" t="s">
        <v>42</v>
      </c>
      <c r="G87" s="4" t="s">
        <v>165</v>
      </c>
      <c r="H87" s="4" t="s">
        <v>180</v>
      </c>
      <c r="I87" s="4" t="s">
        <v>264</v>
      </c>
      <c r="J87" s="4">
        <v>88</v>
      </c>
      <c r="K87" s="4" t="s">
        <v>559</v>
      </c>
      <c r="L87" s="4" t="s">
        <v>560</v>
      </c>
      <c r="M87" s="4">
        <v>18</v>
      </c>
      <c r="N87" s="4" t="s">
        <v>561</v>
      </c>
      <c r="O87" s="4" t="s">
        <v>20</v>
      </c>
      <c r="P87" s="5">
        <v>1056284</v>
      </c>
      <c r="Q87" s="4"/>
      <c r="R87" s="4"/>
      <c r="S87" s="4" t="s">
        <v>35</v>
      </c>
      <c r="T87" s="4">
        <v>21</v>
      </c>
      <c r="U87" s="4" t="s">
        <v>36</v>
      </c>
      <c r="V87" s="4"/>
      <c r="W87" s="29" t="str">
        <f t="shared" si="1"/>
        <v>-</v>
      </c>
    </row>
    <row r="88" spans="1:23" ht="24" customHeight="1" x14ac:dyDescent="0.3">
      <c r="A88" s="2" t="s">
        <v>562</v>
      </c>
      <c r="B88" s="2" t="s">
        <v>563</v>
      </c>
      <c r="C88" s="2" t="s">
        <v>564</v>
      </c>
      <c r="D88" s="2">
        <v>9443847870</v>
      </c>
      <c r="E88" s="2" t="s">
        <v>69</v>
      </c>
      <c r="F88" s="2" t="s">
        <v>42</v>
      </c>
      <c r="G88" s="2" t="s">
        <v>52</v>
      </c>
      <c r="H88" s="2" t="s">
        <v>70</v>
      </c>
      <c r="I88" s="2" t="s">
        <v>79</v>
      </c>
      <c r="J88" s="2">
        <v>87</v>
      </c>
      <c r="K88" s="2" t="s">
        <v>565</v>
      </c>
      <c r="L88" s="2" t="s">
        <v>553</v>
      </c>
      <c r="M88" s="2">
        <v>16</v>
      </c>
      <c r="N88" s="2" t="s">
        <v>566</v>
      </c>
      <c r="O88" s="2" t="s">
        <v>46</v>
      </c>
      <c r="P88" s="3">
        <v>1542633</v>
      </c>
      <c r="Q88" s="2"/>
      <c r="R88" s="2"/>
      <c r="S88" s="2" t="s">
        <v>787</v>
      </c>
      <c r="T88" s="2">
        <v>38.9</v>
      </c>
      <c r="U88" s="2" t="s">
        <v>36</v>
      </c>
      <c r="V88" s="2" t="s">
        <v>210</v>
      </c>
      <c r="W88" s="29" t="str">
        <f t="shared" si="1"/>
        <v>-</v>
      </c>
    </row>
    <row r="89" spans="1:23" ht="24" customHeight="1" x14ac:dyDescent="0.3">
      <c r="A89" s="4" t="s">
        <v>567</v>
      </c>
      <c r="B89" s="4" t="s">
        <v>568</v>
      </c>
      <c r="C89" s="4" t="s">
        <v>569</v>
      </c>
      <c r="D89" s="4">
        <v>9789014168</v>
      </c>
      <c r="E89" s="4" t="s">
        <v>77</v>
      </c>
      <c r="F89" s="4" t="s">
        <v>96</v>
      </c>
      <c r="G89" s="4" t="s">
        <v>106</v>
      </c>
      <c r="H89" s="4" t="s">
        <v>107</v>
      </c>
      <c r="I89" s="4" t="s">
        <v>150</v>
      </c>
      <c r="J89" s="4">
        <v>27</v>
      </c>
      <c r="K89" s="4" t="s">
        <v>570</v>
      </c>
      <c r="L89" s="4" t="s">
        <v>571</v>
      </c>
      <c r="M89" s="4">
        <v>12</v>
      </c>
      <c r="N89" s="4" t="s">
        <v>572</v>
      </c>
      <c r="O89" s="4" t="s">
        <v>46</v>
      </c>
      <c r="P89" s="5">
        <v>463477</v>
      </c>
      <c r="Q89" s="4"/>
      <c r="R89" s="4"/>
      <c r="S89" s="4" t="s">
        <v>786</v>
      </c>
      <c r="T89" s="4">
        <v>37.1</v>
      </c>
      <c r="U89" s="4" t="s">
        <v>36</v>
      </c>
      <c r="V89" s="4" t="s">
        <v>210</v>
      </c>
      <c r="W89" s="29" t="str">
        <f t="shared" si="1"/>
        <v>-</v>
      </c>
    </row>
    <row r="90" spans="1:23" ht="24" customHeight="1" x14ac:dyDescent="0.3">
      <c r="A90" s="2" t="s">
        <v>573</v>
      </c>
      <c r="B90" s="2" t="s">
        <v>574</v>
      </c>
      <c r="C90" s="2" t="s">
        <v>575</v>
      </c>
      <c r="D90" s="2">
        <v>9547221915</v>
      </c>
      <c r="E90" s="2" t="s">
        <v>27</v>
      </c>
      <c r="F90" s="2" t="s">
        <v>28</v>
      </c>
      <c r="G90" s="2" t="s">
        <v>52</v>
      </c>
      <c r="H90" s="2" t="s">
        <v>62</v>
      </c>
      <c r="I90" s="2" t="s">
        <v>128</v>
      </c>
      <c r="J90" s="2">
        <v>89</v>
      </c>
      <c r="K90" s="2" t="s">
        <v>576</v>
      </c>
      <c r="L90" s="2" t="s">
        <v>577</v>
      </c>
      <c r="M90" s="2">
        <v>6</v>
      </c>
      <c r="N90" s="2" t="s">
        <v>578</v>
      </c>
      <c r="O90" s="2" t="s">
        <v>20</v>
      </c>
      <c r="P90" s="3">
        <v>1553649</v>
      </c>
      <c r="Q90" s="2"/>
      <c r="R90" s="2"/>
      <c r="S90" s="2" t="s">
        <v>786</v>
      </c>
      <c r="T90" s="2">
        <v>23.3</v>
      </c>
      <c r="U90" s="2" t="s">
        <v>22</v>
      </c>
      <c r="V90" s="2" t="s">
        <v>497</v>
      </c>
      <c r="W90" s="29" t="str">
        <f t="shared" si="1"/>
        <v>-</v>
      </c>
    </row>
    <row r="91" spans="1:23" ht="24" x14ac:dyDescent="0.3">
      <c r="A91" s="4" t="s">
        <v>579</v>
      </c>
      <c r="B91" s="4" t="s">
        <v>580</v>
      </c>
      <c r="C91" s="4" t="s">
        <v>569</v>
      </c>
      <c r="D91" s="4">
        <v>9116464447</v>
      </c>
      <c r="E91" s="4" t="s">
        <v>69</v>
      </c>
      <c r="F91" s="4" t="s">
        <v>96</v>
      </c>
      <c r="G91" s="4" t="s">
        <v>52</v>
      </c>
      <c r="H91" s="4" t="s">
        <v>70</v>
      </c>
      <c r="I91" s="4" t="s">
        <v>30</v>
      </c>
      <c r="J91" s="4">
        <v>39</v>
      </c>
      <c r="K91" s="4" t="s">
        <v>520</v>
      </c>
      <c r="L91" s="4" t="s">
        <v>581</v>
      </c>
      <c r="M91" s="4">
        <v>8</v>
      </c>
      <c r="N91" s="4" t="s">
        <v>582</v>
      </c>
      <c r="O91" s="4" t="s">
        <v>34</v>
      </c>
      <c r="P91" s="5">
        <v>568245</v>
      </c>
      <c r="Q91" s="4"/>
      <c r="R91" s="4"/>
      <c r="S91" s="4" t="s">
        <v>35</v>
      </c>
      <c r="T91" s="4">
        <v>11.6</v>
      </c>
      <c r="U91" s="4" t="s">
        <v>57</v>
      </c>
      <c r="V91" s="4" t="s">
        <v>446</v>
      </c>
      <c r="W91" s="29" t="str">
        <f t="shared" si="1"/>
        <v>-</v>
      </c>
    </row>
    <row r="92" spans="1:23" ht="24" customHeight="1" x14ac:dyDescent="0.3">
      <c r="A92" s="2" t="s">
        <v>583</v>
      </c>
      <c r="B92" s="2" t="s">
        <v>584</v>
      </c>
      <c r="C92" s="2" t="s">
        <v>585</v>
      </c>
      <c r="D92" s="2">
        <v>9535968611</v>
      </c>
      <c r="E92" s="2" t="s">
        <v>136</v>
      </c>
      <c r="F92" s="2" t="s">
        <v>96</v>
      </c>
      <c r="G92" s="2" t="s">
        <v>52</v>
      </c>
      <c r="H92" s="2" t="s">
        <v>62</v>
      </c>
      <c r="I92" s="2" t="s">
        <v>260</v>
      </c>
      <c r="J92" s="2">
        <v>166</v>
      </c>
      <c r="K92" s="2" t="s">
        <v>548</v>
      </c>
      <c r="L92" s="2" t="s">
        <v>586</v>
      </c>
      <c r="M92" s="2">
        <v>13</v>
      </c>
      <c r="N92" s="2" t="s">
        <v>587</v>
      </c>
      <c r="O92" s="2" t="s">
        <v>46</v>
      </c>
      <c r="P92" s="3">
        <v>2386708</v>
      </c>
      <c r="Q92" s="2"/>
      <c r="R92" s="2"/>
      <c r="S92" s="2" t="s">
        <v>786</v>
      </c>
      <c r="T92" s="2">
        <v>38.6</v>
      </c>
      <c r="U92" s="2" t="s">
        <v>36</v>
      </c>
      <c r="V92" s="2" t="s">
        <v>238</v>
      </c>
      <c r="W92" s="29" t="str">
        <f t="shared" si="1"/>
        <v>-</v>
      </c>
    </row>
    <row r="93" spans="1:23" ht="24" customHeight="1" x14ac:dyDescent="0.3">
      <c r="A93" s="4" t="s">
        <v>588</v>
      </c>
      <c r="B93" s="4" t="s">
        <v>376</v>
      </c>
      <c r="C93" s="4" t="s">
        <v>514</v>
      </c>
      <c r="D93" s="4">
        <v>9680424495</v>
      </c>
      <c r="E93" s="4" t="s">
        <v>12</v>
      </c>
      <c r="F93" s="4" t="s">
        <v>86</v>
      </c>
      <c r="G93" s="4" t="s">
        <v>106</v>
      </c>
      <c r="H93" s="4" t="s">
        <v>324</v>
      </c>
      <c r="I93" s="4" t="s">
        <v>272</v>
      </c>
      <c r="J93" s="4">
        <v>35</v>
      </c>
      <c r="K93" s="4" t="s">
        <v>589</v>
      </c>
      <c r="L93" s="4" t="s">
        <v>590</v>
      </c>
      <c r="M93" s="4">
        <v>9</v>
      </c>
      <c r="N93" s="4" t="s">
        <v>591</v>
      </c>
      <c r="O93" s="4" t="s">
        <v>20</v>
      </c>
      <c r="P93" s="5">
        <v>349480</v>
      </c>
      <c r="Q93" s="4"/>
      <c r="R93" s="4"/>
      <c r="S93" s="4" t="s">
        <v>786</v>
      </c>
      <c r="T93" s="4">
        <v>40.4</v>
      </c>
      <c r="U93" s="4" t="s">
        <v>22</v>
      </c>
      <c r="V93" s="4" t="s">
        <v>23</v>
      </c>
      <c r="W93" s="29" t="str">
        <f t="shared" si="1"/>
        <v>-</v>
      </c>
    </row>
    <row r="94" spans="1:23" ht="24" customHeight="1" x14ac:dyDescent="0.3">
      <c r="A94" s="6" t="s">
        <v>592</v>
      </c>
      <c r="B94" s="6" t="s">
        <v>593</v>
      </c>
      <c r="C94" s="6" t="s">
        <v>594</v>
      </c>
      <c r="D94" s="6">
        <v>9145689604</v>
      </c>
      <c r="E94" s="6" t="s">
        <v>12</v>
      </c>
      <c r="F94" s="6" t="s">
        <v>13</v>
      </c>
      <c r="G94" s="6" t="s">
        <v>165</v>
      </c>
      <c r="H94" s="6" t="s">
        <v>180</v>
      </c>
      <c r="I94" s="6" t="s">
        <v>264</v>
      </c>
      <c r="J94" s="6">
        <v>99</v>
      </c>
      <c r="K94" s="6" t="s">
        <v>595</v>
      </c>
      <c r="L94" s="6" t="s">
        <v>596</v>
      </c>
      <c r="M94" s="6">
        <v>15</v>
      </c>
      <c r="N94" s="6" t="s">
        <v>597</v>
      </c>
      <c r="O94" s="6" t="s">
        <v>90</v>
      </c>
      <c r="P94" s="7">
        <v>1453173</v>
      </c>
      <c r="Q94" s="7">
        <v>1346187</v>
      </c>
      <c r="R94" s="6" t="s">
        <v>598</v>
      </c>
      <c r="S94" s="6" t="s">
        <v>786</v>
      </c>
      <c r="T94" s="6">
        <v>47</v>
      </c>
      <c r="U94" s="6" t="s">
        <v>22</v>
      </c>
      <c r="V94" s="6" t="s">
        <v>225</v>
      </c>
      <c r="W94" s="29" t="str">
        <f t="shared" si="1"/>
        <v>Builder</v>
      </c>
    </row>
    <row r="95" spans="1:23" ht="24" customHeight="1" x14ac:dyDescent="0.3">
      <c r="A95" s="4" t="s">
        <v>599</v>
      </c>
      <c r="B95" s="4" t="s">
        <v>600</v>
      </c>
      <c r="C95" s="4" t="s">
        <v>601</v>
      </c>
      <c r="D95" s="4">
        <v>9116891857</v>
      </c>
      <c r="E95" s="4" t="s">
        <v>69</v>
      </c>
      <c r="F95" s="4" t="s">
        <v>96</v>
      </c>
      <c r="G95" s="4" t="s">
        <v>106</v>
      </c>
      <c r="H95" s="4" t="s">
        <v>324</v>
      </c>
      <c r="I95" s="4" t="s">
        <v>272</v>
      </c>
      <c r="J95" s="4">
        <v>60</v>
      </c>
      <c r="K95" s="4" t="s">
        <v>602</v>
      </c>
      <c r="L95" s="4" t="s">
        <v>603</v>
      </c>
      <c r="M95" s="4">
        <v>18</v>
      </c>
      <c r="N95" s="4" t="s">
        <v>604</v>
      </c>
      <c r="O95" s="4" t="s">
        <v>46</v>
      </c>
      <c r="P95" s="5">
        <v>608820</v>
      </c>
      <c r="Q95" s="4"/>
      <c r="R95" s="4"/>
      <c r="S95" s="4" t="s">
        <v>35</v>
      </c>
      <c r="T95" s="4">
        <v>19.2</v>
      </c>
      <c r="U95" s="4" t="s">
        <v>57</v>
      </c>
      <c r="V95" s="4" t="s">
        <v>210</v>
      </c>
      <c r="W95" s="29" t="str">
        <f t="shared" si="1"/>
        <v>-</v>
      </c>
    </row>
    <row r="96" spans="1:23" ht="24" customHeight="1" x14ac:dyDescent="0.3">
      <c r="A96" s="2" t="s">
        <v>605</v>
      </c>
      <c r="B96" s="2" t="s">
        <v>606</v>
      </c>
      <c r="C96" s="2" t="s">
        <v>607</v>
      </c>
      <c r="D96" s="2">
        <v>9764233758</v>
      </c>
      <c r="E96" s="2" t="s">
        <v>12</v>
      </c>
      <c r="F96" s="2" t="s">
        <v>28</v>
      </c>
      <c r="G96" s="2" t="s">
        <v>106</v>
      </c>
      <c r="H96" s="2" t="s">
        <v>206</v>
      </c>
      <c r="I96" s="2" t="s">
        <v>71</v>
      </c>
      <c r="J96" s="2">
        <v>222</v>
      </c>
      <c r="K96" s="2" t="s">
        <v>608</v>
      </c>
      <c r="L96" s="2" t="s">
        <v>609</v>
      </c>
      <c r="M96" s="2">
        <v>15</v>
      </c>
      <c r="N96" s="2" t="s">
        <v>610</v>
      </c>
      <c r="O96" s="2" t="s">
        <v>20</v>
      </c>
      <c r="P96" s="3">
        <v>2798406</v>
      </c>
      <c r="Q96" s="2"/>
      <c r="R96" s="2"/>
      <c r="S96" s="2" t="s">
        <v>787</v>
      </c>
      <c r="T96" s="2">
        <v>33.299999999999997</v>
      </c>
      <c r="U96" s="2" t="s">
        <v>22</v>
      </c>
      <c r="V96" s="2" t="s">
        <v>23</v>
      </c>
      <c r="W96" s="29" t="str">
        <f t="shared" si="1"/>
        <v>-</v>
      </c>
    </row>
    <row r="97" spans="1:23" ht="24" customHeight="1" x14ac:dyDescent="0.3">
      <c r="A97" s="4" t="s">
        <v>611</v>
      </c>
      <c r="B97" s="4" t="s">
        <v>455</v>
      </c>
      <c r="C97" s="4" t="s">
        <v>310</v>
      </c>
      <c r="D97" s="4">
        <v>9412940071</v>
      </c>
      <c r="E97" s="4" t="s">
        <v>77</v>
      </c>
      <c r="F97" s="4" t="s">
        <v>13</v>
      </c>
      <c r="G97" s="4" t="s">
        <v>52</v>
      </c>
      <c r="H97" s="4" t="s">
        <v>62</v>
      </c>
      <c r="I97" s="4" t="s">
        <v>260</v>
      </c>
      <c r="J97" s="4">
        <v>205</v>
      </c>
      <c r="K97" s="4" t="s">
        <v>612</v>
      </c>
      <c r="L97" s="4" t="s">
        <v>556</v>
      </c>
      <c r="M97" s="4">
        <v>8</v>
      </c>
      <c r="N97" s="4" t="s">
        <v>613</v>
      </c>
      <c r="O97" s="4" t="s">
        <v>46</v>
      </c>
      <c r="P97" s="5">
        <v>3247115</v>
      </c>
      <c r="Q97" s="4"/>
      <c r="R97" s="4"/>
      <c r="S97" s="4" t="s">
        <v>786</v>
      </c>
      <c r="T97" s="4">
        <v>16.5</v>
      </c>
      <c r="U97" s="4" t="s">
        <v>36</v>
      </c>
      <c r="V97" s="4" t="s">
        <v>58</v>
      </c>
      <c r="W97" s="29" t="str">
        <f t="shared" si="1"/>
        <v>-</v>
      </c>
    </row>
    <row r="98" spans="1:23" ht="24" customHeight="1" x14ac:dyDescent="0.3">
      <c r="A98" s="2" t="s">
        <v>614</v>
      </c>
      <c r="B98" s="2" t="s">
        <v>615</v>
      </c>
      <c r="C98" s="2" t="s">
        <v>172</v>
      </c>
      <c r="D98" s="2">
        <v>9695088987</v>
      </c>
      <c r="E98" s="2" t="s">
        <v>69</v>
      </c>
      <c r="F98" s="2" t="s">
        <v>42</v>
      </c>
      <c r="G98" s="2" t="s">
        <v>52</v>
      </c>
      <c r="H98" s="2" t="s">
        <v>53</v>
      </c>
      <c r="I98" s="2" t="s">
        <v>128</v>
      </c>
      <c r="J98" s="2">
        <v>15</v>
      </c>
      <c r="K98" s="2" t="s">
        <v>537</v>
      </c>
      <c r="L98" s="2" t="s">
        <v>616</v>
      </c>
      <c r="M98" s="2"/>
      <c r="N98" s="2" t="s">
        <v>617</v>
      </c>
      <c r="O98" s="2" t="s">
        <v>46</v>
      </c>
      <c r="P98" s="3">
        <v>302930</v>
      </c>
      <c r="Q98" s="2"/>
      <c r="R98" s="2"/>
      <c r="S98" s="2" t="s">
        <v>35</v>
      </c>
      <c r="T98" s="2">
        <v>20.8</v>
      </c>
      <c r="U98" s="2" t="s">
        <v>57</v>
      </c>
      <c r="V98" s="2" t="s">
        <v>161</v>
      </c>
      <c r="W98" s="29" t="str">
        <f t="shared" si="1"/>
        <v>-</v>
      </c>
    </row>
    <row r="99" spans="1:23" ht="24" x14ac:dyDescent="0.3">
      <c r="A99" s="6" t="s">
        <v>618</v>
      </c>
      <c r="B99" s="6" t="s">
        <v>619</v>
      </c>
      <c r="C99" s="6" t="s">
        <v>61</v>
      </c>
      <c r="D99" s="6">
        <v>9364774064</v>
      </c>
      <c r="E99" s="6" t="s">
        <v>149</v>
      </c>
      <c r="F99" s="6" t="s">
        <v>42</v>
      </c>
      <c r="G99" s="6" t="s">
        <v>106</v>
      </c>
      <c r="H99" s="6" t="s">
        <v>228</v>
      </c>
      <c r="I99" s="6" t="s">
        <v>79</v>
      </c>
      <c r="J99" s="6">
        <v>72</v>
      </c>
      <c r="K99" s="6" t="s">
        <v>537</v>
      </c>
      <c r="L99" s="6" t="s">
        <v>620</v>
      </c>
      <c r="M99" s="6">
        <v>7</v>
      </c>
      <c r="N99" s="6" t="s">
        <v>621</v>
      </c>
      <c r="O99" s="6" t="s">
        <v>90</v>
      </c>
      <c r="P99" s="7">
        <v>1364104</v>
      </c>
      <c r="Q99" s="7">
        <v>1280831</v>
      </c>
      <c r="R99" s="6" t="s">
        <v>622</v>
      </c>
      <c r="S99" s="6" t="s">
        <v>786</v>
      </c>
      <c r="T99" s="6"/>
      <c r="U99" s="6" t="s">
        <v>22</v>
      </c>
      <c r="V99" s="6" t="s">
        <v>225</v>
      </c>
      <c r="W99" s="29" t="str">
        <f t="shared" si="1"/>
        <v>Builder</v>
      </c>
    </row>
    <row r="100" spans="1:23" ht="24" customHeight="1" x14ac:dyDescent="0.3">
      <c r="A100" s="6" t="s">
        <v>623</v>
      </c>
      <c r="B100" s="6" t="s">
        <v>483</v>
      </c>
      <c r="C100" s="6" t="s">
        <v>624</v>
      </c>
      <c r="D100" s="6">
        <v>9692609167</v>
      </c>
      <c r="E100" s="6" t="s">
        <v>69</v>
      </c>
      <c r="F100" s="6" t="s">
        <v>13</v>
      </c>
      <c r="G100" s="6" t="s">
        <v>52</v>
      </c>
      <c r="H100" s="6" t="s">
        <v>53</v>
      </c>
      <c r="I100" s="6" t="s">
        <v>98</v>
      </c>
      <c r="J100" s="6">
        <v>107</v>
      </c>
      <c r="K100" s="6" t="s">
        <v>625</v>
      </c>
      <c r="L100" s="6" t="s">
        <v>626</v>
      </c>
      <c r="M100" s="6">
        <v>12</v>
      </c>
      <c r="N100" s="6" t="s">
        <v>627</v>
      </c>
      <c r="O100" s="6" t="s">
        <v>90</v>
      </c>
      <c r="P100" s="7">
        <v>1474042</v>
      </c>
      <c r="Q100" s="7">
        <v>1436895</v>
      </c>
      <c r="R100" s="6" t="s">
        <v>628</v>
      </c>
      <c r="S100" s="6" t="s">
        <v>35</v>
      </c>
      <c r="T100" s="6">
        <v>9.6</v>
      </c>
      <c r="U100" s="6" t="s">
        <v>22</v>
      </c>
      <c r="V100" s="6" t="s">
        <v>203</v>
      </c>
      <c r="W100" s="29" t="str">
        <f t="shared" si="1"/>
        <v>Builder</v>
      </c>
    </row>
    <row r="101" spans="1:23" ht="24" customHeight="1" x14ac:dyDescent="0.3">
      <c r="A101" s="4" t="s">
        <v>629</v>
      </c>
      <c r="B101" s="4" t="s">
        <v>240</v>
      </c>
      <c r="C101" s="4" t="s">
        <v>630</v>
      </c>
      <c r="D101" s="4">
        <v>9249442440</v>
      </c>
      <c r="E101" s="4" t="s">
        <v>41</v>
      </c>
      <c r="F101" s="4" t="s">
        <v>28</v>
      </c>
      <c r="G101" s="4" t="s">
        <v>14</v>
      </c>
      <c r="H101" s="4" t="s">
        <v>214</v>
      </c>
      <c r="I101" s="4" t="s">
        <v>79</v>
      </c>
      <c r="J101" s="4">
        <v>120</v>
      </c>
      <c r="K101" s="4" t="s">
        <v>631</v>
      </c>
      <c r="L101" s="4" t="s">
        <v>632</v>
      </c>
      <c r="M101" s="4">
        <v>11</v>
      </c>
      <c r="N101" s="4" t="s">
        <v>628</v>
      </c>
      <c r="O101" s="4" t="s">
        <v>34</v>
      </c>
      <c r="P101" s="5">
        <v>1993320</v>
      </c>
      <c r="Q101" s="4"/>
      <c r="R101" s="4"/>
      <c r="S101" s="4" t="s">
        <v>787</v>
      </c>
      <c r="T101" s="4">
        <v>5.2</v>
      </c>
      <c r="U101" s="4" t="s">
        <v>22</v>
      </c>
      <c r="V101" s="4" t="s">
        <v>23</v>
      </c>
      <c r="W101" s="29" t="str">
        <f t="shared" si="1"/>
        <v>-</v>
      </c>
    </row>
    <row r="102" spans="1:23" ht="24" customHeight="1" x14ac:dyDescent="0.3">
      <c r="A102" s="2" t="s">
        <v>633</v>
      </c>
      <c r="B102" s="2" t="s">
        <v>253</v>
      </c>
      <c r="C102" s="2" t="s">
        <v>634</v>
      </c>
      <c r="D102" s="2">
        <v>9278604592</v>
      </c>
      <c r="E102" s="2" t="s">
        <v>41</v>
      </c>
      <c r="F102" s="2" t="s">
        <v>42</v>
      </c>
      <c r="G102" s="2" t="s">
        <v>52</v>
      </c>
      <c r="H102" s="2" t="s">
        <v>62</v>
      </c>
      <c r="I102" s="2" t="s">
        <v>150</v>
      </c>
      <c r="J102" s="2">
        <v>104</v>
      </c>
      <c r="K102" s="2" t="s">
        <v>587</v>
      </c>
      <c r="L102" s="2" t="s">
        <v>635</v>
      </c>
      <c r="M102" s="2">
        <v>4</v>
      </c>
      <c r="N102" s="2" t="s">
        <v>636</v>
      </c>
      <c r="O102" s="2" t="s">
        <v>20</v>
      </c>
      <c r="P102" s="3">
        <v>1880504</v>
      </c>
      <c r="Q102" s="2"/>
      <c r="R102" s="2"/>
      <c r="S102" s="2" t="s">
        <v>786</v>
      </c>
      <c r="T102" s="2">
        <v>37.4</v>
      </c>
      <c r="U102" s="2" t="s">
        <v>36</v>
      </c>
      <c r="V102" s="2" t="s">
        <v>37</v>
      </c>
      <c r="W102" s="29" t="str">
        <f t="shared" si="1"/>
        <v>-</v>
      </c>
    </row>
    <row r="103" spans="1:23" ht="24" customHeight="1" x14ac:dyDescent="0.3">
      <c r="A103" s="4" t="s">
        <v>637</v>
      </c>
      <c r="B103" s="4" t="s">
        <v>638</v>
      </c>
      <c r="C103" s="4" t="s">
        <v>393</v>
      </c>
      <c r="D103" s="4">
        <v>9311606895</v>
      </c>
      <c r="E103" s="4" t="s">
        <v>136</v>
      </c>
      <c r="F103" s="4" t="s">
        <v>96</v>
      </c>
      <c r="G103" s="4" t="s">
        <v>52</v>
      </c>
      <c r="H103" s="4" t="s">
        <v>78</v>
      </c>
      <c r="I103" s="4" t="s">
        <v>43</v>
      </c>
      <c r="J103" s="4">
        <v>76</v>
      </c>
      <c r="K103" s="4" t="s">
        <v>561</v>
      </c>
      <c r="L103" s="4" t="s">
        <v>639</v>
      </c>
      <c r="M103" s="4">
        <v>4</v>
      </c>
      <c r="N103" s="4" t="s">
        <v>640</v>
      </c>
      <c r="O103" s="4" t="s">
        <v>46</v>
      </c>
      <c r="P103" s="5">
        <v>1049832</v>
      </c>
      <c r="Q103" s="4"/>
      <c r="R103" s="4"/>
      <c r="S103" s="4" t="s">
        <v>787</v>
      </c>
      <c r="T103" s="4">
        <v>6.7</v>
      </c>
      <c r="U103" s="4" t="s">
        <v>36</v>
      </c>
      <c r="V103" s="4" t="s">
        <v>48</v>
      </c>
      <c r="W103" s="29" t="str">
        <f t="shared" si="1"/>
        <v>-</v>
      </c>
    </row>
    <row r="104" spans="1:23" ht="24" customHeight="1" x14ac:dyDescent="0.3">
      <c r="A104" s="2" t="s">
        <v>641</v>
      </c>
      <c r="B104" s="2" t="s">
        <v>642</v>
      </c>
      <c r="C104" s="2" t="s">
        <v>388</v>
      </c>
      <c r="D104" s="2">
        <v>9417217932</v>
      </c>
      <c r="E104" s="2" t="s">
        <v>136</v>
      </c>
      <c r="F104" s="2" t="s">
        <v>86</v>
      </c>
      <c r="G104" s="2" t="s">
        <v>52</v>
      </c>
      <c r="H104" s="2" t="s">
        <v>78</v>
      </c>
      <c r="I104" s="2" t="s">
        <v>30</v>
      </c>
      <c r="J104" s="2">
        <v>29</v>
      </c>
      <c r="K104" s="2" t="s">
        <v>643</v>
      </c>
      <c r="L104" s="2" t="s">
        <v>644</v>
      </c>
      <c r="M104" s="2">
        <v>18</v>
      </c>
      <c r="N104" s="2" t="s">
        <v>645</v>
      </c>
      <c r="O104" s="2" t="s">
        <v>46</v>
      </c>
      <c r="P104" s="3">
        <v>406307</v>
      </c>
      <c r="Q104" s="2"/>
      <c r="R104" s="2"/>
      <c r="S104" s="2" t="s">
        <v>787</v>
      </c>
      <c r="T104" s="2">
        <v>17.899999999999999</v>
      </c>
      <c r="U104" s="2" t="s">
        <v>36</v>
      </c>
      <c r="V104" s="2" t="s">
        <v>161</v>
      </c>
      <c r="W104" s="29" t="str">
        <f t="shared" si="1"/>
        <v>-</v>
      </c>
    </row>
    <row r="105" spans="1:23" ht="24" customHeight="1" x14ac:dyDescent="0.3">
      <c r="A105" s="4" t="s">
        <v>646</v>
      </c>
      <c r="B105" s="4" t="s">
        <v>178</v>
      </c>
      <c r="C105" s="4" t="s">
        <v>304</v>
      </c>
      <c r="D105" s="4">
        <v>9573913756</v>
      </c>
      <c r="E105" s="4" t="s">
        <v>27</v>
      </c>
      <c r="F105" s="4" t="s">
        <v>13</v>
      </c>
      <c r="G105" s="4" t="s">
        <v>52</v>
      </c>
      <c r="H105" s="4" t="s">
        <v>53</v>
      </c>
      <c r="I105" s="4" t="s">
        <v>113</v>
      </c>
      <c r="J105" s="4">
        <v>44</v>
      </c>
      <c r="K105" s="4" t="s">
        <v>644</v>
      </c>
      <c r="L105" s="4" t="s">
        <v>647</v>
      </c>
      <c r="M105" s="4">
        <v>13</v>
      </c>
      <c r="N105" s="4" t="s">
        <v>648</v>
      </c>
      <c r="O105" s="4" t="s">
        <v>46</v>
      </c>
      <c r="P105" s="5">
        <v>732904</v>
      </c>
      <c r="Q105" s="4"/>
      <c r="R105" s="4"/>
      <c r="S105" s="4" t="s">
        <v>35</v>
      </c>
      <c r="T105" s="4">
        <v>39.799999999999997</v>
      </c>
      <c r="U105" s="4" t="s">
        <v>36</v>
      </c>
      <c r="V105" s="4" t="s">
        <v>161</v>
      </c>
      <c r="W105" s="29" t="str">
        <f t="shared" si="1"/>
        <v>-</v>
      </c>
    </row>
    <row r="106" spans="1:23" ht="24" x14ac:dyDescent="0.3">
      <c r="A106" s="2" t="s">
        <v>649</v>
      </c>
      <c r="B106" s="2" t="s">
        <v>518</v>
      </c>
      <c r="C106" s="2" t="s">
        <v>650</v>
      </c>
      <c r="D106" s="2">
        <v>9627986647</v>
      </c>
      <c r="E106" s="2" t="s">
        <v>136</v>
      </c>
      <c r="F106" s="2" t="s">
        <v>42</v>
      </c>
      <c r="G106" s="2" t="s">
        <v>106</v>
      </c>
      <c r="H106" s="2" t="s">
        <v>107</v>
      </c>
      <c r="I106" s="2" t="s">
        <v>181</v>
      </c>
      <c r="J106" s="2">
        <v>26</v>
      </c>
      <c r="K106" s="2" t="s">
        <v>651</v>
      </c>
      <c r="L106" s="2" t="s">
        <v>647</v>
      </c>
      <c r="M106" s="2">
        <v>14</v>
      </c>
      <c r="N106" s="2" t="s">
        <v>652</v>
      </c>
      <c r="O106" s="2" t="s">
        <v>20</v>
      </c>
      <c r="P106" s="3">
        <v>412488</v>
      </c>
      <c r="Q106" s="2"/>
      <c r="R106" s="2"/>
      <c r="S106" s="2" t="s">
        <v>35</v>
      </c>
      <c r="T106" s="2">
        <v>25.3</v>
      </c>
      <c r="U106" s="2" t="s">
        <v>57</v>
      </c>
      <c r="V106" s="2" t="s">
        <v>653</v>
      </c>
      <c r="W106" s="29" t="str">
        <f t="shared" si="1"/>
        <v>-</v>
      </c>
    </row>
    <row r="107" spans="1:23" ht="24" customHeight="1" x14ac:dyDescent="0.3">
      <c r="A107" s="4" t="s">
        <v>654</v>
      </c>
      <c r="B107" s="4" t="s">
        <v>655</v>
      </c>
      <c r="C107" s="4" t="s">
        <v>555</v>
      </c>
      <c r="D107" s="4">
        <v>9248033880</v>
      </c>
      <c r="E107" s="4" t="s">
        <v>27</v>
      </c>
      <c r="F107" s="4" t="s">
        <v>42</v>
      </c>
      <c r="G107" s="4" t="s">
        <v>52</v>
      </c>
      <c r="H107" s="4" t="s">
        <v>62</v>
      </c>
      <c r="I107" s="4" t="s">
        <v>260</v>
      </c>
      <c r="J107" s="4">
        <v>89</v>
      </c>
      <c r="K107" s="4" t="s">
        <v>656</v>
      </c>
      <c r="L107" s="4" t="s">
        <v>657</v>
      </c>
      <c r="M107" s="4">
        <v>13</v>
      </c>
      <c r="N107" s="4" t="s">
        <v>658</v>
      </c>
      <c r="O107" s="4" t="s">
        <v>20</v>
      </c>
      <c r="P107" s="5">
        <v>1570818</v>
      </c>
      <c r="Q107" s="4"/>
      <c r="R107" s="4"/>
      <c r="S107" s="4" t="s">
        <v>787</v>
      </c>
      <c r="T107" s="4">
        <v>8.5</v>
      </c>
      <c r="U107" s="4" t="s">
        <v>22</v>
      </c>
      <c r="V107" s="4" t="s">
        <v>23</v>
      </c>
      <c r="W107" s="29" t="str">
        <f t="shared" si="1"/>
        <v>-</v>
      </c>
    </row>
    <row r="108" spans="1:23" ht="24" customHeight="1" x14ac:dyDescent="0.3">
      <c r="A108" s="6" t="s">
        <v>659</v>
      </c>
      <c r="B108" s="6" t="s">
        <v>508</v>
      </c>
      <c r="C108" s="6" t="s">
        <v>660</v>
      </c>
      <c r="D108" s="6">
        <v>9631196129</v>
      </c>
      <c r="E108" s="6" t="s">
        <v>12</v>
      </c>
      <c r="F108" s="6" t="s">
        <v>13</v>
      </c>
      <c r="G108" s="6" t="s">
        <v>52</v>
      </c>
      <c r="H108" s="6" t="s">
        <v>53</v>
      </c>
      <c r="I108" s="6" t="s">
        <v>16</v>
      </c>
      <c r="J108" s="6">
        <v>98</v>
      </c>
      <c r="K108" s="6" t="s">
        <v>613</v>
      </c>
      <c r="L108" s="6" t="s">
        <v>661</v>
      </c>
      <c r="M108" s="6">
        <v>16</v>
      </c>
      <c r="N108" s="6" t="s">
        <v>662</v>
      </c>
      <c r="O108" s="6" t="s">
        <v>90</v>
      </c>
      <c r="P108" s="7">
        <v>1359952</v>
      </c>
      <c r="Q108" s="7">
        <v>1348249</v>
      </c>
      <c r="R108" s="6" t="s">
        <v>662</v>
      </c>
      <c r="S108" s="6" t="s">
        <v>787</v>
      </c>
      <c r="T108" s="6">
        <v>20.3</v>
      </c>
      <c r="U108" s="6" t="s">
        <v>57</v>
      </c>
      <c r="V108" s="6" t="s">
        <v>176</v>
      </c>
      <c r="W108" s="29" t="str">
        <f t="shared" si="1"/>
        <v>Builder</v>
      </c>
    </row>
    <row r="109" spans="1:23" ht="24" customHeight="1" x14ac:dyDescent="0.3">
      <c r="A109" s="6" t="s">
        <v>663</v>
      </c>
      <c r="B109" s="6" t="s">
        <v>664</v>
      </c>
      <c r="C109" s="6" t="s">
        <v>665</v>
      </c>
      <c r="D109" s="6">
        <v>9671532152</v>
      </c>
      <c r="E109" s="6" t="s">
        <v>12</v>
      </c>
      <c r="F109" s="6" t="s">
        <v>42</v>
      </c>
      <c r="G109" s="6" t="s">
        <v>52</v>
      </c>
      <c r="H109" s="6" t="s">
        <v>78</v>
      </c>
      <c r="I109" s="6" t="s">
        <v>128</v>
      </c>
      <c r="J109" s="6">
        <v>66</v>
      </c>
      <c r="K109" s="6" t="s">
        <v>666</v>
      </c>
      <c r="L109" s="6" t="s">
        <v>667</v>
      </c>
      <c r="M109" s="6">
        <v>7</v>
      </c>
      <c r="N109" s="6" t="s">
        <v>668</v>
      </c>
      <c r="O109" s="6" t="s">
        <v>90</v>
      </c>
      <c r="P109" s="7">
        <v>1260616</v>
      </c>
      <c r="Q109" s="7">
        <v>1145807</v>
      </c>
      <c r="R109" s="6" t="s">
        <v>669</v>
      </c>
      <c r="S109" s="6" t="s">
        <v>787</v>
      </c>
      <c r="T109" s="6">
        <v>11.5</v>
      </c>
      <c r="U109" s="6" t="s">
        <v>22</v>
      </c>
      <c r="V109" s="6" t="s">
        <v>277</v>
      </c>
      <c r="W109" s="29" t="str">
        <f t="shared" si="1"/>
        <v>Builder</v>
      </c>
    </row>
    <row r="110" spans="1:23" ht="24" customHeight="1" x14ac:dyDescent="0.3">
      <c r="A110" s="2" t="s">
        <v>670</v>
      </c>
      <c r="B110" s="2" t="s">
        <v>60</v>
      </c>
      <c r="C110" s="2" t="s">
        <v>671</v>
      </c>
      <c r="D110" s="2">
        <v>9720005941</v>
      </c>
      <c r="E110" s="2" t="s">
        <v>41</v>
      </c>
      <c r="F110" s="2" t="s">
        <v>13</v>
      </c>
      <c r="G110" s="2" t="s">
        <v>165</v>
      </c>
      <c r="H110" s="2" t="s">
        <v>180</v>
      </c>
      <c r="I110" s="2" t="s">
        <v>260</v>
      </c>
      <c r="J110" s="2">
        <v>41</v>
      </c>
      <c r="K110" s="2" t="s">
        <v>672</v>
      </c>
      <c r="L110" s="2" t="s">
        <v>667</v>
      </c>
      <c r="M110" s="2">
        <v>12</v>
      </c>
      <c r="N110" s="2" t="s">
        <v>673</v>
      </c>
      <c r="O110" s="2" t="s">
        <v>102</v>
      </c>
      <c r="P110" s="3">
        <v>713283</v>
      </c>
      <c r="Q110" s="2"/>
      <c r="R110" s="2"/>
      <c r="S110" s="2" t="s">
        <v>786</v>
      </c>
      <c r="T110" s="2">
        <v>37</v>
      </c>
      <c r="U110" s="2" t="s">
        <v>57</v>
      </c>
      <c r="V110" s="2" t="s">
        <v>402</v>
      </c>
      <c r="W110" s="29" t="str">
        <f t="shared" si="1"/>
        <v>-</v>
      </c>
    </row>
    <row r="111" spans="1:23" ht="24" customHeight="1" x14ac:dyDescent="0.3">
      <c r="A111" s="4" t="s">
        <v>674</v>
      </c>
      <c r="B111" s="4" t="s">
        <v>285</v>
      </c>
      <c r="C111" s="4" t="s">
        <v>675</v>
      </c>
      <c r="D111" s="4">
        <v>9193080561</v>
      </c>
      <c r="E111" s="4" t="s">
        <v>69</v>
      </c>
      <c r="F111" s="4" t="s">
        <v>13</v>
      </c>
      <c r="G111" s="4" t="s">
        <v>52</v>
      </c>
      <c r="H111" s="4" t="s">
        <v>70</v>
      </c>
      <c r="I111" s="4" t="s">
        <v>71</v>
      </c>
      <c r="J111" s="4">
        <v>69</v>
      </c>
      <c r="K111" s="4" t="s">
        <v>676</v>
      </c>
      <c r="L111" s="4" t="s">
        <v>677</v>
      </c>
      <c r="M111" s="4">
        <v>6</v>
      </c>
      <c r="N111" s="4" t="s">
        <v>678</v>
      </c>
      <c r="O111" s="4" t="s">
        <v>46</v>
      </c>
      <c r="P111" s="5">
        <v>713640</v>
      </c>
      <c r="Q111" s="4"/>
      <c r="R111" s="4"/>
      <c r="S111" s="4" t="s">
        <v>35</v>
      </c>
      <c r="T111" s="4">
        <v>20.9</v>
      </c>
      <c r="U111" s="4" t="s">
        <v>36</v>
      </c>
      <c r="V111" s="4" t="s">
        <v>210</v>
      </c>
      <c r="W111" s="29" t="str">
        <f t="shared" si="1"/>
        <v>-</v>
      </c>
    </row>
    <row r="112" spans="1:23" ht="24" customHeight="1" x14ac:dyDescent="0.3">
      <c r="A112" s="6" t="s">
        <v>679</v>
      </c>
      <c r="B112" s="6" t="s">
        <v>680</v>
      </c>
      <c r="C112" s="6" t="s">
        <v>681</v>
      </c>
      <c r="D112" s="6">
        <v>9432759989</v>
      </c>
      <c r="E112" s="6" t="s">
        <v>69</v>
      </c>
      <c r="F112" s="6" t="s">
        <v>13</v>
      </c>
      <c r="G112" s="6" t="s">
        <v>165</v>
      </c>
      <c r="H112" s="6" t="s">
        <v>180</v>
      </c>
      <c r="I112" s="6" t="s">
        <v>98</v>
      </c>
      <c r="J112" s="6">
        <v>19</v>
      </c>
      <c r="K112" s="6" t="s">
        <v>682</v>
      </c>
      <c r="L112" s="6" t="s">
        <v>683</v>
      </c>
      <c r="M112" s="6">
        <v>18</v>
      </c>
      <c r="N112" s="6" t="s">
        <v>662</v>
      </c>
      <c r="O112" s="6" t="s">
        <v>90</v>
      </c>
      <c r="P112" s="7">
        <v>197128</v>
      </c>
      <c r="Q112" s="7">
        <v>192841</v>
      </c>
      <c r="R112" s="6" t="s">
        <v>662</v>
      </c>
      <c r="S112" s="6" t="s">
        <v>787</v>
      </c>
      <c r="T112" s="6">
        <v>5.8</v>
      </c>
      <c r="U112" s="6" t="s">
        <v>22</v>
      </c>
      <c r="V112" s="6" t="s">
        <v>328</v>
      </c>
      <c r="W112" s="29" t="str">
        <f t="shared" si="1"/>
        <v>Builder</v>
      </c>
    </row>
    <row r="113" spans="1:23" ht="24" customHeight="1" x14ac:dyDescent="0.3">
      <c r="A113" s="6" t="s">
        <v>684</v>
      </c>
      <c r="B113" s="6" t="s">
        <v>147</v>
      </c>
      <c r="C113" s="6" t="s">
        <v>685</v>
      </c>
      <c r="D113" s="6">
        <v>9112956853</v>
      </c>
      <c r="E113" s="6" t="s">
        <v>12</v>
      </c>
      <c r="F113" s="6" t="s">
        <v>127</v>
      </c>
      <c r="G113" s="6" t="s">
        <v>52</v>
      </c>
      <c r="H113" s="6" t="s">
        <v>78</v>
      </c>
      <c r="I113" s="6" t="s">
        <v>272</v>
      </c>
      <c r="J113" s="6">
        <v>33</v>
      </c>
      <c r="K113" s="6" t="s">
        <v>683</v>
      </c>
      <c r="L113" s="6" t="s">
        <v>686</v>
      </c>
      <c r="M113" s="6">
        <v>3</v>
      </c>
      <c r="N113" s="6" t="s">
        <v>627</v>
      </c>
      <c r="O113" s="6" t="s">
        <v>90</v>
      </c>
      <c r="P113" s="7">
        <v>342227</v>
      </c>
      <c r="Q113" s="7">
        <v>319648</v>
      </c>
      <c r="R113" s="6" t="s">
        <v>687</v>
      </c>
      <c r="S113" s="6" t="s">
        <v>786</v>
      </c>
      <c r="T113" s="6">
        <v>13.1</v>
      </c>
      <c r="U113" s="6" t="s">
        <v>22</v>
      </c>
      <c r="V113" s="6" t="s">
        <v>225</v>
      </c>
      <c r="W113" s="29" t="str">
        <f t="shared" si="1"/>
        <v>Builder</v>
      </c>
    </row>
    <row r="114" spans="1:23" ht="24" customHeight="1" x14ac:dyDescent="0.3">
      <c r="A114" s="6" t="s">
        <v>688</v>
      </c>
      <c r="B114" s="6" t="s">
        <v>178</v>
      </c>
      <c r="C114" s="6" t="s">
        <v>569</v>
      </c>
      <c r="D114" s="6">
        <v>9612926731</v>
      </c>
      <c r="E114" s="6" t="s">
        <v>69</v>
      </c>
      <c r="F114" s="6" t="s">
        <v>13</v>
      </c>
      <c r="G114" s="6" t="s">
        <v>52</v>
      </c>
      <c r="H114" s="6" t="s">
        <v>70</v>
      </c>
      <c r="I114" s="6" t="s">
        <v>16</v>
      </c>
      <c r="J114" s="6">
        <v>62</v>
      </c>
      <c r="K114" s="6" t="s">
        <v>689</v>
      </c>
      <c r="L114" s="6" t="s">
        <v>690</v>
      </c>
      <c r="M114" s="6">
        <v>16</v>
      </c>
      <c r="N114" s="6" t="s">
        <v>691</v>
      </c>
      <c r="O114" s="6" t="s">
        <v>90</v>
      </c>
      <c r="P114" s="7">
        <v>653298</v>
      </c>
      <c r="Q114" s="7">
        <v>638522</v>
      </c>
      <c r="R114" s="6" t="s">
        <v>692</v>
      </c>
      <c r="S114" s="6" t="s">
        <v>35</v>
      </c>
      <c r="T114" s="6">
        <v>39.6</v>
      </c>
      <c r="U114" s="6" t="s">
        <v>22</v>
      </c>
      <c r="V114" s="6" t="s">
        <v>176</v>
      </c>
      <c r="W114" s="29" t="str">
        <f t="shared" si="1"/>
        <v>Builder</v>
      </c>
    </row>
    <row r="115" spans="1:23" ht="24" customHeight="1" x14ac:dyDescent="0.3">
      <c r="A115" s="4" t="s">
        <v>693</v>
      </c>
      <c r="B115" s="4" t="s">
        <v>694</v>
      </c>
      <c r="C115" s="4" t="s">
        <v>695</v>
      </c>
      <c r="D115" s="4">
        <v>9394226159</v>
      </c>
      <c r="E115" s="4" t="s">
        <v>69</v>
      </c>
      <c r="F115" s="4" t="s">
        <v>13</v>
      </c>
      <c r="G115" s="4" t="s">
        <v>14</v>
      </c>
      <c r="H115" s="4" t="s">
        <v>97</v>
      </c>
      <c r="I115" s="4" t="s">
        <v>264</v>
      </c>
      <c r="J115" s="4">
        <v>109</v>
      </c>
      <c r="K115" s="4" t="s">
        <v>696</v>
      </c>
      <c r="L115" s="4" t="s">
        <v>697</v>
      </c>
      <c r="M115" s="4">
        <v>8</v>
      </c>
      <c r="N115" s="4" t="s">
        <v>698</v>
      </c>
      <c r="O115" s="4" t="s">
        <v>34</v>
      </c>
      <c r="P115" s="5">
        <v>1094497</v>
      </c>
      <c r="Q115" s="4"/>
      <c r="R115" s="4"/>
      <c r="S115" s="4" t="s">
        <v>786</v>
      </c>
      <c r="T115" s="4">
        <v>42.6</v>
      </c>
      <c r="U115" s="4" t="s">
        <v>22</v>
      </c>
      <c r="V115" s="4" t="s">
        <v>465</v>
      </c>
      <c r="W115" s="29" t="str">
        <f t="shared" si="1"/>
        <v>-</v>
      </c>
    </row>
    <row r="116" spans="1:23" ht="24" customHeight="1" x14ac:dyDescent="0.3">
      <c r="A116" s="2" t="s">
        <v>699</v>
      </c>
      <c r="B116" s="2" t="s">
        <v>532</v>
      </c>
      <c r="C116" s="2" t="s">
        <v>700</v>
      </c>
      <c r="D116" s="2">
        <v>9360472583</v>
      </c>
      <c r="E116" s="2" t="s">
        <v>136</v>
      </c>
      <c r="F116" s="2" t="s">
        <v>42</v>
      </c>
      <c r="G116" s="2" t="s">
        <v>14</v>
      </c>
      <c r="H116" s="2" t="s">
        <v>97</v>
      </c>
      <c r="I116" s="2" t="s">
        <v>113</v>
      </c>
      <c r="J116" s="2">
        <v>138</v>
      </c>
      <c r="K116" s="2" t="s">
        <v>697</v>
      </c>
      <c r="L116" s="2" t="s">
        <v>701</v>
      </c>
      <c r="M116" s="2">
        <v>13</v>
      </c>
      <c r="N116" s="2" t="s">
        <v>702</v>
      </c>
      <c r="O116" s="2" t="s">
        <v>34</v>
      </c>
      <c r="P116" s="3">
        <v>2442696</v>
      </c>
      <c r="Q116" s="2"/>
      <c r="R116" s="2"/>
      <c r="S116" s="2" t="s">
        <v>35</v>
      </c>
      <c r="T116" s="2">
        <v>15.4</v>
      </c>
      <c r="U116" s="2" t="s">
        <v>57</v>
      </c>
      <c r="V116" s="2" t="s">
        <v>140</v>
      </c>
      <c r="W116" s="29" t="str">
        <f t="shared" si="1"/>
        <v>-</v>
      </c>
    </row>
    <row r="117" spans="1:23" ht="24" x14ac:dyDescent="0.3">
      <c r="A117" s="4" t="s">
        <v>703</v>
      </c>
      <c r="B117" s="4" t="s">
        <v>704</v>
      </c>
      <c r="C117" s="4" t="s">
        <v>509</v>
      </c>
      <c r="D117" s="4">
        <v>9708689346</v>
      </c>
      <c r="E117" s="4" t="s">
        <v>69</v>
      </c>
      <c r="F117" s="4" t="s">
        <v>42</v>
      </c>
      <c r="G117" s="4" t="s">
        <v>165</v>
      </c>
      <c r="H117" s="4" t="s">
        <v>166</v>
      </c>
      <c r="I117" s="4" t="s">
        <v>71</v>
      </c>
      <c r="J117" s="4">
        <v>66</v>
      </c>
      <c r="K117" s="4" t="s">
        <v>598</v>
      </c>
      <c r="L117" s="4" t="s">
        <v>705</v>
      </c>
      <c r="M117" s="4">
        <v>4</v>
      </c>
      <c r="N117" s="4" t="s">
        <v>706</v>
      </c>
      <c r="O117" s="4" t="s">
        <v>34</v>
      </c>
      <c r="P117" s="5">
        <v>683340</v>
      </c>
      <c r="Q117" s="4"/>
      <c r="R117" s="4"/>
      <c r="S117" s="4" t="s">
        <v>35</v>
      </c>
      <c r="T117" s="4">
        <v>22.9</v>
      </c>
      <c r="U117" s="4" t="s">
        <v>22</v>
      </c>
      <c r="V117" s="4"/>
      <c r="W117" s="29" t="str">
        <f t="shared" si="1"/>
        <v>-</v>
      </c>
    </row>
    <row r="118" spans="1:23" ht="24" customHeight="1" x14ac:dyDescent="0.3">
      <c r="A118" s="2" t="s">
        <v>707</v>
      </c>
      <c r="B118" s="2" t="s">
        <v>708</v>
      </c>
      <c r="C118" s="2" t="s">
        <v>709</v>
      </c>
      <c r="D118" s="2">
        <v>9164311845</v>
      </c>
      <c r="E118" s="2" t="s">
        <v>69</v>
      </c>
      <c r="F118" s="2" t="s">
        <v>13</v>
      </c>
      <c r="G118" s="2" t="s">
        <v>14</v>
      </c>
      <c r="H118" s="2" t="s">
        <v>29</v>
      </c>
      <c r="I118" s="2" t="s">
        <v>264</v>
      </c>
      <c r="J118" s="2">
        <v>49</v>
      </c>
      <c r="K118" s="2" t="s">
        <v>710</v>
      </c>
      <c r="L118" s="2" t="s">
        <v>711</v>
      </c>
      <c r="M118" s="2">
        <v>11</v>
      </c>
      <c r="N118" s="2" t="s">
        <v>712</v>
      </c>
      <c r="O118" s="2" t="s">
        <v>34</v>
      </c>
      <c r="P118" s="3">
        <v>614013</v>
      </c>
      <c r="Q118" s="2"/>
      <c r="R118" s="2"/>
      <c r="S118" s="2" t="s">
        <v>35</v>
      </c>
      <c r="T118" s="2">
        <v>11.4</v>
      </c>
      <c r="U118" s="2" t="s">
        <v>22</v>
      </c>
      <c r="V118" s="2" t="s">
        <v>251</v>
      </c>
      <c r="W118" s="29" t="str">
        <f t="shared" si="1"/>
        <v>-</v>
      </c>
    </row>
    <row r="119" spans="1:23" ht="24" customHeight="1" x14ac:dyDescent="0.3">
      <c r="A119" s="6" t="s">
        <v>713</v>
      </c>
      <c r="B119" s="6" t="s">
        <v>714</v>
      </c>
      <c r="C119" s="6" t="s">
        <v>715</v>
      </c>
      <c r="D119" s="6">
        <v>9853229478</v>
      </c>
      <c r="E119" s="6" t="s">
        <v>69</v>
      </c>
      <c r="F119" s="6" t="s">
        <v>86</v>
      </c>
      <c r="G119" s="6" t="s">
        <v>14</v>
      </c>
      <c r="H119" s="6" t="s">
        <v>29</v>
      </c>
      <c r="I119" s="6" t="s">
        <v>207</v>
      </c>
      <c r="J119" s="6">
        <v>81</v>
      </c>
      <c r="K119" s="6" t="s">
        <v>604</v>
      </c>
      <c r="L119" s="6" t="s">
        <v>716</v>
      </c>
      <c r="M119" s="6">
        <v>11</v>
      </c>
      <c r="N119" s="6" t="s">
        <v>662</v>
      </c>
      <c r="O119" s="6" t="s">
        <v>90</v>
      </c>
      <c r="P119" s="7">
        <v>1310197</v>
      </c>
      <c r="Q119" s="7">
        <v>1273678</v>
      </c>
      <c r="R119" s="6" t="s">
        <v>662</v>
      </c>
      <c r="S119" s="6" t="s">
        <v>35</v>
      </c>
      <c r="T119" s="6">
        <v>10.1</v>
      </c>
      <c r="U119" s="6" t="s">
        <v>22</v>
      </c>
      <c r="V119" s="6" t="s">
        <v>277</v>
      </c>
      <c r="W119" s="29" t="str">
        <f t="shared" si="1"/>
        <v>Builder</v>
      </c>
    </row>
    <row r="120" spans="1:23" ht="24" customHeight="1" x14ac:dyDescent="0.3">
      <c r="A120" s="2" t="s">
        <v>717</v>
      </c>
      <c r="B120" s="2" t="s">
        <v>147</v>
      </c>
      <c r="C120" s="2" t="s">
        <v>51</v>
      </c>
      <c r="D120" s="2">
        <v>9366570563</v>
      </c>
      <c r="E120" s="2" t="s">
        <v>136</v>
      </c>
      <c r="F120" s="2" t="s">
        <v>86</v>
      </c>
      <c r="G120" s="2" t="s">
        <v>52</v>
      </c>
      <c r="H120" s="2" t="s">
        <v>78</v>
      </c>
      <c r="I120" s="2" t="s">
        <v>264</v>
      </c>
      <c r="J120" s="2">
        <v>124</v>
      </c>
      <c r="K120" s="2" t="s">
        <v>718</v>
      </c>
      <c r="L120" s="2" t="s">
        <v>652</v>
      </c>
      <c r="M120" s="2">
        <v>3</v>
      </c>
      <c r="N120" s="2" t="s">
        <v>662</v>
      </c>
      <c r="O120" s="2" t="s">
        <v>46</v>
      </c>
      <c r="P120" s="3">
        <v>1473372</v>
      </c>
      <c r="Q120" s="2"/>
      <c r="R120" s="2"/>
      <c r="S120" s="2" t="s">
        <v>786</v>
      </c>
      <c r="T120" s="2">
        <v>38.9</v>
      </c>
      <c r="U120" s="2" t="s">
        <v>57</v>
      </c>
      <c r="V120" s="2" t="s">
        <v>58</v>
      </c>
      <c r="W120" s="29" t="str">
        <f t="shared" si="1"/>
        <v>-</v>
      </c>
    </row>
    <row r="121" spans="1:23" ht="24" customHeight="1" x14ac:dyDescent="0.3">
      <c r="A121" s="4" t="s">
        <v>719</v>
      </c>
      <c r="B121" s="4" t="s">
        <v>720</v>
      </c>
      <c r="C121" s="4" t="s">
        <v>721</v>
      </c>
      <c r="D121" s="4">
        <v>9764835755</v>
      </c>
      <c r="E121" s="4" t="s">
        <v>69</v>
      </c>
      <c r="F121" s="4" t="s">
        <v>86</v>
      </c>
      <c r="G121" s="4" t="s">
        <v>14</v>
      </c>
      <c r="H121" s="4" t="s">
        <v>29</v>
      </c>
      <c r="I121" s="4" t="s">
        <v>79</v>
      </c>
      <c r="J121" s="4">
        <v>222</v>
      </c>
      <c r="K121" s="4" t="s">
        <v>722</v>
      </c>
      <c r="L121" s="4" t="s">
        <v>723</v>
      </c>
      <c r="M121" s="4">
        <v>10</v>
      </c>
      <c r="N121" s="4" t="s">
        <v>662</v>
      </c>
      <c r="O121" s="4" t="s">
        <v>46</v>
      </c>
      <c r="P121" s="5">
        <v>3988104</v>
      </c>
      <c r="Q121" s="4"/>
      <c r="R121" s="4"/>
      <c r="S121" s="4" t="s">
        <v>786</v>
      </c>
      <c r="T121" s="4">
        <v>22.5</v>
      </c>
      <c r="U121" s="4" t="s">
        <v>36</v>
      </c>
      <c r="V121" s="4" t="s">
        <v>788</v>
      </c>
      <c r="W121" s="29" t="str">
        <f t="shared" si="1"/>
        <v>-</v>
      </c>
    </row>
    <row r="122" spans="1:23" ht="24" customHeight="1" x14ac:dyDescent="0.3">
      <c r="A122" s="6" t="s">
        <v>724</v>
      </c>
      <c r="B122" s="6" t="s">
        <v>725</v>
      </c>
      <c r="C122" s="6" t="s">
        <v>726</v>
      </c>
      <c r="D122" s="6">
        <v>9312332805</v>
      </c>
      <c r="E122" s="6" t="s">
        <v>69</v>
      </c>
      <c r="F122" s="6" t="s">
        <v>96</v>
      </c>
      <c r="G122" s="6" t="s">
        <v>52</v>
      </c>
      <c r="H122" s="6" t="s">
        <v>70</v>
      </c>
      <c r="I122" s="6" t="s">
        <v>234</v>
      </c>
      <c r="J122" s="6">
        <v>21</v>
      </c>
      <c r="K122" s="6" t="s">
        <v>727</v>
      </c>
      <c r="L122" s="6" t="s">
        <v>728</v>
      </c>
      <c r="M122" s="6">
        <v>4</v>
      </c>
      <c r="N122" s="6" t="s">
        <v>662</v>
      </c>
      <c r="O122" s="6" t="s">
        <v>90</v>
      </c>
      <c r="P122" s="7">
        <v>224045</v>
      </c>
      <c r="Q122" s="7">
        <v>205277</v>
      </c>
      <c r="R122" s="6" t="s">
        <v>662</v>
      </c>
      <c r="S122" s="6" t="s">
        <v>35</v>
      </c>
      <c r="T122" s="6">
        <v>39.4</v>
      </c>
      <c r="U122" s="6" t="s">
        <v>57</v>
      </c>
      <c r="V122" s="6" t="s">
        <v>277</v>
      </c>
      <c r="W122" s="29" t="str">
        <f t="shared" si="1"/>
        <v>Builder</v>
      </c>
    </row>
    <row r="123" spans="1:23" ht="24" customHeight="1" x14ac:dyDescent="0.3">
      <c r="A123" s="4" t="s">
        <v>729</v>
      </c>
      <c r="B123" s="4" t="s">
        <v>354</v>
      </c>
      <c r="C123" s="4" t="s">
        <v>730</v>
      </c>
      <c r="D123" s="4">
        <v>9863599447</v>
      </c>
      <c r="E123" s="4" t="s">
        <v>69</v>
      </c>
      <c r="F123" s="4" t="s">
        <v>13</v>
      </c>
      <c r="G123" s="4" t="s">
        <v>52</v>
      </c>
      <c r="H123" s="4" t="s">
        <v>78</v>
      </c>
      <c r="I123" s="4" t="s">
        <v>43</v>
      </c>
      <c r="J123" s="4">
        <v>77</v>
      </c>
      <c r="K123" s="4" t="s">
        <v>731</v>
      </c>
      <c r="L123" s="4" t="s">
        <v>691</v>
      </c>
      <c r="M123" s="4">
        <v>3</v>
      </c>
      <c r="N123" s="4" t="s">
        <v>662</v>
      </c>
      <c r="O123" s="4" t="s">
        <v>46</v>
      </c>
      <c r="P123" s="5">
        <v>1060054</v>
      </c>
      <c r="Q123" s="4"/>
      <c r="R123" s="4"/>
      <c r="S123" s="4" t="s">
        <v>786</v>
      </c>
      <c r="T123" s="4">
        <v>40.5</v>
      </c>
      <c r="U123" s="4" t="s">
        <v>36</v>
      </c>
      <c r="V123" s="4" t="s">
        <v>788</v>
      </c>
      <c r="W123" s="29" t="str">
        <f t="shared" si="1"/>
        <v>-</v>
      </c>
    </row>
    <row r="124" spans="1:23" ht="24" customHeight="1" x14ac:dyDescent="0.3">
      <c r="A124" s="2" t="s">
        <v>732</v>
      </c>
      <c r="B124" s="2" t="s">
        <v>733</v>
      </c>
      <c r="C124" s="2" t="s">
        <v>700</v>
      </c>
      <c r="D124" s="2">
        <v>9392010397</v>
      </c>
      <c r="E124" s="2" t="s">
        <v>12</v>
      </c>
      <c r="F124" s="2" t="s">
        <v>13</v>
      </c>
      <c r="G124" s="2" t="s">
        <v>165</v>
      </c>
      <c r="H124" s="2" t="s">
        <v>180</v>
      </c>
      <c r="I124" s="2" t="s">
        <v>30</v>
      </c>
      <c r="J124" s="2">
        <v>101</v>
      </c>
      <c r="K124" s="2" t="s">
        <v>731</v>
      </c>
      <c r="L124" s="2" t="s">
        <v>691</v>
      </c>
      <c r="M124" s="2">
        <v>14</v>
      </c>
      <c r="N124" s="2" t="s">
        <v>662</v>
      </c>
      <c r="O124" s="2" t="s">
        <v>46</v>
      </c>
      <c r="P124" s="3">
        <v>1056913</v>
      </c>
      <c r="Q124" s="2"/>
      <c r="R124" s="2"/>
      <c r="S124" s="2" t="s">
        <v>785</v>
      </c>
      <c r="T124" s="2">
        <v>40.299999999999997</v>
      </c>
      <c r="U124" s="2" t="s">
        <v>36</v>
      </c>
      <c r="V124" s="2" t="s">
        <v>380</v>
      </c>
      <c r="W124" s="29" t="str">
        <f t="shared" si="1"/>
        <v>-</v>
      </c>
    </row>
    <row r="125" spans="1:23" ht="24" customHeight="1" x14ac:dyDescent="0.3">
      <c r="A125" s="4" t="s">
        <v>734</v>
      </c>
      <c r="B125" s="4" t="s">
        <v>735</v>
      </c>
      <c r="C125" s="4" t="s">
        <v>736</v>
      </c>
      <c r="D125" s="4">
        <v>9741148802</v>
      </c>
      <c r="E125" s="4" t="s">
        <v>12</v>
      </c>
      <c r="F125" s="4" t="s">
        <v>42</v>
      </c>
      <c r="G125" s="4" t="s">
        <v>52</v>
      </c>
      <c r="H125" s="4" t="s">
        <v>70</v>
      </c>
      <c r="I125" s="4" t="s">
        <v>113</v>
      </c>
      <c r="J125" s="4">
        <v>120</v>
      </c>
      <c r="K125" s="4" t="s">
        <v>737</v>
      </c>
      <c r="L125" s="4" t="s">
        <v>738</v>
      </c>
      <c r="M125" s="4">
        <v>18</v>
      </c>
      <c r="N125" s="4" t="s">
        <v>662</v>
      </c>
      <c r="O125" s="4" t="s">
        <v>102</v>
      </c>
      <c r="P125" s="5">
        <v>2055600</v>
      </c>
      <c r="Q125" s="4"/>
      <c r="R125" s="4"/>
      <c r="S125" s="4" t="s">
        <v>35</v>
      </c>
      <c r="T125" s="4">
        <v>19.899999999999999</v>
      </c>
      <c r="U125" s="4" t="s">
        <v>36</v>
      </c>
      <c r="V125" s="4"/>
      <c r="W125" s="29" t="str">
        <f t="shared" si="1"/>
        <v>-</v>
      </c>
    </row>
    <row r="126" spans="1:23" x14ac:dyDescent="0.3">
      <c r="A126" s="25" t="s">
        <v>774</v>
      </c>
      <c r="B126" s="25" t="s">
        <v>775</v>
      </c>
      <c r="C126" s="25" t="s">
        <v>776</v>
      </c>
      <c r="D126" s="25">
        <v>9952289168</v>
      </c>
      <c r="E126" s="25" t="s">
        <v>12</v>
      </c>
      <c r="F126" s="25" t="s">
        <v>13</v>
      </c>
      <c r="G126" s="25" t="s">
        <v>14</v>
      </c>
      <c r="H126" s="25" t="s">
        <v>777</v>
      </c>
      <c r="I126" s="25" t="s">
        <v>30</v>
      </c>
      <c r="J126" s="25">
        <v>24</v>
      </c>
      <c r="K126" s="26">
        <v>46178</v>
      </c>
      <c r="L126" s="26">
        <v>46179</v>
      </c>
      <c r="M126" s="25">
        <v>6</v>
      </c>
      <c r="N126" s="26">
        <v>46180</v>
      </c>
      <c r="O126" s="25" t="s">
        <v>46</v>
      </c>
      <c r="P126" s="27">
        <v>2800000</v>
      </c>
      <c r="Q126" s="7"/>
      <c r="R126" s="26"/>
      <c r="S126" s="25" t="s">
        <v>785</v>
      </c>
      <c r="T126" s="25">
        <v>33.799999999999997</v>
      </c>
      <c r="U126" s="25" t="s">
        <v>36</v>
      </c>
      <c r="V126" s="25" t="s">
        <v>788</v>
      </c>
      <c r="W126" s="29" t="str">
        <f t="shared" si="1"/>
        <v>-</v>
      </c>
    </row>
    <row r="127" spans="1:23" x14ac:dyDescent="0.3">
      <c r="A127" s="25" t="s">
        <v>779</v>
      </c>
      <c r="B127" s="25" t="s">
        <v>780</v>
      </c>
      <c r="C127" s="25" t="s">
        <v>781</v>
      </c>
      <c r="D127" s="25">
        <v>9232477915</v>
      </c>
      <c r="E127" s="25" t="s">
        <v>12</v>
      </c>
      <c r="F127" s="25" t="s">
        <v>13</v>
      </c>
      <c r="G127" s="25" t="s">
        <v>14</v>
      </c>
      <c r="H127" s="25" t="s">
        <v>777</v>
      </c>
      <c r="I127" s="25" t="s">
        <v>30</v>
      </c>
      <c r="J127" s="25">
        <v>136</v>
      </c>
      <c r="K127" s="26">
        <v>46176</v>
      </c>
      <c r="L127" s="26">
        <v>46177</v>
      </c>
      <c r="M127" s="25">
        <v>2</v>
      </c>
      <c r="N127" s="26">
        <v>46177</v>
      </c>
      <c r="O127" s="25" t="s">
        <v>90</v>
      </c>
      <c r="P127" s="27">
        <v>3200000</v>
      </c>
      <c r="Q127" s="7">
        <v>3100000</v>
      </c>
      <c r="R127" s="26">
        <v>46178</v>
      </c>
      <c r="S127" s="25" t="s">
        <v>785</v>
      </c>
      <c r="T127" s="25">
        <v>38.9</v>
      </c>
      <c r="U127" s="25" t="s">
        <v>22</v>
      </c>
      <c r="V127" s="25" t="s">
        <v>778</v>
      </c>
      <c r="W127" s="29" t="str">
        <f t="shared" si="1"/>
        <v>Builder</v>
      </c>
    </row>
    <row r="128" spans="1:23" x14ac:dyDescent="0.3">
      <c r="A128" s="25" t="s">
        <v>782</v>
      </c>
      <c r="B128" s="25" t="s">
        <v>783</v>
      </c>
      <c r="C128" s="25" t="s">
        <v>784</v>
      </c>
      <c r="D128" s="25">
        <v>9815705654</v>
      </c>
      <c r="E128" s="25" t="s">
        <v>12</v>
      </c>
      <c r="F128" s="25" t="s">
        <v>13</v>
      </c>
      <c r="G128" s="25" t="s">
        <v>14</v>
      </c>
      <c r="H128" s="25" t="s">
        <v>777</v>
      </c>
      <c r="I128" s="25" t="s">
        <v>30</v>
      </c>
      <c r="J128" s="25">
        <v>38</v>
      </c>
      <c r="K128" s="26">
        <v>46179</v>
      </c>
      <c r="L128" s="26">
        <v>46180</v>
      </c>
      <c r="M128" s="25">
        <v>6</v>
      </c>
      <c r="N128" s="26">
        <v>46180</v>
      </c>
      <c r="O128" s="25" t="s">
        <v>34</v>
      </c>
      <c r="P128" s="27">
        <v>2000000</v>
      </c>
      <c r="Q128" s="25"/>
      <c r="R128" s="25"/>
      <c r="S128" s="25" t="s">
        <v>35</v>
      </c>
      <c r="T128" s="25">
        <v>20.100000000000001</v>
      </c>
      <c r="U128" s="25" t="s">
        <v>22</v>
      </c>
      <c r="V128" s="25" t="s">
        <v>789</v>
      </c>
      <c r="W128" s="29" t="str">
        <f t="shared" si="1"/>
        <v>-</v>
      </c>
    </row>
    <row r="129" spans="1:23" x14ac:dyDescent="0.3">
      <c r="A129" s="25" t="s">
        <v>790</v>
      </c>
      <c r="B129" s="25" t="s">
        <v>791</v>
      </c>
      <c r="C129" s="25" t="s">
        <v>792</v>
      </c>
      <c r="D129" s="25">
        <v>9791557945</v>
      </c>
      <c r="E129" s="25" t="s">
        <v>12</v>
      </c>
      <c r="F129" s="25" t="s">
        <v>42</v>
      </c>
      <c r="G129" s="25" t="s">
        <v>165</v>
      </c>
      <c r="H129" s="25" t="s">
        <v>793</v>
      </c>
      <c r="I129" s="25" t="s">
        <v>30</v>
      </c>
      <c r="J129" s="25">
        <v>26</v>
      </c>
      <c r="K129" s="26">
        <v>46189</v>
      </c>
      <c r="L129" s="26">
        <v>46193</v>
      </c>
      <c r="M129" s="25">
        <v>3</v>
      </c>
      <c r="N129" s="26">
        <v>46201</v>
      </c>
      <c r="O129" s="25" t="s">
        <v>20</v>
      </c>
      <c r="P129" s="27">
        <v>265460</v>
      </c>
      <c r="Q129" s="25"/>
      <c r="R129" s="25"/>
      <c r="S129" s="25" t="s">
        <v>785</v>
      </c>
      <c r="T129" s="25">
        <v>39</v>
      </c>
      <c r="U129" s="25" t="s">
        <v>36</v>
      </c>
      <c r="V129" s="25" t="s">
        <v>794</v>
      </c>
      <c r="W129" s="29" t="str">
        <f t="shared" si="1"/>
        <v>-</v>
      </c>
    </row>
    <row r="130" spans="1:23" x14ac:dyDescent="0.3">
      <c r="A130" s="25" t="s">
        <v>795</v>
      </c>
      <c r="B130" s="25" t="s">
        <v>796</v>
      </c>
      <c r="C130" s="25" t="s">
        <v>797</v>
      </c>
      <c r="D130" s="25">
        <v>9131611745</v>
      </c>
      <c r="E130" s="25" t="s">
        <v>12</v>
      </c>
      <c r="F130" s="25" t="s">
        <v>28</v>
      </c>
      <c r="G130" s="25" t="s">
        <v>14</v>
      </c>
      <c r="H130" s="25" t="s">
        <v>793</v>
      </c>
      <c r="I130" s="25" t="s">
        <v>43</v>
      </c>
      <c r="J130" s="25">
        <v>42</v>
      </c>
      <c r="K130" s="26">
        <v>46202</v>
      </c>
      <c r="L130" s="26">
        <v>46204</v>
      </c>
      <c r="M130" s="25">
        <v>8</v>
      </c>
      <c r="N130" s="26">
        <v>46220</v>
      </c>
      <c r="O130" s="25" t="s">
        <v>46</v>
      </c>
      <c r="P130" s="27">
        <v>714126</v>
      </c>
      <c r="Q130" s="25"/>
      <c r="R130" s="25"/>
      <c r="S130" s="25" t="s">
        <v>786</v>
      </c>
      <c r="T130" s="25">
        <v>44.7</v>
      </c>
      <c r="U130" s="25" t="s">
        <v>57</v>
      </c>
      <c r="V130" s="25" t="s">
        <v>380</v>
      </c>
      <c r="W130" s="29" t="str">
        <f t="shared" ref="W130:W136" si="2">IF($O130="Converted","Builder","-")</f>
        <v>-</v>
      </c>
    </row>
    <row r="131" spans="1:23" x14ac:dyDescent="0.3">
      <c r="A131" s="25" t="s">
        <v>798</v>
      </c>
      <c r="B131" s="25" t="s">
        <v>799</v>
      </c>
      <c r="C131" s="25" t="s">
        <v>800</v>
      </c>
      <c r="D131" s="25">
        <v>9860585460</v>
      </c>
      <c r="E131" s="25" t="s">
        <v>801</v>
      </c>
      <c r="F131" s="25" t="s">
        <v>42</v>
      </c>
      <c r="G131" s="25" t="s">
        <v>14</v>
      </c>
      <c r="H131" s="25" t="s">
        <v>793</v>
      </c>
      <c r="I131" s="25" t="s">
        <v>30</v>
      </c>
      <c r="J131" s="25">
        <v>77</v>
      </c>
      <c r="K131" s="26">
        <v>46212</v>
      </c>
      <c r="L131" s="26">
        <v>46216</v>
      </c>
      <c r="M131" s="25">
        <v>9</v>
      </c>
      <c r="N131" s="26">
        <v>46225</v>
      </c>
      <c r="O131" s="25" t="s">
        <v>46</v>
      </c>
      <c r="P131" s="27">
        <v>823361</v>
      </c>
      <c r="Q131" s="25"/>
      <c r="R131" s="25"/>
      <c r="S131" s="25" t="s">
        <v>786</v>
      </c>
      <c r="T131" s="25">
        <v>27.5</v>
      </c>
      <c r="U131" s="25" t="s">
        <v>22</v>
      </c>
      <c r="V131" s="25" t="s">
        <v>802</v>
      </c>
      <c r="W131" s="29" t="str">
        <f t="shared" si="2"/>
        <v>-</v>
      </c>
    </row>
    <row r="132" spans="1:23" x14ac:dyDescent="0.3">
      <c r="A132" s="25" t="s">
        <v>803</v>
      </c>
      <c r="B132" s="25" t="s">
        <v>804</v>
      </c>
      <c r="C132" s="25" t="s">
        <v>805</v>
      </c>
      <c r="D132" s="25">
        <v>8344339328</v>
      </c>
      <c r="E132" s="25" t="s">
        <v>69</v>
      </c>
      <c r="F132" s="25" t="s">
        <v>42</v>
      </c>
      <c r="G132" s="25" t="s">
        <v>165</v>
      </c>
      <c r="H132" s="25" t="s">
        <v>793</v>
      </c>
      <c r="I132" s="25" t="s">
        <v>43</v>
      </c>
      <c r="J132" s="25">
        <v>116</v>
      </c>
      <c r="K132" s="26">
        <v>46230</v>
      </c>
      <c r="L132" s="26">
        <v>46234</v>
      </c>
      <c r="M132" s="25">
        <v>11</v>
      </c>
      <c r="N132" s="26">
        <v>46251</v>
      </c>
      <c r="O132" s="25" t="s">
        <v>90</v>
      </c>
      <c r="P132" s="27">
        <v>1521920</v>
      </c>
      <c r="Q132" s="25">
        <v>1453624</v>
      </c>
      <c r="R132" s="25" t="s">
        <v>806</v>
      </c>
      <c r="S132" s="25" t="s">
        <v>35</v>
      </c>
      <c r="T132" s="25">
        <v>16.3</v>
      </c>
      <c r="U132" s="25" t="s">
        <v>22</v>
      </c>
      <c r="V132" s="25" t="s">
        <v>807</v>
      </c>
      <c r="W132" s="29" t="str">
        <f t="shared" si="2"/>
        <v>Builder</v>
      </c>
    </row>
    <row r="133" spans="1:23" x14ac:dyDescent="0.3">
      <c r="A133" s="25" t="s">
        <v>808</v>
      </c>
      <c r="B133" s="25" t="s">
        <v>809</v>
      </c>
      <c r="C133" s="25" t="s">
        <v>810</v>
      </c>
      <c r="D133" s="25">
        <v>8651448916</v>
      </c>
      <c r="E133" s="25" t="s">
        <v>69</v>
      </c>
      <c r="F133" s="25" t="s">
        <v>13</v>
      </c>
      <c r="G133" s="25" t="s">
        <v>52</v>
      </c>
      <c r="H133" s="25" t="s">
        <v>811</v>
      </c>
      <c r="I133" s="25" t="s">
        <v>30</v>
      </c>
      <c r="J133" s="25">
        <v>96</v>
      </c>
      <c r="K133" s="26">
        <v>46242</v>
      </c>
      <c r="L133" s="26">
        <v>46246</v>
      </c>
      <c r="M133" s="25">
        <v>10</v>
      </c>
      <c r="N133" s="26">
        <v>46251</v>
      </c>
      <c r="O133" s="25" t="s">
        <v>46</v>
      </c>
      <c r="P133" s="27">
        <v>1306848</v>
      </c>
      <c r="Q133" s="25"/>
      <c r="R133" s="25"/>
      <c r="S133" s="25" t="s">
        <v>785</v>
      </c>
      <c r="T133" s="25">
        <v>34.200000000000003</v>
      </c>
      <c r="U133" s="25" t="s">
        <v>57</v>
      </c>
      <c r="V133" s="25" t="s">
        <v>812</v>
      </c>
      <c r="W133" s="29" t="str">
        <f t="shared" si="2"/>
        <v>-</v>
      </c>
    </row>
    <row r="134" spans="1:23" x14ac:dyDescent="0.3">
      <c r="A134" s="25" t="s">
        <v>813</v>
      </c>
      <c r="B134" s="25" t="s">
        <v>814</v>
      </c>
      <c r="C134" s="25" t="s">
        <v>815</v>
      </c>
      <c r="D134" s="25">
        <v>7637687299</v>
      </c>
      <c r="E134" s="25" t="s">
        <v>12</v>
      </c>
      <c r="F134" s="25" t="s">
        <v>42</v>
      </c>
      <c r="G134" s="25" t="s">
        <v>165</v>
      </c>
      <c r="H134" s="25" t="s">
        <v>811</v>
      </c>
      <c r="I134" s="25" t="s">
        <v>30</v>
      </c>
      <c r="J134" s="25">
        <v>141</v>
      </c>
      <c r="K134" s="26">
        <v>46247</v>
      </c>
      <c r="L134" s="26">
        <v>46250</v>
      </c>
      <c r="M134" s="25">
        <v>7</v>
      </c>
      <c r="N134" s="26">
        <v>46259</v>
      </c>
      <c r="O134" s="25" t="s">
        <v>90</v>
      </c>
      <c r="P134" s="27">
        <v>1935789</v>
      </c>
      <c r="Q134" s="25">
        <v>1814281</v>
      </c>
      <c r="R134" s="25" t="s">
        <v>816</v>
      </c>
      <c r="S134" s="25" t="s">
        <v>785</v>
      </c>
      <c r="T134" s="25">
        <v>30.7</v>
      </c>
      <c r="U134" s="25" t="s">
        <v>22</v>
      </c>
      <c r="V134" s="25" t="s">
        <v>277</v>
      </c>
      <c r="W134" s="29" t="str">
        <f t="shared" si="2"/>
        <v>Builder</v>
      </c>
    </row>
    <row r="135" spans="1:23" x14ac:dyDescent="0.3">
      <c r="A135" s="25" t="s">
        <v>817</v>
      </c>
      <c r="B135" s="25" t="s">
        <v>818</v>
      </c>
      <c r="C135" s="25" t="s">
        <v>819</v>
      </c>
      <c r="D135" s="25">
        <v>7851180965</v>
      </c>
      <c r="E135" s="25" t="s">
        <v>12</v>
      </c>
      <c r="F135" s="25" t="s">
        <v>13</v>
      </c>
      <c r="G135" s="25" t="s">
        <v>52</v>
      </c>
      <c r="H135" s="25" t="s">
        <v>811</v>
      </c>
      <c r="I135" s="25" t="s">
        <v>30</v>
      </c>
      <c r="J135" s="25">
        <v>31</v>
      </c>
      <c r="K135" s="26">
        <v>46260</v>
      </c>
      <c r="L135" s="26">
        <v>46263</v>
      </c>
      <c r="M135" s="25">
        <v>14</v>
      </c>
      <c r="N135" s="26">
        <v>46262</v>
      </c>
      <c r="O135" s="25" t="s">
        <v>90</v>
      </c>
      <c r="P135" s="27">
        <v>511159</v>
      </c>
      <c r="Q135" s="25">
        <v>462012</v>
      </c>
      <c r="R135" s="25" t="s">
        <v>816</v>
      </c>
      <c r="S135" s="25" t="s">
        <v>35</v>
      </c>
      <c r="T135" s="25">
        <v>11.3</v>
      </c>
      <c r="U135" s="25" t="s">
        <v>22</v>
      </c>
      <c r="V135" s="25" t="s">
        <v>807</v>
      </c>
      <c r="W135" s="29" t="str">
        <f t="shared" si="2"/>
        <v>Builder</v>
      </c>
    </row>
    <row r="136" spans="1:23" x14ac:dyDescent="0.3">
      <c r="A136" s="25" t="s">
        <v>820</v>
      </c>
      <c r="B136" s="25" t="s">
        <v>821</v>
      </c>
      <c r="C136" s="25" t="s">
        <v>822</v>
      </c>
      <c r="D136" s="25">
        <v>7599035599</v>
      </c>
      <c r="E136" s="25" t="s">
        <v>69</v>
      </c>
      <c r="F136" s="25" t="s">
        <v>28</v>
      </c>
      <c r="G136" s="25" t="s">
        <v>14</v>
      </c>
      <c r="H136" s="25" t="s">
        <v>811</v>
      </c>
      <c r="I136" s="25" t="s">
        <v>43</v>
      </c>
      <c r="J136" s="25">
        <v>135</v>
      </c>
      <c r="K136" s="26">
        <v>46261</v>
      </c>
      <c r="L136" s="26">
        <v>46264</v>
      </c>
      <c r="M136" s="25">
        <v>12</v>
      </c>
      <c r="N136" s="26">
        <v>46262</v>
      </c>
      <c r="O136" s="25" t="s">
        <v>90</v>
      </c>
      <c r="P136" s="27">
        <v>2069955</v>
      </c>
      <c r="Q136" s="25">
        <v>1901866</v>
      </c>
      <c r="R136" s="25" t="s">
        <v>816</v>
      </c>
      <c r="S136" s="25" t="s">
        <v>35</v>
      </c>
      <c r="T136" s="25">
        <v>14.2</v>
      </c>
      <c r="U136" s="25" t="s">
        <v>57</v>
      </c>
      <c r="V136" s="25" t="s">
        <v>807</v>
      </c>
      <c r="W136" s="29" t="str">
        <f t="shared" si="2"/>
        <v>Builder</v>
      </c>
    </row>
  </sheetData>
  <autoFilter ref="A1:V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4" x14ac:dyDescent="0.3"/>
  <cols>
    <col min="1" max="1" width="8" customWidth="1"/>
    <col min="2" max="3" width="12" customWidth="1"/>
    <col min="4" max="4" width="10" customWidth="1"/>
    <col min="5" max="5" width="13" customWidth="1"/>
    <col min="6" max="7" width="16" customWidth="1"/>
    <col min="8" max="8" width="12" customWidth="1"/>
    <col min="9" max="9" width="14" customWidth="1"/>
  </cols>
  <sheetData>
    <row r="1" spans="1:9" ht="34.049999999999997" customHeight="1" x14ac:dyDescent="0.3">
      <c r="A1" s="1" t="s">
        <v>739</v>
      </c>
      <c r="B1" s="1" t="s">
        <v>740</v>
      </c>
      <c r="C1" s="1" t="s">
        <v>90</v>
      </c>
      <c r="D1" s="1" t="s">
        <v>46</v>
      </c>
      <c r="E1" s="1" t="s">
        <v>741</v>
      </c>
      <c r="F1" s="1" t="s">
        <v>742</v>
      </c>
      <c r="G1" s="1" t="s">
        <v>743</v>
      </c>
      <c r="H1" s="1" t="s">
        <v>744</v>
      </c>
      <c r="I1" s="1" t="s">
        <v>745</v>
      </c>
    </row>
    <row r="2" spans="1:9" x14ac:dyDescent="0.3">
      <c r="A2" s="8">
        <v>2023</v>
      </c>
      <c r="B2" s="9">
        <v>17</v>
      </c>
      <c r="C2" s="9">
        <v>2</v>
      </c>
      <c r="D2" s="9">
        <v>5</v>
      </c>
      <c r="E2" s="9">
        <v>5</v>
      </c>
      <c r="F2" s="10">
        <v>1051142</v>
      </c>
      <c r="G2" s="10">
        <v>1334116</v>
      </c>
      <c r="H2" s="9">
        <v>73</v>
      </c>
      <c r="I2" s="9">
        <v>11.8</v>
      </c>
    </row>
    <row r="3" spans="1:9" x14ac:dyDescent="0.3">
      <c r="A3" s="11">
        <v>2024</v>
      </c>
      <c r="B3" s="12">
        <v>41</v>
      </c>
      <c r="C3" s="12">
        <v>12</v>
      </c>
      <c r="D3" s="12">
        <v>14</v>
      </c>
      <c r="E3" s="12">
        <v>10</v>
      </c>
      <c r="F3" s="13">
        <v>1471304</v>
      </c>
      <c r="G3" s="13">
        <v>18964289</v>
      </c>
      <c r="H3" s="12">
        <v>99</v>
      </c>
      <c r="I3" s="12">
        <v>29.3</v>
      </c>
    </row>
    <row r="4" spans="1:9" x14ac:dyDescent="0.3">
      <c r="A4" s="14">
        <v>2025</v>
      </c>
      <c r="B4" s="15">
        <v>48</v>
      </c>
      <c r="C4" s="15">
        <v>10</v>
      </c>
      <c r="D4" s="15">
        <v>16</v>
      </c>
      <c r="E4" s="15">
        <v>12</v>
      </c>
      <c r="F4" s="16">
        <v>1427762</v>
      </c>
      <c r="G4" s="16">
        <v>15481755</v>
      </c>
      <c r="H4" s="15">
        <v>94</v>
      </c>
      <c r="I4" s="15">
        <v>20.8</v>
      </c>
    </row>
    <row r="5" spans="1:9" x14ac:dyDescent="0.3">
      <c r="A5" s="17">
        <v>2026</v>
      </c>
      <c r="B5" s="18">
        <v>18</v>
      </c>
      <c r="C5" s="18">
        <v>7</v>
      </c>
      <c r="D5" s="18">
        <v>5</v>
      </c>
      <c r="E5" s="18">
        <v>0</v>
      </c>
      <c r="F5" s="19">
        <v>1180165</v>
      </c>
      <c r="G5" s="19">
        <v>5124022</v>
      </c>
      <c r="H5" s="18">
        <v>83</v>
      </c>
      <c r="I5" s="18">
        <v>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4.4" x14ac:dyDescent="0.3"/>
  <cols>
    <col min="1" max="1" width="22" customWidth="1"/>
    <col min="2" max="2" width="80" customWidth="1"/>
  </cols>
  <sheetData>
    <row r="1" spans="1:2" ht="25.95" customHeight="1" x14ac:dyDescent="0.3">
      <c r="A1" s="20" t="s">
        <v>746</v>
      </c>
      <c r="B1" s="20" t="s">
        <v>747</v>
      </c>
    </row>
    <row r="2" spans="1:2" ht="25.95" customHeight="1" x14ac:dyDescent="0.3">
      <c r="A2" s="21" t="s">
        <v>748</v>
      </c>
      <c r="B2" s="21" t="s">
        <v>749</v>
      </c>
    </row>
    <row r="3" spans="1:2" ht="25.95" customHeight="1" x14ac:dyDescent="0.3">
      <c r="A3" s="21" t="s">
        <v>750</v>
      </c>
      <c r="B3" s="21" t="s">
        <v>751</v>
      </c>
    </row>
    <row r="4" spans="1:2" ht="25.95" customHeight="1" x14ac:dyDescent="0.3">
      <c r="A4" s="21" t="s">
        <v>0</v>
      </c>
      <c r="B4" s="21" t="s">
        <v>752</v>
      </c>
    </row>
    <row r="5" spans="1:2" ht="25.95" customHeight="1" x14ac:dyDescent="0.3">
      <c r="A5" s="21" t="s">
        <v>2</v>
      </c>
      <c r="B5" s="21" t="s">
        <v>753</v>
      </c>
    </row>
    <row r="6" spans="1:2" ht="25.95" customHeight="1" x14ac:dyDescent="0.3">
      <c r="A6" s="21" t="s">
        <v>1</v>
      </c>
      <c r="B6" s="21" t="s">
        <v>754</v>
      </c>
    </row>
    <row r="7" spans="1:2" ht="25.95" customHeight="1" x14ac:dyDescent="0.3">
      <c r="A7" s="21" t="s">
        <v>3</v>
      </c>
      <c r="B7" s="21" t="s">
        <v>755</v>
      </c>
    </row>
    <row r="8" spans="1:2" ht="25.95" customHeight="1" x14ac:dyDescent="0.3">
      <c r="A8" s="21" t="s">
        <v>4</v>
      </c>
      <c r="B8" s="21" t="s">
        <v>756</v>
      </c>
    </row>
    <row r="9" spans="1:2" ht="25.95" customHeight="1" x14ac:dyDescent="0.3">
      <c r="A9" s="21" t="s">
        <v>5</v>
      </c>
      <c r="B9" s="21" t="s">
        <v>757</v>
      </c>
    </row>
    <row r="10" spans="1:2" ht="25.95" customHeight="1" x14ac:dyDescent="0.3">
      <c r="A10" s="21" t="s">
        <v>7</v>
      </c>
      <c r="B10" s="21" t="s">
        <v>758</v>
      </c>
    </row>
    <row r="11" spans="1:2" ht="25.95" customHeight="1" x14ac:dyDescent="0.3">
      <c r="A11" s="21" t="s">
        <v>8</v>
      </c>
      <c r="B11" s="21" t="s">
        <v>759</v>
      </c>
    </row>
    <row r="12" spans="1:2" ht="25.95" customHeight="1" x14ac:dyDescent="0.3">
      <c r="A12" s="21" t="s">
        <v>6</v>
      </c>
      <c r="B12" s="21" t="s">
        <v>760</v>
      </c>
    </row>
    <row r="13" spans="1:2" ht="25.95" customHeight="1" x14ac:dyDescent="0.3">
      <c r="A13" s="21"/>
      <c r="B13" s="21"/>
    </row>
    <row r="14" spans="1:2" ht="25.95" customHeight="1" x14ac:dyDescent="0.3">
      <c r="A14" s="22" t="s">
        <v>761</v>
      </c>
      <c r="B14" s="22" t="s">
        <v>762</v>
      </c>
    </row>
    <row r="15" spans="1:2" ht="25.95" customHeight="1" x14ac:dyDescent="0.3">
      <c r="A15" s="21"/>
      <c r="B15" s="21"/>
    </row>
    <row r="16" spans="1:2" ht="25.95" customHeight="1" x14ac:dyDescent="0.3">
      <c r="A16" s="22" t="s">
        <v>763</v>
      </c>
      <c r="B16" s="22" t="s">
        <v>764</v>
      </c>
    </row>
    <row r="17" spans="1:2" ht="25.95" customHeight="1" x14ac:dyDescent="0.3">
      <c r="A17" s="22"/>
      <c r="B17" s="22"/>
    </row>
    <row r="18" spans="1:2" ht="25.95" customHeight="1" x14ac:dyDescent="0.3">
      <c r="A18" s="23" t="s">
        <v>765</v>
      </c>
      <c r="B18" s="24"/>
    </row>
    <row r="19" spans="1:2" ht="25.95" customHeight="1" x14ac:dyDescent="0.3">
      <c r="A19" s="23" t="s">
        <v>766</v>
      </c>
      <c r="B19" s="24" t="s">
        <v>767</v>
      </c>
    </row>
    <row r="20" spans="1:2" ht="25.95" customHeight="1" x14ac:dyDescent="0.3">
      <c r="A20" s="23" t="s">
        <v>768</v>
      </c>
      <c r="B20" s="24" t="s">
        <v>769</v>
      </c>
    </row>
    <row r="21" spans="1:2" ht="25.95" customHeight="1" x14ac:dyDescent="0.3">
      <c r="A21" s="23" t="s">
        <v>770</v>
      </c>
      <c r="B21" s="24" t="s">
        <v>771</v>
      </c>
    </row>
    <row r="22" spans="1:2" ht="25.95" customHeight="1" x14ac:dyDescent="0.3">
      <c r="A22" s="21" t="s">
        <v>772</v>
      </c>
      <c r="B22" s="21" t="s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Builder Leads Data</vt:lpstr>
      <vt:lpstr>Yearly Summary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Nachiket Lokhande</cp:lastModifiedBy>
  <dcterms:created xsi:type="dcterms:W3CDTF">2026-05-08T11:38:51Z</dcterms:created>
  <dcterms:modified xsi:type="dcterms:W3CDTF">2026-09-25T07:08:01Z</dcterms:modified>
</cp:coreProperties>
</file>